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Mega\ZAFCA\Current Work ZAFCA\Templates and Important Laws\"/>
    </mc:Choice>
  </mc:AlternateContent>
  <xr:revisionPtr revIDLastSave="0" documentId="13_ncr:1_{1E58BEEF-9A30-4254-A606-E918DA9A3B4E}" xr6:coauthVersionLast="47" xr6:coauthVersionMax="47" xr10:uidLastSave="{00000000-0000-0000-0000-000000000000}"/>
  <bookViews>
    <workbookView xWindow="-110" yWindow="-110" windowWidth="19420" windowHeight="10300" tabRatio="882" activeTab="1" xr2:uid="{00000000-000D-0000-FFFF-FFFF00000000}"/>
  </bookViews>
  <sheets>
    <sheet name="Cover" sheetId="19" r:id="rId1"/>
    <sheet name="SOFP" sheetId="1" r:id="rId2"/>
    <sheet name="SOPL" sheetId="2" r:id="rId3"/>
    <sheet name="SOCI" sheetId="3" r:id="rId4"/>
    <sheet name="SOCF" sheetId="4" r:id="rId5"/>
    <sheet name="SOCIE" sheetId="5" r:id="rId6"/>
    <sheet name="Policies" sheetId="6" r:id="rId7"/>
    <sheet name="FAS" sheetId="7" r:id="rId8"/>
    <sheet name="Notes" sheetId="8" r:id="rId9"/>
    <sheet name="CS" sheetId="20" r:id="rId10"/>
    <sheet name="ATB" sheetId="9" r:id="rId11"/>
    <sheet name="AE" sheetId="11" r:id="rId12"/>
    <sheet name="AD" sheetId="13" r:id="rId13"/>
    <sheet name="TD" sheetId="14" r:id="rId14"/>
    <sheet name="CT" sheetId="15" r:id="rId15"/>
    <sheet name="DT" sheetId="17" r:id="rId16"/>
  </sheets>
  <definedNames>
    <definedName name="_xlnm._FilterDatabase" localSheetId="9" hidden="1">CS!$B$8:$I$304</definedName>
    <definedName name="_xlnm.Print_Area" localSheetId="10">ATB!$B$1:$O$34</definedName>
    <definedName name="_xlnm.Print_Area" localSheetId="7">FAS!$A$1:$AA$82</definedName>
    <definedName name="_xlnm.Print_Area" localSheetId="8">Notes!$A$1:$O$764</definedName>
    <definedName name="_xlnm.Print_Area" localSheetId="6">Policies!$A$1:$O$301</definedName>
    <definedName name="_xlnm.Print_Area" localSheetId="4">SOCF!$A$1:$O$85</definedName>
    <definedName name="_xlnm.Print_Area" localSheetId="3">SOCI!$A$1:$O$36</definedName>
    <definedName name="_xlnm.Print_Area" localSheetId="5">SOCIE!$A$1:$Q$31</definedName>
    <definedName name="_xlnm.Print_Area" localSheetId="1">SOFP!$A$1:$O$70</definedName>
    <definedName name="_xlnm.Print_Area" localSheetId="2">SOPL!$A$1:$O$42</definedName>
    <definedName name="_xlnm.Print_Titles" localSheetId="8">Notes!$1:$4</definedName>
    <definedName name="_xlnm.Print_Titles" localSheetId="6">Policies!$1:$4</definedName>
    <definedName name="_xlnm.Print_Titles" localSheetId="1">SOFP!$1:$4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30" i="8" l="1"/>
  <c r="H730" i="8"/>
  <c r="L694" i="8"/>
  <c r="N710" i="8"/>
  <c r="L710" i="8"/>
  <c r="H695" i="8"/>
  <c r="J694" i="8"/>
  <c r="H694" i="8"/>
  <c r="L695" i="8"/>
  <c r="N694" i="8"/>
  <c r="F675" i="8"/>
  <c r="L660" i="8"/>
  <c r="N659" i="8"/>
  <c r="L659" i="8"/>
  <c r="L612" i="8"/>
  <c r="N611" i="8"/>
  <c r="L611" i="8"/>
  <c r="L592" i="8"/>
  <c r="N591" i="8"/>
  <c r="L591" i="8"/>
  <c r="L580" i="8"/>
  <c r="N579" i="8"/>
  <c r="L579" i="8"/>
  <c r="L570" i="8"/>
  <c r="N569" i="8"/>
  <c r="L569" i="8"/>
  <c r="L556" i="8"/>
  <c r="N555" i="8"/>
  <c r="L555" i="8"/>
  <c r="L536" i="8"/>
  <c r="N535" i="8"/>
  <c r="L535" i="8"/>
  <c r="L521" i="8"/>
  <c r="N520" i="8"/>
  <c r="L520" i="8"/>
  <c r="L497" i="8"/>
  <c r="N496" i="8"/>
  <c r="L496" i="8"/>
  <c r="L473" i="8"/>
  <c r="N472" i="8"/>
  <c r="L472" i="8"/>
  <c r="L461" i="8"/>
  <c r="N460" i="8"/>
  <c r="L460" i="8"/>
  <c r="L443" i="8"/>
  <c r="N442" i="8"/>
  <c r="L442" i="8"/>
  <c r="L396" i="8"/>
  <c r="N395" i="8"/>
  <c r="L395" i="8"/>
  <c r="L319" i="8"/>
  <c r="N318" i="8"/>
  <c r="L318" i="8"/>
  <c r="L271" i="8"/>
  <c r="N270" i="8"/>
  <c r="L270" i="8"/>
  <c r="L256" i="8"/>
  <c r="N255" i="8"/>
  <c r="L255" i="8"/>
  <c r="L242" i="8"/>
  <c r="N241" i="8"/>
  <c r="L241" i="8"/>
  <c r="J217" i="8"/>
  <c r="H217" i="8"/>
  <c r="L218" i="8"/>
  <c r="N217" i="8"/>
  <c r="L217" i="8"/>
  <c r="L509" i="8"/>
  <c r="N508" i="8"/>
  <c r="L508" i="8"/>
  <c r="L123" i="8"/>
  <c r="N122" i="8"/>
  <c r="L122" i="8"/>
  <c r="L61" i="8"/>
  <c r="N60" i="8"/>
  <c r="L60" i="8"/>
  <c r="B343" i="8"/>
  <c r="A216" i="6" l="1"/>
  <c r="A221" i="6" s="1"/>
  <c r="A227" i="6" s="1"/>
  <c r="A246" i="6" s="1"/>
  <c r="A251" i="6" s="1"/>
  <c r="A266" i="6" s="1"/>
  <c r="A272" i="6" s="1"/>
  <c r="A278" i="6" s="1"/>
  <c r="A288" i="6" s="1"/>
  <c r="H52" i="13" l="1"/>
  <c r="H51" i="13"/>
  <c r="H47" i="13"/>
  <c r="H46" i="13"/>
  <c r="H42" i="13"/>
  <c r="H41" i="13"/>
  <c r="H37" i="13"/>
  <c r="H36" i="13"/>
  <c r="H32" i="13"/>
  <c r="H31" i="13"/>
  <c r="H27" i="13"/>
  <c r="H26" i="13"/>
  <c r="H22" i="13"/>
  <c r="H21" i="13"/>
  <c r="H17" i="13"/>
  <c r="H16" i="13"/>
  <c r="H12" i="13"/>
  <c r="H11" i="13"/>
  <c r="M20" i="9"/>
  <c r="H77" i="20"/>
  <c r="D133" i="20"/>
  <c r="E133" i="20"/>
  <c r="F133" i="20"/>
  <c r="D162" i="20"/>
  <c r="E162" i="20"/>
  <c r="F162" i="20"/>
  <c r="M61" i="9"/>
  <c r="I162" i="20" s="1"/>
  <c r="D77" i="20"/>
  <c r="E77" i="20"/>
  <c r="F77" i="20"/>
  <c r="L129" i="8"/>
  <c r="L113" i="8"/>
  <c r="N113" i="8"/>
  <c r="N105" i="8"/>
  <c r="N13" i="1" s="1"/>
  <c r="L105" i="8"/>
  <c r="L13" i="1" s="1"/>
  <c r="B101" i="8"/>
  <c r="G162" i="20" l="1"/>
  <c r="M30" i="9"/>
  <c r="M26" i="9"/>
  <c r="M27" i="9"/>
  <c r="H162" i="20"/>
  <c r="M59" i="9"/>
  <c r="M60" i="9"/>
  <c r="G77" i="20"/>
  <c r="M43" i="9"/>
  <c r="M36" i="9"/>
  <c r="I77" i="20" s="1"/>
  <c r="M14" i="9"/>
  <c r="Q9" i="17"/>
  <c r="Q10" i="17" s="1"/>
  <c r="Q11" i="17" s="1"/>
  <c r="Q12" i="17" s="1"/>
  <c r="Q13" i="17" s="1"/>
  <c r="J27" i="17"/>
  <c r="J28" i="17" s="1"/>
  <c r="J29" i="17" s="1"/>
  <c r="J30" i="17" s="1"/>
  <c r="J31" i="17" s="1"/>
  <c r="J32" i="17" s="1"/>
  <c r="J33" i="17" s="1"/>
  <c r="J34" i="17" s="1"/>
  <c r="T27" i="17"/>
  <c r="N27" i="17" s="1"/>
  <c r="O27" i="17" s="1"/>
  <c r="T28" i="17"/>
  <c r="N28" i="17" s="1"/>
  <c r="O28" i="17" s="1"/>
  <c r="T29" i="17"/>
  <c r="N29" i="17" s="1"/>
  <c r="O29" i="17" s="1"/>
  <c r="T30" i="17"/>
  <c r="N30" i="17" s="1"/>
  <c r="O30" i="17" s="1"/>
  <c r="T31" i="17"/>
  <c r="N31" i="17" s="1"/>
  <c r="O31" i="17" s="1"/>
  <c r="T32" i="17"/>
  <c r="N32" i="17" s="1"/>
  <c r="O32" i="17" s="1"/>
  <c r="T33" i="17"/>
  <c r="N33" i="17" s="1"/>
  <c r="O33" i="17" s="1"/>
  <c r="T34" i="17"/>
  <c r="N34" i="17" s="1"/>
  <c r="O34" i="17" s="1"/>
  <c r="T26" i="17"/>
  <c r="N26" i="17" s="1"/>
  <c r="O26" i="17" s="1"/>
  <c r="H6" i="5"/>
  <c r="P69" i="13"/>
  <c r="P73" i="13"/>
  <c r="P77" i="13"/>
  <c r="P81" i="13"/>
  <c r="P85" i="13"/>
  <c r="P89" i="13"/>
  <c r="P93" i="13"/>
  <c r="P97" i="13"/>
  <c r="P101" i="13"/>
  <c r="P103" i="13" l="1"/>
  <c r="B354" i="8"/>
  <c r="N348" i="8"/>
  <c r="L348" i="8"/>
  <c r="D12" i="20" l="1"/>
  <c r="E12" i="20"/>
  <c r="D13" i="20"/>
  <c r="E13" i="20"/>
  <c r="D14" i="20"/>
  <c r="E14" i="20"/>
  <c r="D15" i="20"/>
  <c r="E15" i="20"/>
  <c r="D16" i="20"/>
  <c r="E16" i="20"/>
  <c r="D17" i="20"/>
  <c r="E17" i="20"/>
  <c r="D18" i="20"/>
  <c r="E18" i="20"/>
  <c r="D19" i="20"/>
  <c r="E19" i="20"/>
  <c r="D20" i="20"/>
  <c r="E20" i="20"/>
  <c r="D21" i="20"/>
  <c r="E21" i="20"/>
  <c r="D22" i="20"/>
  <c r="E22" i="20"/>
  <c r="D23" i="20"/>
  <c r="E23" i="20"/>
  <c r="D24" i="20"/>
  <c r="E24" i="20"/>
  <c r="D25" i="20"/>
  <c r="E25" i="20"/>
  <c r="D26" i="20"/>
  <c r="E26" i="20"/>
  <c r="D27" i="20"/>
  <c r="E27" i="20"/>
  <c r="D28" i="20"/>
  <c r="E28" i="20"/>
  <c r="D29" i="20"/>
  <c r="E29" i="20"/>
  <c r="D30" i="20"/>
  <c r="E30" i="20"/>
  <c r="D31" i="20"/>
  <c r="E31" i="20"/>
  <c r="D32" i="20"/>
  <c r="E32" i="20"/>
  <c r="D33" i="20"/>
  <c r="E33" i="20"/>
  <c r="D34" i="20"/>
  <c r="E34" i="20"/>
  <c r="D35" i="20"/>
  <c r="E35" i="20"/>
  <c r="D36" i="20"/>
  <c r="E36" i="20"/>
  <c r="D37" i="20"/>
  <c r="E37" i="20"/>
  <c r="D38" i="20"/>
  <c r="E38" i="20"/>
  <c r="D39" i="20"/>
  <c r="E39" i="20"/>
  <c r="D40" i="20"/>
  <c r="E40" i="20"/>
  <c r="D41" i="20"/>
  <c r="E41" i="20"/>
  <c r="D42" i="20"/>
  <c r="E42" i="20"/>
  <c r="D43" i="20"/>
  <c r="E43" i="20"/>
  <c r="D44" i="20"/>
  <c r="E44" i="20"/>
  <c r="D45" i="20"/>
  <c r="E45" i="20"/>
  <c r="D46" i="20"/>
  <c r="E46" i="20"/>
  <c r="D47" i="20"/>
  <c r="E47" i="20"/>
  <c r="D48" i="20"/>
  <c r="E48" i="20"/>
  <c r="D49" i="20"/>
  <c r="E49" i="20"/>
  <c r="D50" i="20"/>
  <c r="E50" i="20"/>
  <c r="D51" i="20"/>
  <c r="E51" i="20"/>
  <c r="D52" i="20"/>
  <c r="E52" i="20"/>
  <c r="D53" i="20"/>
  <c r="E53" i="20"/>
  <c r="D54" i="20"/>
  <c r="E54" i="20"/>
  <c r="D55" i="20"/>
  <c r="E55" i="20"/>
  <c r="D56" i="20"/>
  <c r="E56" i="20"/>
  <c r="D57" i="20"/>
  <c r="E57" i="20"/>
  <c r="D58" i="20"/>
  <c r="E58" i="20"/>
  <c r="D59" i="20"/>
  <c r="E59" i="20"/>
  <c r="D60" i="20"/>
  <c r="E60" i="20"/>
  <c r="D61" i="20"/>
  <c r="E61" i="20"/>
  <c r="D62" i="20"/>
  <c r="E62" i="20"/>
  <c r="D63" i="20"/>
  <c r="E63" i="20"/>
  <c r="D64" i="20"/>
  <c r="E64" i="20"/>
  <c r="D65" i="20"/>
  <c r="E65" i="20"/>
  <c r="D66" i="20"/>
  <c r="E66" i="20"/>
  <c r="D67" i="20"/>
  <c r="E67" i="20"/>
  <c r="D68" i="20"/>
  <c r="E68" i="20"/>
  <c r="D69" i="20"/>
  <c r="E69" i="20"/>
  <c r="D70" i="20"/>
  <c r="E70" i="20"/>
  <c r="D71" i="20"/>
  <c r="E71" i="20"/>
  <c r="D72" i="20"/>
  <c r="E72" i="20"/>
  <c r="D73" i="20"/>
  <c r="E73" i="20"/>
  <c r="D74" i="20"/>
  <c r="E74" i="20"/>
  <c r="D75" i="20"/>
  <c r="E75" i="20"/>
  <c r="D76" i="20"/>
  <c r="E76" i="20"/>
  <c r="D78" i="20"/>
  <c r="E78" i="20"/>
  <c r="D79" i="20"/>
  <c r="E79" i="20"/>
  <c r="D80" i="20"/>
  <c r="E80" i="20"/>
  <c r="D81" i="20"/>
  <c r="E81" i="20"/>
  <c r="D82" i="20"/>
  <c r="E82" i="20"/>
  <c r="D83" i="20"/>
  <c r="E83" i="20"/>
  <c r="D84" i="20"/>
  <c r="E84" i="20"/>
  <c r="D85" i="20"/>
  <c r="E85" i="20"/>
  <c r="D86" i="20"/>
  <c r="E86" i="20"/>
  <c r="D87" i="20"/>
  <c r="E87" i="20"/>
  <c r="D88" i="20"/>
  <c r="E88" i="20"/>
  <c r="D89" i="20"/>
  <c r="E89" i="20"/>
  <c r="D90" i="20"/>
  <c r="E90" i="20"/>
  <c r="D91" i="20"/>
  <c r="E91" i="20"/>
  <c r="D92" i="20"/>
  <c r="E92" i="20"/>
  <c r="D93" i="20"/>
  <c r="E93" i="20"/>
  <c r="D94" i="20"/>
  <c r="E94" i="20"/>
  <c r="D95" i="20"/>
  <c r="E95" i="20"/>
  <c r="D96" i="20"/>
  <c r="E96" i="20"/>
  <c r="D97" i="20"/>
  <c r="E97" i="20"/>
  <c r="D98" i="20"/>
  <c r="E98" i="20"/>
  <c r="D99" i="20"/>
  <c r="E99" i="20"/>
  <c r="D100" i="20"/>
  <c r="E100" i="20"/>
  <c r="D101" i="20"/>
  <c r="E101" i="20"/>
  <c r="D102" i="20"/>
  <c r="E102" i="20"/>
  <c r="D103" i="20"/>
  <c r="E103" i="20"/>
  <c r="D104" i="20"/>
  <c r="E104" i="20"/>
  <c r="D105" i="20"/>
  <c r="E105" i="20"/>
  <c r="D106" i="20"/>
  <c r="E106" i="20"/>
  <c r="D107" i="20"/>
  <c r="E107" i="20"/>
  <c r="D108" i="20"/>
  <c r="E108" i="20"/>
  <c r="D109" i="20"/>
  <c r="E109" i="20"/>
  <c r="D110" i="20"/>
  <c r="E110" i="20"/>
  <c r="D111" i="20"/>
  <c r="E111" i="20"/>
  <c r="D112" i="20"/>
  <c r="E112" i="20"/>
  <c r="D113" i="20"/>
  <c r="E113" i="20"/>
  <c r="D114" i="20"/>
  <c r="E114" i="20"/>
  <c r="D115" i="20"/>
  <c r="E115" i="20"/>
  <c r="D116" i="20"/>
  <c r="E116" i="20"/>
  <c r="D117" i="20"/>
  <c r="E117" i="20"/>
  <c r="D118" i="20"/>
  <c r="E118" i="20"/>
  <c r="D119" i="20"/>
  <c r="E119" i="20"/>
  <c r="D120" i="20"/>
  <c r="E120" i="20"/>
  <c r="D121" i="20"/>
  <c r="E121" i="20"/>
  <c r="D122" i="20"/>
  <c r="E122" i="20"/>
  <c r="D123" i="20"/>
  <c r="E123" i="20"/>
  <c r="D124" i="20"/>
  <c r="E124" i="20"/>
  <c r="D125" i="20"/>
  <c r="E125" i="20"/>
  <c r="D126" i="20"/>
  <c r="E126" i="20"/>
  <c r="D127" i="20"/>
  <c r="E127" i="20"/>
  <c r="D128" i="20"/>
  <c r="E128" i="20"/>
  <c r="D129" i="20"/>
  <c r="E129" i="20"/>
  <c r="D130" i="20"/>
  <c r="E130" i="20"/>
  <c r="D131" i="20"/>
  <c r="E131" i="20"/>
  <c r="D132" i="20"/>
  <c r="E132" i="20"/>
  <c r="D134" i="20"/>
  <c r="E134" i="20"/>
  <c r="D135" i="20"/>
  <c r="E135" i="20"/>
  <c r="D136" i="20"/>
  <c r="E136" i="20"/>
  <c r="D137" i="20"/>
  <c r="E137" i="20"/>
  <c r="D138" i="20"/>
  <c r="E138" i="20"/>
  <c r="D139" i="20"/>
  <c r="E139" i="20"/>
  <c r="D140" i="20"/>
  <c r="E140" i="20"/>
  <c r="D141" i="20"/>
  <c r="E141" i="20"/>
  <c r="D142" i="20"/>
  <c r="E142" i="20"/>
  <c r="D143" i="20"/>
  <c r="E143" i="20"/>
  <c r="D144" i="20"/>
  <c r="E144" i="20"/>
  <c r="D145" i="20"/>
  <c r="E145" i="20"/>
  <c r="D146" i="20"/>
  <c r="E146" i="20"/>
  <c r="D147" i="20"/>
  <c r="E147" i="20"/>
  <c r="D148" i="20"/>
  <c r="E148" i="20"/>
  <c r="D149" i="20"/>
  <c r="E149" i="20"/>
  <c r="D150" i="20"/>
  <c r="E150" i="20"/>
  <c r="D151" i="20"/>
  <c r="E151" i="20"/>
  <c r="D152" i="20"/>
  <c r="E152" i="20"/>
  <c r="D153" i="20"/>
  <c r="E153" i="20"/>
  <c r="D154" i="20"/>
  <c r="E154" i="20"/>
  <c r="D155" i="20"/>
  <c r="E155" i="20"/>
  <c r="D156" i="20"/>
  <c r="E156" i="20"/>
  <c r="D157" i="20"/>
  <c r="E157" i="20"/>
  <c r="D158" i="20"/>
  <c r="E158" i="20"/>
  <c r="D159" i="20"/>
  <c r="E159" i="20"/>
  <c r="D160" i="20"/>
  <c r="E160" i="20"/>
  <c r="D161" i="20"/>
  <c r="E161" i="20"/>
  <c r="D163" i="20"/>
  <c r="E163" i="20"/>
  <c r="D164" i="20"/>
  <c r="E164" i="20"/>
  <c r="D165" i="20"/>
  <c r="E165" i="20"/>
  <c r="D166" i="20"/>
  <c r="E166" i="20"/>
  <c r="D167" i="20"/>
  <c r="E167" i="20"/>
  <c r="D168" i="20"/>
  <c r="E168" i="20"/>
  <c r="D169" i="20"/>
  <c r="E169" i="20"/>
  <c r="D170" i="20"/>
  <c r="E170" i="20"/>
  <c r="D171" i="20"/>
  <c r="E171" i="20"/>
  <c r="D172" i="20"/>
  <c r="E172" i="20"/>
  <c r="D173" i="20"/>
  <c r="E173" i="20"/>
  <c r="D174" i="20"/>
  <c r="E174" i="20"/>
  <c r="D175" i="20"/>
  <c r="E175" i="20"/>
  <c r="D176" i="20"/>
  <c r="E176" i="20"/>
  <c r="D177" i="20"/>
  <c r="E177" i="20"/>
  <c r="D178" i="20"/>
  <c r="E178" i="20"/>
  <c r="D179" i="20"/>
  <c r="E179" i="20"/>
  <c r="D180" i="20"/>
  <c r="E180" i="20"/>
  <c r="D181" i="20"/>
  <c r="E181" i="20"/>
  <c r="D182" i="20"/>
  <c r="E182" i="20"/>
  <c r="D183" i="20"/>
  <c r="E183" i="20"/>
  <c r="D184" i="20"/>
  <c r="E184" i="20"/>
  <c r="D185" i="20"/>
  <c r="E185" i="20"/>
  <c r="D186" i="20"/>
  <c r="E186" i="20"/>
  <c r="D187" i="20"/>
  <c r="E187" i="20"/>
  <c r="D188" i="20"/>
  <c r="E188" i="20"/>
  <c r="D189" i="20"/>
  <c r="E189" i="20"/>
  <c r="D190" i="20"/>
  <c r="E190" i="20"/>
  <c r="D191" i="20"/>
  <c r="E191" i="20"/>
  <c r="D192" i="20"/>
  <c r="E192" i="20"/>
  <c r="D193" i="20"/>
  <c r="E193" i="20"/>
  <c r="D194" i="20"/>
  <c r="E194" i="20"/>
  <c r="D195" i="20"/>
  <c r="E195" i="20"/>
  <c r="D196" i="20"/>
  <c r="E196" i="20"/>
  <c r="D197" i="20"/>
  <c r="E197" i="20"/>
  <c r="D198" i="20"/>
  <c r="E198" i="20"/>
  <c r="D199" i="20"/>
  <c r="E199" i="20"/>
  <c r="D200" i="20"/>
  <c r="E200" i="20"/>
  <c r="D201" i="20"/>
  <c r="E201" i="20"/>
  <c r="D202" i="20"/>
  <c r="E202" i="20"/>
  <c r="D203" i="20"/>
  <c r="E203" i="20"/>
  <c r="D204" i="20"/>
  <c r="E204" i="20"/>
  <c r="D205" i="20"/>
  <c r="E205" i="20"/>
  <c r="D206" i="20"/>
  <c r="E206" i="20"/>
  <c r="D207" i="20"/>
  <c r="E207" i="20"/>
  <c r="D208" i="20"/>
  <c r="E208" i="20"/>
  <c r="D209" i="20"/>
  <c r="E209" i="20"/>
  <c r="D210" i="20"/>
  <c r="E210" i="20"/>
  <c r="D211" i="20"/>
  <c r="E211" i="20"/>
  <c r="D212" i="20"/>
  <c r="E212" i="20"/>
  <c r="D213" i="20"/>
  <c r="E213" i="20"/>
  <c r="D214" i="20"/>
  <c r="E214" i="20"/>
  <c r="D215" i="20"/>
  <c r="E215" i="20"/>
  <c r="D216" i="20"/>
  <c r="E216" i="20"/>
  <c r="D217" i="20"/>
  <c r="E217" i="20"/>
  <c r="D218" i="20"/>
  <c r="E218" i="20"/>
  <c r="D219" i="20"/>
  <c r="E219" i="20"/>
  <c r="D220" i="20"/>
  <c r="E220" i="20"/>
  <c r="D221" i="20"/>
  <c r="E221" i="20"/>
  <c r="D222" i="20"/>
  <c r="E222" i="20"/>
  <c r="D223" i="20"/>
  <c r="E223" i="20"/>
  <c r="D224" i="20"/>
  <c r="E224" i="20"/>
  <c r="D225" i="20"/>
  <c r="E225" i="20"/>
  <c r="D226" i="20"/>
  <c r="E226" i="20"/>
  <c r="D227" i="20"/>
  <c r="E227" i="20"/>
  <c r="D228" i="20"/>
  <c r="E228" i="20"/>
  <c r="D229" i="20"/>
  <c r="E229" i="20"/>
  <c r="D230" i="20"/>
  <c r="E230" i="20"/>
  <c r="D231" i="20"/>
  <c r="E231" i="20"/>
  <c r="D232" i="20"/>
  <c r="E232" i="20"/>
  <c r="D233" i="20"/>
  <c r="E233" i="20"/>
  <c r="D234" i="20"/>
  <c r="E234" i="20"/>
  <c r="D235" i="20"/>
  <c r="E235" i="20"/>
  <c r="D236" i="20"/>
  <c r="E236" i="20"/>
  <c r="D237" i="20"/>
  <c r="E237" i="20"/>
  <c r="D238" i="20"/>
  <c r="E238" i="20"/>
  <c r="D239" i="20"/>
  <c r="E239" i="20"/>
  <c r="D240" i="20"/>
  <c r="E240" i="20"/>
  <c r="D241" i="20"/>
  <c r="E241" i="20"/>
  <c r="D242" i="20"/>
  <c r="E242" i="20"/>
  <c r="D243" i="20"/>
  <c r="E243" i="20"/>
  <c r="D244" i="20"/>
  <c r="E244" i="20"/>
  <c r="D245" i="20"/>
  <c r="E245" i="20"/>
  <c r="D246" i="20"/>
  <c r="E246" i="20"/>
  <c r="D247" i="20"/>
  <c r="E247" i="20"/>
  <c r="D248" i="20"/>
  <c r="E248" i="20"/>
  <c r="D249" i="20"/>
  <c r="E249" i="20"/>
  <c r="D250" i="20"/>
  <c r="E250" i="20"/>
  <c r="D251" i="20"/>
  <c r="E251" i="20"/>
  <c r="D252" i="20"/>
  <c r="E252" i="20"/>
  <c r="D253" i="20"/>
  <c r="E253" i="20"/>
  <c r="D254" i="20"/>
  <c r="E254" i="20"/>
  <c r="D255" i="20"/>
  <c r="E255" i="20"/>
  <c r="D256" i="20"/>
  <c r="E256" i="20"/>
  <c r="D257" i="20"/>
  <c r="E257" i="20"/>
  <c r="D258" i="20"/>
  <c r="E258" i="20"/>
  <c r="D259" i="20"/>
  <c r="E259" i="20"/>
  <c r="D260" i="20"/>
  <c r="E260" i="20"/>
  <c r="D261" i="20"/>
  <c r="E261" i="20"/>
  <c r="D262" i="20"/>
  <c r="E262" i="20"/>
  <c r="D263" i="20"/>
  <c r="E263" i="20"/>
  <c r="D264" i="20"/>
  <c r="E264" i="20"/>
  <c r="D265" i="20"/>
  <c r="E265" i="20"/>
  <c r="D266" i="20"/>
  <c r="E266" i="20"/>
  <c r="D267" i="20"/>
  <c r="E267" i="20"/>
  <c r="D268" i="20"/>
  <c r="E268" i="20"/>
  <c r="D269" i="20"/>
  <c r="E269" i="20"/>
  <c r="D270" i="20"/>
  <c r="E270" i="20"/>
  <c r="D271" i="20"/>
  <c r="E271" i="20"/>
  <c r="D272" i="20"/>
  <c r="E272" i="20"/>
  <c r="D273" i="20"/>
  <c r="E273" i="20"/>
  <c r="D274" i="20"/>
  <c r="E274" i="20"/>
  <c r="D275" i="20"/>
  <c r="E275" i="20"/>
  <c r="D276" i="20"/>
  <c r="E276" i="20"/>
  <c r="D277" i="20"/>
  <c r="E277" i="20"/>
  <c r="D278" i="20"/>
  <c r="E278" i="20"/>
  <c r="D279" i="20"/>
  <c r="E279" i="20"/>
  <c r="D280" i="20"/>
  <c r="E280" i="20"/>
  <c r="D281" i="20"/>
  <c r="E281" i="20"/>
  <c r="D282" i="20"/>
  <c r="E282" i="20"/>
  <c r="D283" i="20"/>
  <c r="E283" i="20"/>
  <c r="D284" i="20"/>
  <c r="E284" i="20"/>
  <c r="D285" i="20"/>
  <c r="E285" i="20"/>
  <c r="D286" i="20"/>
  <c r="E286" i="20"/>
  <c r="D287" i="20"/>
  <c r="E287" i="20"/>
  <c r="D288" i="20"/>
  <c r="E288" i="20"/>
  <c r="D289" i="20"/>
  <c r="E289" i="20"/>
  <c r="D290" i="20"/>
  <c r="E290" i="20"/>
  <c r="D291" i="20"/>
  <c r="E291" i="20"/>
  <c r="D292" i="20"/>
  <c r="E292" i="20"/>
  <c r="D293" i="20"/>
  <c r="E293" i="20"/>
  <c r="D294" i="20"/>
  <c r="E294" i="20"/>
  <c r="D295" i="20"/>
  <c r="E295" i="20"/>
  <c r="D296" i="20"/>
  <c r="E296" i="20"/>
  <c r="D297" i="20"/>
  <c r="E297" i="20"/>
  <c r="D298" i="20"/>
  <c r="E298" i="20"/>
  <c r="D299" i="20"/>
  <c r="E299" i="20"/>
  <c r="D300" i="20"/>
  <c r="E300" i="20"/>
  <c r="D301" i="20"/>
  <c r="E301" i="20"/>
  <c r="D302" i="20"/>
  <c r="E302" i="20"/>
  <c r="D303" i="20"/>
  <c r="E303" i="20"/>
  <c r="D304" i="20"/>
  <c r="E304" i="20"/>
  <c r="D305" i="20"/>
  <c r="E305" i="20"/>
  <c r="E11" i="20"/>
  <c r="D11" i="20"/>
  <c r="N187" i="8"/>
  <c r="N32" i="1" l="1"/>
  <c r="L32" i="1"/>
  <c r="F36" i="14" l="1"/>
  <c r="F37" i="14" s="1"/>
  <c r="F38" i="14" s="1"/>
  <c r="F32" i="14"/>
  <c r="F33" i="14" s="1"/>
  <c r="F34" i="14" s="1"/>
  <c r="B212" i="8" l="1"/>
  <c r="J226" i="8"/>
  <c r="J230" i="8" s="1"/>
  <c r="H226" i="8"/>
  <c r="H230" i="8" s="1"/>
  <c r="B210" i="8"/>
  <c r="L83" i="8" l="1"/>
  <c r="B17" i="6" l="1"/>
  <c r="N403" i="8"/>
  <c r="L403" i="8"/>
  <c r="N293" i="8" l="1"/>
  <c r="L293" i="8"/>
  <c r="N262" i="8"/>
  <c r="L262" i="8"/>
  <c r="N248" i="8"/>
  <c r="L248" i="8"/>
  <c r="N97" i="8"/>
  <c r="L97" i="8"/>
  <c r="N91" i="8"/>
  <c r="L91" i="8"/>
  <c r="B533" i="8" l="1"/>
  <c r="B518" i="8"/>
  <c r="B506" i="8"/>
  <c r="B489" i="8"/>
  <c r="B470" i="8"/>
  <c r="B458" i="8"/>
  <c r="B50" i="1" l="1"/>
  <c r="B321" i="8" l="1"/>
  <c r="B38" i="7" l="1"/>
  <c r="B30" i="7"/>
  <c r="B28" i="7"/>
  <c r="B20" i="7"/>
  <c r="B64" i="14" l="1"/>
  <c r="B63" i="14"/>
  <c r="D63" i="14" s="1"/>
  <c r="B62" i="14"/>
  <c r="C62" i="14" s="1"/>
  <c r="B61" i="14"/>
  <c r="I61" i="14" s="1"/>
  <c r="J61" i="14" s="1"/>
  <c r="B60" i="14"/>
  <c r="E60" i="14" s="1"/>
  <c r="B59" i="14"/>
  <c r="D59" i="14" s="1"/>
  <c r="B58" i="14"/>
  <c r="C58" i="14" s="1"/>
  <c r="B57" i="14"/>
  <c r="I57" i="14" s="1"/>
  <c r="J57" i="14" s="1"/>
  <c r="B56" i="14"/>
  <c r="E56" i="14" s="1"/>
  <c r="B55" i="14"/>
  <c r="D55" i="14" s="1"/>
  <c r="B54" i="14"/>
  <c r="C54" i="14" s="1"/>
  <c r="B53" i="14"/>
  <c r="I53" i="14" s="1"/>
  <c r="J53" i="14" s="1"/>
  <c r="B52" i="14"/>
  <c r="E52" i="14" s="1"/>
  <c r="B51" i="14"/>
  <c r="D51" i="14" s="1"/>
  <c r="B50" i="14"/>
  <c r="C50" i="14" s="1"/>
  <c r="B49" i="14"/>
  <c r="I49" i="14" s="1"/>
  <c r="J49" i="14" s="1"/>
  <c r="B48" i="14"/>
  <c r="E48" i="14" s="1"/>
  <c r="B47" i="14"/>
  <c r="D47" i="14" s="1"/>
  <c r="B46" i="14"/>
  <c r="C46" i="14" s="1"/>
  <c r="B45" i="14"/>
  <c r="I45" i="14" s="1"/>
  <c r="J45" i="14" s="1"/>
  <c r="B44" i="14"/>
  <c r="E44" i="14" s="1"/>
  <c r="B43" i="14"/>
  <c r="D43" i="14" s="1"/>
  <c r="B42" i="14"/>
  <c r="C42" i="14" s="1"/>
  <c r="B41" i="14"/>
  <c r="I41" i="14" s="1"/>
  <c r="J41" i="14" s="1"/>
  <c r="B40" i="14"/>
  <c r="E40" i="14" s="1"/>
  <c r="B39" i="14"/>
  <c r="D39" i="14" s="1"/>
  <c r="B38" i="14"/>
  <c r="C38" i="14" s="1"/>
  <c r="B37" i="14"/>
  <c r="I37" i="14" s="1"/>
  <c r="J37" i="14" s="1"/>
  <c r="B36" i="14"/>
  <c r="D36" i="14" s="1"/>
  <c r="B35" i="14"/>
  <c r="E35" i="14" s="1"/>
  <c r="B34" i="14"/>
  <c r="D34" i="14" s="1"/>
  <c r="B33" i="14"/>
  <c r="I33" i="14" s="1"/>
  <c r="J33" i="14" s="1"/>
  <c r="B32" i="14"/>
  <c r="C32" i="14" s="1"/>
  <c r="B31" i="14"/>
  <c r="E31" i="14" s="1"/>
  <c r="B30" i="14"/>
  <c r="D30" i="14" s="1"/>
  <c r="B29" i="14"/>
  <c r="I29" i="14" s="1"/>
  <c r="J29" i="14" s="1"/>
  <c r="B28" i="14"/>
  <c r="I28" i="14" s="1"/>
  <c r="J28" i="14" s="1"/>
  <c r="A29" i="14"/>
  <c r="A30" i="14"/>
  <c r="A31" i="14"/>
  <c r="A33" i="14"/>
  <c r="A34" i="14"/>
  <c r="A35" i="14"/>
  <c r="A37" i="14"/>
  <c r="A38" i="14"/>
  <c r="A39" i="14"/>
  <c r="A41" i="14"/>
  <c r="A42" i="14"/>
  <c r="A43" i="14"/>
  <c r="A45" i="14"/>
  <c r="A46" i="14"/>
  <c r="A47" i="14"/>
  <c r="A49" i="14"/>
  <c r="A50" i="14"/>
  <c r="A51" i="14"/>
  <c r="A53" i="14"/>
  <c r="A54" i="14"/>
  <c r="A55" i="14"/>
  <c r="A57" i="14"/>
  <c r="A58" i="14"/>
  <c r="A59" i="14"/>
  <c r="A61" i="14"/>
  <c r="A62" i="14"/>
  <c r="A63" i="14"/>
  <c r="A64" i="14"/>
  <c r="A65" i="14"/>
  <c r="C30" i="14" l="1"/>
  <c r="G30" i="14" s="1"/>
  <c r="C34" i="14"/>
  <c r="G34" i="14" s="1"/>
  <c r="C39" i="14"/>
  <c r="C43" i="14"/>
  <c r="C47" i="14"/>
  <c r="C51" i="14"/>
  <c r="C55" i="14"/>
  <c r="C59" i="14"/>
  <c r="C63" i="14"/>
  <c r="D31" i="14"/>
  <c r="D35" i="14"/>
  <c r="D40" i="14"/>
  <c r="D44" i="14"/>
  <c r="D48" i="14"/>
  <c r="D52" i="14"/>
  <c r="D56" i="14"/>
  <c r="D60" i="14"/>
  <c r="D28" i="14"/>
  <c r="E32" i="14"/>
  <c r="E37" i="14"/>
  <c r="E41" i="14"/>
  <c r="E45" i="14"/>
  <c r="E49" i="14"/>
  <c r="E53" i="14"/>
  <c r="E57" i="14"/>
  <c r="E61" i="14"/>
  <c r="E28" i="14"/>
  <c r="I60" i="14"/>
  <c r="J60" i="14" s="1"/>
  <c r="I56" i="14"/>
  <c r="J56" i="14" s="1"/>
  <c r="I52" i="14"/>
  <c r="J52" i="14" s="1"/>
  <c r="I48" i="14"/>
  <c r="J48" i="14" s="1"/>
  <c r="I44" i="14"/>
  <c r="J44" i="14" s="1"/>
  <c r="I40" i="14"/>
  <c r="J40" i="14" s="1"/>
  <c r="I36" i="14"/>
  <c r="I32" i="14"/>
  <c r="J32" i="14" s="1"/>
  <c r="C31" i="14"/>
  <c r="C35" i="14"/>
  <c r="C40" i="14"/>
  <c r="C44" i="14"/>
  <c r="C48" i="14"/>
  <c r="C52" i="14"/>
  <c r="C56" i="14"/>
  <c r="C60" i="14"/>
  <c r="C28" i="14"/>
  <c r="D32" i="14"/>
  <c r="G32" i="14" s="1"/>
  <c r="D37" i="14"/>
  <c r="D41" i="14"/>
  <c r="D45" i="14"/>
  <c r="D49" i="14"/>
  <c r="D53" i="14"/>
  <c r="D57" i="14"/>
  <c r="D61" i="14"/>
  <c r="E29" i="14"/>
  <c r="E33" i="14"/>
  <c r="E38" i="14"/>
  <c r="E42" i="14"/>
  <c r="E46" i="14"/>
  <c r="E50" i="14"/>
  <c r="E54" i="14"/>
  <c r="E58" i="14"/>
  <c r="E62" i="14"/>
  <c r="I63" i="14"/>
  <c r="J63" i="14" s="1"/>
  <c r="I59" i="14"/>
  <c r="J59" i="14" s="1"/>
  <c r="I55" i="14"/>
  <c r="J55" i="14" s="1"/>
  <c r="I51" i="14"/>
  <c r="J51" i="14" s="1"/>
  <c r="I47" i="14"/>
  <c r="J47" i="14" s="1"/>
  <c r="I43" i="14"/>
  <c r="J43" i="14" s="1"/>
  <c r="I39" i="14"/>
  <c r="J39" i="14" s="1"/>
  <c r="I35" i="14"/>
  <c r="J35" i="14" s="1"/>
  <c r="I31" i="14"/>
  <c r="J31" i="14" s="1"/>
  <c r="C37" i="14"/>
  <c r="C41" i="14"/>
  <c r="C45" i="14"/>
  <c r="C49" i="14"/>
  <c r="C53" i="14"/>
  <c r="C57" i="14"/>
  <c r="C61" i="14"/>
  <c r="D29" i="14"/>
  <c r="D33" i="14"/>
  <c r="D38" i="14"/>
  <c r="D42" i="14"/>
  <c r="D46" i="14"/>
  <c r="D50" i="14"/>
  <c r="D54" i="14"/>
  <c r="D58" i="14"/>
  <c r="D62" i="14"/>
  <c r="E30" i="14"/>
  <c r="E34" i="14"/>
  <c r="E39" i="14"/>
  <c r="E43" i="14"/>
  <c r="E47" i="14"/>
  <c r="E51" i="14"/>
  <c r="E55" i="14"/>
  <c r="E59" i="14"/>
  <c r="E63" i="14"/>
  <c r="I62" i="14"/>
  <c r="J62" i="14" s="1"/>
  <c r="I58" i="14"/>
  <c r="J58" i="14" s="1"/>
  <c r="I54" i="14"/>
  <c r="J54" i="14" s="1"/>
  <c r="I50" i="14"/>
  <c r="J50" i="14" s="1"/>
  <c r="I46" i="14"/>
  <c r="J46" i="14" s="1"/>
  <c r="I42" i="14"/>
  <c r="J42" i="14" s="1"/>
  <c r="I38" i="14"/>
  <c r="J38" i="14" s="1"/>
  <c r="I34" i="14"/>
  <c r="J34" i="14" s="1"/>
  <c r="I30" i="14"/>
  <c r="J30" i="14" s="1"/>
  <c r="C29" i="14"/>
  <c r="C33" i="14"/>
  <c r="C36" i="14"/>
  <c r="G36" i="14" s="1"/>
  <c r="G33" i="14" l="1"/>
  <c r="G29" i="14"/>
  <c r="G28" i="14"/>
  <c r="Q32" i="17"/>
  <c r="Q33" i="17"/>
  <c r="Q34" i="17"/>
  <c r="Q35" i="17"/>
  <c r="J35" i="17"/>
  <c r="O9" i="17"/>
  <c r="O10" i="17" s="1"/>
  <c r="O11" i="17" s="1"/>
  <c r="O12" i="17" s="1"/>
  <c r="O13" i="17" s="1"/>
  <c r="J8" i="17"/>
  <c r="J9" i="17" s="1"/>
  <c r="J10" i="17" s="1"/>
  <c r="J11" i="17" s="1"/>
  <c r="J12" i="17" s="1"/>
  <c r="J13" i="17" s="1"/>
  <c r="G133" i="20"/>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Q31" i="17" l="1"/>
  <c r="K37" i="17"/>
  <c r="N168" i="8"/>
  <c r="L168" i="8"/>
  <c r="B163" i="8"/>
  <c r="R26" i="17" l="1"/>
  <c r="R27" i="17" s="1"/>
  <c r="R28" i="17" s="1"/>
  <c r="R29" i="17" s="1"/>
  <c r="R30" i="17" s="1"/>
  <c r="R31" i="17" s="1"/>
  <c r="R32" i="17" s="1"/>
  <c r="R33" i="17" s="1"/>
  <c r="R34" i="17" s="1"/>
  <c r="F40" i="17" s="1"/>
  <c r="L28" i="8" l="1"/>
  <c r="L589" i="8"/>
  <c r="N589" i="8"/>
  <c r="N575" i="8"/>
  <c r="L575" i="8"/>
  <c r="B566" i="8"/>
  <c r="F59" i="13" l="1"/>
  <c r="I51" i="13" l="1"/>
  <c r="I46" i="13"/>
  <c r="I41" i="13"/>
  <c r="I36" i="13"/>
  <c r="I31" i="13"/>
  <c r="I26" i="13"/>
  <c r="I21" i="13"/>
  <c r="G52" i="13"/>
  <c r="J52" i="13" s="1"/>
  <c r="G51" i="13"/>
  <c r="G47" i="13"/>
  <c r="J47" i="13" s="1"/>
  <c r="G46" i="13"/>
  <c r="G42" i="13"/>
  <c r="J42" i="13" s="1"/>
  <c r="G41" i="13"/>
  <c r="G37" i="13"/>
  <c r="J37" i="13" s="1"/>
  <c r="G36" i="13"/>
  <c r="G32" i="13"/>
  <c r="J32" i="13" s="1"/>
  <c r="G31" i="13"/>
  <c r="G27" i="13"/>
  <c r="J27" i="13" s="1"/>
  <c r="G26" i="13"/>
  <c r="G22" i="13"/>
  <c r="J22" i="13" s="1"/>
  <c r="G21" i="13"/>
  <c r="G17" i="13"/>
  <c r="J17" i="13" s="1"/>
  <c r="G16" i="13"/>
  <c r="G12" i="13"/>
  <c r="J12" i="13" s="1"/>
  <c r="G11" i="13"/>
  <c r="I52" i="13"/>
  <c r="I47" i="13"/>
  <c r="I42" i="13"/>
  <c r="I37" i="13"/>
  <c r="I32" i="13"/>
  <c r="I27" i="13"/>
  <c r="I12" i="13"/>
  <c r="H66" i="13" l="1"/>
  <c r="F100" i="13"/>
  <c r="F99" i="13"/>
  <c r="F98" i="13"/>
  <c r="F96" i="13"/>
  <c r="F95" i="13"/>
  <c r="F94" i="13"/>
  <c r="F92" i="13"/>
  <c r="F91" i="13"/>
  <c r="F90" i="13"/>
  <c r="F88" i="13"/>
  <c r="F87" i="13"/>
  <c r="F86" i="13"/>
  <c r="F84" i="13"/>
  <c r="F83" i="13"/>
  <c r="F82" i="13"/>
  <c r="F80" i="13"/>
  <c r="F79" i="13"/>
  <c r="F78" i="13"/>
  <c r="F76" i="13"/>
  <c r="F75" i="13"/>
  <c r="F74" i="13"/>
  <c r="F72" i="13"/>
  <c r="F71" i="13"/>
  <c r="F70" i="13"/>
  <c r="F68" i="13"/>
  <c r="F67" i="13"/>
  <c r="F66" i="13"/>
  <c r="G99" i="13" l="1"/>
  <c r="H99" i="13"/>
  <c r="G100" i="13"/>
  <c r="H100" i="13"/>
  <c r="G95" i="13"/>
  <c r="H95" i="13"/>
  <c r="G96" i="13"/>
  <c r="H96" i="13"/>
  <c r="G91" i="13"/>
  <c r="H91" i="13"/>
  <c r="G92" i="13"/>
  <c r="H92" i="13"/>
  <c r="G87" i="13"/>
  <c r="H87" i="13"/>
  <c r="G88" i="13"/>
  <c r="H88" i="13"/>
  <c r="G83" i="13"/>
  <c r="H83" i="13"/>
  <c r="G84" i="13"/>
  <c r="H84" i="13"/>
  <c r="G79" i="13"/>
  <c r="H79" i="13"/>
  <c r="G80" i="13"/>
  <c r="H80" i="13"/>
  <c r="G75" i="13"/>
  <c r="H75" i="13"/>
  <c r="G76" i="13"/>
  <c r="H76" i="13"/>
  <c r="G71" i="13"/>
  <c r="H71" i="13"/>
  <c r="G72" i="13"/>
  <c r="H72" i="13"/>
  <c r="G67" i="13"/>
  <c r="H67" i="13"/>
  <c r="G68" i="13"/>
  <c r="H68" i="13"/>
  <c r="H98" i="13"/>
  <c r="G98" i="13"/>
  <c r="H94" i="13"/>
  <c r="G94" i="13"/>
  <c r="H90" i="13"/>
  <c r="G90" i="13"/>
  <c r="H86" i="13"/>
  <c r="G86" i="13"/>
  <c r="H82" i="13"/>
  <c r="G82" i="13"/>
  <c r="G66" i="13"/>
  <c r="H78" i="13"/>
  <c r="G78" i="13"/>
  <c r="H74" i="13"/>
  <c r="G74" i="13"/>
  <c r="H70" i="13"/>
  <c r="G70" i="13"/>
  <c r="J51" i="13" l="1"/>
  <c r="J46" i="13"/>
  <c r="J41" i="13"/>
  <c r="J36" i="13"/>
  <c r="J31" i="13"/>
  <c r="I11" i="13"/>
  <c r="I50" i="13"/>
  <c r="J98" i="13" s="1"/>
  <c r="J99" i="13" s="1"/>
  <c r="B50" i="13"/>
  <c r="B98" i="13" s="1"/>
  <c r="A60" i="14" s="1"/>
  <c r="I45" i="13"/>
  <c r="J94" i="13" s="1"/>
  <c r="B45" i="13"/>
  <c r="B94" i="13" s="1"/>
  <c r="A56" i="14" s="1"/>
  <c r="I40" i="13"/>
  <c r="J90" i="13" s="1"/>
  <c r="J91" i="13" s="1"/>
  <c r="I35" i="13"/>
  <c r="J86" i="13" s="1"/>
  <c r="J87" i="13" s="1"/>
  <c r="B35" i="13"/>
  <c r="B86" i="13" s="1"/>
  <c r="A48" i="14" s="1"/>
  <c r="I30" i="13"/>
  <c r="J82" i="13" s="1"/>
  <c r="J83" i="13" s="1"/>
  <c r="J84" i="13" s="1"/>
  <c r="K84" i="13" s="1"/>
  <c r="I25" i="13"/>
  <c r="J78" i="13" s="1"/>
  <c r="J79" i="13" s="1"/>
  <c r="I20" i="13"/>
  <c r="J74" i="13" s="1"/>
  <c r="J75" i="13" s="1"/>
  <c r="I15" i="13"/>
  <c r="J70" i="13" s="1"/>
  <c r="J71" i="13" s="1"/>
  <c r="I10" i="13"/>
  <c r="J66" i="13" s="1"/>
  <c r="I16" i="13"/>
  <c r="D50" i="13"/>
  <c r="H50" i="13" s="1"/>
  <c r="D45" i="13"/>
  <c r="H45" i="13" s="1"/>
  <c r="D40" i="13"/>
  <c r="H40" i="13" s="1"/>
  <c r="D35" i="13"/>
  <c r="H35" i="13" s="1"/>
  <c r="D30" i="13"/>
  <c r="H30" i="13" s="1"/>
  <c r="D25" i="13"/>
  <c r="H25" i="13" s="1"/>
  <c r="D20" i="13"/>
  <c r="H20" i="13" s="1"/>
  <c r="D15" i="13"/>
  <c r="H15" i="13" s="1"/>
  <c r="D10" i="13"/>
  <c r="H10" i="13" s="1"/>
  <c r="B16" i="5"/>
  <c r="B8" i="5"/>
  <c r="B40" i="13"/>
  <c r="B90" i="13" s="1"/>
  <c r="A52" i="14" s="1"/>
  <c r="B30" i="13"/>
  <c r="B82" i="13" s="1"/>
  <c r="A44" i="14" s="1"/>
  <c r="B25" i="13"/>
  <c r="B78" i="13" s="1"/>
  <c r="A40" i="14" s="1"/>
  <c r="B20" i="13"/>
  <c r="B74" i="13" s="1"/>
  <c r="A36" i="14" s="1"/>
  <c r="B15" i="13"/>
  <c r="B70" i="13" s="1"/>
  <c r="A32" i="14" s="1"/>
  <c r="B10" i="13"/>
  <c r="B66" i="13" s="1"/>
  <c r="A28" i="14" s="1"/>
  <c r="R84" i="13" l="1"/>
  <c r="M84" i="13"/>
  <c r="O84" i="13" s="1"/>
  <c r="Q84" i="13" s="1"/>
  <c r="L84" i="13"/>
  <c r="K83" i="13"/>
  <c r="L83" i="13" s="1"/>
  <c r="J80" i="13"/>
  <c r="K80" i="13" s="1"/>
  <c r="K79" i="13"/>
  <c r="K99" i="13"/>
  <c r="J100" i="13"/>
  <c r="K100" i="13" s="1"/>
  <c r="J67" i="13"/>
  <c r="K66" i="13"/>
  <c r="K98" i="13"/>
  <c r="K86" i="13"/>
  <c r="J88" i="13"/>
  <c r="K88" i="13" s="1"/>
  <c r="K87" i="13"/>
  <c r="I22" i="13"/>
  <c r="J72" i="13"/>
  <c r="K72" i="13" s="1"/>
  <c r="K71" i="13"/>
  <c r="J95" i="13"/>
  <c r="K94" i="13"/>
  <c r="K82" i="13"/>
  <c r="K70" i="13"/>
  <c r="K78" i="13"/>
  <c r="K75" i="13"/>
  <c r="J76" i="13"/>
  <c r="K76" i="13" s="1"/>
  <c r="J92" i="13"/>
  <c r="K92" i="13" s="1"/>
  <c r="K91" i="13"/>
  <c r="K90" i="13"/>
  <c r="N84" i="13" l="1"/>
  <c r="R91" i="13"/>
  <c r="M91" i="13"/>
  <c r="O91" i="13" s="1"/>
  <c r="Q91" i="13" s="1"/>
  <c r="R99" i="13"/>
  <c r="M99" i="13"/>
  <c r="O99" i="13" s="1"/>
  <c r="Q99" i="13" s="1"/>
  <c r="R92" i="13"/>
  <c r="M92" i="13"/>
  <c r="O92" i="13" s="1"/>
  <c r="Q92" i="13" s="1"/>
  <c r="R70" i="13"/>
  <c r="M70" i="13"/>
  <c r="R71" i="13"/>
  <c r="M71" i="13"/>
  <c r="O71" i="13" s="1"/>
  <c r="Q71" i="13" s="1"/>
  <c r="R88" i="13"/>
  <c r="M88" i="13"/>
  <c r="O88" i="13" s="1"/>
  <c r="Q88" i="13" s="1"/>
  <c r="R66" i="13"/>
  <c r="M66" i="13"/>
  <c r="O66" i="13" s="1"/>
  <c r="R79" i="13"/>
  <c r="M79" i="13"/>
  <c r="O79" i="13" s="1"/>
  <c r="Q79" i="13" s="1"/>
  <c r="R78" i="13"/>
  <c r="M78" i="13"/>
  <c r="O78" i="13" s="1"/>
  <c r="R87" i="13"/>
  <c r="M87" i="13"/>
  <c r="O87" i="13" s="1"/>
  <c r="Q87" i="13" s="1"/>
  <c r="R76" i="13"/>
  <c r="M76" i="13"/>
  <c r="O76" i="13" s="1"/>
  <c r="Q76" i="13" s="1"/>
  <c r="R72" i="13"/>
  <c r="M72" i="13"/>
  <c r="O72" i="13" s="1"/>
  <c r="Q72" i="13" s="1"/>
  <c r="R86" i="13"/>
  <c r="M86" i="13"/>
  <c r="O86" i="13" s="1"/>
  <c r="R80" i="13"/>
  <c r="M80" i="13"/>
  <c r="O80" i="13" s="1"/>
  <c r="Q80" i="13" s="1"/>
  <c r="R82" i="13"/>
  <c r="M82" i="13"/>
  <c r="O82" i="13" s="1"/>
  <c r="R90" i="13"/>
  <c r="M90" i="13"/>
  <c r="R75" i="13"/>
  <c r="M75" i="13"/>
  <c r="O75" i="13" s="1"/>
  <c r="Q75" i="13" s="1"/>
  <c r="R94" i="13"/>
  <c r="M94" i="13"/>
  <c r="O94" i="13" s="1"/>
  <c r="R98" i="13"/>
  <c r="M98" i="13"/>
  <c r="O98" i="13" s="1"/>
  <c r="R100" i="13"/>
  <c r="M100" i="13"/>
  <c r="O100" i="13" s="1"/>
  <c r="Q100" i="13" s="1"/>
  <c r="R83" i="13"/>
  <c r="M83" i="13"/>
  <c r="N83" i="13" s="1"/>
  <c r="K81" i="13"/>
  <c r="K73" i="13"/>
  <c r="K93" i="13"/>
  <c r="K85" i="13"/>
  <c r="K89" i="13"/>
  <c r="K101" i="13"/>
  <c r="L70" i="13"/>
  <c r="L88" i="13"/>
  <c r="L99" i="13"/>
  <c r="L82" i="13"/>
  <c r="L78" i="13"/>
  <c r="K95" i="13"/>
  <c r="J96" i="13"/>
  <c r="K96" i="13" s="1"/>
  <c r="L87" i="13"/>
  <c r="L100" i="13"/>
  <c r="L71" i="13"/>
  <c r="N71" i="13" s="1"/>
  <c r="L72" i="13"/>
  <c r="L86" i="13"/>
  <c r="L66" i="13"/>
  <c r="L79" i="13"/>
  <c r="L94" i="13"/>
  <c r="L98" i="13"/>
  <c r="J68" i="13"/>
  <c r="K68" i="13" s="1"/>
  <c r="K67" i="13"/>
  <c r="L80" i="13"/>
  <c r="L76" i="13"/>
  <c r="L75" i="13"/>
  <c r="L91" i="13"/>
  <c r="L90" i="13"/>
  <c r="L92" i="13"/>
  <c r="N704" i="8"/>
  <c r="L704" i="8"/>
  <c r="J704" i="8"/>
  <c r="H704" i="8"/>
  <c r="N550" i="8"/>
  <c r="L550" i="8"/>
  <c r="N544" i="8"/>
  <c r="L544" i="8"/>
  <c r="B538" i="8"/>
  <c r="N91" i="13" l="1"/>
  <c r="N92" i="13"/>
  <c r="M93" i="13"/>
  <c r="N76" i="13"/>
  <c r="N80" i="13"/>
  <c r="R73" i="13"/>
  <c r="J18" i="13" s="1"/>
  <c r="N75" i="13"/>
  <c r="N66" i="13"/>
  <c r="N79" i="13"/>
  <c r="N88" i="13"/>
  <c r="N86" i="13"/>
  <c r="N98" i="13"/>
  <c r="N72" i="13"/>
  <c r="N78" i="13"/>
  <c r="N100" i="13"/>
  <c r="R89" i="13"/>
  <c r="J38" i="13" s="1"/>
  <c r="N87" i="13"/>
  <c r="N94" i="13"/>
  <c r="N99" i="13"/>
  <c r="O83" i="13"/>
  <c r="Q83" i="13" s="1"/>
  <c r="R101" i="13"/>
  <c r="J53" i="13" s="1"/>
  <c r="R85" i="13"/>
  <c r="J33" i="13" s="1"/>
  <c r="R81" i="13"/>
  <c r="J28" i="13" s="1"/>
  <c r="R93" i="13"/>
  <c r="J43" i="13" s="1"/>
  <c r="M73" i="13"/>
  <c r="Q94" i="13"/>
  <c r="R67" i="13"/>
  <c r="M67" i="13"/>
  <c r="O67" i="13" s="1"/>
  <c r="Q67" i="13" s="1"/>
  <c r="R68" i="13"/>
  <c r="M68" i="13"/>
  <c r="N70" i="13"/>
  <c r="M89" i="13"/>
  <c r="M81" i="13"/>
  <c r="Q78" i="13"/>
  <c r="Q81" i="13" s="1"/>
  <c r="O81" i="13"/>
  <c r="L85" i="13"/>
  <c r="N82" i="13"/>
  <c r="N85" i="13" s="1"/>
  <c r="Q98" i="13"/>
  <c r="Q101" i="13" s="1"/>
  <c r="O101" i="13"/>
  <c r="Q82" i="13"/>
  <c r="Q66" i="13"/>
  <c r="R95" i="13"/>
  <c r="M95" i="13"/>
  <c r="O95" i="13" s="1"/>
  <c r="O89" i="13"/>
  <c r="Q86" i="13"/>
  <c r="Q89" i="13" s="1"/>
  <c r="N90" i="13"/>
  <c r="R96" i="13"/>
  <c r="M96" i="13"/>
  <c r="O96" i="13" s="1"/>
  <c r="Q96" i="13" s="1"/>
  <c r="M101" i="13"/>
  <c r="O90" i="13"/>
  <c r="M85" i="13"/>
  <c r="O70" i="13"/>
  <c r="L89" i="13"/>
  <c r="L101" i="13"/>
  <c r="N552" i="8"/>
  <c r="L552" i="8"/>
  <c r="L529" i="8" s="1"/>
  <c r="L81" i="13"/>
  <c r="L73" i="13"/>
  <c r="K69" i="13"/>
  <c r="L93" i="13"/>
  <c r="K97" i="13"/>
  <c r="L67" i="13"/>
  <c r="L68" i="13"/>
  <c r="L96" i="13"/>
  <c r="L95" i="13"/>
  <c r="N93" i="13" l="1"/>
  <c r="T58" i="7" s="1"/>
  <c r="N81" i="13"/>
  <c r="N89" i="13"/>
  <c r="R58" i="7" s="1"/>
  <c r="N73" i="13"/>
  <c r="J58" i="7" s="1"/>
  <c r="O85" i="13"/>
  <c r="G33" i="13" s="1"/>
  <c r="N101" i="13"/>
  <c r="X58" i="7" s="1"/>
  <c r="N67" i="13"/>
  <c r="N95" i="13"/>
  <c r="Q85" i="13"/>
  <c r="N96" i="13"/>
  <c r="R97" i="13"/>
  <c r="J48" i="13" s="1"/>
  <c r="Q95" i="13"/>
  <c r="Q97" i="13" s="1"/>
  <c r="O97" i="13"/>
  <c r="Q70" i="13"/>
  <c r="Q73" i="13" s="1"/>
  <c r="O73" i="13"/>
  <c r="G18" i="13" s="1"/>
  <c r="O93" i="13"/>
  <c r="G43" i="13" s="1"/>
  <c r="Q90" i="13"/>
  <c r="Q93" i="13" s="1"/>
  <c r="O68" i="13"/>
  <c r="Q68" i="13" s="1"/>
  <c r="Q69" i="13" s="1"/>
  <c r="R69" i="13"/>
  <c r="J13" i="13" s="1"/>
  <c r="M69" i="13"/>
  <c r="M97" i="13"/>
  <c r="N68" i="13"/>
  <c r="L97" i="13"/>
  <c r="P58" i="7"/>
  <c r="G38" i="13"/>
  <c r="G28" i="13"/>
  <c r="N58" i="7"/>
  <c r="L69" i="13"/>
  <c r="G53" i="13"/>
  <c r="N97" i="13" l="1"/>
  <c r="V58" i="7" s="1"/>
  <c r="N69" i="13"/>
  <c r="H58" i="7" s="1"/>
  <c r="O69" i="13"/>
  <c r="G13" i="13" s="1"/>
  <c r="G48" i="13"/>
  <c r="N335" i="8" l="1"/>
  <c r="N51" i="1" s="1"/>
  <c r="L335" i="8"/>
  <c r="L51" i="1" s="1"/>
  <c r="B331" i="8"/>
  <c r="N239" i="8"/>
  <c r="L239" i="8"/>
  <c r="J239" i="8"/>
  <c r="H239" i="8"/>
  <c r="B234" i="8"/>
  <c r="F217" i="8"/>
  <c r="B684" i="8"/>
  <c r="N667" i="8"/>
  <c r="L667" i="8"/>
  <c r="B52" i="8" l="1"/>
  <c r="B51" i="8"/>
  <c r="B50" i="8"/>
  <c r="B49" i="8"/>
  <c r="J47" i="8"/>
  <c r="B43" i="8"/>
  <c r="N35" i="8"/>
  <c r="L35" i="8"/>
  <c r="B33" i="8"/>
  <c r="B32" i="8"/>
  <c r="B31" i="8"/>
  <c r="F20" i="8"/>
  <c r="F19" i="8"/>
  <c r="F18" i="8"/>
  <c r="F17" i="8"/>
  <c r="F16" i="8"/>
  <c r="F15" i="8"/>
  <c r="F14" i="8"/>
  <c r="F13" i="8"/>
  <c r="F12" i="8"/>
  <c r="L8" i="8"/>
  <c r="X22" i="7" l="1"/>
  <c r="X28" i="7" s="1"/>
  <c r="X30" i="7" s="1"/>
  <c r="X32" i="7" s="1"/>
  <c r="X38" i="7" s="1"/>
  <c r="X44" i="7" s="1"/>
  <c r="X50" i="7" s="1"/>
  <c r="X52" i="7" s="1"/>
  <c r="X54" i="7" s="1"/>
  <c r="V22" i="7"/>
  <c r="V28" i="7" s="1"/>
  <c r="V30" i="7" s="1"/>
  <c r="T22" i="7"/>
  <c r="T28" i="7" s="1"/>
  <c r="T30" i="7" s="1"/>
  <c r="T32" i="7" s="1"/>
  <c r="T38" i="7" s="1"/>
  <c r="T44" i="7" s="1"/>
  <c r="T50" i="7" s="1"/>
  <c r="R22" i="7"/>
  <c r="R28" i="7" s="1"/>
  <c r="R30" i="7" s="1"/>
  <c r="R32" i="7" s="1"/>
  <c r="R38" i="7" s="1"/>
  <c r="R44" i="7" s="1"/>
  <c r="R50" i="7" s="1"/>
  <c r="R52" i="7" s="1"/>
  <c r="R54" i="7" s="1"/>
  <c r="P22" i="7"/>
  <c r="P28" i="7" s="1"/>
  <c r="P30" i="7" s="1"/>
  <c r="P32" i="7" s="1"/>
  <c r="P38" i="7" s="1"/>
  <c r="P44" i="7" s="1"/>
  <c r="P50" i="7" s="1"/>
  <c r="N22" i="7"/>
  <c r="N28" i="7" s="1"/>
  <c r="N30" i="7" s="1"/>
  <c r="N32" i="7" s="1"/>
  <c r="N38" i="7" s="1"/>
  <c r="N44" i="7" s="1"/>
  <c r="N50" i="7" s="1"/>
  <c r="N52" i="7" s="1"/>
  <c r="N54" i="7" s="1"/>
  <c r="L22" i="7"/>
  <c r="L28" i="7" s="1"/>
  <c r="L30" i="7" s="1"/>
  <c r="J22" i="7"/>
  <c r="J28" i="7" s="1"/>
  <c r="J30" i="7" s="1"/>
  <c r="H22" i="7"/>
  <c r="H28" i="7" s="1"/>
  <c r="H30" i="7" s="1"/>
  <c r="Z53" i="7"/>
  <c r="Z48" i="7"/>
  <c r="Z46" i="7"/>
  <c r="Z43" i="7"/>
  <c r="Z34" i="7"/>
  <c r="Z31" i="7"/>
  <c r="Z26" i="7"/>
  <c r="Z24" i="7"/>
  <c r="Z21" i="7"/>
  <c r="Z20" i="7"/>
  <c r="J51" i="8" l="1"/>
  <c r="V32" i="7"/>
  <c r="V38" i="7" s="1"/>
  <c r="V44" i="7" s="1"/>
  <c r="V50" i="7" s="1"/>
  <c r="V64" i="7" s="1"/>
  <c r="E45" i="13" s="1"/>
  <c r="G45" i="13" s="1"/>
  <c r="J50" i="8"/>
  <c r="J32" i="7"/>
  <c r="J38" i="7" s="1"/>
  <c r="J44" i="7" s="1"/>
  <c r="J50" i="7" s="1"/>
  <c r="J64" i="7" s="1"/>
  <c r="E15" i="13" s="1"/>
  <c r="G15" i="13" s="1"/>
  <c r="P64" i="7"/>
  <c r="E30" i="13" s="1"/>
  <c r="G30" i="13" s="1"/>
  <c r="P52" i="7"/>
  <c r="P54" i="7" s="1"/>
  <c r="T64" i="7"/>
  <c r="E40" i="13" s="1"/>
  <c r="G40" i="13" s="1"/>
  <c r="T52" i="7"/>
  <c r="T54" i="7" s="1"/>
  <c r="L32" i="7"/>
  <c r="J49" i="8"/>
  <c r="J56" i="8"/>
  <c r="Z30" i="7"/>
  <c r="H32" i="7"/>
  <c r="H38" i="7" s="1"/>
  <c r="H44" i="7" s="1"/>
  <c r="N64" i="7"/>
  <c r="E25" i="13" s="1"/>
  <c r="G25" i="13" s="1"/>
  <c r="X64" i="7"/>
  <c r="E50" i="13" s="1"/>
  <c r="G50" i="13" s="1"/>
  <c r="Z28" i="7"/>
  <c r="R64" i="7"/>
  <c r="E35" i="13" s="1"/>
  <c r="G35" i="13" s="1"/>
  <c r="Z22" i="7"/>
  <c r="V52" i="7" l="1"/>
  <c r="V54" i="7" s="1"/>
  <c r="L36" i="7"/>
  <c r="J52" i="7"/>
  <c r="J54" i="7" s="1"/>
  <c r="J50" i="13"/>
  <c r="K54" i="13" s="1"/>
  <c r="X56" i="7" s="1"/>
  <c r="X60" i="7" s="1"/>
  <c r="X66" i="7" s="1"/>
  <c r="J30" i="13"/>
  <c r="K34" i="13" s="1"/>
  <c r="P56" i="7" s="1"/>
  <c r="P60" i="7" s="1"/>
  <c r="P66" i="7" s="1"/>
  <c r="J45" i="13"/>
  <c r="K49" i="13" s="1"/>
  <c r="V56" i="7" s="1"/>
  <c r="J40" i="13"/>
  <c r="K44" i="13" s="1"/>
  <c r="T56" i="7" s="1"/>
  <c r="T60" i="7" s="1"/>
  <c r="T66" i="7" s="1"/>
  <c r="Z42" i="7"/>
  <c r="H50" i="7"/>
  <c r="Z32" i="7"/>
  <c r="J35" i="13"/>
  <c r="K39" i="13" s="1"/>
  <c r="R56" i="7" s="1"/>
  <c r="R60" i="7" s="1"/>
  <c r="R66" i="7" s="1"/>
  <c r="L51" i="8" l="1"/>
  <c r="N51" i="8" s="1"/>
  <c r="I74" i="13"/>
  <c r="Z36" i="7"/>
  <c r="J52" i="8"/>
  <c r="J54" i="8" s="1"/>
  <c r="L38" i="7"/>
  <c r="L34" i="13"/>
  <c r="V60" i="7"/>
  <c r="V66" i="7" s="1"/>
  <c r="L49" i="13"/>
  <c r="L44" i="13"/>
  <c r="L39" i="13"/>
  <c r="H52" i="7"/>
  <c r="H64" i="7"/>
  <c r="N738" i="8"/>
  <c r="L738" i="8"/>
  <c r="J738" i="8"/>
  <c r="H738" i="8"/>
  <c r="L44" i="7" l="1"/>
  <c r="Z38" i="7"/>
  <c r="E36" i="14"/>
  <c r="H36" i="14" s="1"/>
  <c r="J36" i="14" s="1"/>
  <c r="K74" i="13"/>
  <c r="H54" i="7"/>
  <c r="E10" i="13"/>
  <c r="R738" i="8"/>
  <c r="P738" i="8"/>
  <c r="L74" i="7"/>
  <c r="P74" i="7" s="1"/>
  <c r="L75" i="7"/>
  <c r="P75" i="7" s="1"/>
  <c r="L76" i="7"/>
  <c r="P76" i="7" s="1"/>
  <c r="L77" i="7"/>
  <c r="P77" i="7" s="1"/>
  <c r="L78" i="7"/>
  <c r="P78" i="7" s="1"/>
  <c r="L79" i="7"/>
  <c r="P79" i="7" s="1"/>
  <c r="L80" i="7"/>
  <c r="P80" i="7" s="1"/>
  <c r="L81" i="7"/>
  <c r="P81" i="7" s="1"/>
  <c r="L73" i="7"/>
  <c r="P73" i="7" s="1"/>
  <c r="D81" i="7"/>
  <c r="D80" i="7"/>
  <c r="D79" i="7"/>
  <c r="D78" i="7"/>
  <c r="D77" i="7"/>
  <c r="D76" i="7"/>
  <c r="D75" i="7"/>
  <c r="D74" i="7"/>
  <c r="D73" i="7"/>
  <c r="R74" i="13" l="1"/>
  <c r="R77" i="13" s="1"/>
  <c r="R103" i="13" s="1"/>
  <c r="M74" i="13"/>
  <c r="M77" i="13" s="1"/>
  <c r="M103" i="13" s="1"/>
  <c r="K77" i="13"/>
  <c r="K103" i="13" s="1"/>
  <c r="L74" i="13"/>
  <c r="L50" i="7"/>
  <c r="Z44" i="7"/>
  <c r="G10" i="13"/>
  <c r="N647" i="8"/>
  <c r="L647" i="8"/>
  <c r="N634" i="8"/>
  <c r="L634" i="8"/>
  <c r="N74" i="13" l="1"/>
  <c r="N77" i="13" s="1"/>
  <c r="N103" i="13" s="1"/>
  <c r="O74" i="13"/>
  <c r="Q74" i="13" s="1"/>
  <c r="L77" i="13"/>
  <c r="L103" i="13" s="1"/>
  <c r="J23" i="13"/>
  <c r="L52" i="7"/>
  <c r="L64" i="7"/>
  <c r="Z50" i="7"/>
  <c r="N649" i="8"/>
  <c r="L649" i="8"/>
  <c r="B24" i="6"/>
  <c r="O77" i="13" l="1"/>
  <c r="O103" i="13" s="1"/>
  <c r="Q77" i="13"/>
  <c r="Q103" i="13" s="1"/>
  <c r="L58" i="7"/>
  <c r="Z58" i="7" s="1"/>
  <c r="E20" i="13"/>
  <c r="Z64" i="7"/>
  <c r="L54" i="7"/>
  <c r="Z54" i="7" s="1"/>
  <c r="Z52" i="7"/>
  <c r="L56" i="8"/>
  <c r="N56" i="8" s="1"/>
  <c r="B22" i="5"/>
  <c r="G23" i="13" l="1"/>
  <c r="G20" i="13"/>
  <c r="E59" i="13"/>
  <c r="H12" i="20"/>
  <c r="I12" i="20"/>
  <c r="H13" i="20"/>
  <c r="I13" i="20"/>
  <c r="H14" i="20"/>
  <c r="I14" i="20"/>
  <c r="H15" i="20"/>
  <c r="I15" i="20"/>
  <c r="H17" i="20"/>
  <c r="I17" i="20"/>
  <c r="H18" i="20"/>
  <c r="I18" i="20"/>
  <c r="H20" i="20"/>
  <c r="I20"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6" i="20"/>
  <c r="I56" i="20"/>
  <c r="H57" i="20"/>
  <c r="I57" i="20"/>
  <c r="H58" i="20"/>
  <c r="I58" i="20"/>
  <c r="H59" i="20"/>
  <c r="I59" i="20"/>
  <c r="H60" i="20"/>
  <c r="I60" i="20"/>
  <c r="H61" i="20"/>
  <c r="I61" i="20"/>
  <c r="H62" i="20"/>
  <c r="I62" i="20"/>
  <c r="H63" i="20"/>
  <c r="I63" i="20"/>
  <c r="H64" i="20"/>
  <c r="I64" i="20"/>
  <c r="H65" i="20"/>
  <c r="I65" i="20"/>
  <c r="H67" i="20"/>
  <c r="I67" i="20"/>
  <c r="H68" i="20"/>
  <c r="I68" i="20"/>
  <c r="H69" i="20"/>
  <c r="I69" i="20"/>
  <c r="H70" i="20"/>
  <c r="I70" i="20"/>
  <c r="H71" i="20"/>
  <c r="I71" i="20"/>
  <c r="H72" i="20"/>
  <c r="I72" i="20"/>
  <c r="H73" i="20"/>
  <c r="I73" i="20"/>
  <c r="H74" i="20"/>
  <c r="I74" i="20"/>
  <c r="H76" i="20"/>
  <c r="I76"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5" i="20"/>
  <c r="I95" i="20"/>
  <c r="H97" i="20"/>
  <c r="I97" i="20"/>
  <c r="H98" i="20"/>
  <c r="I98" i="20"/>
  <c r="H100" i="20"/>
  <c r="I100" i="20"/>
  <c r="H101" i="20"/>
  <c r="I101" i="20"/>
  <c r="H102" i="20"/>
  <c r="I102" i="20"/>
  <c r="H103" i="20"/>
  <c r="I103" i="20"/>
  <c r="H104" i="20"/>
  <c r="I104" i="20"/>
  <c r="H105" i="20"/>
  <c r="I105" i="20"/>
  <c r="H106" i="20"/>
  <c r="I106" i="20"/>
  <c r="H107" i="20"/>
  <c r="I107" i="20"/>
  <c r="H108" i="20"/>
  <c r="I108" i="20"/>
  <c r="H109" i="20"/>
  <c r="I109" i="20"/>
  <c r="H111" i="20"/>
  <c r="I111" i="20"/>
  <c r="H112" i="20"/>
  <c r="I112"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60" i="20"/>
  <c r="I160" i="20"/>
  <c r="H161" i="20"/>
  <c r="I161" i="20"/>
  <c r="H163" i="20"/>
  <c r="I163" i="20"/>
  <c r="H164" i="20"/>
  <c r="I164" i="20"/>
  <c r="H165" i="20"/>
  <c r="I165" i="20"/>
  <c r="H166" i="20"/>
  <c r="I166" i="20"/>
  <c r="H167" i="20"/>
  <c r="I167" i="20"/>
  <c r="H168" i="20"/>
  <c r="I168" i="20"/>
  <c r="H169" i="20"/>
  <c r="I169" i="20"/>
  <c r="H170" i="20"/>
  <c r="I170" i="20"/>
  <c r="H172" i="20"/>
  <c r="I172"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H205" i="20"/>
  <c r="I205" i="20"/>
  <c r="H206" i="20"/>
  <c r="I206" i="20"/>
  <c r="H207" i="20"/>
  <c r="I207" i="20"/>
  <c r="H208" i="20"/>
  <c r="I208" i="20"/>
  <c r="H209" i="20"/>
  <c r="I209" i="20"/>
  <c r="H210" i="20"/>
  <c r="I210" i="20"/>
  <c r="H211" i="20"/>
  <c r="I211" i="20"/>
  <c r="H212" i="20"/>
  <c r="I212" i="20"/>
  <c r="H213" i="20"/>
  <c r="I213" i="20"/>
  <c r="H214" i="20"/>
  <c r="I214" i="20"/>
  <c r="H215" i="20"/>
  <c r="I215" i="20"/>
  <c r="H216" i="20"/>
  <c r="I216" i="20"/>
  <c r="H217" i="20"/>
  <c r="I217" i="20"/>
  <c r="H218" i="20"/>
  <c r="I218" i="20"/>
  <c r="H219" i="20"/>
  <c r="I219" i="20"/>
  <c r="H220" i="20"/>
  <c r="I220" i="20"/>
  <c r="H221" i="20"/>
  <c r="I221" i="20"/>
  <c r="H222" i="20"/>
  <c r="I222" i="20"/>
  <c r="H223" i="20"/>
  <c r="I223" i="20"/>
  <c r="H224" i="20"/>
  <c r="I224" i="20"/>
  <c r="H225" i="20"/>
  <c r="I225" i="20"/>
  <c r="H226" i="20"/>
  <c r="I226" i="20"/>
  <c r="H227" i="20"/>
  <c r="I227" i="20"/>
  <c r="H228" i="20"/>
  <c r="I228" i="20"/>
  <c r="H229" i="20"/>
  <c r="I229" i="20"/>
  <c r="H230" i="20"/>
  <c r="I230" i="20"/>
  <c r="H231" i="20"/>
  <c r="I231" i="20"/>
  <c r="H232" i="20"/>
  <c r="I232" i="20"/>
  <c r="H233" i="20"/>
  <c r="I233" i="20"/>
  <c r="H234" i="20"/>
  <c r="I234" i="20"/>
  <c r="H235" i="20"/>
  <c r="I235" i="20"/>
  <c r="H236" i="20"/>
  <c r="I236" i="20"/>
  <c r="H237" i="20"/>
  <c r="I237" i="20"/>
  <c r="H238" i="20"/>
  <c r="I238" i="20"/>
  <c r="H239" i="20"/>
  <c r="I239" i="20"/>
  <c r="H240" i="20"/>
  <c r="I240" i="20"/>
  <c r="H241" i="20"/>
  <c r="I241" i="20"/>
  <c r="H242" i="20"/>
  <c r="I242" i="20"/>
  <c r="H243" i="20"/>
  <c r="I243" i="20"/>
  <c r="H244" i="20"/>
  <c r="I244" i="20"/>
  <c r="H245" i="20"/>
  <c r="I245" i="20"/>
  <c r="H246" i="20"/>
  <c r="I246" i="20"/>
  <c r="H247" i="20"/>
  <c r="I247" i="20"/>
  <c r="H248" i="20"/>
  <c r="I248" i="20"/>
  <c r="H262" i="20"/>
  <c r="I262" i="20"/>
  <c r="H263" i="20"/>
  <c r="I263" i="20"/>
  <c r="H264" i="20"/>
  <c r="I264" i="20"/>
  <c r="H265" i="20"/>
  <c r="I265" i="20"/>
  <c r="H266" i="20"/>
  <c r="I266" i="20"/>
  <c r="H267" i="20"/>
  <c r="I267" i="20"/>
  <c r="H268" i="20"/>
  <c r="I268" i="20"/>
  <c r="H269" i="20"/>
  <c r="I269" i="20"/>
  <c r="H270" i="20"/>
  <c r="I270" i="20"/>
  <c r="H271" i="20"/>
  <c r="I271" i="20"/>
  <c r="H272" i="20"/>
  <c r="I272" i="20"/>
  <c r="H273" i="20"/>
  <c r="I273" i="20"/>
  <c r="H274" i="20"/>
  <c r="I274" i="20"/>
  <c r="H275" i="20"/>
  <c r="I275" i="20"/>
  <c r="H276" i="20"/>
  <c r="I276" i="20"/>
  <c r="H277" i="20"/>
  <c r="I277" i="20"/>
  <c r="H278" i="20"/>
  <c r="I278" i="20"/>
  <c r="H279" i="20"/>
  <c r="I279" i="20"/>
  <c r="H280" i="20"/>
  <c r="I280" i="20"/>
  <c r="H281" i="20"/>
  <c r="I281" i="20"/>
  <c r="H282" i="20"/>
  <c r="I282" i="20"/>
  <c r="H283" i="20"/>
  <c r="I283" i="20"/>
  <c r="H284" i="20"/>
  <c r="I284" i="20"/>
  <c r="H285" i="20"/>
  <c r="I285" i="20"/>
  <c r="H286" i="20"/>
  <c r="I286" i="20"/>
  <c r="H287" i="20"/>
  <c r="I287" i="20"/>
  <c r="H288" i="20"/>
  <c r="I288" i="20"/>
  <c r="H289" i="20"/>
  <c r="I289" i="20"/>
  <c r="H291" i="20"/>
  <c r="I291" i="20"/>
  <c r="H292" i="20"/>
  <c r="I292" i="20"/>
  <c r="H293" i="20"/>
  <c r="I293" i="20"/>
  <c r="H294" i="20"/>
  <c r="I294" i="20"/>
  <c r="H295" i="20"/>
  <c r="I295" i="20"/>
  <c r="H296" i="20"/>
  <c r="I296" i="20"/>
  <c r="H297" i="20"/>
  <c r="I297" i="20"/>
  <c r="H298" i="20"/>
  <c r="I298" i="20"/>
  <c r="H299" i="20"/>
  <c r="I299" i="20"/>
  <c r="H300" i="20"/>
  <c r="I300" i="20"/>
  <c r="H301" i="20"/>
  <c r="I301" i="20"/>
  <c r="H302" i="20"/>
  <c r="I302" i="20"/>
  <c r="H303" i="20"/>
  <c r="I303" i="20"/>
  <c r="H304" i="20"/>
  <c r="I304" i="20"/>
  <c r="I11" i="20"/>
  <c r="H11" i="20"/>
  <c r="F12" i="20"/>
  <c r="G12" i="20"/>
  <c r="F13" i="20"/>
  <c r="G13" i="20"/>
  <c r="F14" i="20"/>
  <c r="G14" i="20"/>
  <c r="F15" i="20"/>
  <c r="G15" i="20"/>
  <c r="F16" i="20"/>
  <c r="G16" i="20"/>
  <c r="F17" i="20"/>
  <c r="G17" i="20"/>
  <c r="F18" i="20"/>
  <c r="G18" i="20"/>
  <c r="F19" i="20"/>
  <c r="G19" i="20"/>
  <c r="F20" i="20"/>
  <c r="G20" i="20"/>
  <c r="F21" i="20"/>
  <c r="G21" i="20"/>
  <c r="F22" i="20"/>
  <c r="G22" i="20"/>
  <c r="F23" i="20"/>
  <c r="G23" i="20"/>
  <c r="F24" i="20"/>
  <c r="G24" i="20"/>
  <c r="F25" i="20"/>
  <c r="G25" i="20"/>
  <c r="F26" i="20"/>
  <c r="G26" i="20"/>
  <c r="F27" i="20"/>
  <c r="G27" i="20"/>
  <c r="F28" i="20"/>
  <c r="G28" i="20"/>
  <c r="F29" i="20"/>
  <c r="G29" i="20"/>
  <c r="F30" i="20"/>
  <c r="G30" i="20"/>
  <c r="F31" i="20"/>
  <c r="G31" i="20"/>
  <c r="F32" i="20"/>
  <c r="G32" i="20"/>
  <c r="F33" i="20"/>
  <c r="G33" i="20"/>
  <c r="F34" i="20"/>
  <c r="G34" i="20"/>
  <c r="F35" i="20"/>
  <c r="G35" i="20"/>
  <c r="F36" i="20"/>
  <c r="G36" i="20"/>
  <c r="F37" i="20"/>
  <c r="G37" i="20"/>
  <c r="F38" i="20"/>
  <c r="G38" i="20"/>
  <c r="F39" i="20"/>
  <c r="G39" i="20"/>
  <c r="F40" i="20"/>
  <c r="G40" i="20"/>
  <c r="F41" i="20"/>
  <c r="G41" i="20"/>
  <c r="F42" i="20"/>
  <c r="G42" i="20"/>
  <c r="F43" i="20"/>
  <c r="G43" i="20"/>
  <c r="F44" i="20"/>
  <c r="G44" i="20"/>
  <c r="F45" i="20"/>
  <c r="G45" i="20"/>
  <c r="F46" i="20"/>
  <c r="G46" i="20"/>
  <c r="F47" i="20"/>
  <c r="G47" i="20"/>
  <c r="F48" i="20"/>
  <c r="G48" i="20"/>
  <c r="F49" i="20"/>
  <c r="G49" i="20"/>
  <c r="F50" i="20"/>
  <c r="G50" i="20"/>
  <c r="F51" i="20"/>
  <c r="G51" i="20"/>
  <c r="F52" i="20"/>
  <c r="G52" i="20"/>
  <c r="F53" i="20"/>
  <c r="G53" i="20"/>
  <c r="F54" i="20"/>
  <c r="G54" i="20"/>
  <c r="F55" i="20"/>
  <c r="G55" i="20"/>
  <c r="F56" i="20"/>
  <c r="G56" i="20"/>
  <c r="F57" i="20"/>
  <c r="G57" i="20"/>
  <c r="F58" i="20"/>
  <c r="G58" i="20"/>
  <c r="F59" i="20"/>
  <c r="G59" i="20"/>
  <c r="F60" i="20"/>
  <c r="G60" i="20"/>
  <c r="F61" i="20"/>
  <c r="G61" i="20"/>
  <c r="F62" i="20"/>
  <c r="G62" i="20"/>
  <c r="F63" i="20"/>
  <c r="G63" i="20"/>
  <c r="F64" i="20"/>
  <c r="G64" i="20"/>
  <c r="F65" i="20"/>
  <c r="G65" i="20"/>
  <c r="F66" i="20"/>
  <c r="G66" i="20"/>
  <c r="F67" i="20"/>
  <c r="G67" i="20"/>
  <c r="F68" i="20"/>
  <c r="G68" i="20"/>
  <c r="F69" i="20"/>
  <c r="G69" i="20"/>
  <c r="F70" i="20"/>
  <c r="G70" i="20"/>
  <c r="F71" i="20"/>
  <c r="G71" i="20"/>
  <c r="F72" i="20"/>
  <c r="G72" i="20"/>
  <c r="F73" i="20"/>
  <c r="G73" i="20"/>
  <c r="F74" i="20"/>
  <c r="G74" i="20"/>
  <c r="F75" i="20"/>
  <c r="G75" i="20"/>
  <c r="F76" i="20"/>
  <c r="G76" i="20"/>
  <c r="F78" i="20"/>
  <c r="G78" i="20"/>
  <c r="F79" i="20"/>
  <c r="G79" i="20"/>
  <c r="F80" i="20"/>
  <c r="G80" i="20"/>
  <c r="F81" i="20"/>
  <c r="G81" i="20"/>
  <c r="F82" i="20"/>
  <c r="G82" i="20"/>
  <c r="F83" i="20"/>
  <c r="G83" i="20"/>
  <c r="F84" i="20"/>
  <c r="G84" i="20"/>
  <c r="F85" i="20"/>
  <c r="G85" i="20"/>
  <c r="F86" i="20"/>
  <c r="G86" i="20"/>
  <c r="F87" i="20"/>
  <c r="G87" i="20"/>
  <c r="F88" i="20"/>
  <c r="G88" i="20"/>
  <c r="F89" i="20"/>
  <c r="G89" i="20"/>
  <c r="F90" i="20"/>
  <c r="G90" i="20"/>
  <c r="F91" i="20"/>
  <c r="G91" i="20"/>
  <c r="F92" i="20"/>
  <c r="G92" i="20"/>
  <c r="F93" i="20"/>
  <c r="G93" i="20"/>
  <c r="F94" i="20"/>
  <c r="G94" i="20"/>
  <c r="F95" i="20"/>
  <c r="G95" i="20"/>
  <c r="F97" i="20"/>
  <c r="G97" i="20"/>
  <c r="F98" i="20"/>
  <c r="G98" i="20"/>
  <c r="F99" i="20"/>
  <c r="G99" i="20"/>
  <c r="F100" i="20"/>
  <c r="G100" i="20"/>
  <c r="F101" i="20"/>
  <c r="G101" i="20"/>
  <c r="F102" i="20"/>
  <c r="G102" i="20"/>
  <c r="F103" i="20"/>
  <c r="G103" i="20"/>
  <c r="F104" i="20"/>
  <c r="G104" i="20"/>
  <c r="F105" i="20"/>
  <c r="G105" i="20"/>
  <c r="F106" i="20"/>
  <c r="G106" i="20"/>
  <c r="F107" i="20"/>
  <c r="G107" i="20"/>
  <c r="F108" i="20"/>
  <c r="G108" i="20"/>
  <c r="F109" i="20"/>
  <c r="G109" i="20"/>
  <c r="F110" i="20"/>
  <c r="G110" i="20"/>
  <c r="F111" i="20"/>
  <c r="G111" i="20"/>
  <c r="F112" i="20"/>
  <c r="G112" i="20"/>
  <c r="F113" i="20"/>
  <c r="G113" i="20"/>
  <c r="F114" i="20"/>
  <c r="G114" i="20"/>
  <c r="F115" i="20"/>
  <c r="G115" i="20"/>
  <c r="F116" i="20"/>
  <c r="G116" i="20"/>
  <c r="F117" i="20"/>
  <c r="G117" i="20"/>
  <c r="F118" i="20"/>
  <c r="G118" i="20"/>
  <c r="F119" i="20"/>
  <c r="G119" i="20"/>
  <c r="F120" i="20"/>
  <c r="G120" i="20"/>
  <c r="F121" i="20"/>
  <c r="G121" i="20"/>
  <c r="F122" i="20"/>
  <c r="G122" i="20"/>
  <c r="F123" i="20"/>
  <c r="G123" i="20"/>
  <c r="F124" i="20"/>
  <c r="G124" i="20"/>
  <c r="F125" i="20"/>
  <c r="G125" i="20"/>
  <c r="F126" i="20"/>
  <c r="G126" i="20"/>
  <c r="F127" i="20"/>
  <c r="G127" i="20"/>
  <c r="F128" i="20"/>
  <c r="G128" i="20"/>
  <c r="F129" i="20"/>
  <c r="G129" i="20"/>
  <c r="F130" i="20"/>
  <c r="G130" i="20"/>
  <c r="F131" i="20"/>
  <c r="G131" i="20"/>
  <c r="F132" i="20"/>
  <c r="G132" i="20"/>
  <c r="F134" i="20"/>
  <c r="G134" i="20"/>
  <c r="F135" i="20"/>
  <c r="G135" i="20"/>
  <c r="F136" i="20"/>
  <c r="G136" i="20"/>
  <c r="F137" i="20"/>
  <c r="G137" i="20"/>
  <c r="F138" i="20"/>
  <c r="G138" i="20"/>
  <c r="F139" i="20"/>
  <c r="G139" i="20"/>
  <c r="F140" i="20"/>
  <c r="G140" i="20"/>
  <c r="F141" i="20"/>
  <c r="G141" i="20"/>
  <c r="F142" i="20"/>
  <c r="G142" i="20"/>
  <c r="F143" i="20"/>
  <c r="G143" i="20"/>
  <c r="F144" i="20"/>
  <c r="G144" i="20"/>
  <c r="F145" i="20"/>
  <c r="G145" i="20"/>
  <c r="F146" i="20"/>
  <c r="G146" i="20"/>
  <c r="F147" i="20"/>
  <c r="G147" i="20"/>
  <c r="F148" i="20"/>
  <c r="G148" i="20"/>
  <c r="F149" i="20"/>
  <c r="G149" i="20"/>
  <c r="F150" i="20"/>
  <c r="G150" i="20"/>
  <c r="F151" i="20"/>
  <c r="G151" i="20"/>
  <c r="F152" i="20"/>
  <c r="G152" i="20"/>
  <c r="F153" i="20"/>
  <c r="G153" i="20"/>
  <c r="F154" i="20"/>
  <c r="G154" i="20"/>
  <c r="F155" i="20"/>
  <c r="G155" i="20"/>
  <c r="F156" i="20"/>
  <c r="G156" i="20"/>
  <c r="F157" i="20"/>
  <c r="G157" i="20"/>
  <c r="F160" i="20"/>
  <c r="G160" i="20"/>
  <c r="F161" i="20"/>
  <c r="G161" i="20"/>
  <c r="F163" i="20"/>
  <c r="G163" i="20"/>
  <c r="F164" i="20"/>
  <c r="G164" i="20"/>
  <c r="F165" i="20"/>
  <c r="G165" i="20"/>
  <c r="F166" i="20"/>
  <c r="G166" i="20"/>
  <c r="F167" i="20"/>
  <c r="G167" i="20"/>
  <c r="F168" i="20"/>
  <c r="G168" i="20"/>
  <c r="F169" i="20"/>
  <c r="G169" i="20"/>
  <c r="F170" i="20"/>
  <c r="G170" i="20"/>
  <c r="F171" i="20"/>
  <c r="G171" i="20"/>
  <c r="F172" i="20"/>
  <c r="G172" i="20"/>
  <c r="F173" i="20"/>
  <c r="G173" i="20"/>
  <c r="F174" i="20"/>
  <c r="G174" i="20"/>
  <c r="F175" i="20"/>
  <c r="G175" i="20"/>
  <c r="F176" i="20"/>
  <c r="G176" i="20"/>
  <c r="F177" i="20"/>
  <c r="G177" i="20"/>
  <c r="F178" i="20"/>
  <c r="G178" i="20"/>
  <c r="F179" i="20"/>
  <c r="G179" i="20"/>
  <c r="F180" i="20"/>
  <c r="G180" i="20"/>
  <c r="F181" i="20"/>
  <c r="G181" i="20"/>
  <c r="F182" i="20"/>
  <c r="G182" i="20"/>
  <c r="F183" i="20"/>
  <c r="G183" i="20"/>
  <c r="F184" i="20"/>
  <c r="G184" i="20"/>
  <c r="F185" i="20"/>
  <c r="G185" i="20"/>
  <c r="F186" i="20"/>
  <c r="G186" i="20"/>
  <c r="F187" i="20"/>
  <c r="G187" i="20"/>
  <c r="F188" i="20"/>
  <c r="G188" i="20"/>
  <c r="F189" i="20"/>
  <c r="G189" i="20"/>
  <c r="F190" i="20"/>
  <c r="G190" i="20"/>
  <c r="F191" i="20"/>
  <c r="G191" i="20"/>
  <c r="F192" i="20"/>
  <c r="G192" i="20"/>
  <c r="F193" i="20"/>
  <c r="G193" i="20"/>
  <c r="F194" i="20"/>
  <c r="G194" i="20"/>
  <c r="F195" i="20"/>
  <c r="G195" i="20"/>
  <c r="F196" i="20"/>
  <c r="G196" i="20"/>
  <c r="F197" i="20"/>
  <c r="G197" i="20"/>
  <c r="F198" i="20"/>
  <c r="G198" i="20"/>
  <c r="F199" i="20"/>
  <c r="G199" i="20"/>
  <c r="F200" i="20"/>
  <c r="G200" i="20"/>
  <c r="F201" i="20"/>
  <c r="G201" i="20"/>
  <c r="F202" i="20"/>
  <c r="G202" i="20"/>
  <c r="F203" i="20"/>
  <c r="G203" i="20"/>
  <c r="F204" i="20"/>
  <c r="G204" i="20"/>
  <c r="F205" i="20"/>
  <c r="G205" i="20"/>
  <c r="F206" i="20"/>
  <c r="G206" i="20"/>
  <c r="F207" i="20"/>
  <c r="G207" i="20"/>
  <c r="F208" i="20"/>
  <c r="G208" i="20"/>
  <c r="F209" i="20"/>
  <c r="G209" i="20"/>
  <c r="F210" i="20"/>
  <c r="G210" i="20"/>
  <c r="F211" i="20"/>
  <c r="G211" i="20"/>
  <c r="F212" i="20"/>
  <c r="G212" i="20"/>
  <c r="F213" i="20"/>
  <c r="G213" i="20"/>
  <c r="F214" i="20"/>
  <c r="G214" i="20"/>
  <c r="F215" i="20"/>
  <c r="G215" i="20"/>
  <c r="F216" i="20"/>
  <c r="G216" i="20"/>
  <c r="F217" i="20"/>
  <c r="G217" i="20"/>
  <c r="F218" i="20"/>
  <c r="G218" i="20"/>
  <c r="F219" i="20"/>
  <c r="G219" i="20"/>
  <c r="F220" i="20"/>
  <c r="G220" i="20"/>
  <c r="F221" i="20"/>
  <c r="G221" i="20"/>
  <c r="F222" i="20"/>
  <c r="G222" i="20"/>
  <c r="F223" i="20"/>
  <c r="G223" i="20"/>
  <c r="F224" i="20"/>
  <c r="G224" i="20"/>
  <c r="F225" i="20"/>
  <c r="G225" i="20"/>
  <c r="F226" i="20"/>
  <c r="G226" i="20"/>
  <c r="F227" i="20"/>
  <c r="G227" i="20"/>
  <c r="F228" i="20"/>
  <c r="G228" i="20"/>
  <c r="F229" i="20"/>
  <c r="G229" i="20"/>
  <c r="F230" i="20"/>
  <c r="G230" i="20"/>
  <c r="F231" i="20"/>
  <c r="G231" i="20"/>
  <c r="F232" i="20"/>
  <c r="G232" i="20"/>
  <c r="F233" i="20"/>
  <c r="G233" i="20"/>
  <c r="F234" i="20"/>
  <c r="G234" i="20"/>
  <c r="F235" i="20"/>
  <c r="G235" i="20"/>
  <c r="F236" i="20"/>
  <c r="G236" i="20"/>
  <c r="F237" i="20"/>
  <c r="G237" i="20"/>
  <c r="F238" i="20"/>
  <c r="G238" i="20"/>
  <c r="F239" i="20"/>
  <c r="G239" i="20"/>
  <c r="F240" i="20"/>
  <c r="G240" i="20"/>
  <c r="F241" i="20"/>
  <c r="G241" i="20"/>
  <c r="F242" i="20"/>
  <c r="G242" i="20"/>
  <c r="F243" i="20"/>
  <c r="G243" i="20"/>
  <c r="F244" i="20"/>
  <c r="G244" i="20"/>
  <c r="F245" i="20"/>
  <c r="G245" i="20"/>
  <c r="F246" i="20"/>
  <c r="G246" i="20"/>
  <c r="F247" i="20"/>
  <c r="G247" i="20"/>
  <c r="F248" i="20"/>
  <c r="G248" i="20"/>
  <c r="F262" i="20"/>
  <c r="G262" i="20"/>
  <c r="F263" i="20"/>
  <c r="G263" i="20"/>
  <c r="F264" i="20"/>
  <c r="G264" i="20"/>
  <c r="F265" i="20"/>
  <c r="G265" i="20"/>
  <c r="F266" i="20"/>
  <c r="G266" i="20"/>
  <c r="F267" i="20"/>
  <c r="G267" i="20"/>
  <c r="F268" i="20"/>
  <c r="G268" i="20"/>
  <c r="F269" i="20"/>
  <c r="G269" i="20"/>
  <c r="F270" i="20"/>
  <c r="G270" i="20"/>
  <c r="F271" i="20"/>
  <c r="G271" i="20"/>
  <c r="F272" i="20"/>
  <c r="G272" i="20"/>
  <c r="F273" i="20"/>
  <c r="G273" i="20"/>
  <c r="F274" i="20"/>
  <c r="G274" i="20"/>
  <c r="F275" i="20"/>
  <c r="G275" i="20"/>
  <c r="F276" i="20"/>
  <c r="G276" i="20"/>
  <c r="F277" i="20"/>
  <c r="G277" i="20"/>
  <c r="F278" i="20"/>
  <c r="G278" i="20"/>
  <c r="F279" i="20"/>
  <c r="G279" i="20"/>
  <c r="F280" i="20"/>
  <c r="G280" i="20"/>
  <c r="F281" i="20"/>
  <c r="G281" i="20"/>
  <c r="F282" i="20"/>
  <c r="G282" i="20"/>
  <c r="F283" i="20"/>
  <c r="G283" i="20"/>
  <c r="F284" i="20"/>
  <c r="G284" i="20"/>
  <c r="F285" i="20"/>
  <c r="G285" i="20"/>
  <c r="F286" i="20"/>
  <c r="G286" i="20"/>
  <c r="F287" i="20"/>
  <c r="G287" i="20"/>
  <c r="F288" i="20"/>
  <c r="G288" i="20"/>
  <c r="F289" i="20"/>
  <c r="G289" i="20"/>
  <c r="F290" i="20"/>
  <c r="G290" i="20"/>
  <c r="F291" i="20"/>
  <c r="G291" i="20"/>
  <c r="F292" i="20"/>
  <c r="G292" i="20"/>
  <c r="F293" i="20"/>
  <c r="G293" i="20"/>
  <c r="F294" i="20"/>
  <c r="G294" i="20"/>
  <c r="F295" i="20"/>
  <c r="G295" i="20"/>
  <c r="F296" i="20"/>
  <c r="G296" i="20"/>
  <c r="F297" i="20"/>
  <c r="G297" i="20"/>
  <c r="F298" i="20"/>
  <c r="G298" i="20"/>
  <c r="F299" i="20"/>
  <c r="G299" i="20"/>
  <c r="F300" i="20"/>
  <c r="G300" i="20"/>
  <c r="F301" i="20"/>
  <c r="G301" i="20"/>
  <c r="F302" i="20"/>
  <c r="G302" i="20"/>
  <c r="F303" i="20"/>
  <c r="G303" i="20"/>
  <c r="F304" i="20"/>
  <c r="G304" i="20"/>
  <c r="G11" i="20"/>
  <c r="F11" i="20"/>
  <c r="G59" i="13" l="1"/>
  <c r="B33" i="1"/>
  <c r="M22" i="17" l="1"/>
  <c r="R22" i="17"/>
  <c r="P22" i="17"/>
  <c r="L22" i="17"/>
  <c r="N7" i="17"/>
  <c r="K8" i="17" s="1"/>
  <c r="N8" i="17" s="1"/>
  <c r="K9" i="17" s="1"/>
  <c r="N9" i="17" s="1"/>
  <c r="K10" i="17" s="1"/>
  <c r="N10" i="17" s="1"/>
  <c r="K11" i="17" s="1"/>
  <c r="N11" i="17" s="1"/>
  <c r="K12" i="17" s="1"/>
  <c r="N12" i="17" s="1"/>
  <c r="K13" i="17" s="1"/>
  <c r="N13" i="17" s="1"/>
  <c r="H30" i="17" l="1"/>
  <c r="N12" i="1" l="1"/>
  <c r="L12" i="1"/>
  <c r="B85" i="8"/>
  <c r="L54" i="13" l="1"/>
  <c r="J26" i="13"/>
  <c r="J21" i="13"/>
  <c r="J16" i="13"/>
  <c r="J11" i="13"/>
  <c r="I103" i="13"/>
  <c r="J10" i="13" l="1"/>
  <c r="J25" i="13"/>
  <c r="K29" i="13" s="1"/>
  <c r="N56" i="7" s="1"/>
  <c r="N60" i="7" s="1"/>
  <c r="N66" i="7" s="1"/>
  <c r="J15" i="13"/>
  <c r="K19" i="13" s="1"/>
  <c r="J56" i="7" s="1"/>
  <c r="J20" i="13"/>
  <c r="K24" i="13" s="1"/>
  <c r="K14" i="13" l="1"/>
  <c r="H56" i="7" s="1"/>
  <c r="L49" i="8" s="1"/>
  <c r="N49" i="8" s="1"/>
  <c r="J59" i="13"/>
  <c r="L24" i="13"/>
  <c r="L29" i="13"/>
  <c r="L19" i="13"/>
  <c r="L50" i="8"/>
  <c r="N50" i="8" s="1"/>
  <c r="J60" i="7"/>
  <c r="J66" i="7" s="1"/>
  <c r="L56" i="7"/>
  <c r="K59" i="13" l="1"/>
  <c r="Z56" i="7"/>
  <c r="H60" i="7"/>
  <c r="H66" i="7" s="1"/>
  <c r="L52" i="8"/>
  <c r="L54" i="8" s="1"/>
  <c r="L60" i="7"/>
  <c r="N8" i="7"/>
  <c r="N11" i="7" s="1"/>
  <c r="Z60" i="7" l="1"/>
  <c r="N52" i="8"/>
  <c r="N54" i="8" s="1"/>
  <c r="L66" i="7"/>
  <c r="Z66" i="7" s="1"/>
  <c r="L8" i="7" s="1"/>
  <c r="L11" i="7" s="1"/>
  <c r="L14" i="13"/>
  <c r="L59" i="13" s="1"/>
  <c r="B75" i="6"/>
  <c r="B104" i="6" l="1"/>
  <c r="B89" i="6"/>
  <c r="B77" i="6"/>
  <c r="B96" i="6"/>
  <c r="N35" i="4"/>
  <c r="L35" i="4"/>
  <c r="N29" i="4"/>
  <c r="L29" i="4"/>
  <c r="N20" i="4"/>
  <c r="L20" i="4"/>
  <c r="N50" i="1"/>
  <c r="L50" i="1"/>
  <c r="N43" i="1"/>
  <c r="L43" i="1"/>
  <c r="N10" i="1"/>
  <c r="L10" i="1"/>
  <c r="G306" i="20" l="1"/>
  <c r="G6" i="20" s="1"/>
  <c r="F306" i="20"/>
  <c r="F6" i="20" s="1"/>
  <c r="E306" i="20"/>
  <c r="E6" i="20" s="1"/>
  <c r="D306" i="20"/>
  <c r="D6" i="20" s="1"/>
  <c r="E5" i="20" l="1"/>
  <c r="G5" i="20"/>
  <c r="G307" i="20"/>
  <c r="E307" i="20"/>
  <c r="C88" i="15"/>
  <c r="C87" i="15"/>
  <c r="C86" i="15"/>
  <c r="C81" i="15"/>
  <c r="C82" i="15"/>
  <c r="C83" i="15"/>
  <c r="G81" i="15"/>
  <c r="B32" i="15"/>
  <c r="B31" i="15"/>
  <c r="B27" i="15"/>
  <c r="B26" i="15"/>
  <c r="B25" i="15"/>
  <c r="B24" i="15"/>
  <c r="K11" i="15"/>
  <c r="G83" i="15" s="1"/>
  <c r="K10" i="15"/>
  <c r="G82" i="15" s="1"/>
  <c r="K14" i="15"/>
  <c r="K15" i="15"/>
  <c r="K16" i="15"/>
  <c r="E8" i="19" l="1"/>
  <c r="B13" i="7" l="1"/>
  <c r="B5" i="7"/>
  <c r="B68" i="7" s="1"/>
  <c r="A66" i="7"/>
  <c r="A64" i="7"/>
  <c r="B60" i="7"/>
  <c r="B54" i="8" s="1"/>
  <c r="B31" i="7"/>
  <c r="B53" i="7" s="1"/>
  <c r="B21" i="7"/>
  <c r="B43" i="7" s="1"/>
  <c r="B52" i="7"/>
  <c r="B42" i="7"/>
  <c r="B50" i="7"/>
  <c r="B56" i="8" s="1"/>
  <c r="B14" i="5"/>
  <c r="L6" i="7"/>
  <c r="H71" i="7" s="1"/>
  <c r="J5" i="7"/>
  <c r="B1" i="20" l="1"/>
  <c r="F2000" i="11"/>
  <c r="E2000" i="11"/>
  <c r="A1" i="11"/>
  <c r="M11" i="9"/>
  <c r="M12" i="9"/>
  <c r="M13" i="9"/>
  <c r="M15" i="9"/>
  <c r="M16" i="9"/>
  <c r="M17" i="9"/>
  <c r="M18" i="9"/>
  <c r="M19" i="9"/>
  <c r="M21" i="9"/>
  <c r="M22" i="9"/>
  <c r="M23" i="9"/>
  <c r="M24" i="9"/>
  <c r="H55" i="20"/>
  <c r="M25" i="9"/>
  <c r="I55" i="20" s="1"/>
  <c r="M28" i="9"/>
  <c r="H66" i="20"/>
  <c r="M29" i="9"/>
  <c r="I66" i="20" s="1"/>
  <c r="M31" i="9"/>
  <c r="M32" i="9"/>
  <c r="M33" i="9"/>
  <c r="M34" i="9"/>
  <c r="H75" i="20"/>
  <c r="M35" i="9"/>
  <c r="I75" i="20" s="1"/>
  <c r="M37" i="9"/>
  <c r="M38" i="9"/>
  <c r="M39" i="9"/>
  <c r="M40" i="9"/>
  <c r="M41" i="9"/>
  <c r="M42" i="9"/>
  <c r="M44" i="9"/>
  <c r="M45" i="9"/>
  <c r="M46" i="9"/>
  <c r="M47" i="9"/>
  <c r="M48" i="9"/>
  <c r="M49" i="9"/>
  <c r="M50" i="9"/>
  <c r="M51" i="9"/>
  <c r="H110" i="20"/>
  <c r="M52" i="9"/>
  <c r="I110" i="20" s="1"/>
  <c r="M53" i="9"/>
  <c r="M54" i="9"/>
  <c r="H113" i="20"/>
  <c r="M55" i="9"/>
  <c r="I113" i="20" s="1"/>
  <c r="M56" i="9"/>
  <c r="M57" i="9"/>
  <c r="H133" i="20"/>
  <c r="M58" i="9"/>
  <c r="I133" i="20" s="1"/>
  <c r="M62" i="9"/>
  <c r="M63" i="9"/>
  <c r="M64" i="9"/>
  <c r="M65" i="9"/>
  <c r="M66" i="9"/>
  <c r="M67" i="9"/>
  <c r="M68" i="9"/>
  <c r="M69" i="9"/>
  <c r="M70" i="9"/>
  <c r="H290" i="20"/>
  <c r="M71" i="9"/>
  <c r="I290" i="20" s="1"/>
  <c r="M72" i="9"/>
  <c r="M73" i="9"/>
  <c r="M74" i="9"/>
  <c r="M75" i="9"/>
  <c r="M76" i="9"/>
  <c r="M77" i="9"/>
  <c r="M78" i="9"/>
  <c r="M79" i="9"/>
  <c r="M80" i="9"/>
  <c r="M81" i="9"/>
  <c r="M82" i="9"/>
  <c r="M83" i="9"/>
  <c r="M84" i="9"/>
  <c r="M85" i="9"/>
  <c r="M86" i="9"/>
  <c r="M87" i="9"/>
  <c r="M88" i="9"/>
  <c r="M89" i="9"/>
  <c r="M90" i="9"/>
  <c r="M91" i="9"/>
  <c r="M92" i="9"/>
  <c r="M93" i="9"/>
  <c r="M94" i="9"/>
  <c r="M95" i="9"/>
  <c r="M96"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L298"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L686" i="9"/>
  <c r="M686" i="9"/>
  <c r="L687" i="9"/>
  <c r="M687" i="9"/>
  <c r="L688" i="9"/>
  <c r="M688" i="9"/>
  <c r="L689" i="9"/>
  <c r="M689" i="9"/>
  <c r="L690" i="9"/>
  <c r="M690" i="9"/>
  <c r="L691" i="9"/>
  <c r="M691" i="9"/>
  <c r="L692" i="9"/>
  <c r="M692" i="9"/>
  <c r="L693" i="9"/>
  <c r="M693" i="9"/>
  <c r="L694" i="9"/>
  <c r="M694" i="9"/>
  <c r="L695" i="9"/>
  <c r="M695" i="9"/>
  <c r="L696" i="9"/>
  <c r="M696" i="9"/>
  <c r="L697" i="9"/>
  <c r="M697" i="9"/>
  <c r="L698" i="9"/>
  <c r="M698" i="9"/>
  <c r="L699" i="9"/>
  <c r="M699" i="9"/>
  <c r="L700" i="9"/>
  <c r="M700" i="9"/>
  <c r="L701" i="9"/>
  <c r="M701" i="9"/>
  <c r="L702" i="9"/>
  <c r="M702" i="9"/>
  <c r="L703" i="9"/>
  <c r="M703" i="9"/>
  <c r="L704" i="9"/>
  <c r="M704" i="9"/>
  <c r="L705" i="9"/>
  <c r="M705" i="9"/>
  <c r="L706" i="9"/>
  <c r="M706" i="9"/>
  <c r="L707" i="9"/>
  <c r="M707" i="9"/>
  <c r="L708" i="9"/>
  <c r="M708" i="9"/>
  <c r="L709" i="9"/>
  <c r="M709" i="9"/>
  <c r="L710" i="9"/>
  <c r="M710" i="9"/>
  <c r="L711" i="9"/>
  <c r="M711" i="9"/>
  <c r="L712" i="9"/>
  <c r="M712" i="9"/>
  <c r="L713" i="9"/>
  <c r="M713" i="9"/>
  <c r="L714" i="9"/>
  <c r="M714" i="9"/>
  <c r="L715" i="9"/>
  <c r="M715" i="9"/>
  <c r="L716" i="9"/>
  <c r="M716" i="9"/>
  <c r="L717" i="9"/>
  <c r="M717" i="9"/>
  <c r="L718" i="9"/>
  <c r="M718" i="9"/>
  <c r="L719" i="9"/>
  <c r="M719" i="9"/>
  <c r="L720" i="9"/>
  <c r="M720" i="9"/>
  <c r="L721" i="9"/>
  <c r="M721" i="9"/>
  <c r="L722" i="9"/>
  <c r="M722" i="9"/>
  <c r="L723" i="9"/>
  <c r="M723" i="9"/>
  <c r="L724" i="9"/>
  <c r="M724" i="9"/>
  <c r="L725" i="9"/>
  <c r="M725" i="9"/>
  <c r="L726" i="9"/>
  <c r="M726" i="9"/>
  <c r="L727" i="9"/>
  <c r="M727" i="9"/>
  <c r="L728" i="9"/>
  <c r="M728" i="9"/>
  <c r="L729" i="9"/>
  <c r="M729" i="9"/>
  <c r="L730" i="9"/>
  <c r="M730" i="9"/>
  <c r="L731" i="9"/>
  <c r="M731" i="9"/>
  <c r="L732" i="9"/>
  <c r="M732" i="9"/>
  <c r="L733" i="9"/>
  <c r="M733" i="9"/>
  <c r="L734" i="9"/>
  <c r="M734" i="9"/>
  <c r="L735" i="9"/>
  <c r="M735" i="9"/>
  <c r="L736" i="9"/>
  <c r="M736" i="9"/>
  <c r="L737" i="9"/>
  <c r="M737" i="9"/>
  <c r="L738" i="9"/>
  <c r="M738" i="9"/>
  <c r="L739" i="9"/>
  <c r="M739" i="9"/>
  <c r="L740" i="9"/>
  <c r="M740" i="9"/>
  <c r="L741" i="9"/>
  <c r="M741" i="9"/>
  <c r="L742" i="9"/>
  <c r="M742" i="9"/>
  <c r="L743" i="9"/>
  <c r="M743" i="9"/>
  <c r="L744" i="9"/>
  <c r="M744" i="9"/>
  <c r="L745" i="9"/>
  <c r="M745" i="9"/>
  <c r="L746" i="9"/>
  <c r="M746" i="9"/>
  <c r="L747" i="9"/>
  <c r="M747" i="9"/>
  <c r="L748" i="9"/>
  <c r="M748" i="9"/>
  <c r="L749" i="9"/>
  <c r="M749" i="9"/>
  <c r="L750" i="9"/>
  <c r="M750" i="9"/>
  <c r="L751" i="9"/>
  <c r="M751" i="9"/>
  <c r="L752" i="9"/>
  <c r="M752" i="9"/>
  <c r="L753" i="9"/>
  <c r="M753" i="9"/>
  <c r="L754" i="9"/>
  <c r="M754" i="9"/>
  <c r="L755" i="9"/>
  <c r="M755" i="9"/>
  <c r="L756" i="9"/>
  <c r="M756" i="9"/>
  <c r="L757" i="9"/>
  <c r="M757" i="9"/>
  <c r="L758" i="9"/>
  <c r="M758" i="9"/>
  <c r="L759" i="9"/>
  <c r="M759" i="9"/>
  <c r="L760" i="9"/>
  <c r="M760" i="9"/>
  <c r="L761" i="9"/>
  <c r="M761" i="9"/>
  <c r="L762" i="9"/>
  <c r="M762" i="9"/>
  <c r="L763" i="9"/>
  <c r="M763" i="9"/>
  <c r="L764" i="9"/>
  <c r="M764" i="9"/>
  <c r="L765" i="9"/>
  <c r="M765" i="9"/>
  <c r="L766" i="9"/>
  <c r="M766" i="9"/>
  <c r="L767" i="9"/>
  <c r="M767" i="9"/>
  <c r="L768" i="9"/>
  <c r="M768" i="9"/>
  <c r="L769" i="9"/>
  <c r="M769" i="9"/>
  <c r="L770" i="9"/>
  <c r="M770" i="9"/>
  <c r="L771" i="9"/>
  <c r="M771" i="9"/>
  <c r="L772" i="9"/>
  <c r="M772" i="9"/>
  <c r="L773" i="9"/>
  <c r="M773" i="9"/>
  <c r="L774" i="9"/>
  <c r="M774" i="9"/>
  <c r="L775" i="9"/>
  <c r="M775" i="9"/>
  <c r="L776" i="9"/>
  <c r="M776" i="9"/>
  <c r="L777" i="9"/>
  <c r="M777" i="9"/>
  <c r="L778" i="9"/>
  <c r="M778" i="9"/>
  <c r="L779" i="9"/>
  <c r="M779" i="9"/>
  <c r="L780" i="9"/>
  <c r="M780" i="9"/>
  <c r="L781" i="9"/>
  <c r="M781" i="9"/>
  <c r="L782" i="9"/>
  <c r="M782" i="9"/>
  <c r="L783" i="9"/>
  <c r="M783" i="9"/>
  <c r="L784" i="9"/>
  <c r="M784" i="9"/>
  <c r="L785" i="9"/>
  <c r="M785" i="9"/>
  <c r="L786" i="9"/>
  <c r="M786" i="9"/>
  <c r="L787" i="9"/>
  <c r="M787" i="9"/>
  <c r="L788" i="9"/>
  <c r="M788" i="9"/>
  <c r="L789" i="9"/>
  <c r="M789" i="9"/>
  <c r="L790" i="9"/>
  <c r="M790" i="9"/>
  <c r="L791" i="9"/>
  <c r="M791" i="9"/>
  <c r="L792" i="9"/>
  <c r="M792" i="9"/>
  <c r="L793" i="9"/>
  <c r="M793" i="9"/>
  <c r="L794" i="9"/>
  <c r="M794" i="9"/>
  <c r="L795" i="9"/>
  <c r="M795" i="9"/>
  <c r="L796" i="9"/>
  <c r="M796" i="9"/>
  <c r="L797" i="9"/>
  <c r="M797" i="9"/>
  <c r="L798" i="9"/>
  <c r="M798" i="9"/>
  <c r="L799" i="9"/>
  <c r="M799" i="9"/>
  <c r="L800" i="9"/>
  <c r="M800" i="9"/>
  <c r="L801" i="9"/>
  <c r="M801" i="9"/>
  <c r="L802" i="9"/>
  <c r="M802" i="9"/>
  <c r="L803" i="9"/>
  <c r="M803" i="9"/>
  <c r="L804" i="9"/>
  <c r="M804" i="9"/>
  <c r="L805" i="9"/>
  <c r="M805" i="9"/>
  <c r="L806" i="9"/>
  <c r="M806" i="9"/>
  <c r="L807" i="9"/>
  <c r="M807" i="9"/>
  <c r="L808" i="9"/>
  <c r="M808" i="9"/>
  <c r="L809" i="9"/>
  <c r="M809" i="9"/>
  <c r="L810" i="9"/>
  <c r="M810" i="9"/>
  <c r="L811" i="9"/>
  <c r="M811" i="9"/>
  <c r="L812" i="9"/>
  <c r="M812" i="9"/>
  <c r="L813" i="9"/>
  <c r="M813" i="9"/>
  <c r="L814" i="9"/>
  <c r="M814" i="9"/>
  <c r="L815" i="9"/>
  <c r="M815" i="9"/>
  <c r="L816" i="9"/>
  <c r="M816" i="9"/>
  <c r="L817" i="9"/>
  <c r="M817" i="9"/>
  <c r="L818" i="9"/>
  <c r="M818" i="9"/>
  <c r="L819" i="9"/>
  <c r="M819" i="9"/>
  <c r="L820" i="9"/>
  <c r="M820" i="9"/>
  <c r="L821" i="9"/>
  <c r="M821" i="9"/>
  <c r="L822" i="9"/>
  <c r="M822" i="9"/>
  <c r="L823" i="9"/>
  <c r="M823" i="9"/>
  <c r="L824" i="9"/>
  <c r="M824" i="9"/>
  <c r="L825" i="9"/>
  <c r="M825" i="9"/>
  <c r="L826" i="9"/>
  <c r="M826" i="9"/>
  <c r="L827" i="9"/>
  <c r="M827" i="9"/>
  <c r="L828" i="9"/>
  <c r="M828" i="9"/>
  <c r="L829" i="9"/>
  <c r="M829" i="9"/>
  <c r="L830" i="9"/>
  <c r="M830" i="9"/>
  <c r="L831" i="9"/>
  <c r="M831" i="9"/>
  <c r="L832" i="9"/>
  <c r="M832" i="9"/>
  <c r="L833" i="9"/>
  <c r="M833" i="9"/>
  <c r="L834" i="9"/>
  <c r="M834" i="9"/>
  <c r="L835" i="9"/>
  <c r="M835" i="9"/>
  <c r="L836" i="9"/>
  <c r="M836" i="9"/>
  <c r="L837" i="9"/>
  <c r="M837" i="9"/>
  <c r="L838" i="9"/>
  <c r="M838" i="9"/>
  <c r="L839" i="9"/>
  <c r="M839" i="9"/>
  <c r="L840" i="9"/>
  <c r="M840" i="9"/>
  <c r="L841" i="9"/>
  <c r="M841" i="9"/>
  <c r="L842" i="9"/>
  <c r="M842" i="9"/>
  <c r="L843" i="9"/>
  <c r="M843" i="9"/>
  <c r="L844" i="9"/>
  <c r="M844" i="9"/>
  <c r="L845" i="9"/>
  <c r="M845" i="9"/>
  <c r="L846" i="9"/>
  <c r="M846" i="9"/>
  <c r="L847" i="9"/>
  <c r="M847" i="9"/>
  <c r="L848" i="9"/>
  <c r="M848" i="9"/>
  <c r="L849" i="9"/>
  <c r="M849" i="9"/>
  <c r="L850" i="9"/>
  <c r="M850" i="9"/>
  <c r="L851" i="9"/>
  <c r="M851" i="9"/>
  <c r="L852" i="9"/>
  <c r="M852" i="9"/>
  <c r="L853" i="9"/>
  <c r="M853" i="9"/>
  <c r="L854" i="9"/>
  <c r="M854" i="9"/>
  <c r="L855" i="9"/>
  <c r="M855" i="9"/>
  <c r="L856" i="9"/>
  <c r="M856" i="9"/>
  <c r="L857" i="9"/>
  <c r="M857" i="9"/>
  <c r="L858" i="9"/>
  <c r="M858" i="9"/>
  <c r="L859" i="9"/>
  <c r="M859" i="9"/>
  <c r="L860" i="9"/>
  <c r="M860" i="9"/>
  <c r="L861" i="9"/>
  <c r="M861" i="9"/>
  <c r="L862" i="9"/>
  <c r="M862" i="9"/>
  <c r="L863" i="9"/>
  <c r="M863" i="9"/>
  <c r="L864" i="9"/>
  <c r="M864" i="9"/>
  <c r="L865" i="9"/>
  <c r="M865" i="9"/>
  <c r="L866" i="9"/>
  <c r="M866" i="9"/>
  <c r="L867" i="9"/>
  <c r="M867" i="9"/>
  <c r="L868" i="9"/>
  <c r="M868" i="9"/>
  <c r="L869" i="9"/>
  <c r="M869" i="9"/>
  <c r="L870" i="9"/>
  <c r="M870" i="9"/>
  <c r="L871" i="9"/>
  <c r="M871" i="9"/>
  <c r="L872" i="9"/>
  <c r="M872" i="9"/>
  <c r="L873" i="9"/>
  <c r="M873" i="9"/>
  <c r="L874" i="9"/>
  <c r="M874" i="9"/>
  <c r="L875" i="9"/>
  <c r="M875" i="9"/>
  <c r="L876" i="9"/>
  <c r="M876" i="9"/>
  <c r="L877" i="9"/>
  <c r="M877" i="9"/>
  <c r="L878" i="9"/>
  <c r="M878" i="9"/>
  <c r="L879" i="9"/>
  <c r="M879" i="9"/>
  <c r="L880" i="9"/>
  <c r="M880" i="9"/>
  <c r="L881" i="9"/>
  <c r="M881" i="9"/>
  <c r="L882" i="9"/>
  <c r="M882" i="9"/>
  <c r="L883" i="9"/>
  <c r="M883" i="9"/>
  <c r="L884" i="9"/>
  <c r="M884" i="9"/>
  <c r="L885" i="9"/>
  <c r="M885" i="9"/>
  <c r="L886" i="9"/>
  <c r="M886" i="9"/>
  <c r="L887" i="9"/>
  <c r="M887" i="9"/>
  <c r="L888" i="9"/>
  <c r="M888" i="9"/>
  <c r="L889" i="9"/>
  <c r="M889" i="9"/>
  <c r="L890" i="9"/>
  <c r="M890" i="9"/>
  <c r="L891" i="9"/>
  <c r="M891" i="9"/>
  <c r="L892" i="9"/>
  <c r="M892" i="9"/>
  <c r="L893" i="9"/>
  <c r="M893" i="9"/>
  <c r="L894" i="9"/>
  <c r="M894" i="9"/>
  <c r="L895" i="9"/>
  <c r="M895" i="9"/>
  <c r="L896" i="9"/>
  <c r="M896" i="9"/>
  <c r="L897" i="9"/>
  <c r="M897" i="9"/>
  <c r="L898" i="9"/>
  <c r="M898" i="9"/>
  <c r="L899" i="9"/>
  <c r="M899" i="9"/>
  <c r="L900" i="9"/>
  <c r="M900" i="9"/>
  <c r="L901" i="9"/>
  <c r="M901" i="9"/>
  <c r="L902" i="9"/>
  <c r="M902" i="9"/>
  <c r="L903" i="9"/>
  <c r="M903" i="9"/>
  <c r="L904" i="9"/>
  <c r="M904" i="9"/>
  <c r="L905" i="9"/>
  <c r="M905" i="9"/>
  <c r="L906" i="9"/>
  <c r="M906" i="9"/>
  <c r="L907" i="9"/>
  <c r="M907" i="9"/>
  <c r="L908" i="9"/>
  <c r="M908" i="9"/>
  <c r="L909" i="9"/>
  <c r="M909" i="9"/>
  <c r="L910" i="9"/>
  <c r="M910" i="9"/>
  <c r="L911" i="9"/>
  <c r="M911" i="9"/>
  <c r="L912" i="9"/>
  <c r="M912" i="9"/>
  <c r="L913" i="9"/>
  <c r="M913" i="9"/>
  <c r="L914" i="9"/>
  <c r="M914" i="9"/>
  <c r="L915" i="9"/>
  <c r="M915" i="9"/>
  <c r="L916" i="9"/>
  <c r="M916" i="9"/>
  <c r="L917" i="9"/>
  <c r="M917" i="9"/>
  <c r="L918" i="9"/>
  <c r="M918" i="9"/>
  <c r="L919" i="9"/>
  <c r="M919" i="9"/>
  <c r="L920" i="9"/>
  <c r="M920" i="9"/>
  <c r="L921" i="9"/>
  <c r="M921" i="9"/>
  <c r="L922" i="9"/>
  <c r="M922" i="9"/>
  <c r="L923" i="9"/>
  <c r="M923" i="9"/>
  <c r="L924" i="9"/>
  <c r="M924" i="9"/>
  <c r="L925" i="9"/>
  <c r="M925" i="9"/>
  <c r="L926" i="9"/>
  <c r="M926" i="9"/>
  <c r="L927" i="9"/>
  <c r="M927" i="9"/>
  <c r="L928" i="9"/>
  <c r="M928" i="9"/>
  <c r="L929" i="9"/>
  <c r="M929" i="9"/>
  <c r="L930" i="9"/>
  <c r="M930" i="9"/>
  <c r="L931" i="9"/>
  <c r="M931" i="9"/>
  <c r="L932" i="9"/>
  <c r="M932" i="9"/>
  <c r="L933" i="9"/>
  <c r="M933" i="9"/>
  <c r="L934" i="9"/>
  <c r="M934" i="9"/>
  <c r="L935" i="9"/>
  <c r="M935" i="9"/>
  <c r="L936" i="9"/>
  <c r="M936" i="9"/>
  <c r="L937" i="9"/>
  <c r="M937" i="9"/>
  <c r="L938" i="9"/>
  <c r="M938" i="9"/>
  <c r="L939" i="9"/>
  <c r="M939" i="9"/>
  <c r="L940" i="9"/>
  <c r="M940" i="9"/>
  <c r="L941" i="9"/>
  <c r="M941" i="9"/>
  <c r="L942" i="9"/>
  <c r="M942" i="9"/>
  <c r="L943" i="9"/>
  <c r="M943" i="9"/>
  <c r="L944" i="9"/>
  <c r="M944" i="9"/>
  <c r="L945" i="9"/>
  <c r="M945" i="9"/>
  <c r="L946" i="9"/>
  <c r="M946" i="9"/>
  <c r="L947" i="9"/>
  <c r="M947" i="9"/>
  <c r="L948" i="9"/>
  <c r="M948" i="9"/>
  <c r="L949" i="9"/>
  <c r="M949" i="9"/>
  <c r="L950" i="9"/>
  <c r="M950" i="9"/>
  <c r="L951" i="9"/>
  <c r="M951" i="9"/>
  <c r="L952" i="9"/>
  <c r="M952" i="9"/>
  <c r="L953" i="9"/>
  <c r="M953" i="9"/>
  <c r="L954" i="9"/>
  <c r="M954" i="9"/>
  <c r="L955" i="9"/>
  <c r="M955" i="9"/>
  <c r="L956" i="9"/>
  <c r="M956" i="9"/>
  <c r="L957" i="9"/>
  <c r="M957" i="9"/>
  <c r="L958" i="9"/>
  <c r="M958" i="9"/>
  <c r="L959" i="9"/>
  <c r="M959" i="9"/>
  <c r="L960" i="9"/>
  <c r="M960" i="9"/>
  <c r="L961" i="9"/>
  <c r="M961" i="9"/>
  <c r="L962" i="9"/>
  <c r="M962" i="9"/>
  <c r="L963" i="9"/>
  <c r="M963" i="9"/>
  <c r="L964" i="9"/>
  <c r="M964" i="9"/>
  <c r="L965" i="9"/>
  <c r="M965" i="9"/>
  <c r="L966" i="9"/>
  <c r="M966" i="9"/>
  <c r="L967" i="9"/>
  <c r="M967" i="9"/>
  <c r="L968" i="9"/>
  <c r="M968" i="9"/>
  <c r="L969" i="9"/>
  <c r="M969" i="9"/>
  <c r="L970" i="9"/>
  <c r="M970" i="9"/>
  <c r="L971" i="9"/>
  <c r="M971" i="9"/>
  <c r="L972" i="9"/>
  <c r="M972" i="9"/>
  <c r="L973" i="9"/>
  <c r="M973" i="9"/>
  <c r="L974" i="9"/>
  <c r="M974" i="9"/>
  <c r="L975" i="9"/>
  <c r="M975" i="9"/>
  <c r="L976" i="9"/>
  <c r="M976" i="9"/>
  <c r="L977" i="9"/>
  <c r="M977" i="9"/>
  <c r="L978" i="9"/>
  <c r="M978" i="9"/>
  <c r="L979" i="9"/>
  <c r="M979" i="9"/>
  <c r="L980" i="9"/>
  <c r="M980" i="9"/>
  <c r="L981" i="9"/>
  <c r="M981" i="9"/>
  <c r="L982" i="9"/>
  <c r="M982" i="9"/>
  <c r="L983" i="9"/>
  <c r="M983" i="9"/>
  <c r="L984" i="9"/>
  <c r="M984" i="9"/>
  <c r="L985" i="9"/>
  <c r="M985" i="9"/>
  <c r="L986" i="9"/>
  <c r="M986" i="9"/>
  <c r="L987" i="9"/>
  <c r="M987" i="9"/>
  <c r="L988" i="9"/>
  <c r="M988" i="9"/>
  <c r="L989" i="9"/>
  <c r="M989" i="9"/>
  <c r="L990" i="9"/>
  <c r="M990" i="9"/>
  <c r="L991" i="9"/>
  <c r="M991" i="9"/>
  <c r="L992" i="9"/>
  <c r="M992" i="9"/>
  <c r="L993" i="9"/>
  <c r="M993" i="9"/>
  <c r="L994" i="9"/>
  <c r="M994" i="9"/>
  <c r="L995" i="9"/>
  <c r="M995" i="9"/>
  <c r="L996" i="9"/>
  <c r="M996" i="9"/>
  <c r="L997" i="9"/>
  <c r="M997" i="9"/>
  <c r="L998" i="9"/>
  <c r="M998" i="9"/>
  <c r="L999" i="9"/>
  <c r="M999" i="9"/>
  <c r="L1000" i="9"/>
  <c r="M1000" i="9"/>
  <c r="L1001" i="9"/>
  <c r="M1001" i="9"/>
  <c r="L1002" i="9"/>
  <c r="M1002" i="9"/>
  <c r="L1003" i="9"/>
  <c r="M1003" i="9"/>
  <c r="L1004" i="9"/>
  <c r="M1004" i="9"/>
  <c r="L1005" i="9"/>
  <c r="M1005" i="9"/>
  <c r="L1006" i="9"/>
  <c r="M1006" i="9"/>
  <c r="L1007" i="9"/>
  <c r="M1007" i="9"/>
  <c r="L1008" i="9"/>
  <c r="M1008" i="9"/>
  <c r="L1009" i="9"/>
  <c r="M1009" i="9"/>
  <c r="L1010" i="9"/>
  <c r="M1010" i="9"/>
  <c r="L1011" i="9"/>
  <c r="M1011" i="9"/>
  <c r="L1012" i="9"/>
  <c r="M1012" i="9"/>
  <c r="L1013" i="9"/>
  <c r="M1013" i="9"/>
  <c r="L1014" i="9"/>
  <c r="M1014" i="9"/>
  <c r="L1015" i="9"/>
  <c r="M1015" i="9"/>
  <c r="L1016" i="9"/>
  <c r="M1016" i="9"/>
  <c r="L1017" i="9"/>
  <c r="M1017" i="9"/>
  <c r="L1018" i="9"/>
  <c r="M1018" i="9"/>
  <c r="L1019" i="9"/>
  <c r="M1019" i="9"/>
  <c r="L1020" i="9"/>
  <c r="M1020" i="9"/>
  <c r="L1021" i="9"/>
  <c r="M1021" i="9"/>
  <c r="L1022" i="9"/>
  <c r="M1022" i="9"/>
  <c r="L1023" i="9"/>
  <c r="M1023" i="9"/>
  <c r="L1024" i="9"/>
  <c r="M1024" i="9"/>
  <c r="L1025" i="9"/>
  <c r="M1025" i="9"/>
  <c r="L1026" i="9"/>
  <c r="M1026" i="9"/>
  <c r="L1027" i="9"/>
  <c r="M1027" i="9"/>
  <c r="L1028" i="9"/>
  <c r="M1028" i="9"/>
  <c r="L1029" i="9"/>
  <c r="M1029" i="9"/>
  <c r="L1030" i="9"/>
  <c r="M1030" i="9"/>
  <c r="L1031" i="9"/>
  <c r="M1031" i="9"/>
  <c r="L1032" i="9"/>
  <c r="M1032" i="9"/>
  <c r="L1033" i="9"/>
  <c r="M1033" i="9"/>
  <c r="L1034" i="9"/>
  <c r="M1034" i="9"/>
  <c r="L1035" i="9"/>
  <c r="M1035" i="9"/>
  <c r="L1036" i="9"/>
  <c r="M1036" i="9"/>
  <c r="L1037" i="9"/>
  <c r="M1037" i="9"/>
  <c r="L1038" i="9"/>
  <c r="M1038" i="9"/>
  <c r="L1039" i="9"/>
  <c r="M1039" i="9"/>
  <c r="L1040" i="9"/>
  <c r="M1040" i="9"/>
  <c r="L1041" i="9"/>
  <c r="M1041" i="9"/>
  <c r="L1042" i="9"/>
  <c r="M1042" i="9"/>
  <c r="L1043" i="9"/>
  <c r="M1043" i="9"/>
  <c r="L1044" i="9"/>
  <c r="M1044" i="9"/>
  <c r="L1045" i="9"/>
  <c r="M1045" i="9"/>
  <c r="L1046" i="9"/>
  <c r="M1046" i="9"/>
  <c r="L1047" i="9"/>
  <c r="M1047" i="9"/>
  <c r="L1048" i="9"/>
  <c r="M1048" i="9"/>
  <c r="L1049" i="9"/>
  <c r="M1049" i="9"/>
  <c r="L1050" i="9"/>
  <c r="M1050" i="9"/>
  <c r="L1051" i="9"/>
  <c r="M1051" i="9"/>
  <c r="L1052" i="9"/>
  <c r="M1052" i="9"/>
  <c r="L1053" i="9"/>
  <c r="M1053" i="9"/>
  <c r="L1054" i="9"/>
  <c r="M1054" i="9"/>
  <c r="L1055" i="9"/>
  <c r="M1055" i="9"/>
  <c r="L1056" i="9"/>
  <c r="M1056" i="9"/>
  <c r="L1057" i="9"/>
  <c r="M1057" i="9"/>
  <c r="L1058" i="9"/>
  <c r="M1058" i="9"/>
  <c r="L1059" i="9"/>
  <c r="M1059" i="9"/>
  <c r="L1060" i="9"/>
  <c r="M1060" i="9"/>
  <c r="L1061" i="9"/>
  <c r="M1061" i="9"/>
  <c r="L1062" i="9"/>
  <c r="M1062" i="9"/>
  <c r="L1063" i="9"/>
  <c r="M1063" i="9"/>
  <c r="L1064" i="9"/>
  <c r="M1064" i="9"/>
  <c r="L1065" i="9"/>
  <c r="M1065" i="9"/>
  <c r="L1066" i="9"/>
  <c r="M1066" i="9"/>
  <c r="L1067" i="9"/>
  <c r="M1067" i="9"/>
  <c r="L1068" i="9"/>
  <c r="M1068" i="9"/>
  <c r="L1069" i="9"/>
  <c r="M1069" i="9"/>
  <c r="L1070" i="9"/>
  <c r="M1070" i="9"/>
  <c r="L1071" i="9"/>
  <c r="M1071" i="9"/>
  <c r="L1072" i="9"/>
  <c r="M1072" i="9"/>
  <c r="L1073" i="9"/>
  <c r="M1073" i="9"/>
  <c r="L1074" i="9"/>
  <c r="M1074" i="9"/>
  <c r="L1075" i="9"/>
  <c r="M1075" i="9"/>
  <c r="L1076" i="9"/>
  <c r="M1076" i="9"/>
  <c r="L1077" i="9"/>
  <c r="M1077" i="9"/>
  <c r="L1078" i="9"/>
  <c r="M1078" i="9"/>
  <c r="L1079" i="9"/>
  <c r="M1079" i="9"/>
  <c r="L1080" i="9"/>
  <c r="M1080" i="9"/>
  <c r="L1081" i="9"/>
  <c r="M1081" i="9"/>
  <c r="L1082" i="9"/>
  <c r="M1082" i="9"/>
  <c r="L1083" i="9"/>
  <c r="M1083" i="9"/>
  <c r="L1084" i="9"/>
  <c r="M1084" i="9"/>
  <c r="L1085" i="9"/>
  <c r="M1085" i="9"/>
  <c r="L1086" i="9"/>
  <c r="M1086" i="9"/>
  <c r="L1087" i="9"/>
  <c r="M1087" i="9"/>
  <c r="L1088" i="9"/>
  <c r="M1088" i="9"/>
  <c r="L1089" i="9"/>
  <c r="M1089" i="9"/>
  <c r="L1090" i="9"/>
  <c r="M1090" i="9"/>
  <c r="L1091" i="9"/>
  <c r="M1091" i="9"/>
  <c r="L1092" i="9"/>
  <c r="M1092" i="9"/>
  <c r="L1093" i="9"/>
  <c r="M1093" i="9"/>
  <c r="L1094" i="9"/>
  <c r="M1094" i="9"/>
  <c r="L1095" i="9"/>
  <c r="M1095" i="9"/>
  <c r="L1096" i="9"/>
  <c r="M1096" i="9"/>
  <c r="L1097" i="9"/>
  <c r="M1097" i="9"/>
  <c r="L1098" i="9"/>
  <c r="M1098" i="9"/>
  <c r="L1099" i="9"/>
  <c r="M1099" i="9"/>
  <c r="L1100" i="9"/>
  <c r="M1100" i="9"/>
  <c r="L1101" i="9"/>
  <c r="M1101" i="9"/>
  <c r="L1102" i="9"/>
  <c r="M1102" i="9"/>
  <c r="L1103" i="9"/>
  <c r="M1103" i="9"/>
  <c r="L1104" i="9"/>
  <c r="M1104" i="9"/>
  <c r="L1105" i="9"/>
  <c r="M1105" i="9"/>
  <c r="L1106" i="9"/>
  <c r="M1106" i="9"/>
  <c r="L1107" i="9"/>
  <c r="M1107" i="9"/>
  <c r="L1108" i="9"/>
  <c r="M1108" i="9"/>
  <c r="L1109" i="9"/>
  <c r="M1109" i="9"/>
  <c r="L1110" i="9"/>
  <c r="M1110" i="9"/>
  <c r="L1111" i="9"/>
  <c r="M1111" i="9"/>
  <c r="L1112" i="9"/>
  <c r="M1112" i="9"/>
  <c r="L1113" i="9"/>
  <c r="M1113" i="9"/>
  <c r="L1114" i="9"/>
  <c r="M1114" i="9"/>
  <c r="L1115" i="9"/>
  <c r="M1115" i="9"/>
  <c r="L1116" i="9"/>
  <c r="M1116" i="9"/>
  <c r="L1117" i="9"/>
  <c r="M1117" i="9"/>
  <c r="L1118" i="9"/>
  <c r="M1118" i="9"/>
  <c r="L1119" i="9"/>
  <c r="M1119" i="9"/>
  <c r="L1120" i="9"/>
  <c r="M1120" i="9"/>
  <c r="L1121" i="9"/>
  <c r="M1121" i="9"/>
  <c r="L1122" i="9"/>
  <c r="M1122" i="9"/>
  <c r="L1123" i="9"/>
  <c r="M1123" i="9"/>
  <c r="L1124" i="9"/>
  <c r="M1124" i="9"/>
  <c r="L1125" i="9"/>
  <c r="M1125" i="9"/>
  <c r="L1126" i="9"/>
  <c r="M1126" i="9"/>
  <c r="L1127" i="9"/>
  <c r="M1127" i="9"/>
  <c r="L1128" i="9"/>
  <c r="M1128" i="9"/>
  <c r="L1129" i="9"/>
  <c r="M1129" i="9"/>
  <c r="L1130" i="9"/>
  <c r="M1130" i="9"/>
  <c r="L1131" i="9"/>
  <c r="M1131" i="9"/>
  <c r="L1132" i="9"/>
  <c r="M1132" i="9"/>
  <c r="L1133" i="9"/>
  <c r="M1133" i="9"/>
  <c r="L1134" i="9"/>
  <c r="M1134" i="9"/>
  <c r="L1135" i="9"/>
  <c r="M1135" i="9"/>
  <c r="L1136" i="9"/>
  <c r="M1136" i="9"/>
  <c r="L1137" i="9"/>
  <c r="M1137" i="9"/>
  <c r="L1138" i="9"/>
  <c r="M1138" i="9"/>
  <c r="L1139" i="9"/>
  <c r="M1139" i="9"/>
  <c r="L1140" i="9"/>
  <c r="M1140" i="9"/>
  <c r="L1141" i="9"/>
  <c r="M1141" i="9"/>
  <c r="L1142" i="9"/>
  <c r="M1142" i="9"/>
  <c r="L1143" i="9"/>
  <c r="M1143" i="9"/>
  <c r="L1144" i="9"/>
  <c r="M1144" i="9"/>
  <c r="L1145" i="9"/>
  <c r="M1145" i="9"/>
  <c r="L1146" i="9"/>
  <c r="M1146" i="9"/>
  <c r="L1147" i="9"/>
  <c r="M1147" i="9"/>
  <c r="L1148" i="9"/>
  <c r="M1148" i="9"/>
  <c r="L1149" i="9"/>
  <c r="M1149" i="9"/>
  <c r="L1150" i="9"/>
  <c r="M1150" i="9"/>
  <c r="L1151" i="9"/>
  <c r="M1151" i="9"/>
  <c r="L1152" i="9"/>
  <c r="M1152" i="9"/>
  <c r="L1153" i="9"/>
  <c r="M1153" i="9"/>
  <c r="L1154" i="9"/>
  <c r="M1154" i="9"/>
  <c r="L1155" i="9"/>
  <c r="M1155" i="9"/>
  <c r="L1156" i="9"/>
  <c r="M1156" i="9"/>
  <c r="L1157" i="9"/>
  <c r="M1157" i="9"/>
  <c r="L1158" i="9"/>
  <c r="M1158" i="9"/>
  <c r="L1159" i="9"/>
  <c r="M1159" i="9"/>
  <c r="L1160" i="9"/>
  <c r="M1160" i="9"/>
  <c r="L1161" i="9"/>
  <c r="M1161" i="9"/>
  <c r="L1162" i="9"/>
  <c r="M1162" i="9"/>
  <c r="L1163" i="9"/>
  <c r="M1163" i="9"/>
  <c r="L1164" i="9"/>
  <c r="M1164" i="9"/>
  <c r="L1165" i="9"/>
  <c r="M1165" i="9"/>
  <c r="L1166" i="9"/>
  <c r="M1166" i="9"/>
  <c r="L1167" i="9"/>
  <c r="M1167" i="9"/>
  <c r="L1168" i="9"/>
  <c r="M1168" i="9"/>
  <c r="L1169" i="9"/>
  <c r="M1169" i="9"/>
  <c r="L1170" i="9"/>
  <c r="M1170" i="9"/>
  <c r="L1171" i="9"/>
  <c r="M1171" i="9"/>
  <c r="L1172" i="9"/>
  <c r="M1172" i="9"/>
  <c r="L1173" i="9"/>
  <c r="M1173" i="9"/>
  <c r="L1174" i="9"/>
  <c r="M1174" i="9"/>
  <c r="L1175" i="9"/>
  <c r="M1175" i="9"/>
  <c r="L1176" i="9"/>
  <c r="M1176" i="9"/>
  <c r="L1177" i="9"/>
  <c r="M1177" i="9"/>
  <c r="L1178" i="9"/>
  <c r="M1178" i="9"/>
  <c r="L1179" i="9"/>
  <c r="M1179" i="9"/>
  <c r="L1180" i="9"/>
  <c r="M1180" i="9"/>
  <c r="L1181" i="9"/>
  <c r="M1181" i="9"/>
  <c r="L1182" i="9"/>
  <c r="M1182" i="9"/>
  <c r="L1183" i="9"/>
  <c r="M1183" i="9"/>
  <c r="L1184" i="9"/>
  <c r="M1184" i="9"/>
  <c r="L1185" i="9"/>
  <c r="M1185" i="9"/>
  <c r="L1186" i="9"/>
  <c r="M1186" i="9"/>
  <c r="L1187" i="9"/>
  <c r="M1187" i="9"/>
  <c r="L1188" i="9"/>
  <c r="M1188" i="9"/>
  <c r="L1189" i="9"/>
  <c r="M1189" i="9"/>
  <c r="L1190" i="9"/>
  <c r="M1190" i="9"/>
  <c r="L1191" i="9"/>
  <c r="M1191" i="9"/>
  <c r="L1192" i="9"/>
  <c r="M1192" i="9"/>
  <c r="L1193" i="9"/>
  <c r="M1193" i="9"/>
  <c r="L1194" i="9"/>
  <c r="M1194" i="9"/>
  <c r="L1195" i="9"/>
  <c r="M1195" i="9"/>
  <c r="L1196" i="9"/>
  <c r="M1196" i="9"/>
  <c r="L1197" i="9"/>
  <c r="M1197" i="9"/>
  <c r="L1198" i="9"/>
  <c r="M1198" i="9"/>
  <c r="L1199" i="9"/>
  <c r="M1199" i="9"/>
  <c r="L1200" i="9"/>
  <c r="M1200" i="9"/>
  <c r="L1201" i="9"/>
  <c r="M1201" i="9"/>
  <c r="L1202" i="9"/>
  <c r="M1202" i="9"/>
  <c r="L1203" i="9"/>
  <c r="M1203" i="9"/>
  <c r="L1204" i="9"/>
  <c r="M1204" i="9"/>
  <c r="L1205" i="9"/>
  <c r="M1205" i="9"/>
  <c r="L1206" i="9"/>
  <c r="M1206" i="9"/>
  <c r="L1207" i="9"/>
  <c r="M1207" i="9"/>
  <c r="L1208" i="9"/>
  <c r="M1208" i="9"/>
  <c r="L1209" i="9"/>
  <c r="M1209" i="9"/>
  <c r="L1210" i="9"/>
  <c r="M1210" i="9"/>
  <c r="L1211" i="9"/>
  <c r="M1211" i="9"/>
  <c r="L1212" i="9"/>
  <c r="M1212" i="9"/>
  <c r="L1213" i="9"/>
  <c r="M1213" i="9"/>
  <c r="L1214" i="9"/>
  <c r="M1214" i="9"/>
  <c r="L1215" i="9"/>
  <c r="M1215" i="9"/>
  <c r="L1216" i="9"/>
  <c r="M1216" i="9"/>
  <c r="L1217" i="9"/>
  <c r="M1217" i="9"/>
  <c r="L1218" i="9"/>
  <c r="M1218" i="9"/>
  <c r="L1219" i="9"/>
  <c r="M1219" i="9"/>
  <c r="L1220" i="9"/>
  <c r="M1220" i="9"/>
  <c r="L1221" i="9"/>
  <c r="M1221" i="9"/>
  <c r="L1222" i="9"/>
  <c r="M1222" i="9"/>
  <c r="L1223" i="9"/>
  <c r="M1223" i="9"/>
  <c r="L1224" i="9"/>
  <c r="M1224" i="9"/>
  <c r="L1225" i="9"/>
  <c r="M1225" i="9"/>
  <c r="L1226" i="9"/>
  <c r="M1226" i="9"/>
  <c r="L1227" i="9"/>
  <c r="M1227" i="9"/>
  <c r="L1228" i="9"/>
  <c r="M1228" i="9"/>
  <c r="L1229" i="9"/>
  <c r="M1229" i="9"/>
  <c r="L1230" i="9"/>
  <c r="M1230" i="9"/>
  <c r="L1231" i="9"/>
  <c r="M1231" i="9"/>
  <c r="L1232" i="9"/>
  <c r="M1232" i="9"/>
  <c r="L1233" i="9"/>
  <c r="M1233" i="9"/>
  <c r="L1234" i="9"/>
  <c r="M1234" i="9"/>
  <c r="L1235" i="9"/>
  <c r="M1235" i="9"/>
  <c r="L1236" i="9"/>
  <c r="M1236" i="9"/>
  <c r="L1237" i="9"/>
  <c r="M1237" i="9"/>
  <c r="L1238" i="9"/>
  <c r="M1238" i="9"/>
  <c r="L1239" i="9"/>
  <c r="M1239" i="9"/>
  <c r="L1240" i="9"/>
  <c r="M1240" i="9"/>
  <c r="L1241" i="9"/>
  <c r="M1241" i="9"/>
  <c r="L1242" i="9"/>
  <c r="M1242" i="9"/>
  <c r="L1243" i="9"/>
  <c r="M1243" i="9"/>
  <c r="L1244" i="9"/>
  <c r="M1244" i="9"/>
  <c r="L1245" i="9"/>
  <c r="M1245" i="9"/>
  <c r="L1246" i="9"/>
  <c r="M1246" i="9"/>
  <c r="L1247" i="9"/>
  <c r="M1247" i="9"/>
  <c r="L1248" i="9"/>
  <c r="M1248" i="9"/>
  <c r="L1249" i="9"/>
  <c r="M1249" i="9"/>
  <c r="L1250" i="9"/>
  <c r="M1250" i="9"/>
  <c r="L1251" i="9"/>
  <c r="M1251" i="9"/>
  <c r="L1252" i="9"/>
  <c r="M1252" i="9"/>
  <c r="L1253" i="9"/>
  <c r="M1253" i="9"/>
  <c r="L1254" i="9"/>
  <c r="M1254" i="9"/>
  <c r="L1255" i="9"/>
  <c r="M1255" i="9"/>
  <c r="L1256" i="9"/>
  <c r="M1256" i="9"/>
  <c r="L1257" i="9"/>
  <c r="M1257" i="9"/>
  <c r="L1258" i="9"/>
  <c r="M1258" i="9"/>
  <c r="L1259" i="9"/>
  <c r="M1259" i="9"/>
  <c r="L1260" i="9"/>
  <c r="M1260" i="9"/>
  <c r="L1261" i="9"/>
  <c r="M1261" i="9"/>
  <c r="L1262" i="9"/>
  <c r="M1262" i="9"/>
  <c r="L1263" i="9"/>
  <c r="M1263" i="9"/>
  <c r="L1264" i="9"/>
  <c r="M1264" i="9"/>
  <c r="L1265" i="9"/>
  <c r="M1265" i="9"/>
  <c r="L1266" i="9"/>
  <c r="M1266" i="9"/>
  <c r="L1267" i="9"/>
  <c r="M1267" i="9"/>
  <c r="L1268" i="9"/>
  <c r="M1268" i="9"/>
  <c r="L1269" i="9"/>
  <c r="M1269" i="9"/>
  <c r="L1270" i="9"/>
  <c r="M1270" i="9"/>
  <c r="L1271" i="9"/>
  <c r="M1271" i="9"/>
  <c r="L1272" i="9"/>
  <c r="M1272" i="9"/>
  <c r="L1273" i="9"/>
  <c r="M1273" i="9"/>
  <c r="L1274" i="9"/>
  <c r="M1274" i="9"/>
  <c r="L1275" i="9"/>
  <c r="M1275" i="9"/>
  <c r="L1276" i="9"/>
  <c r="M1276" i="9"/>
  <c r="L1277" i="9"/>
  <c r="M1277" i="9"/>
  <c r="L1278" i="9"/>
  <c r="M1278" i="9"/>
  <c r="L1279" i="9"/>
  <c r="M1279" i="9"/>
  <c r="L1280" i="9"/>
  <c r="M1280" i="9"/>
  <c r="L1281" i="9"/>
  <c r="M1281" i="9"/>
  <c r="L1282" i="9"/>
  <c r="M1282" i="9"/>
  <c r="L1283" i="9"/>
  <c r="M1283" i="9"/>
  <c r="L1284" i="9"/>
  <c r="M1284" i="9"/>
  <c r="L1285" i="9"/>
  <c r="M1285" i="9"/>
  <c r="L1286" i="9"/>
  <c r="M1286" i="9"/>
  <c r="L1287" i="9"/>
  <c r="M1287" i="9"/>
  <c r="L1288" i="9"/>
  <c r="M1288" i="9"/>
  <c r="L1289" i="9"/>
  <c r="M1289" i="9"/>
  <c r="L1290" i="9"/>
  <c r="M1290" i="9"/>
  <c r="L1291" i="9"/>
  <c r="M1291" i="9"/>
  <c r="L1292" i="9"/>
  <c r="M1292" i="9"/>
  <c r="L1293" i="9"/>
  <c r="M1293" i="9"/>
  <c r="L1294" i="9"/>
  <c r="M1294" i="9"/>
  <c r="L1295" i="9"/>
  <c r="M1295" i="9"/>
  <c r="L1296" i="9"/>
  <c r="M1296" i="9"/>
  <c r="L1297" i="9"/>
  <c r="M1297" i="9"/>
  <c r="L1298" i="9"/>
  <c r="M1298" i="9"/>
  <c r="L1299" i="9"/>
  <c r="M1299" i="9"/>
  <c r="L1300" i="9"/>
  <c r="M1300" i="9"/>
  <c r="L1301" i="9"/>
  <c r="M1301" i="9"/>
  <c r="L1302" i="9"/>
  <c r="M1302" i="9"/>
  <c r="L1303" i="9"/>
  <c r="M1303" i="9"/>
  <c r="L1304" i="9"/>
  <c r="M1304" i="9"/>
  <c r="L1305" i="9"/>
  <c r="M1305" i="9"/>
  <c r="L1306" i="9"/>
  <c r="M1306" i="9"/>
  <c r="L1307" i="9"/>
  <c r="M1307" i="9"/>
  <c r="L1308" i="9"/>
  <c r="M1308" i="9"/>
  <c r="L1309" i="9"/>
  <c r="M1309" i="9"/>
  <c r="L1310" i="9"/>
  <c r="M1310" i="9"/>
  <c r="L1311" i="9"/>
  <c r="M1311" i="9"/>
  <c r="L1312" i="9"/>
  <c r="M1312" i="9"/>
  <c r="L1313" i="9"/>
  <c r="M1313" i="9"/>
  <c r="L1314" i="9"/>
  <c r="M1314" i="9"/>
  <c r="L1315" i="9"/>
  <c r="M1315" i="9"/>
  <c r="L1316" i="9"/>
  <c r="M1316" i="9"/>
  <c r="L1317" i="9"/>
  <c r="M1317" i="9"/>
  <c r="L1318" i="9"/>
  <c r="M1318" i="9"/>
  <c r="L1319" i="9"/>
  <c r="M1319" i="9"/>
  <c r="L1320" i="9"/>
  <c r="M1320" i="9"/>
  <c r="L1321" i="9"/>
  <c r="M1321" i="9"/>
  <c r="L1322" i="9"/>
  <c r="M1322" i="9"/>
  <c r="L1323" i="9"/>
  <c r="M1323" i="9"/>
  <c r="L1324" i="9"/>
  <c r="M1324" i="9"/>
  <c r="L1325" i="9"/>
  <c r="M1325" i="9"/>
  <c r="L1326" i="9"/>
  <c r="M1326" i="9"/>
  <c r="L1327" i="9"/>
  <c r="M1327" i="9"/>
  <c r="L1328" i="9"/>
  <c r="M1328" i="9"/>
  <c r="L1329" i="9"/>
  <c r="M1329" i="9"/>
  <c r="L1330" i="9"/>
  <c r="M1330" i="9"/>
  <c r="L1331" i="9"/>
  <c r="M1331" i="9"/>
  <c r="L1332" i="9"/>
  <c r="M1332" i="9"/>
  <c r="L1333" i="9"/>
  <c r="M1333" i="9"/>
  <c r="L1334" i="9"/>
  <c r="M1334" i="9"/>
  <c r="L1335" i="9"/>
  <c r="M1335" i="9"/>
  <c r="L1336" i="9"/>
  <c r="M1336" i="9"/>
  <c r="L1337" i="9"/>
  <c r="M1337" i="9"/>
  <c r="L1338" i="9"/>
  <c r="M1338" i="9"/>
  <c r="L1339" i="9"/>
  <c r="M1339" i="9"/>
  <c r="L1340" i="9"/>
  <c r="M1340" i="9"/>
  <c r="L1341" i="9"/>
  <c r="M1341" i="9"/>
  <c r="L1342" i="9"/>
  <c r="M1342" i="9"/>
  <c r="L1343" i="9"/>
  <c r="M1343" i="9"/>
  <c r="L1344" i="9"/>
  <c r="M1344" i="9"/>
  <c r="L1345" i="9"/>
  <c r="M1345" i="9"/>
  <c r="L1346" i="9"/>
  <c r="M1346" i="9"/>
  <c r="L1347" i="9"/>
  <c r="M1347" i="9"/>
  <c r="L1348" i="9"/>
  <c r="M1348" i="9"/>
  <c r="L1349" i="9"/>
  <c r="M1349" i="9"/>
  <c r="L1350" i="9"/>
  <c r="M1350" i="9"/>
  <c r="L1351" i="9"/>
  <c r="M1351" i="9"/>
  <c r="L1352" i="9"/>
  <c r="M1352" i="9"/>
  <c r="L1353" i="9"/>
  <c r="M1353" i="9"/>
  <c r="L1354" i="9"/>
  <c r="M1354" i="9"/>
  <c r="L1355" i="9"/>
  <c r="M1355" i="9"/>
  <c r="L1356" i="9"/>
  <c r="M1356" i="9"/>
  <c r="L1357" i="9"/>
  <c r="M1357" i="9"/>
  <c r="L1358" i="9"/>
  <c r="M1358" i="9"/>
  <c r="L1359" i="9"/>
  <c r="M1359" i="9"/>
  <c r="L1360" i="9"/>
  <c r="M1360" i="9"/>
  <c r="L1361" i="9"/>
  <c r="M1361" i="9"/>
  <c r="L1362" i="9"/>
  <c r="M1362" i="9"/>
  <c r="L1363" i="9"/>
  <c r="M1363" i="9"/>
  <c r="L1364" i="9"/>
  <c r="M1364" i="9"/>
  <c r="L1365" i="9"/>
  <c r="M1365" i="9"/>
  <c r="L1366" i="9"/>
  <c r="M1366" i="9"/>
  <c r="L1367" i="9"/>
  <c r="M1367" i="9"/>
  <c r="L1368" i="9"/>
  <c r="M1368" i="9"/>
  <c r="L1369" i="9"/>
  <c r="M1369" i="9"/>
  <c r="L1370" i="9"/>
  <c r="M1370" i="9"/>
  <c r="L1371" i="9"/>
  <c r="M1371" i="9"/>
  <c r="L1372" i="9"/>
  <c r="M1372" i="9"/>
  <c r="L1373" i="9"/>
  <c r="M1373" i="9"/>
  <c r="L1374" i="9"/>
  <c r="M1374" i="9"/>
  <c r="L1375" i="9"/>
  <c r="M1375" i="9"/>
  <c r="L1376" i="9"/>
  <c r="M1376" i="9"/>
  <c r="L1377" i="9"/>
  <c r="M1377" i="9"/>
  <c r="L1378" i="9"/>
  <c r="M1378" i="9"/>
  <c r="L1379" i="9"/>
  <c r="M1379" i="9"/>
  <c r="L1380" i="9"/>
  <c r="M1380" i="9"/>
  <c r="L1381" i="9"/>
  <c r="M1381" i="9"/>
  <c r="L1382" i="9"/>
  <c r="M1382" i="9"/>
  <c r="L1383" i="9"/>
  <c r="M1383" i="9"/>
  <c r="L1384" i="9"/>
  <c r="M1384" i="9"/>
  <c r="L1385" i="9"/>
  <c r="M1385" i="9"/>
  <c r="L1386" i="9"/>
  <c r="M1386" i="9"/>
  <c r="L1387" i="9"/>
  <c r="M1387" i="9"/>
  <c r="L1388" i="9"/>
  <c r="M1388" i="9"/>
  <c r="L1389" i="9"/>
  <c r="M1389" i="9"/>
  <c r="L1390" i="9"/>
  <c r="M1390" i="9"/>
  <c r="L1391" i="9"/>
  <c r="M1391" i="9"/>
  <c r="L1392" i="9"/>
  <c r="M1392" i="9"/>
  <c r="L1393" i="9"/>
  <c r="M1393" i="9"/>
  <c r="L1394" i="9"/>
  <c r="M1394" i="9"/>
  <c r="L1395" i="9"/>
  <c r="M1395" i="9"/>
  <c r="L1396" i="9"/>
  <c r="M1396" i="9"/>
  <c r="L1397" i="9"/>
  <c r="M1397" i="9"/>
  <c r="L1398" i="9"/>
  <c r="M1398" i="9"/>
  <c r="L1399" i="9"/>
  <c r="M1399" i="9"/>
  <c r="L1400" i="9"/>
  <c r="M1400" i="9"/>
  <c r="L1401" i="9"/>
  <c r="M1401" i="9"/>
  <c r="L1402" i="9"/>
  <c r="M1402" i="9"/>
  <c r="L1403" i="9"/>
  <c r="M1403" i="9"/>
  <c r="L1404" i="9"/>
  <c r="M1404" i="9"/>
  <c r="L1405" i="9"/>
  <c r="M1405" i="9"/>
  <c r="L1406" i="9"/>
  <c r="M1406" i="9"/>
  <c r="L1407" i="9"/>
  <c r="M1407" i="9"/>
  <c r="L1408" i="9"/>
  <c r="M1408" i="9"/>
  <c r="L1409" i="9"/>
  <c r="M1409" i="9"/>
  <c r="L1410" i="9"/>
  <c r="M1410" i="9"/>
  <c r="L1411" i="9"/>
  <c r="M1411" i="9"/>
  <c r="L1412" i="9"/>
  <c r="M1412" i="9"/>
  <c r="L1413" i="9"/>
  <c r="M1413" i="9"/>
  <c r="L1414" i="9"/>
  <c r="M1414" i="9"/>
  <c r="L1415" i="9"/>
  <c r="M1415" i="9"/>
  <c r="L1416" i="9"/>
  <c r="M1416" i="9"/>
  <c r="L1417" i="9"/>
  <c r="M1417" i="9"/>
  <c r="L1418" i="9"/>
  <c r="M1418" i="9"/>
  <c r="L1419" i="9"/>
  <c r="M1419" i="9"/>
  <c r="L1420" i="9"/>
  <c r="M1420" i="9"/>
  <c r="L1421" i="9"/>
  <c r="M1421" i="9"/>
  <c r="L1422" i="9"/>
  <c r="M1422" i="9"/>
  <c r="L1423" i="9"/>
  <c r="M1423" i="9"/>
  <c r="L1424" i="9"/>
  <c r="M1424" i="9"/>
  <c r="L1425" i="9"/>
  <c r="M1425" i="9"/>
  <c r="L1426" i="9"/>
  <c r="M1426" i="9"/>
  <c r="L1427" i="9"/>
  <c r="M1427" i="9"/>
  <c r="L1428" i="9"/>
  <c r="M1428" i="9"/>
  <c r="L1429" i="9"/>
  <c r="M1429" i="9"/>
  <c r="L1430" i="9"/>
  <c r="M1430" i="9"/>
  <c r="L1431" i="9"/>
  <c r="M1431" i="9"/>
  <c r="L1432" i="9"/>
  <c r="M1432" i="9"/>
  <c r="L1433" i="9"/>
  <c r="M1433" i="9"/>
  <c r="L1434" i="9"/>
  <c r="M1434" i="9"/>
  <c r="L1435" i="9"/>
  <c r="M1435" i="9"/>
  <c r="L1436" i="9"/>
  <c r="M1436" i="9"/>
  <c r="L1437" i="9"/>
  <c r="M1437" i="9"/>
  <c r="L1438" i="9"/>
  <c r="M1438" i="9"/>
  <c r="L1439" i="9"/>
  <c r="M1439" i="9"/>
  <c r="L1440" i="9"/>
  <c r="M1440" i="9"/>
  <c r="L1441" i="9"/>
  <c r="M1441" i="9"/>
  <c r="L1442" i="9"/>
  <c r="M1442" i="9"/>
  <c r="L1443" i="9"/>
  <c r="M1443" i="9"/>
  <c r="L1444" i="9"/>
  <c r="M1444" i="9"/>
  <c r="L1445" i="9"/>
  <c r="M1445" i="9"/>
  <c r="L1446" i="9"/>
  <c r="M1446" i="9"/>
  <c r="L1447" i="9"/>
  <c r="M1447" i="9"/>
  <c r="L1448" i="9"/>
  <c r="M1448" i="9"/>
  <c r="L1449" i="9"/>
  <c r="M1449" i="9"/>
  <c r="L1450" i="9"/>
  <c r="M1450" i="9"/>
  <c r="L1451" i="9"/>
  <c r="M1451" i="9"/>
  <c r="L1452" i="9"/>
  <c r="M1452" i="9"/>
  <c r="L1453" i="9"/>
  <c r="M1453" i="9"/>
  <c r="L1454" i="9"/>
  <c r="M1454" i="9"/>
  <c r="L1455" i="9"/>
  <c r="M1455" i="9"/>
  <c r="L1456" i="9"/>
  <c r="M1456" i="9"/>
  <c r="L1457" i="9"/>
  <c r="M1457" i="9"/>
  <c r="L1458" i="9"/>
  <c r="M1458" i="9"/>
  <c r="L1459" i="9"/>
  <c r="M1459" i="9"/>
  <c r="L1460" i="9"/>
  <c r="M1460" i="9"/>
  <c r="L1461" i="9"/>
  <c r="M1461" i="9"/>
  <c r="L1462" i="9"/>
  <c r="M1462" i="9"/>
  <c r="L1463" i="9"/>
  <c r="M1463" i="9"/>
  <c r="L1464" i="9"/>
  <c r="M1464" i="9"/>
  <c r="L1465" i="9"/>
  <c r="M1465" i="9"/>
  <c r="L1466" i="9"/>
  <c r="M1466" i="9"/>
  <c r="L1467" i="9"/>
  <c r="M1467" i="9"/>
  <c r="L1468" i="9"/>
  <c r="M1468" i="9"/>
  <c r="L1469" i="9"/>
  <c r="M1469" i="9"/>
  <c r="L1470" i="9"/>
  <c r="M1470" i="9"/>
  <c r="L1471" i="9"/>
  <c r="M1471" i="9"/>
  <c r="L1472" i="9"/>
  <c r="M1472" i="9"/>
  <c r="L1473" i="9"/>
  <c r="M1473" i="9"/>
  <c r="L1474" i="9"/>
  <c r="M1474" i="9"/>
  <c r="L1475" i="9"/>
  <c r="M1475" i="9"/>
  <c r="L1476" i="9"/>
  <c r="M1476" i="9"/>
  <c r="L1477" i="9"/>
  <c r="M1477" i="9"/>
  <c r="L1478" i="9"/>
  <c r="M1478" i="9"/>
  <c r="L1479" i="9"/>
  <c r="M1479" i="9"/>
  <c r="L1480" i="9"/>
  <c r="M1480" i="9"/>
  <c r="L1481" i="9"/>
  <c r="M1481" i="9"/>
  <c r="L1482" i="9"/>
  <c r="M1482" i="9"/>
  <c r="L1483" i="9"/>
  <c r="M1483" i="9"/>
  <c r="L1484" i="9"/>
  <c r="M1484" i="9"/>
  <c r="L1485" i="9"/>
  <c r="M1485" i="9"/>
  <c r="L1486" i="9"/>
  <c r="M1486" i="9"/>
  <c r="L1487" i="9"/>
  <c r="M1487" i="9"/>
  <c r="L1488" i="9"/>
  <c r="M1488" i="9"/>
  <c r="L1489" i="9"/>
  <c r="M1489" i="9"/>
  <c r="L1490" i="9"/>
  <c r="M1490" i="9"/>
  <c r="L1491" i="9"/>
  <c r="M1491" i="9"/>
  <c r="L1492" i="9"/>
  <c r="M1492" i="9"/>
  <c r="L1493" i="9"/>
  <c r="M1493" i="9"/>
  <c r="L1494" i="9"/>
  <c r="M1494" i="9"/>
  <c r="L1495" i="9"/>
  <c r="M1495" i="9"/>
  <c r="L1496" i="9"/>
  <c r="M1496" i="9"/>
  <c r="L1497" i="9"/>
  <c r="M1497" i="9"/>
  <c r="L1498" i="9"/>
  <c r="M1498" i="9"/>
  <c r="L1499" i="9"/>
  <c r="M1499" i="9"/>
  <c r="L1500" i="9"/>
  <c r="M1500" i="9"/>
  <c r="L1501" i="9"/>
  <c r="M1501" i="9"/>
  <c r="L1502" i="9"/>
  <c r="M1502" i="9"/>
  <c r="L1503" i="9"/>
  <c r="M1503" i="9"/>
  <c r="L1504" i="9"/>
  <c r="M1504" i="9"/>
  <c r="L1505" i="9"/>
  <c r="M1505" i="9"/>
  <c r="L1506" i="9"/>
  <c r="M1506" i="9"/>
  <c r="L1507" i="9"/>
  <c r="M1507" i="9"/>
  <c r="L1508" i="9"/>
  <c r="M1508" i="9"/>
  <c r="L1509" i="9"/>
  <c r="M1509" i="9"/>
  <c r="L1510" i="9"/>
  <c r="M1510" i="9"/>
  <c r="L1511" i="9"/>
  <c r="M1511" i="9"/>
  <c r="L1512" i="9"/>
  <c r="M1512" i="9"/>
  <c r="L1513" i="9"/>
  <c r="M1513" i="9"/>
  <c r="L1514" i="9"/>
  <c r="M1514" i="9"/>
  <c r="L1515" i="9"/>
  <c r="M1515" i="9"/>
  <c r="L1516" i="9"/>
  <c r="M1516" i="9"/>
  <c r="L1517" i="9"/>
  <c r="M1517" i="9"/>
  <c r="L1518" i="9"/>
  <c r="M1518" i="9"/>
  <c r="L1519" i="9"/>
  <c r="M1519" i="9"/>
  <c r="L1520" i="9"/>
  <c r="M1520" i="9"/>
  <c r="L1521" i="9"/>
  <c r="M1521" i="9"/>
  <c r="L1522" i="9"/>
  <c r="M1522" i="9"/>
  <c r="L1523" i="9"/>
  <c r="M1523" i="9"/>
  <c r="L1524" i="9"/>
  <c r="M1524" i="9"/>
  <c r="L1525" i="9"/>
  <c r="M1525" i="9"/>
  <c r="L1526" i="9"/>
  <c r="M1526" i="9"/>
  <c r="L1527" i="9"/>
  <c r="M1527" i="9"/>
  <c r="L1528" i="9"/>
  <c r="M1528" i="9"/>
  <c r="L1529" i="9"/>
  <c r="M1529" i="9"/>
  <c r="L1530" i="9"/>
  <c r="M1530" i="9"/>
  <c r="L1531" i="9"/>
  <c r="M1531" i="9"/>
  <c r="L1532" i="9"/>
  <c r="M1532" i="9"/>
  <c r="L1533" i="9"/>
  <c r="M1533" i="9"/>
  <c r="L1534" i="9"/>
  <c r="M1534" i="9"/>
  <c r="L1535" i="9"/>
  <c r="M1535" i="9"/>
  <c r="L1536" i="9"/>
  <c r="M1536" i="9"/>
  <c r="L1537" i="9"/>
  <c r="M1537" i="9"/>
  <c r="L1538" i="9"/>
  <c r="M1538" i="9"/>
  <c r="L1539" i="9"/>
  <c r="M1539" i="9"/>
  <c r="L1540" i="9"/>
  <c r="M1540" i="9"/>
  <c r="L1541" i="9"/>
  <c r="M1541" i="9"/>
  <c r="L1542" i="9"/>
  <c r="M1542" i="9"/>
  <c r="L1543" i="9"/>
  <c r="M1543" i="9"/>
  <c r="L1544" i="9"/>
  <c r="M1544" i="9"/>
  <c r="L1545" i="9"/>
  <c r="M1545" i="9"/>
  <c r="L1546" i="9"/>
  <c r="M1546" i="9"/>
  <c r="L1547" i="9"/>
  <c r="M1547" i="9"/>
  <c r="L1548" i="9"/>
  <c r="M1548" i="9"/>
  <c r="L1549" i="9"/>
  <c r="M1549" i="9"/>
  <c r="L1550" i="9"/>
  <c r="M1550" i="9"/>
  <c r="L1551" i="9"/>
  <c r="M1551" i="9"/>
  <c r="L1552" i="9"/>
  <c r="M1552" i="9"/>
  <c r="L1553" i="9"/>
  <c r="M1553" i="9"/>
  <c r="L1554" i="9"/>
  <c r="M1554" i="9"/>
  <c r="L1555" i="9"/>
  <c r="M1555" i="9"/>
  <c r="L1556" i="9"/>
  <c r="M1556" i="9"/>
  <c r="L1557" i="9"/>
  <c r="M1557" i="9"/>
  <c r="L1558" i="9"/>
  <c r="M1558" i="9"/>
  <c r="L1559" i="9"/>
  <c r="M1559" i="9"/>
  <c r="L1560" i="9"/>
  <c r="M1560" i="9"/>
  <c r="L1561" i="9"/>
  <c r="M1561" i="9"/>
  <c r="L1562" i="9"/>
  <c r="M1562" i="9"/>
  <c r="L1563" i="9"/>
  <c r="M1563" i="9"/>
  <c r="L1564" i="9"/>
  <c r="M1564" i="9"/>
  <c r="L1565" i="9"/>
  <c r="M1565" i="9"/>
  <c r="L1566" i="9"/>
  <c r="M1566" i="9"/>
  <c r="L1567" i="9"/>
  <c r="M1567" i="9"/>
  <c r="L1568" i="9"/>
  <c r="M1568" i="9"/>
  <c r="L1569" i="9"/>
  <c r="M1569" i="9"/>
  <c r="L1570" i="9"/>
  <c r="M1570" i="9"/>
  <c r="L1571" i="9"/>
  <c r="M1571" i="9"/>
  <c r="L1572" i="9"/>
  <c r="M1572" i="9"/>
  <c r="L1573" i="9"/>
  <c r="M1573" i="9"/>
  <c r="L1574" i="9"/>
  <c r="M1574" i="9"/>
  <c r="L1575" i="9"/>
  <c r="M1575" i="9"/>
  <c r="L1576" i="9"/>
  <c r="M1576" i="9"/>
  <c r="L1577" i="9"/>
  <c r="M1577" i="9"/>
  <c r="L1578" i="9"/>
  <c r="M1578" i="9"/>
  <c r="L1579" i="9"/>
  <c r="M1579" i="9"/>
  <c r="L1580" i="9"/>
  <c r="M1580" i="9"/>
  <c r="L1581" i="9"/>
  <c r="M1581" i="9"/>
  <c r="L1582" i="9"/>
  <c r="M1582" i="9"/>
  <c r="L1583" i="9"/>
  <c r="M1583" i="9"/>
  <c r="L1584" i="9"/>
  <c r="M1584" i="9"/>
  <c r="L1585" i="9"/>
  <c r="M1585" i="9"/>
  <c r="L1586" i="9"/>
  <c r="M1586" i="9"/>
  <c r="L1587" i="9"/>
  <c r="M1587" i="9"/>
  <c r="L1588" i="9"/>
  <c r="M1588" i="9"/>
  <c r="L1589" i="9"/>
  <c r="M1589" i="9"/>
  <c r="L1590" i="9"/>
  <c r="M1590" i="9"/>
  <c r="L1591" i="9"/>
  <c r="M1591" i="9"/>
  <c r="L1592" i="9"/>
  <c r="M1592" i="9"/>
  <c r="L1593" i="9"/>
  <c r="M1593" i="9"/>
  <c r="L1594" i="9"/>
  <c r="M1594" i="9"/>
  <c r="L1595" i="9"/>
  <c r="M1595" i="9"/>
  <c r="L1596" i="9"/>
  <c r="M1596" i="9"/>
  <c r="L1597" i="9"/>
  <c r="M1597" i="9"/>
  <c r="L1598" i="9"/>
  <c r="M1598" i="9"/>
  <c r="L1599" i="9"/>
  <c r="M1599" i="9"/>
  <c r="L1600" i="9"/>
  <c r="M1600" i="9"/>
  <c r="L1601" i="9"/>
  <c r="M1601" i="9"/>
  <c r="L1602" i="9"/>
  <c r="M1602" i="9"/>
  <c r="L1603" i="9"/>
  <c r="M1603" i="9"/>
  <c r="L1604" i="9"/>
  <c r="M1604" i="9"/>
  <c r="L1605" i="9"/>
  <c r="M1605" i="9"/>
  <c r="L1606" i="9"/>
  <c r="M1606" i="9"/>
  <c r="L1607" i="9"/>
  <c r="M1607" i="9"/>
  <c r="L1608" i="9"/>
  <c r="M1608" i="9"/>
  <c r="L1609" i="9"/>
  <c r="M1609" i="9"/>
  <c r="L1610" i="9"/>
  <c r="M1610" i="9"/>
  <c r="L1611" i="9"/>
  <c r="M1611" i="9"/>
  <c r="L1612" i="9"/>
  <c r="M1612" i="9"/>
  <c r="L1613" i="9"/>
  <c r="M1613" i="9"/>
  <c r="L1614" i="9"/>
  <c r="M1614" i="9"/>
  <c r="L1615" i="9"/>
  <c r="M1615" i="9"/>
  <c r="L1616" i="9"/>
  <c r="M1616" i="9"/>
  <c r="L1617" i="9"/>
  <c r="M1617" i="9"/>
  <c r="L1618" i="9"/>
  <c r="M1618" i="9"/>
  <c r="L1619" i="9"/>
  <c r="M1619" i="9"/>
  <c r="L1620" i="9"/>
  <c r="M1620" i="9"/>
  <c r="L1621" i="9"/>
  <c r="M1621" i="9"/>
  <c r="L1622" i="9"/>
  <c r="M1622" i="9"/>
  <c r="L1623" i="9"/>
  <c r="M1623" i="9"/>
  <c r="L1624" i="9"/>
  <c r="M1624" i="9"/>
  <c r="L1625" i="9"/>
  <c r="M1625" i="9"/>
  <c r="L1626" i="9"/>
  <c r="M1626" i="9"/>
  <c r="L1627" i="9"/>
  <c r="M1627" i="9"/>
  <c r="L1628" i="9"/>
  <c r="M1628" i="9"/>
  <c r="L1629" i="9"/>
  <c r="M1629" i="9"/>
  <c r="L1630" i="9"/>
  <c r="M1630" i="9"/>
  <c r="L1631" i="9"/>
  <c r="M1631" i="9"/>
  <c r="L1632" i="9"/>
  <c r="M1632" i="9"/>
  <c r="L1633" i="9"/>
  <c r="M1633" i="9"/>
  <c r="L1634" i="9"/>
  <c r="M1634" i="9"/>
  <c r="L1635" i="9"/>
  <c r="M1635" i="9"/>
  <c r="L1636" i="9"/>
  <c r="M1636" i="9"/>
  <c r="L1637" i="9"/>
  <c r="M1637" i="9"/>
  <c r="L1638" i="9"/>
  <c r="M1638" i="9"/>
  <c r="L1639" i="9"/>
  <c r="M1639" i="9"/>
  <c r="L1640" i="9"/>
  <c r="M1640" i="9"/>
  <c r="L1641" i="9"/>
  <c r="M1641" i="9"/>
  <c r="L1642" i="9"/>
  <c r="M1642" i="9"/>
  <c r="L1643" i="9"/>
  <c r="M1643" i="9"/>
  <c r="L1644" i="9"/>
  <c r="M1644" i="9"/>
  <c r="L1645" i="9"/>
  <c r="M1645" i="9"/>
  <c r="L1646" i="9"/>
  <c r="M1646" i="9"/>
  <c r="L1647" i="9"/>
  <c r="M1647" i="9"/>
  <c r="L1648" i="9"/>
  <c r="M1648" i="9"/>
  <c r="L1649" i="9"/>
  <c r="M1649" i="9"/>
  <c r="L1650" i="9"/>
  <c r="M1650" i="9"/>
  <c r="L1651" i="9"/>
  <c r="M1651" i="9"/>
  <c r="L1652" i="9"/>
  <c r="M1652" i="9"/>
  <c r="L1653" i="9"/>
  <c r="M1653" i="9"/>
  <c r="L1654" i="9"/>
  <c r="M1654" i="9"/>
  <c r="L1655" i="9"/>
  <c r="M1655" i="9"/>
  <c r="L1656" i="9"/>
  <c r="M1656" i="9"/>
  <c r="L1657" i="9"/>
  <c r="M1657" i="9"/>
  <c r="L1658" i="9"/>
  <c r="M1658" i="9"/>
  <c r="L1659" i="9"/>
  <c r="M1659" i="9"/>
  <c r="L1660" i="9"/>
  <c r="M1660" i="9"/>
  <c r="L1661" i="9"/>
  <c r="M1661" i="9"/>
  <c r="L1662" i="9"/>
  <c r="M1662" i="9"/>
  <c r="L1663" i="9"/>
  <c r="M1663" i="9"/>
  <c r="L1664" i="9"/>
  <c r="M1664" i="9"/>
  <c r="L1665" i="9"/>
  <c r="M1665" i="9"/>
  <c r="L1666" i="9"/>
  <c r="M1666" i="9"/>
  <c r="L1667" i="9"/>
  <c r="M1667" i="9"/>
  <c r="L1668" i="9"/>
  <c r="M1668" i="9"/>
  <c r="L1669" i="9"/>
  <c r="M1669" i="9"/>
  <c r="L1670" i="9"/>
  <c r="M1670" i="9"/>
  <c r="L1671" i="9"/>
  <c r="M1671" i="9"/>
  <c r="L1672" i="9"/>
  <c r="M1672" i="9"/>
  <c r="L1673" i="9"/>
  <c r="M1673" i="9"/>
  <c r="L1674" i="9"/>
  <c r="M1674" i="9"/>
  <c r="L1675" i="9"/>
  <c r="M1675" i="9"/>
  <c r="L1676" i="9"/>
  <c r="M1676" i="9"/>
  <c r="L1677" i="9"/>
  <c r="M1677" i="9"/>
  <c r="L1678" i="9"/>
  <c r="M1678" i="9"/>
  <c r="L1679" i="9"/>
  <c r="M1679" i="9"/>
  <c r="L1680" i="9"/>
  <c r="M1680" i="9"/>
  <c r="L1681" i="9"/>
  <c r="M1681" i="9"/>
  <c r="L1682" i="9"/>
  <c r="M1682" i="9"/>
  <c r="L1683" i="9"/>
  <c r="M1683" i="9"/>
  <c r="L1684" i="9"/>
  <c r="M1684" i="9"/>
  <c r="L1685" i="9"/>
  <c r="M1685" i="9"/>
  <c r="L1686" i="9"/>
  <c r="M1686" i="9"/>
  <c r="L1687" i="9"/>
  <c r="M1687" i="9"/>
  <c r="L1688" i="9"/>
  <c r="M1688" i="9"/>
  <c r="L1689" i="9"/>
  <c r="M1689" i="9"/>
  <c r="L1690" i="9"/>
  <c r="M1690" i="9"/>
  <c r="L1691" i="9"/>
  <c r="M1691" i="9"/>
  <c r="L1692" i="9"/>
  <c r="M1692" i="9"/>
  <c r="L1693" i="9"/>
  <c r="M1693" i="9"/>
  <c r="L1694" i="9"/>
  <c r="M1694" i="9"/>
  <c r="L1695" i="9"/>
  <c r="M1695" i="9"/>
  <c r="L1696" i="9"/>
  <c r="M1696" i="9"/>
  <c r="L1697" i="9"/>
  <c r="M1697" i="9"/>
  <c r="L1698" i="9"/>
  <c r="M1698" i="9"/>
  <c r="L1699" i="9"/>
  <c r="M1699" i="9"/>
  <c r="L1700" i="9"/>
  <c r="M1700" i="9"/>
  <c r="L1701" i="9"/>
  <c r="M1701" i="9"/>
  <c r="L1702" i="9"/>
  <c r="M1702" i="9"/>
  <c r="L1703" i="9"/>
  <c r="M1703" i="9"/>
  <c r="L1704" i="9"/>
  <c r="M1704" i="9"/>
  <c r="L1705" i="9"/>
  <c r="M1705" i="9"/>
  <c r="L1706" i="9"/>
  <c r="M1706" i="9"/>
  <c r="L1707" i="9"/>
  <c r="M1707" i="9"/>
  <c r="L1708" i="9"/>
  <c r="M1708" i="9"/>
  <c r="L1709" i="9"/>
  <c r="M1709" i="9"/>
  <c r="L1710" i="9"/>
  <c r="M1710" i="9"/>
  <c r="L1711" i="9"/>
  <c r="M1711" i="9"/>
  <c r="L1712" i="9"/>
  <c r="M1712" i="9"/>
  <c r="L1713" i="9"/>
  <c r="M1713" i="9"/>
  <c r="L1714" i="9"/>
  <c r="M1714" i="9"/>
  <c r="L1715" i="9"/>
  <c r="M1715" i="9"/>
  <c r="L1716" i="9"/>
  <c r="M1716" i="9"/>
  <c r="L1717" i="9"/>
  <c r="M1717" i="9"/>
  <c r="L1718" i="9"/>
  <c r="M1718" i="9"/>
  <c r="L1719" i="9"/>
  <c r="M1719" i="9"/>
  <c r="L1720" i="9"/>
  <c r="M1720" i="9"/>
  <c r="L1721" i="9"/>
  <c r="M1721" i="9"/>
  <c r="L1722" i="9"/>
  <c r="M1722" i="9"/>
  <c r="L1723" i="9"/>
  <c r="M1723" i="9"/>
  <c r="L1724" i="9"/>
  <c r="M1724" i="9"/>
  <c r="L1725" i="9"/>
  <c r="M1725" i="9"/>
  <c r="L1726" i="9"/>
  <c r="M1726" i="9"/>
  <c r="L1727" i="9"/>
  <c r="M1727" i="9"/>
  <c r="L1728" i="9"/>
  <c r="M1728" i="9"/>
  <c r="L1729" i="9"/>
  <c r="M1729" i="9"/>
  <c r="L1730" i="9"/>
  <c r="M1730" i="9"/>
  <c r="L1731" i="9"/>
  <c r="M1731" i="9"/>
  <c r="L1732" i="9"/>
  <c r="M1732" i="9"/>
  <c r="L1733" i="9"/>
  <c r="M1733" i="9"/>
  <c r="L1734" i="9"/>
  <c r="M1734" i="9"/>
  <c r="L1735" i="9"/>
  <c r="M1735" i="9"/>
  <c r="L1736" i="9"/>
  <c r="M1736" i="9"/>
  <c r="L1737" i="9"/>
  <c r="M1737" i="9"/>
  <c r="L1738" i="9"/>
  <c r="M1738" i="9"/>
  <c r="L1739" i="9"/>
  <c r="M1739" i="9"/>
  <c r="L1740" i="9"/>
  <c r="M1740" i="9"/>
  <c r="L1741" i="9"/>
  <c r="M1741" i="9"/>
  <c r="L1742" i="9"/>
  <c r="M1742" i="9"/>
  <c r="L1743" i="9"/>
  <c r="M1743" i="9"/>
  <c r="L1744" i="9"/>
  <c r="M1744" i="9"/>
  <c r="L1745" i="9"/>
  <c r="M1745" i="9"/>
  <c r="L1746" i="9"/>
  <c r="M1746" i="9"/>
  <c r="L1747" i="9"/>
  <c r="M1747" i="9"/>
  <c r="L1748" i="9"/>
  <c r="M1748" i="9"/>
  <c r="L1749" i="9"/>
  <c r="M1749" i="9"/>
  <c r="L1750" i="9"/>
  <c r="M1750" i="9"/>
  <c r="L1751" i="9"/>
  <c r="M1751" i="9"/>
  <c r="L1752" i="9"/>
  <c r="M1752" i="9"/>
  <c r="L1753" i="9"/>
  <c r="M1753" i="9"/>
  <c r="L1754" i="9"/>
  <c r="M1754" i="9"/>
  <c r="L1755" i="9"/>
  <c r="M1755" i="9"/>
  <c r="L1756" i="9"/>
  <c r="M1756" i="9"/>
  <c r="L1757" i="9"/>
  <c r="M1757" i="9"/>
  <c r="L1758" i="9"/>
  <c r="M1758" i="9"/>
  <c r="L1759" i="9"/>
  <c r="M1759" i="9"/>
  <c r="L1760" i="9"/>
  <c r="M1760" i="9"/>
  <c r="L1761" i="9"/>
  <c r="M1761" i="9"/>
  <c r="L1762" i="9"/>
  <c r="M1762" i="9"/>
  <c r="L1763" i="9"/>
  <c r="M1763" i="9"/>
  <c r="L1764" i="9"/>
  <c r="M1764" i="9"/>
  <c r="L1765" i="9"/>
  <c r="M1765" i="9"/>
  <c r="L1766" i="9"/>
  <c r="M1766" i="9"/>
  <c r="L1767" i="9"/>
  <c r="M1767" i="9"/>
  <c r="L1768" i="9"/>
  <c r="M1768" i="9"/>
  <c r="L1769" i="9"/>
  <c r="M1769" i="9"/>
  <c r="L1770" i="9"/>
  <c r="M1770" i="9"/>
  <c r="L1771" i="9"/>
  <c r="M1771" i="9"/>
  <c r="L1772" i="9"/>
  <c r="M1772" i="9"/>
  <c r="L1773" i="9"/>
  <c r="M1773" i="9"/>
  <c r="L1774" i="9"/>
  <c r="M1774" i="9"/>
  <c r="L1775" i="9"/>
  <c r="M1775" i="9"/>
  <c r="L1776" i="9"/>
  <c r="M1776" i="9"/>
  <c r="L1777" i="9"/>
  <c r="M1777" i="9"/>
  <c r="L1778" i="9"/>
  <c r="M1778" i="9"/>
  <c r="L1779" i="9"/>
  <c r="M1779" i="9"/>
  <c r="L1780" i="9"/>
  <c r="M1780" i="9"/>
  <c r="L1781" i="9"/>
  <c r="M1781" i="9"/>
  <c r="L1782" i="9"/>
  <c r="M1782" i="9"/>
  <c r="L1783" i="9"/>
  <c r="M1783" i="9"/>
  <c r="L1784" i="9"/>
  <c r="M1784" i="9"/>
  <c r="L1785" i="9"/>
  <c r="M1785" i="9"/>
  <c r="L1786" i="9"/>
  <c r="M1786" i="9"/>
  <c r="L1787" i="9"/>
  <c r="M1787" i="9"/>
  <c r="L1788" i="9"/>
  <c r="M1788" i="9"/>
  <c r="L1789" i="9"/>
  <c r="M1789" i="9"/>
  <c r="L1790" i="9"/>
  <c r="M1790" i="9"/>
  <c r="L1791" i="9"/>
  <c r="M1791" i="9"/>
  <c r="L1792" i="9"/>
  <c r="M1792" i="9"/>
  <c r="L1793" i="9"/>
  <c r="M1793" i="9"/>
  <c r="L1794" i="9"/>
  <c r="M1794" i="9"/>
  <c r="L1795" i="9"/>
  <c r="M1795" i="9"/>
  <c r="L1796" i="9"/>
  <c r="M1796" i="9"/>
  <c r="L1797" i="9"/>
  <c r="M1797" i="9"/>
  <c r="L1798" i="9"/>
  <c r="M1798" i="9"/>
  <c r="L1799" i="9"/>
  <c r="M1799" i="9"/>
  <c r="L1800" i="9"/>
  <c r="M1800" i="9"/>
  <c r="L1801" i="9"/>
  <c r="M1801" i="9"/>
  <c r="L1802" i="9"/>
  <c r="M1802" i="9"/>
  <c r="L1803" i="9"/>
  <c r="M1803" i="9"/>
  <c r="L1804" i="9"/>
  <c r="M1804" i="9"/>
  <c r="L1805" i="9"/>
  <c r="M1805" i="9"/>
  <c r="L1806" i="9"/>
  <c r="M1806" i="9"/>
  <c r="L1807" i="9"/>
  <c r="M1807" i="9"/>
  <c r="L1808" i="9"/>
  <c r="M1808" i="9"/>
  <c r="L1809" i="9"/>
  <c r="M1809" i="9"/>
  <c r="L1810" i="9"/>
  <c r="M1810" i="9"/>
  <c r="L1811" i="9"/>
  <c r="M1811" i="9"/>
  <c r="L1812" i="9"/>
  <c r="M1812" i="9"/>
  <c r="L1813" i="9"/>
  <c r="M1813" i="9"/>
  <c r="L1814" i="9"/>
  <c r="M1814" i="9"/>
  <c r="L1815" i="9"/>
  <c r="M1815" i="9"/>
  <c r="L1816" i="9"/>
  <c r="M1816" i="9"/>
  <c r="L1817" i="9"/>
  <c r="M1817" i="9"/>
  <c r="L1818" i="9"/>
  <c r="M1818" i="9"/>
  <c r="L1819" i="9"/>
  <c r="M1819" i="9"/>
  <c r="L1820" i="9"/>
  <c r="M1820" i="9"/>
  <c r="L1821" i="9"/>
  <c r="M1821" i="9"/>
  <c r="L1822" i="9"/>
  <c r="M1822" i="9"/>
  <c r="L1823" i="9"/>
  <c r="M1823" i="9"/>
  <c r="L1824" i="9"/>
  <c r="M1824" i="9"/>
  <c r="L1825" i="9"/>
  <c r="M1825" i="9"/>
  <c r="L1826" i="9"/>
  <c r="M1826" i="9"/>
  <c r="L1827" i="9"/>
  <c r="M1827" i="9"/>
  <c r="L1828" i="9"/>
  <c r="M1828" i="9"/>
  <c r="L1829" i="9"/>
  <c r="M1829" i="9"/>
  <c r="L1830" i="9"/>
  <c r="M1830" i="9"/>
  <c r="L1831" i="9"/>
  <c r="M1831" i="9"/>
  <c r="L1832" i="9"/>
  <c r="M1832" i="9"/>
  <c r="L1833" i="9"/>
  <c r="M1833" i="9"/>
  <c r="L1834" i="9"/>
  <c r="M1834" i="9"/>
  <c r="L1835" i="9"/>
  <c r="M1835" i="9"/>
  <c r="L1836" i="9"/>
  <c r="M1836" i="9"/>
  <c r="L1837" i="9"/>
  <c r="M1837" i="9"/>
  <c r="L1838" i="9"/>
  <c r="M1838" i="9"/>
  <c r="L1839" i="9"/>
  <c r="M1839" i="9"/>
  <c r="L1840" i="9"/>
  <c r="M1840" i="9"/>
  <c r="L1841" i="9"/>
  <c r="M1841" i="9"/>
  <c r="L1842" i="9"/>
  <c r="M1842" i="9"/>
  <c r="L1843" i="9"/>
  <c r="M1843" i="9"/>
  <c r="L1844" i="9"/>
  <c r="M1844" i="9"/>
  <c r="L1845" i="9"/>
  <c r="M1845" i="9"/>
  <c r="L1846" i="9"/>
  <c r="M1846" i="9"/>
  <c r="L1847" i="9"/>
  <c r="M1847" i="9"/>
  <c r="L1848" i="9"/>
  <c r="M1848" i="9"/>
  <c r="L1849" i="9"/>
  <c r="M1849" i="9"/>
  <c r="L1850" i="9"/>
  <c r="M1850" i="9"/>
  <c r="L1851" i="9"/>
  <c r="M1851" i="9"/>
  <c r="L1852" i="9"/>
  <c r="M1852" i="9"/>
  <c r="L1853" i="9"/>
  <c r="M1853" i="9"/>
  <c r="L1854" i="9"/>
  <c r="M1854" i="9"/>
  <c r="L1855" i="9"/>
  <c r="M1855" i="9"/>
  <c r="L1856" i="9"/>
  <c r="M1856" i="9"/>
  <c r="L1857" i="9"/>
  <c r="M1857" i="9"/>
  <c r="L1858" i="9"/>
  <c r="M1858" i="9"/>
  <c r="L1859" i="9"/>
  <c r="M1859" i="9"/>
  <c r="L1860" i="9"/>
  <c r="M1860" i="9"/>
  <c r="L1861" i="9"/>
  <c r="M1861" i="9"/>
  <c r="L1862" i="9"/>
  <c r="M1862" i="9"/>
  <c r="L1863" i="9"/>
  <c r="M1863" i="9"/>
  <c r="L1864" i="9"/>
  <c r="M1864" i="9"/>
  <c r="L1865" i="9"/>
  <c r="M1865" i="9"/>
  <c r="L1866" i="9"/>
  <c r="M1866" i="9"/>
  <c r="L1867" i="9"/>
  <c r="M1867" i="9"/>
  <c r="L1868" i="9"/>
  <c r="M1868" i="9"/>
  <c r="L1869" i="9"/>
  <c r="M1869" i="9"/>
  <c r="L1870" i="9"/>
  <c r="M1870" i="9"/>
  <c r="L1871" i="9"/>
  <c r="M1871" i="9"/>
  <c r="L1872" i="9"/>
  <c r="M1872" i="9"/>
  <c r="L1873" i="9"/>
  <c r="M1873" i="9"/>
  <c r="L1874" i="9"/>
  <c r="M1874" i="9"/>
  <c r="L1875" i="9"/>
  <c r="M1875" i="9"/>
  <c r="L1876" i="9"/>
  <c r="M1876" i="9"/>
  <c r="L1877" i="9"/>
  <c r="M1877" i="9"/>
  <c r="L1878" i="9"/>
  <c r="M1878" i="9"/>
  <c r="L1879" i="9"/>
  <c r="M1879" i="9"/>
  <c r="L1880" i="9"/>
  <c r="M1880" i="9"/>
  <c r="L1881" i="9"/>
  <c r="M1881" i="9"/>
  <c r="L1882" i="9"/>
  <c r="M1882" i="9"/>
  <c r="L1883" i="9"/>
  <c r="M1883" i="9"/>
  <c r="L1884" i="9"/>
  <c r="M1884" i="9"/>
  <c r="L1885" i="9"/>
  <c r="M1885" i="9"/>
  <c r="L1886" i="9"/>
  <c r="M1886" i="9"/>
  <c r="L1887" i="9"/>
  <c r="M1887" i="9"/>
  <c r="L1888" i="9"/>
  <c r="M1888" i="9"/>
  <c r="L1889" i="9"/>
  <c r="M1889" i="9"/>
  <c r="L1890" i="9"/>
  <c r="M1890" i="9"/>
  <c r="L1891" i="9"/>
  <c r="M1891" i="9"/>
  <c r="L1892" i="9"/>
  <c r="M1892" i="9"/>
  <c r="L1893" i="9"/>
  <c r="M1893" i="9"/>
  <c r="L1894" i="9"/>
  <c r="M1894" i="9"/>
  <c r="L1895" i="9"/>
  <c r="M1895" i="9"/>
  <c r="L1896" i="9"/>
  <c r="M1896" i="9"/>
  <c r="L1897" i="9"/>
  <c r="M1897" i="9"/>
  <c r="L1898" i="9"/>
  <c r="M1898" i="9"/>
  <c r="L1899" i="9"/>
  <c r="M1899" i="9"/>
  <c r="L1900" i="9"/>
  <c r="M1900" i="9"/>
  <c r="L1901" i="9"/>
  <c r="M1901" i="9"/>
  <c r="L1902" i="9"/>
  <c r="M1902" i="9"/>
  <c r="L1903" i="9"/>
  <c r="M1903" i="9"/>
  <c r="L1904" i="9"/>
  <c r="M1904" i="9"/>
  <c r="L1905" i="9"/>
  <c r="M1905" i="9"/>
  <c r="L1906" i="9"/>
  <c r="M1906" i="9"/>
  <c r="L1907" i="9"/>
  <c r="M1907" i="9"/>
  <c r="L1908" i="9"/>
  <c r="M1908" i="9"/>
  <c r="L1909" i="9"/>
  <c r="M1909" i="9"/>
  <c r="L1910" i="9"/>
  <c r="M1910" i="9"/>
  <c r="L1911" i="9"/>
  <c r="M1911" i="9"/>
  <c r="L1912" i="9"/>
  <c r="M1912" i="9"/>
  <c r="L1913" i="9"/>
  <c r="M1913" i="9"/>
  <c r="L1914" i="9"/>
  <c r="M1914" i="9"/>
  <c r="L1915" i="9"/>
  <c r="M1915" i="9"/>
  <c r="L1916" i="9"/>
  <c r="M1916" i="9"/>
  <c r="L1917" i="9"/>
  <c r="M1917" i="9"/>
  <c r="L1918" i="9"/>
  <c r="M1918" i="9"/>
  <c r="L1919" i="9"/>
  <c r="M1919" i="9"/>
  <c r="L1920" i="9"/>
  <c r="M1920" i="9"/>
  <c r="L1921" i="9"/>
  <c r="M1921" i="9"/>
  <c r="L1922" i="9"/>
  <c r="M1922" i="9"/>
  <c r="L1923" i="9"/>
  <c r="M1923" i="9"/>
  <c r="L1924" i="9"/>
  <c r="M1924" i="9"/>
  <c r="L1925" i="9"/>
  <c r="M1925" i="9"/>
  <c r="L1926" i="9"/>
  <c r="M1926" i="9"/>
  <c r="L1927" i="9"/>
  <c r="M1927" i="9"/>
  <c r="L1928" i="9"/>
  <c r="M1928" i="9"/>
  <c r="L1929" i="9"/>
  <c r="M1929" i="9"/>
  <c r="L1930" i="9"/>
  <c r="M1930" i="9"/>
  <c r="L1931" i="9"/>
  <c r="M1931" i="9"/>
  <c r="L1932" i="9"/>
  <c r="M1932" i="9"/>
  <c r="L1933" i="9"/>
  <c r="M1933" i="9"/>
  <c r="L1934" i="9"/>
  <c r="M1934" i="9"/>
  <c r="L1935" i="9"/>
  <c r="M1935" i="9"/>
  <c r="L1936" i="9"/>
  <c r="M1936" i="9"/>
  <c r="L1937" i="9"/>
  <c r="M1937" i="9"/>
  <c r="L1938" i="9"/>
  <c r="M1938" i="9"/>
  <c r="L1939" i="9"/>
  <c r="M1939" i="9"/>
  <c r="L1940" i="9"/>
  <c r="M1940" i="9"/>
  <c r="L1941" i="9"/>
  <c r="M1941" i="9"/>
  <c r="L1942" i="9"/>
  <c r="M1942" i="9"/>
  <c r="L1943" i="9"/>
  <c r="M1943" i="9"/>
  <c r="L1944" i="9"/>
  <c r="M1944" i="9"/>
  <c r="L1945" i="9"/>
  <c r="M1945" i="9"/>
  <c r="L1946" i="9"/>
  <c r="M1946" i="9"/>
  <c r="L1947" i="9"/>
  <c r="M1947" i="9"/>
  <c r="L1948" i="9"/>
  <c r="M1948" i="9"/>
  <c r="L1949" i="9"/>
  <c r="M1949" i="9"/>
  <c r="L1950" i="9"/>
  <c r="M1950" i="9"/>
  <c r="L1951" i="9"/>
  <c r="M1951" i="9"/>
  <c r="L1952" i="9"/>
  <c r="M1952" i="9"/>
  <c r="L1953" i="9"/>
  <c r="M1953" i="9"/>
  <c r="L1954" i="9"/>
  <c r="M1954" i="9"/>
  <c r="L1955" i="9"/>
  <c r="M1955" i="9"/>
  <c r="L1956" i="9"/>
  <c r="M1956" i="9"/>
  <c r="L1957" i="9"/>
  <c r="M1957" i="9"/>
  <c r="L1958" i="9"/>
  <c r="M1958" i="9"/>
  <c r="L1959" i="9"/>
  <c r="M1959" i="9"/>
  <c r="L1960" i="9"/>
  <c r="M1960" i="9"/>
  <c r="L1961" i="9"/>
  <c r="M1961" i="9"/>
  <c r="L1962" i="9"/>
  <c r="M1962" i="9"/>
  <c r="L1963" i="9"/>
  <c r="M1963" i="9"/>
  <c r="L1964" i="9"/>
  <c r="M1964" i="9"/>
  <c r="L1965" i="9"/>
  <c r="M1965" i="9"/>
  <c r="L1966" i="9"/>
  <c r="M1966" i="9"/>
  <c r="L1967" i="9"/>
  <c r="M1967" i="9"/>
  <c r="L1968" i="9"/>
  <c r="M1968" i="9"/>
  <c r="L1969" i="9"/>
  <c r="M1969" i="9"/>
  <c r="L1970" i="9"/>
  <c r="M1970" i="9"/>
  <c r="L1971" i="9"/>
  <c r="M1971" i="9"/>
  <c r="L1972" i="9"/>
  <c r="M1972" i="9"/>
  <c r="L1973" i="9"/>
  <c r="M1973" i="9"/>
  <c r="L1974" i="9"/>
  <c r="M1974" i="9"/>
  <c r="L1975" i="9"/>
  <c r="M1975" i="9"/>
  <c r="L1976" i="9"/>
  <c r="M1976" i="9"/>
  <c r="L1977" i="9"/>
  <c r="M1977" i="9"/>
  <c r="L1978" i="9"/>
  <c r="M1978" i="9"/>
  <c r="L1979" i="9"/>
  <c r="M1979" i="9"/>
  <c r="L1980" i="9"/>
  <c r="M1980" i="9"/>
  <c r="L1981" i="9"/>
  <c r="M1981" i="9"/>
  <c r="L1982" i="9"/>
  <c r="M1982" i="9"/>
  <c r="L1983" i="9"/>
  <c r="M1983" i="9"/>
  <c r="L1984" i="9"/>
  <c r="M1984" i="9"/>
  <c r="L1985" i="9"/>
  <c r="M1985" i="9"/>
  <c r="L1986" i="9"/>
  <c r="M1986" i="9"/>
  <c r="L1987" i="9"/>
  <c r="M1987" i="9"/>
  <c r="L1988" i="9"/>
  <c r="M1988" i="9"/>
  <c r="L1989" i="9"/>
  <c r="M1989" i="9"/>
  <c r="L1990" i="9"/>
  <c r="M1990" i="9"/>
  <c r="L1991" i="9"/>
  <c r="M1991" i="9"/>
  <c r="M10" i="9"/>
  <c r="I173" i="20" s="1"/>
  <c r="H173" i="20"/>
  <c r="K1993" i="9"/>
  <c r="K6" i="9" s="1"/>
  <c r="J1993" i="9"/>
  <c r="I1993" i="9"/>
  <c r="I6" i="9" s="1"/>
  <c r="H1993" i="9"/>
  <c r="G1993" i="9"/>
  <c r="G6" i="9" s="1"/>
  <c r="F1993" i="9"/>
  <c r="F6" i="9" s="1"/>
  <c r="I20" i="14"/>
  <c r="J20" i="14" s="1"/>
  <c r="J22" i="14" s="1"/>
  <c r="F22" i="14"/>
  <c r="E22" i="14"/>
  <c r="C22" i="14"/>
  <c r="B22" i="14"/>
  <c r="D20" i="14"/>
  <c r="D22" i="14" s="1"/>
  <c r="D14" i="14"/>
  <c r="C14" i="14"/>
  <c r="B14" i="14"/>
  <c r="G9" i="14"/>
  <c r="G10" i="14"/>
  <c r="G11" i="14"/>
  <c r="G12" i="14"/>
  <c r="G8" i="14"/>
  <c r="E9" i="14"/>
  <c r="E10" i="14"/>
  <c r="E11" i="14"/>
  <c r="E12" i="14"/>
  <c r="E8" i="14"/>
  <c r="I171" i="20" l="1"/>
  <c r="H171" i="20"/>
  <c r="I99" i="20"/>
  <c r="I94" i="20"/>
  <c r="H99" i="20"/>
  <c r="H94" i="20"/>
  <c r="I21" i="20"/>
  <c r="I19" i="20"/>
  <c r="I16" i="20"/>
  <c r="H21" i="20"/>
  <c r="H19" i="20"/>
  <c r="H16" i="20"/>
  <c r="I11" i="14"/>
  <c r="J11" i="14" s="1"/>
  <c r="I8" i="14"/>
  <c r="J8" i="14" s="1"/>
  <c r="K8" i="14" s="1"/>
  <c r="I9" i="14"/>
  <c r="J9" i="14" s="1"/>
  <c r="K9" i="14" s="1"/>
  <c r="L1993" i="9"/>
  <c r="L6" i="9" s="1"/>
  <c r="G5" i="9"/>
  <c r="K1994" i="9"/>
  <c r="J6" i="9"/>
  <c r="K5" i="9" s="1"/>
  <c r="I1994" i="9"/>
  <c r="H6" i="9"/>
  <c r="I5" i="9" s="1"/>
  <c r="G1994" i="9"/>
  <c r="M1993" i="9"/>
  <c r="M6" i="9" s="1"/>
  <c r="I22" i="14"/>
  <c r="G20" i="14"/>
  <c r="G14" i="14"/>
  <c r="K11" i="14"/>
  <c r="I10" i="14"/>
  <c r="J10" i="14" s="1"/>
  <c r="E14" i="14"/>
  <c r="I12" i="14"/>
  <c r="J12" i="14" s="1"/>
  <c r="K12" i="14" s="1"/>
  <c r="K96" i="15"/>
  <c r="G18" i="15"/>
  <c r="K17" i="15"/>
  <c r="I18" i="15"/>
  <c r="I86" i="15" s="1"/>
  <c r="M35" i="17" s="1"/>
  <c r="G20" i="17"/>
  <c r="H20" i="17"/>
  <c r="G21" i="17"/>
  <c r="H21" i="17"/>
  <c r="G22" i="17"/>
  <c r="H22" i="17"/>
  <c r="C20" i="17"/>
  <c r="C21" i="17"/>
  <c r="C22" i="17"/>
  <c r="C9" i="17"/>
  <c r="C10" i="17"/>
  <c r="C11" i="17"/>
  <c r="C12" i="17"/>
  <c r="C13" i="17"/>
  <c r="C14" i="17"/>
  <c r="C15" i="17"/>
  <c r="C16" i="17"/>
  <c r="G14" i="17"/>
  <c r="H14" i="17"/>
  <c r="G15" i="17"/>
  <c r="H15" i="17"/>
  <c r="G16" i="17"/>
  <c r="H16" i="17"/>
  <c r="C19" i="17"/>
  <c r="H13" i="17"/>
  <c r="H12" i="17"/>
  <c r="G12" i="17"/>
  <c r="H11" i="17"/>
  <c r="H10" i="17"/>
  <c r="G9" i="17"/>
  <c r="G8" i="17"/>
  <c r="C8" i="17"/>
  <c r="M5" i="9" l="1"/>
  <c r="I306" i="20"/>
  <c r="I6" i="20" s="1"/>
  <c r="H306" i="20"/>
  <c r="M1994" i="9"/>
  <c r="G22" i="14"/>
  <c r="K20" i="14"/>
  <c r="K22" i="14" s="1"/>
  <c r="K10" i="14"/>
  <c r="K14" i="14" s="1"/>
  <c r="J14" i="14"/>
  <c r="I14" i="14"/>
  <c r="K111" i="15"/>
  <c r="K62" i="15"/>
  <c r="K9" i="15"/>
  <c r="G90" i="15"/>
  <c r="K47" i="15"/>
  <c r="K18" i="15"/>
  <c r="I6" i="15" s="1"/>
  <c r="I32" i="15" s="1"/>
  <c r="G10" i="17"/>
  <c r="H9" i="17"/>
  <c r="G13" i="17"/>
  <c r="G19" i="17"/>
  <c r="H8" i="17"/>
  <c r="G11" i="17"/>
  <c r="H19" i="17"/>
  <c r="H6" i="20" l="1"/>
  <c r="I5" i="20" s="1"/>
  <c r="I307" i="20"/>
  <c r="I60" i="15"/>
  <c r="I59" i="15"/>
  <c r="I58" i="15"/>
  <c r="I57" i="15"/>
  <c r="I56" i="15"/>
  <c r="I55" i="15"/>
  <c r="I53" i="15"/>
  <c r="I52" i="15"/>
  <c r="I54" i="15"/>
  <c r="I40" i="15"/>
  <c r="I41" i="15"/>
  <c r="I42" i="15"/>
  <c r="I43" i="15"/>
  <c r="I44" i="15"/>
  <c r="I45" i="15"/>
  <c r="I73" i="15"/>
  <c r="I51" i="15"/>
  <c r="I37" i="15"/>
  <c r="I26" i="15"/>
  <c r="I20" i="15"/>
  <c r="I22" i="15" s="1"/>
  <c r="I27" i="15"/>
  <c r="I31" i="15"/>
  <c r="I39" i="15"/>
  <c r="I24" i="15"/>
  <c r="I38" i="15"/>
  <c r="I25" i="15"/>
  <c r="G6" i="15"/>
  <c r="G32" i="15" s="1"/>
  <c r="K22" i="15"/>
  <c r="G24" i="17"/>
  <c r="H24" i="17"/>
  <c r="K29" i="15" l="1"/>
  <c r="B22" i="15"/>
  <c r="G54" i="15"/>
  <c r="G60" i="15"/>
  <c r="G59" i="15"/>
  <c r="G58" i="15"/>
  <c r="G57" i="15"/>
  <c r="G56" i="15"/>
  <c r="G55" i="15"/>
  <c r="G53" i="15"/>
  <c r="G52" i="15"/>
  <c r="G73" i="15"/>
  <c r="G40" i="15"/>
  <c r="G41" i="15"/>
  <c r="G42" i="15"/>
  <c r="G43" i="15"/>
  <c r="G44" i="15"/>
  <c r="G45" i="15"/>
  <c r="G26" i="15"/>
  <c r="G51" i="15"/>
  <c r="G39" i="15"/>
  <c r="G31" i="15"/>
  <c r="G25" i="15"/>
  <c r="K6" i="15"/>
  <c r="G20" i="15"/>
  <c r="G22" i="15" s="1"/>
  <c r="G27" i="15"/>
  <c r="G38" i="15"/>
  <c r="G37" i="15"/>
  <c r="G24" i="15"/>
  <c r="I47" i="15"/>
  <c r="I29" i="15"/>
  <c r="I34" i="15" s="1"/>
  <c r="I62" i="15"/>
  <c r="H26" i="17"/>
  <c r="A26" i="17" s="1"/>
  <c r="G47" i="15" l="1"/>
  <c r="K34" i="15"/>
  <c r="B29" i="15"/>
  <c r="I64" i="15"/>
  <c r="G29" i="15"/>
  <c r="G34" i="15" s="1"/>
  <c r="G62" i="15"/>
  <c r="H28" i="17"/>
  <c r="H32" i="17" l="1"/>
  <c r="F52" i="17" s="1"/>
  <c r="B34" i="15"/>
  <c r="K64" i="15"/>
  <c r="K67" i="15"/>
  <c r="I88" i="15" s="1"/>
  <c r="L35" i="17" s="1"/>
  <c r="G64" i="15"/>
  <c r="H52" i="17" l="1"/>
  <c r="K68" i="15"/>
  <c r="I68" i="15" s="1"/>
  <c r="B64" i="15"/>
  <c r="I67" i="15"/>
  <c r="I74" i="15" s="1"/>
  <c r="I75" i="15" s="1"/>
  <c r="G67" i="15"/>
  <c r="G74" i="15" s="1"/>
  <c r="G75" i="15" s="1"/>
  <c r="K74" i="15"/>
  <c r="K75" i="15" s="1"/>
  <c r="G68" i="15" l="1"/>
  <c r="G69" i="15" s="1"/>
  <c r="G71" i="15" s="1"/>
  <c r="G77" i="15" s="1"/>
  <c r="K69" i="15"/>
  <c r="K71" i="15" s="1"/>
  <c r="B71" i="15" s="1"/>
  <c r="I69" i="15"/>
  <c r="I71" i="15" s="1"/>
  <c r="I77" i="15" s="1"/>
  <c r="I87" i="15" s="1"/>
  <c r="K35" i="17" s="1"/>
  <c r="T35" i="17" l="1"/>
  <c r="N35" i="17" s="1"/>
  <c r="O35" i="17" s="1"/>
  <c r="K77" i="15"/>
  <c r="B77" i="15" s="1"/>
  <c r="I90" i="15"/>
  <c r="K90" i="15" s="1"/>
  <c r="K113" i="15" s="1"/>
  <c r="N37" i="17" l="1"/>
  <c r="O37" i="17"/>
  <c r="K115" i="15"/>
  <c r="B115" i="15" s="1"/>
  <c r="B113" i="15"/>
  <c r="R35" i="17" l="1"/>
  <c r="H34" i="17" s="1"/>
  <c r="H36" i="17" s="1"/>
  <c r="H51" i="17" l="1"/>
  <c r="F44" i="17" s="1"/>
  <c r="A13" i="6" l="1"/>
  <c r="A15" i="6" s="1"/>
  <c r="A20" i="6" s="1"/>
  <c r="A32" i="6" s="1"/>
  <c r="N34" i="2"/>
  <c r="L34" i="2"/>
  <c r="B621" i="8"/>
  <c r="N627" i="8"/>
  <c r="N30" i="2" s="1"/>
  <c r="L627" i="8"/>
  <c r="L30" i="2" s="1"/>
  <c r="N619" i="8"/>
  <c r="N24" i="2" s="1"/>
  <c r="L619" i="8"/>
  <c r="L24" i="2" s="1"/>
  <c r="B614" i="8"/>
  <c r="N606" i="8"/>
  <c r="N23" i="2" s="1"/>
  <c r="L606" i="8"/>
  <c r="L23" i="2" s="1"/>
  <c r="B601" i="8"/>
  <c r="N599" i="8"/>
  <c r="N17" i="2" s="1"/>
  <c r="L599" i="8"/>
  <c r="L17" i="2" s="1"/>
  <c r="B594" i="8"/>
  <c r="N564" i="8"/>
  <c r="N16" i="2" s="1"/>
  <c r="L564" i="8"/>
  <c r="L16" i="2" s="1"/>
  <c r="B558" i="8"/>
  <c r="N531" i="8"/>
  <c r="N15" i="2" s="1"/>
  <c r="L531" i="8"/>
  <c r="L15" i="2" s="1"/>
  <c r="B523" i="8"/>
  <c r="N516" i="8"/>
  <c r="N14" i="2" s="1"/>
  <c r="L516" i="8"/>
  <c r="L14" i="2" s="1"/>
  <c r="B511" i="8"/>
  <c r="B499" i="8"/>
  <c r="N504" i="8"/>
  <c r="N422" i="8" s="1"/>
  <c r="L504" i="8"/>
  <c r="L422" i="8" s="1"/>
  <c r="N480" i="8"/>
  <c r="L480" i="8"/>
  <c r="N439" i="8"/>
  <c r="L431" i="8"/>
  <c r="L439" i="8" s="1"/>
  <c r="B475" i="8"/>
  <c r="B463" i="8"/>
  <c r="N468" i="8"/>
  <c r="N420" i="8" s="1"/>
  <c r="L468" i="8"/>
  <c r="L420" i="8" s="1"/>
  <c r="B426" i="8"/>
  <c r="B418" i="8"/>
  <c r="N454" i="8"/>
  <c r="L454" i="8"/>
  <c r="N449" i="8"/>
  <c r="L449" i="8"/>
  <c r="N414" i="8"/>
  <c r="L414" i="8"/>
  <c r="N19" i="2" l="1"/>
  <c r="L19" i="2"/>
  <c r="A36" i="6"/>
  <c r="A73" i="6" s="1"/>
  <c r="L456" i="8"/>
  <c r="N456" i="8"/>
  <c r="L487" i="8"/>
  <c r="L421" i="8" s="1"/>
  <c r="N487" i="8"/>
  <c r="N421" i="8" s="1"/>
  <c r="B398" i="8"/>
  <c r="N408" i="8"/>
  <c r="L408" i="8"/>
  <c r="B273" i="8"/>
  <c r="N278" i="8"/>
  <c r="L278" i="8"/>
  <c r="N286" i="8"/>
  <c r="L286" i="8"/>
  <c r="B258" i="8"/>
  <c r="N37" i="1"/>
  <c r="L37" i="1"/>
  <c r="N36" i="1"/>
  <c r="L36" i="1"/>
  <c r="B244" i="8"/>
  <c r="N226" i="8"/>
  <c r="N230" i="8" s="1"/>
  <c r="L226" i="8"/>
  <c r="L230" i="8" s="1"/>
  <c r="B220" i="8"/>
  <c r="B215" i="8"/>
  <c r="B199" i="8"/>
  <c r="N206" i="8"/>
  <c r="N208" i="8" s="1"/>
  <c r="N24" i="1" s="1"/>
  <c r="L206" i="8"/>
  <c r="L208" i="8" s="1"/>
  <c r="L24" i="1" s="1"/>
  <c r="N158" i="8"/>
  <c r="L158" i="8"/>
  <c r="N151" i="8"/>
  <c r="L151" i="8"/>
  <c r="N141" i="8"/>
  <c r="N143" i="8" s="1"/>
  <c r="N14" i="1" s="1"/>
  <c r="L141" i="8"/>
  <c r="L143" i="8" s="1"/>
  <c r="L14" i="1" s="1"/>
  <c r="B133" i="8"/>
  <c r="B186" i="8"/>
  <c r="N197" i="8"/>
  <c r="N22" i="1" s="1"/>
  <c r="L197" i="8"/>
  <c r="L22" i="1" s="1"/>
  <c r="N184" i="8"/>
  <c r="N21" i="1" s="1"/>
  <c r="L184" i="8"/>
  <c r="L21" i="1" s="1"/>
  <c r="B180" i="8"/>
  <c r="B170" i="8"/>
  <c r="N79" i="8"/>
  <c r="L79" i="8"/>
  <c r="B63" i="8"/>
  <c r="N71" i="8"/>
  <c r="N11" i="1" s="1"/>
  <c r="L71" i="8"/>
  <c r="L11" i="1" s="1"/>
  <c r="N160" i="8" l="1"/>
  <c r="L160" i="8"/>
  <c r="L424" i="8"/>
  <c r="L10" i="2" s="1"/>
  <c r="N424" i="8"/>
  <c r="N10" i="2" s="1"/>
  <c r="L35" i="1"/>
  <c r="N35" i="1"/>
  <c r="L416" i="8"/>
  <c r="L8" i="2" s="1"/>
  <c r="N416" i="8"/>
  <c r="N8" i="2" s="1"/>
  <c r="L288" i="8"/>
  <c r="N288" i="8"/>
  <c r="L178" i="8"/>
  <c r="L20" i="1" s="1"/>
  <c r="N178" i="8"/>
  <c r="N20" i="1" s="1"/>
  <c r="N329" i="8"/>
  <c r="N49" i="1" s="1"/>
  <c r="L329" i="8"/>
  <c r="L49" i="1" s="1"/>
  <c r="J10" i="1" l="1"/>
  <c r="J11" i="1" l="1"/>
  <c r="B45" i="6"/>
  <c r="A5" i="7"/>
  <c r="B82" i="6" s="1"/>
  <c r="A75" i="6"/>
  <c r="A108" i="6" s="1"/>
  <c r="A120" i="6" s="1"/>
  <c r="A134" i="6" s="1"/>
  <c r="A143" i="6" s="1"/>
  <c r="A161" i="6" s="1"/>
  <c r="A181" i="6" s="1"/>
  <c r="A187" i="6" s="1"/>
  <c r="A205" i="6" s="1"/>
  <c r="P8" i="5"/>
  <c r="L69" i="1"/>
  <c r="B69" i="1"/>
  <c r="J14" i="5"/>
  <c r="J16" i="5" s="1"/>
  <c r="J22" i="5" s="1"/>
  <c r="J5" i="5"/>
  <c r="N5" i="5"/>
  <c r="L5" i="5"/>
  <c r="H5" i="5"/>
  <c r="L14" i="5"/>
  <c r="L16" i="5" s="1"/>
  <c r="L22" i="5" s="1"/>
  <c r="H14" i="5"/>
  <c r="H16" i="5" s="1"/>
  <c r="H22" i="5" s="1"/>
  <c r="N5" i="1"/>
  <c r="L5" i="1"/>
  <c r="L6" i="4"/>
  <c r="J5" i="4"/>
  <c r="L6" i="3"/>
  <c r="J5" i="3"/>
  <c r="L6" i="2"/>
  <c r="C2" i="19"/>
  <c r="C3" i="19"/>
  <c r="F5" i="5"/>
  <c r="H16" i="7" l="1"/>
  <c r="B677" i="8"/>
  <c r="B683" i="8"/>
  <c r="N82" i="8"/>
  <c r="L82" i="8"/>
  <c r="B49" i="6"/>
  <c r="L27" i="8"/>
  <c r="N27" i="8"/>
  <c r="A13" i="7"/>
  <c r="L42" i="2"/>
  <c r="L764" i="8"/>
  <c r="L5" i="4"/>
  <c r="L5" i="7"/>
  <c r="L5" i="2"/>
  <c r="N5" i="4"/>
  <c r="N5" i="7"/>
  <c r="B42" i="2"/>
  <c r="B764" i="8"/>
  <c r="B3" i="20"/>
  <c r="A3" i="11"/>
  <c r="L5" i="3"/>
  <c r="B30" i="5"/>
  <c r="N30" i="5"/>
  <c r="N5" i="2"/>
  <c r="N5" i="3"/>
  <c r="L85" i="4"/>
  <c r="B85" i="4"/>
  <c r="N73" i="4"/>
  <c r="L73" i="4"/>
  <c r="N64" i="4"/>
  <c r="L64" i="4"/>
  <c r="B64" i="4" s="1"/>
  <c r="N46" i="4"/>
  <c r="L46" i="4"/>
  <c r="L36" i="3"/>
  <c r="B36" i="3"/>
  <c r="N24" i="3"/>
  <c r="L24" i="3"/>
  <c r="N19" i="3"/>
  <c r="L19" i="3"/>
  <c r="J5" i="2"/>
  <c r="N26" i="2"/>
  <c r="L26" i="2"/>
  <c r="N12" i="2"/>
  <c r="L12" i="2"/>
  <c r="N55" i="1"/>
  <c r="L55" i="1"/>
  <c r="N46" i="1"/>
  <c r="L46" i="1"/>
  <c r="N26" i="1"/>
  <c r="L26" i="1"/>
  <c r="N16" i="1"/>
  <c r="L16" i="1"/>
  <c r="B73" i="4" l="1"/>
  <c r="N26" i="3"/>
  <c r="N12" i="5" s="1"/>
  <c r="P12" i="5" s="1"/>
  <c r="B12" i="5" s="1"/>
  <c r="L59" i="1"/>
  <c r="N28" i="1"/>
  <c r="N59" i="1"/>
  <c r="L28" i="1"/>
  <c r="L26" i="3"/>
  <c r="N20" i="5" s="1"/>
  <c r="P20" i="5" s="1"/>
  <c r="B20" i="5" s="1"/>
  <c r="J12" i="1"/>
  <c r="A63" i="8"/>
  <c r="A73" i="8" s="1"/>
  <c r="J8" i="7"/>
  <c r="A68" i="7"/>
  <c r="A5" i="8" s="1"/>
  <c r="N21" i="2"/>
  <c r="N28" i="2" s="1"/>
  <c r="L21" i="2"/>
  <c r="L28" i="2" s="1"/>
  <c r="B740" i="8"/>
  <c r="B12" i="2"/>
  <c r="A2" i="8"/>
  <c r="A2" i="7"/>
  <c r="B26" i="3" l="1"/>
  <c r="B51" i="6"/>
  <c r="J13" i="1"/>
  <c r="B122" i="6"/>
  <c r="A85" i="8"/>
  <c r="A22" i="8"/>
  <c r="L12" i="8" s="1"/>
  <c r="A30" i="8"/>
  <c r="A37" i="8" s="1"/>
  <c r="A40" i="8" s="1"/>
  <c r="A43" i="8" s="1"/>
  <c r="L32" i="2"/>
  <c r="L9" i="4"/>
  <c r="L21" i="4" s="1"/>
  <c r="N32" i="2"/>
  <c r="N9" i="4"/>
  <c r="N21" i="4" s="1"/>
  <c r="N37" i="4" s="1"/>
  <c r="N48" i="4" s="1"/>
  <c r="N75" i="4" s="1"/>
  <c r="N77" i="4" s="1"/>
  <c r="B21" i="2"/>
  <c r="B28" i="2"/>
  <c r="B9" i="4" s="1"/>
  <c r="B3" i="3"/>
  <c r="B3" i="4"/>
  <c r="B3" i="5"/>
  <c r="A3" i="6"/>
  <c r="A3" i="7"/>
  <c r="A3" i="8"/>
  <c r="B3" i="9"/>
  <c r="B3" i="13"/>
  <c r="A3" i="14"/>
  <c r="A3" i="15"/>
  <c r="A3" i="17"/>
  <c r="B3" i="2"/>
  <c r="B3" i="1"/>
  <c r="B1" i="3"/>
  <c r="B1" i="4"/>
  <c r="B1" i="5"/>
  <c r="A1" i="6"/>
  <c r="A1" i="7"/>
  <c r="A1" i="8"/>
  <c r="B1" i="9"/>
  <c r="B1" i="13"/>
  <c r="A1" i="14"/>
  <c r="A1" i="15"/>
  <c r="A1" i="17"/>
  <c r="B1" i="2"/>
  <c r="B1" i="1"/>
  <c r="A101" i="8" l="1"/>
  <c r="A107" i="8" s="1"/>
  <c r="J14" i="1"/>
  <c r="J19" i="1" s="1"/>
  <c r="B32" i="2"/>
  <c r="B8" i="3" s="1"/>
  <c r="L76" i="4"/>
  <c r="N88" i="4"/>
  <c r="L37" i="4"/>
  <c r="B21" i="4"/>
  <c r="N8" i="3"/>
  <c r="N28" i="3" s="1"/>
  <c r="N18" i="5"/>
  <c r="P18" i="5" s="1"/>
  <c r="B18" i="5" s="1"/>
  <c r="L8" i="3"/>
  <c r="L28" i="3" s="1"/>
  <c r="A133" i="8" l="1"/>
  <c r="A145" i="8" s="1"/>
  <c r="B54" i="6"/>
  <c r="J44" i="1"/>
  <c r="J102" i="8"/>
  <c r="A115" i="8"/>
  <c r="J108" i="8" s="1"/>
  <c r="B57" i="6"/>
  <c r="B28" i="3"/>
  <c r="B37" i="4"/>
  <c r="L48" i="4"/>
  <c r="B48" i="4" s="1"/>
  <c r="P10" i="5"/>
  <c r="N14" i="5"/>
  <c r="J20" i="1" l="1"/>
  <c r="A163" i="8"/>
  <c r="N38" i="1"/>
  <c r="N40" i="1" s="1"/>
  <c r="N16" i="5"/>
  <c r="P14" i="5"/>
  <c r="B10" i="5"/>
  <c r="L75" i="4"/>
  <c r="J21" i="1" l="1"/>
  <c r="B62" i="6" s="1"/>
  <c r="B60" i="6"/>
  <c r="A170" i="8"/>
  <c r="N61" i="1"/>
  <c r="N72" i="1" s="1"/>
  <c r="L77" i="4"/>
  <c r="L88" i="4" s="1"/>
  <c r="B75" i="4"/>
  <c r="N22" i="5"/>
  <c r="L38" i="1" s="1"/>
  <c r="L40" i="1" s="1"/>
  <c r="P16" i="5"/>
  <c r="P22" i="5" s="1"/>
  <c r="J22" i="1" l="1"/>
  <c r="J24" i="1" s="1"/>
  <c r="J35" i="1" s="1"/>
  <c r="A180" i="8"/>
  <c r="L61" i="1"/>
  <c r="L72" i="1" s="1"/>
  <c r="B64" i="6" l="1"/>
  <c r="A186" i="8"/>
  <c r="A215" i="8" l="1"/>
  <c r="A234" i="8" s="1"/>
  <c r="F222" i="8" s="1"/>
  <c r="A199" i="8"/>
  <c r="A210" i="8" s="1"/>
  <c r="J36" i="1" l="1"/>
  <c r="J37" i="1" s="1"/>
  <c r="J203" i="8"/>
  <c r="A212" i="8"/>
  <c r="J204" i="8" s="1"/>
  <c r="A244" i="8" l="1"/>
  <c r="A250" i="8" s="1"/>
  <c r="J43" i="1"/>
  <c r="J49" i="1" s="1"/>
  <c r="A258" i="8"/>
  <c r="A264" i="8" s="1"/>
  <c r="A273" i="8" l="1"/>
  <c r="A295" i="8" s="1"/>
  <c r="J50" i="1"/>
  <c r="J275" i="8" l="1"/>
  <c r="A300" i="8"/>
  <c r="J51" i="1"/>
  <c r="J52" i="1" s="1"/>
  <c r="J57" i="1" l="1"/>
  <c r="B68" i="6" s="1"/>
  <c r="A343" i="8"/>
  <c r="J276" i="8"/>
  <c r="A311" i="8"/>
  <c r="A331" i="8"/>
  <c r="A337" i="8" s="1"/>
  <c r="A340" i="8" s="1"/>
  <c r="J333" i="8" s="1"/>
  <c r="A321" i="8"/>
  <c r="J332" i="8" l="1"/>
  <c r="A350" i="8"/>
  <c r="A354" i="8" l="1"/>
  <c r="A356" i="8" s="1"/>
  <c r="A361" i="8" s="1"/>
  <c r="A366" i="8" s="1"/>
  <c r="A371" i="8" s="1"/>
  <c r="A378" i="8" s="1"/>
  <c r="A384" i="8" s="1"/>
  <c r="A389" i="8" s="1"/>
  <c r="J8" i="2"/>
  <c r="J10" i="2" s="1"/>
  <c r="A418" i="8" s="1"/>
  <c r="A426" i="8" s="1"/>
  <c r="A458" i="8" s="1"/>
  <c r="J14" i="2" l="1"/>
  <c r="J15" i="2" s="1"/>
  <c r="A398" i="8"/>
  <c r="J432" i="8"/>
  <c r="J419" i="8"/>
  <c r="A463" i="8"/>
  <c r="J420" i="8" s="1"/>
  <c r="A511" i="8" l="1"/>
  <c r="A518" i="8" s="1"/>
  <c r="J513" i="8" s="1"/>
  <c r="A475" i="8"/>
  <c r="J421" i="8" s="1"/>
  <c r="A470" i="8"/>
  <c r="J464" i="8" s="1"/>
  <c r="J16" i="2"/>
  <c r="A523" i="8"/>
  <c r="A533" i="8" s="1"/>
  <c r="J525" i="8" l="1"/>
  <c r="A538" i="8"/>
  <c r="J529" i="8" s="1"/>
  <c r="A499" i="8"/>
  <c r="A489" i="8"/>
  <c r="J481" i="8" s="1"/>
  <c r="J17" i="2"/>
  <c r="A558" i="8"/>
  <c r="A566" i="8" s="1"/>
  <c r="J562" i="8" s="1"/>
  <c r="A506" i="8" l="1"/>
  <c r="J500" i="8" s="1"/>
  <c r="J422" i="8"/>
  <c r="A577" i="8"/>
  <c r="A567" i="8"/>
  <c r="A594" i="8"/>
  <c r="J23" i="2"/>
  <c r="A601" i="8" l="1"/>
  <c r="J24" i="2"/>
  <c r="J30" i="2" l="1"/>
  <c r="B70" i="6" s="1"/>
  <c r="A614" i="8"/>
  <c r="A621" i="8" l="1"/>
  <c r="J34" i="2"/>
  <c r="A629" i="8" l="1"/>
  <c r="A652" i="8"/>
  <c r="A688" i="8" s="1"/>
  <c r="A713" i="8" s="1"/>
  <c r="A728" i="8" s="1"/>
  <c r="A743" i="8" s="1"/>
  <c r="A748" i="8" s="1"/>
  <c r="A753" i="8" s="1"/>
  <c r="G8" i="19" s="1"/>
  <c r="B63" i="1" s="1"/>
  <c r="B79" i="4" s="1"/>
  <c r="A672" i="8" l="1"/>
  <c r="A740" i="8"/>
  <c r="B24" i="5"/>
  <c r="B30" i="3"/>
  <c r="B36" i="2"/>
  <c r="H55" i="17"/>
  <c r="F55" i="17" s="1"/>
</calcChain>
</file>

<file path=xl/sharedStrings.xml><?xml version="1.0" encoding="utf-8"?>
<sst xmlns="http://schemas.openxmlformats.org/spreadsheetml/2006/main" count="1068" uniqueCount="814">
  <si>
    <t>Name of Company</t>
  </si>
  <si>
    <t>Reporting Date</t>
  </si>
  <si>
    <t>Period under Audit</t>
  </si>
  <si>
    <t>STATEMENT OF FINANCIAL POSITION</t>
  </si>
  <si>
    <t>STATEMENT OF PROFIT OR LOSS</t>
  </si>
  <si>
    <t>STATEMENT OF COMPREHENSIVE INCOME</t>
  </si>
  <si>
    <t>STATEMENT OF CHANGES IN EQUITY</t>
  </si>
  <si>
    <t>NOTES TO THE FINANCIAL STATEMENTS</t>
  </si>
  <si>
    <t>TAX DEPRECIATION</t>
  </si>
  <si>
    <t>ADJUSTING ENTRIES</t>
  </si>
  <si>
    <t>ADJUSTED TRAIL BALANCE</t>
  </si>
  <si>
    <t xml:space="preserve">CURRENT TAX </t>
  </si>
  <si>
    <t xml:space="preserve">DEFEERED TAX </t>
  </si>
  <si>
    <t>ASSETS</t>
  </si>
  <si>
    <t xml:space="preserve">Property, plant and equipment </t>
  </si>
  <si>
    <t xml:space="preserve">Investment properties </t>
  </si>
  <si>
    <t xml:space="preserve">Intangible assets </t>
  </si>
  <si>
    <t xml:space="preserve">Deferred tax assets </t>
  </si>
  <si>
    <t xml:space="preserve">Held-to-maturity investments </t>
  </si>
  <si>
    <t xml:space="preserve">Available-for-sale financial assets </t>
  </si>
  <si>
    <t>Current assets</t>
  </si>
  <si>
    <t xml:space="preserve">Inventories </t>
  </si>
  <si>
    <t>Financial assets at fair value through profit or loss</t>
  </si>
  <si>
    <t xml:space="preserve">Cash and cash equivalents (excluding bank overdrafts) </t>
  </si>
  <si>
    <t>Non-current liabilities</t>
  </si>
  <si>
    <t xml:space="preserve">Borrowings </t>
  </si>
  <si>
    <t xml:space="preserve">Deferred tax liabilities </t>
  </si>
  <si>
    <t>Employee benefit obligations</t>
  </si>
  <si>
    <t>Total assets</t>
  </si>
  <si>
    <t>Current liabilities</t>
  </si>
  <si>
    <t xml:space="preserve">Trade and other payables </t>
  </si>
  <si>
    <t xml:space="preserve">Deferred revenue </t>
  </si>
  <si>
    <t xml:space="preserve">Total liabilities </t>
  </si>
  <si>
    <t xml:space="preserve">Other reserves </t>
  </si>
  <si>
    <t xml:space="preserve">Retained earnings </t>
  </si>
  <si>
    <t>Non-current assets</t>
  </si>
  <si>
    <t>EQUITY AND LIABILITIES</t>
  </si>
  <si>
    <t>Total equity and liabilities</t>
  </si>
  <si>
    <t>Other comprehensive income</t>
  </si>
  <si>
    <t xml:space="preserve">Changes in the fair value of available-for-sale financial assets </t>
  </si>
  <si>
    <t xml:space="preserve">Exchange differences on translation of foreign operations </t>
  </si>
  <si>
    <t xml:space="preserve">Changes in the fair value of cash flow hedges </t>
  </si>
  <si>
    <t xml:space="preserve">Net investment hedge </t>
  </si>
  <si>
    <t xml:space="preserve">Gain on revaluation of land and buildings </t>
  </si>
  <si>
    <t xml:space="preserve">Remeasurements of retirement benefit obligations </t>
  </si>
  <si>
    <t xml:space="preserve">Income tax relating to these items </t>
  </si>
  <si>
    <t>Cash flows from operating activities</t>
  </si>
  <si>
    <t>Cash flows from investing activities</t>
  </si>
  <si>
    <t>Cash flows from financing activities</t>
  </si>
  <si>
    <t xml:space="preserve">Interest received </t>
  </si>
  <si>
    <t xml:space="preserve">Interest paid </t>
  </si>
  <si>
    <t xml:space="preserve">Income taxes paid </t>
  </si>
  <si>
    <t xml:space="preserve">Payments for property, plant and equipment </t>
  </si>
  <si>
    <t xml:space="preserve">Payments for investment property </t>
  </si>
  <si>
    <t xml:space="preserve">Payments for available-for-sale financial assets </t>
  </si>
  <si>
    <t xml:space="preserve">Payments for held-to-maturity investments </t>
  </si>
  <si>
    <t xml:space="preserve">Payments for patents and trademarks </t>
  </si>
  <si>
    <t xml:space="preserve">Payment of software development costs </t>
  </si>
  <si>
    <t>Proceeds from sale of property, plant and equipment</t>
  </si>
  <si>
    <t>Proceeds from sale of available-for-sale financial assets</t>
  </si>
  <si>
    <t xml:space="preserve">Repayment of loans by related parties </t>
  </si>
  <si>
    <t xml:space="preserve">Dividends received </t>
  </si>
  <si>
    <t xml:space="preserve">Interest received on available-for-sale financial assets </t>
  </si>
  <si>
    <t xml:space="preserve">Loans to related parties </t>
  </si>
  <si>
    <t xml:space="preserve">Proceeds from borrowings </t>
  </si>
  <si>
    <t xml:space="preserve">Dividends paid to company’s shareholders </t>
  </si>
  <si>
    <t xml:space="preserve">Exchange differences on translation of discontinued operation </t>
  </si>
  <si>
    <t>Tax refunds due from government</t>
  </si>
  <si>
    <t>Note</t>
  </si>
  <si>
    <t>Chief Executive</t>
  </si>
  <si>
    <t>Director</t>
  </si>
  <si>
    <t>Cost of revenue</t>
  </si>
  <si>
    <t>Administrative expenses</t>
  </si>
  <si>
    <t xml:space="preserve">Finance costs </t>
  </si>
  <si>
    <t>Distribution costs</t>
  </si>
  <si>
    <t>Other gains/(losses)</t>
  </si>
  <si>
    <t>Other operating income / (expenses)</t>
  </si>
  <si>
    <t>Other income</t>
  </si>
  <si>
    <t>Taxation</t>
  </si>
  <si>
    <t>Income tax relating to these items</t>
  </si>
  <si>
    <t xml:space="preserve">Proceeds from issues of shares and other equity securities </t>
  </si>
  <si>
    <t>Repayment of borrowings</t>
  </si>
  <si>
    <t xml:space="preserve">Cash and cash equivalents at the beginning of the year </t>
  </si>
  <si>
    <t>Cash and cash equivalents at end of the year</t>
  </si>
  <si>
    <t>Basic Information</t>
  </si>
  <si>
    <t>Items that may be subsequently reclassified to profit or loss</t>
  </si>
  <si>
    <t>Items that will not be subsequently reclassified to profit or loss</t>
  </si>
  <si>
    <t>------------- Rupees -------------</t>
  </si>
  <si>
    <t>Current year presented for year from and to?</t>
  </si>
  <si>
    <t>Comparative information presented for year from and to?</t>
  </si>
  <si>
    <t>Total notes provided in the financial statements from and to?</t>
  </si>
  <si>
    <t>Signatories</t>
  </si>
  <si>
    <t>Trade receivables</t>
  </si>
  <si>
    <t>Loans to related parties</t>
  </si>
  <si>
    <t>Loans to key management personnel</t>
  </si>
  <si>
    <t>Provision for impairment</t>
  </si>
  <si>
    <t>Other receivables</t>
  </si>
  <si>
    <t>Listed securities</t>
  </si>
  <si>
    <t>Zero coupon bonds</t>
  </si>
  <si>
    <t>Cash in hand</t>
  </si>
  <si>
    <t>Trade payables</t>
  </si>
  <si>
    <t>Other payables</t>
  </si>
  <si>
    <t>Secured</t>
  </si>
  <si>
    <t>Bank overdrafts</t>
  </si>
  <si>
    <t>Other loans</t>
  </si>
  <si>
    <t>Unsecured</t>
  </si>
  <si>
    <t>Bills payable</t>
  </si>
  <si>
    <t>Total unsecured borrowings</t>
  </si>
  <si>
    <t>Work in progress</t>
  </si>
  <si>
    <t>Finished goods – at cost</t>
  </si>
  <si>
    <t>Finished goods – at fair value less cost to sell</t>
  </si>
  <si>
    <t>Sale of goods</t>
  </si>
  <si>
    <t>Depreciation</t>
  </si>
  <si>
    <t>Capitalised subsequent expenditure</t>
  </si>
  <si>
    <t>Classified as held for sale or disposals</t>
  </si>
  <si>
    <t>Net gain/(loss) from fair value adjustment</t>
  </si>
  <si>
    <t>Transfer (to)/from inventories and owner-occupied property</t>
  </si>
  <si>
    <t>Rental income</t>
  </si>
  <si>
    <t>Fair value gain recognised in other income</t>
  </si>
  <si>
    <t>Opening balance</t>
  </si>
  <si>
    <t>Amounts recognised in profit or loss for investment properties</t>
  </si>
  <si>
    <t>Unlisted securities</t>
  </si>
  <si>
    <t>Advances, deposits and prepayments</t>
  </si>
  <si>
    <t>Other financial assets - at amortized cost</t>
  </si>
  <si>
    <t>Trade receivables - net</t>
  </si>
  <si>
    <t>Advances to employees</t>
  </si>
  <si>
    <t>- against salary</t>
  </si>
  <si>
    <t>- against expenses</t>
  </si>
  <si>
    <t>Advances to suppliers</t>
  </si>
  <si>
    <t>Letter of credit margin</t>
  </si>
  <si>
    <t>Bank guarantee margin</t>
  </si>
  <si>
    <t>Short term security deposits</t>
  </si>
  <si>
    <t>Prepaid insurance</t>
  </si>
  <si>
    <t>Prepaid rent</t>
  </si>
  <si>
    <t>Movement of deferred tax</t>
  </si>
  <si>
    <t>(Charged) / credited</t>
  </si>
  <si>
    <t>- to profit or loss</t>
  </si>
  <si>
    <t>- to other comprehensive income</t>
  </si>
  <si>
    <t>- effect of change of tax rates</t>
  </si>
  <si>
    <t>Deferred tax comprises temporary differences attributable to:</t>
  </si>
  <si>
    <t>Taxable temporary difference</t>
  </si>
  <si>
    <t>Deductible temporary difference</t>
  </si>
  <si>
    <t>Listed equity securities</t>
  </si>
  <si>
    <t>Unlisted equity securities</t>
  </si>
  <si>
    <t>Balances with banks in:</t>
  </si>
  <si>
    <t>- current accounts</t>
  </si>
  <si>
    <t>- deposit accounts</t>
  </si>
  <si>
    <t>- foreign currency accounts</t>
  </si>
  <si>
    <t>Number of shares</t>
  </si>
  <si>
    <t>- Fully paid in cash</t>
  </si>
  <si>
    <t>Authorized share capital</t>
  </si>
  <si>
    <t>Issued, subscribed and paid up share capital</t>
  </si>
  <si>
    <t>Authorized share capital Number of shares and value per share.</t>
  </si>
  <si>
    <t>Share deposit money</t>
  </si>
  <si>
    <t>Acquisitions made</t>
  </si>
  <si>
    <t>Expenses from property that generated rental income</t>
  </si>
  <si>
    <t>Expenses from property that did not generated rental income</t>
  </si>
  <si>
    <t>Raw materials</t>
  </si>
  <si>
    <t>Stores, spares and loose tools</t>
  </si>
  <si>
    <t>Stock in transit</t>
  </si>
  <si>
    <t>Scrap stock</t>
  </si>
  <si>
    <t>Advances from customers</t>
  </si>
  <si>
    <t>Sales tax payable</t>
  </si>
  <si>
    <t>Withholding tax payables</t>
  </si>
  <si>
    <t>Accrued liabilities</t>
  </si>
  <si>
    <t>Bank loans</t>
  </si>
  <si>
    <t>Lease liabilities</t>
  </si>
  <si>
    <t>Convertible notes</t>
  </si>
  <si>
    <t>Redeemable preference shares</t>
  </si>
  <si>
    <t>Loans from related parties</t>
  </si>
  <si>
    <t>Current borrowings</t>
  </si>
  <si>
    <t>Non current borrowings</t>
  </si>
  <si>
    <t>Leave obligations</t>
  </si>
  <si>
    <t>Defined benefit plans</t>
  </si>
  <si>
    <t>Post-employment medical benefits</t>
  </si>
  <si>
    <t>Provision for taxation</t>
  </si>
  <si>
    <t>Contingencies</t>
  </si>
  <si>
    <t>Notice from taxation authorities</t>
  </si>
  <si>
    <t>Pending litigations</t>
  </si>
  <si>
    <t>Warranties / Guarantees provided by the company</t>
  </si>
  <si>
    <t>Corporate guarantees provided by the promoters / investors</t>
  </si>
  <si>
    <t>Letter of credits</t>
  </si>
  <si>
    <t>Commitments</t>
  </si>
  <si>
    <t>Capital commitments</t>
  </si>
  <si>
    <t>Commitments in respect of ijarah financing arrangement</t>
  </si>
  <si>
    <t>Sale of services</t>
  </si>
  <si>
    <t>Less: sales return</t>
  </si>
  <si>
    <t>Net sales</t>
  </si>
  <si>
    <t>Add: sales tax</t>
  </si>
  <si>
    <t>Less: discount allowed</t>
  </si>
  <si>
    <t>Contracts income</t>
  </si>
  <si>
    <t>Indenting commission</t>
  </si>
  <si>
    <t>Raw material consumed</t>
  </si>
  <si>
    <t>Salaries, wages and other benefits</t>
  </si>
  <si>
    <t>Stores consumed</t>
  </si>
  <si>
    <t>Cost of sale of goods</t>
  </si>
  <si>
    <t>Cost of sale of services</t>
  </si>
  <si>
    <t>Cost of contracts</t>
  </si>
  <si>
    <t>Fuel and power</t>
  </si>
  <si>
    <t>Other manufacturing overheads</t>
  </si>
  <si>
    <t>Cost of goods manufactured</t>
  </si>
  <si>
    <t>Effect of change in work in progress inventory</t>
  </si>
  <si>
    <t>Effect of change in finished goods inventory</t>
  </si>
  <si>
    <t>Opening finished goods</t>
  </si>
  <si>
    <t>Closing finished goods</t>
  </si>
  <si>
    <t>Opening work in progress</t>
  </si>
  <si>
    <t>Closing work in progress</t>
  </si>
  <si>
    <t>Salaries and other benefits</t>
  </si>
  <si>
    <t>Other overheads</t>
  </si>
  <si>
    <t>Opening raw material</t>
  </si>
  <si>
    <t>Less: Closing raw material</t>
  </si>
  <si>
    <t>Add: purchases</t>
  </si>
  <si>
    <t>Cost of indenting</t>
  </si>
  <si>
    <t>- current year</t>
  </si>
  <si>
    <t>- prior year(s)</t>
  </si>
  <si>
    <t>Deferred tax expese / (income)</t>
  </si>
  <si>
    <t>Current tax expese</t>
  </si>
  <si>
    <t>Earnings per share - basic</t>
  </si>
  <si>
    <t>Revenue - net</t>
  </si>
  <si>
    <t>STATEMENT OF CASH FLOWS</t>
  </si>
  <si>
    <t>1</t>
  </si>
  <si>
    <t>Status and nature of business</t>
  </si>
  <si>
    <t>Basis of preparation</t>
  </si>
  <si>
    <t>Basis of measurement</t>
  </si>
  <si>
    <t>Statement of compliance</t>
  </si>
  <si>
    <t>Functional and presentational currency</t>
  </si>
  <si>
    <t>Summary of significant accounting policies</t>
  </si>
  <si>
    <t>Date</t>
  </si>
  <si>
    <t>Carrying
Value -Cost</t>
  </si>
  <si>
    <t>Tax Base</t>
  </si>
  <si>
    <t>Deductible Temporary Difference</t>
  </si>
  <si>
    <t>Taxable Temporary Difference</t>
  </si>
  <si>
    <t>Liabilities</t>
  </si>
  <si>
    <t>WPPF</t>
  </si>
  <si>
    <t>Less: Unused tax losses</t>
  </si>
  <si>
    <t>Less: Unused tax credits</t>
  </si>
  <si>
    <t>Net deferred tax liability / (asset)</t>
  </si>
  <si>
    <t>Unused tax credit</t>
  </si>
  <si>
    <t>Items</t>
  </si>
  <si>
    <t>Carrying
Value -Revaluation</t>
  </si>
  <si>
    <t>Total Carrying
Value</t>
  </si>
  <si>
    <t>Assets</t>
  </si>
  <si>
    <t>Total</t>
  </si>
  <si>
    <t>FTR</t>
  </si>
  <si>
    <t>NTR</t>
  </si>
  <si>
    <t>TOTAL</t>
  </si>
  <si>
    <t>Revenue</t>
  </si>
  <si>
    <t>Less: Sales return</t>
  </si>
  <si>
    <t>Less: Discounts</t>
  </si>
  <si>
    <t>Less: Sales tax</t>
  </si>
  <si>
    <t>Cost of sales</t>
  </si>
  <si>
    <t>Inadmissible expenses and admissible income</t>
  </si>
  <si>
    <t>Accounting depreciation</t>
  </si>
  <si>
    <t>Accounting amortization</t>
  </si>
  <si>
    <t>Accounting loss on disposal</t>
  </si>
  <si>
    <t>Provision for doubtful debts</t>
  </si>
  <si>
    <t>Admissible expenses and Inadmissible income</t>
  </si>
  <si>
    <t>Accounting gain on disposal</t>
  </si>
  <si>
    <t>Tax loss on disposal</t>
  </si>
  <si>
    <t>Bad debts written off</t>
  </si>
  <si>
    <t>Tax depreciation</t>
  </si>
  <si>
    <t>WWF</t>
  </si>
  <si>
    <t>Less: WPPF Paid</t>
  </si>
  <si>
    <t>Add: WPPF CY Allocation</t>
  </si>
  <si>
    <t>Maximum of</t>
  </si>
  <si>
    <t xml:space="preserve">Credit u/s 65B @ Plant &amp; Machinery additions @ 10% </t>
  </si>
  <si>
    <t>Rebate on donation @ 20%</t>
  </si>
  <si>
    <t>Description</t>
  </si>
  <si>
    <t>Opening
WDV</t>
  </si>
  <si>
    <t>Additions</t>
  </si>
  <si>
    <t>Deletions</t>
  </si>
  <si>
    <t>Initial Allowance</t>
  </si>
  <si>
    <t>Total
Depreciation</t>
  </si>
  <si>
    <t>Closing
WDV</t>
  </si>
  <si>
    <t>Rate %</t>
  </si>
  <si>
    <t>Amount</t>
  </si>
  <si>
    <t>Building</t>
  </si>
  <si>
    <t>Plant and machinery</t>
  </si>
  <si>
    <t>Motor vehicles</t>
  </si>
  <si>
    <t>Furniture and fixtures</t>
  </si>
  <si>
    <t>Computers</t>
  </si>
  <si>
    <t>Opening
Cost</t>
  </si>
  <si>
    <t>Opening Amortization</t>
  </si>
  <si>
    <t>Opening WDV</t>
  </si>
  <si>
    <t>Useful Life</t>
  </si>
  <si>
    <t>Amortization</t>
  </si>
  <si>
    <t>Total
Amortization</t>
  </si>
  <si>
    <t>Years</t>
  </si>
  <si>
    <t>Financial software</t>
  </si>
  <si>
    <t>Head of Account</t>
  </si>
  <si>
    <t>Opening Balances</t>
  </si>
  <si>
    <t>Debit</t>
  </si>
  <si>
    <t>Credit</t>
  </si>
  <si>
    <t>Activity during the year</t>
  </si>
  <si>
    <t>Adjustments</t>
  </si>
  <si>
    <t>Closing Balances</t>
  </si>
  <si>
    <t>Sr. #</t>
  </si>
  <si>
    <t>Head of Account / Description</t>
  </si>
  <si>
    <t>CONTROL SHEET</t>
  </si>
  <si>
    <t>Measurement method? (Cost / Revaluation)</t>
  </si>
  <si>
    <t>Revaluation</t>
  </si>
  <si>
    <t>These financial statements have been prepared in Pakistani Rupees (PKR), which is the company's functional and presentational currency</t>
  </si>
  <si>
    <t>Cost/Revaluation</t>
  </si>
  <si>
    <t>Additions during the year</t>
  </si>
  <si>
    <t>Disposals</t>
  </si>
  <si>
    <t>Charge for the year</t>
  </si>
  <si>
    <t>Depreciation on disposals</t>
  </si>
  <si>
    <t>Rate of depreciation</t>
  </si>
  <si>
    <t>Operating fixed assets</t>
  </si>
  <si>
    <t>Capital work in progress</t>
  </si>
  <si>
    <t>Owned assets</t>
  </si>
  <si>
    <t xml:space="preserve">Freehold Land </t>
  </si>
  <si>
    <t>Building on Freehold Land</t>
  </si>
  <si>
    <t>Plant and Machinery</t>
  </si>
  <si>
    <t>Generator</t>
  </si>
  <si>
    <t>Office Equipment</t>
  </si>
  <si>
    <t>Electric Equipment &amp; Installations</t>
  </si>
  <si>
    <t>Furniture and Fixture</t>
  </si>
  <si>
    <t>Vehicles</t>
  </si>
  <si>
    <t>Trade and other payables</t>
  </si>
  <si>
    <t>Significant transactions with related parties are as follows:</t>
  </si>
  <si>
    <t>All transactions with related parties have been carried out on commercial terms and conditions.</t>
  </si>
  <si>
    <t>The aggregate amount charged in the financial statements for the year for remuneration, including certain benefits, to the Chief Executive and full time working Directors of the Company are as follows:</t>
  </si>
  <si>
    <t>Directors</t>
  </si>
  <si>
    <t>Managerial remuneration</t>
  </si>
  <si>
    <t>Housing</t>
  </si>
  <si>
    <t>Medical allowance</t>
  </si>
  <si>
    <t>No. of persons</t>
  </si>
  <si>
    <t>The Company also provides the Executive with free transport and residential telephones.</t>
  </si>
  <si>
    <t>Average number of employees during the year</t>
  </si>
  <si>
    <t>Total number of employees as at June 30th</t>
  </si>
  <si>
    <t>Maximum capacity</t>
  </si>
  <si>
    <t>Actual production</t>
  </si>
  <si>
    <t>Maximum 
capacity</t>
  </si>
  <si>
    <t>--------------------- Units in Tons ---------------------</t>
  </si>
  <si>
    <t>There are no other significant events after the reporting period which may require adjustment of and/or disclosure in these financial statements.</t>
  </si>
  <si>
    <t>Figures have been rounded off to the nearest rupee.</t>
  </si>
  <si>
    <t>Corresponding figures have been rearranged and reclassified, wherever necessary for the purpose of comparison.</t>
  </si>
  <si>
    <t>Financial instruments</t>
  </si>
  <si>
    <t>Transactions with related parties</t>
  </si>
  <si>
    <t>Remuneration of chief executive and directors</t>
  </si>
  <si>
    <t>Number of persons</t>
  </si>
  <si>
    <t>Number of employees</t>
  </si>
  <si>
    <t>Production capacity</t>
  </si>
  <si>
    <t>Events after the reporting period</t>
  </si>
  <si>
    <t>Date of authorization for issue</t>
  </si>
  <si>
    <t>General</t>
  </si>
  <si>
    <t>-</t>
  </si>
  <si>
    <t>Provision for gratuity</t>
  </si>
  <si>
    <t>Dividend Income</t>
  </si>
  <si>
    <t>Bank Profit</t>
  </si>
  <si>
    <t>Fine and Penalties</t>
  </si>
  <si>
    <t>Gratuity paid</t>
  </si>
  <si>
    <t>Unused Tax losses b/f</t>
  </si>
  <si>
    <t>Loss on investment</t>
  </si>
  <si>
    <t xml:space="preserve">Lease rentals paid </t>
  </si>
  <si>
    <t>Charity And donations</t>
  </si>
  <si>
    <t>Interest on finance lease</t>
  </si>
  <si>
    <t>Interest on WPPF</t>
  </si>
  <si>
    <t>Local Sales</t>
  </si>
  <si>
    <t>Export Sales</t>
  </si>
  <si>
    <t>Contract income</t>
  </si>
  <si>
    <t>Indenting Commission</t>
  </si>
  <si>
    <t>Export sales</t>
  </si>
  <si>
    <t>Subject to Final Taxation</t>
  </si>
  <si>
    <t>Subject to Normal Taxation</t>
  </si>
  <si>
    <t>Electricity Bills</t>
  </si>
  <si>
    <t>Sale of goods (i.e. Deducted by Customers)</t>
  </si>
  <si>
    <t>Vehicles Registration / Renewal</t>
  </si>
  <si>
    <t>Telephone Bills</t>
  </si>
  <si>
    <t>Mobile Bills</t>
  </si>
  <si>
    <t>Cash withdrawals</t>
  </si>
  <si>
    <t>Tax amortization</t>
  </si>
  <si>
    <t>Exports</t>
  </si>
  <si>
    <t>Imports</t>
  </si>
  <si>
    <t>Advance tax deposited</t>
  </si>
  <si>
    <t>Total Tax Expense</t>
  </si>
  <si>
    <t>Less: Tax Credits</t>
  </si>
  <si>
    <t>Less: Tax Already paid on</t>
  </si>
  <si>
    <t>Account Code</t>
  </si>
  <si>
    <t>Financial Statements Heads / SubHeads</t>
  </si>
  <si>
    <t>Advances to employees against salary</t>
  </si>
  <si>
    <t>Advances to employees against expenses</t>
  </si>
  <si>
    <t>Share capital and reserves</t>
  </si>
  <si>
    <t>Total share capital and reserves</t>
  </si>
  <si>
    <t>Total employee benefit obligations</t>
  </si>
  <si>
    <t>Total trade receivables - net</t>
  </si>
  <si>
    <t>Total financial assets at fair value through profit or loss</t>
  </si>
  <si>
    <t xml:space="preserve">Total borrowings </t>
  </si>
  <si>
    <t>Adjustments for:</t>
  </si>
  <si>
    <t>Effect of working capital changes</t>
  </si>
  <si>
    <t>(Increase) / decrease in current assets</t>
  </si>
  <si>
    <t>Increase / (decrease) in current liabilities</t>
  </si>
  <si>
    <t xml:space="preserve">Capital work-in-progress is stated at cost accumulated to the date of statement of financial position less impairment losses, if any. </t>
  </si>
  <si>
    <t>Mapping</t>
  </si>
  <si>
    <t>.</t>
  </si>
  <si>
    <t>Equity securities - Listed</t>
  </si>
  <si>
    <t>Debentures - Listed</t>
  </si>
  <si>
    <t>Corporate bonds - Listed</t>
  </si>
  <si>
    <t>Equity securities - Unlisted</t>
  </si>
  <si>
    <t>Debentures - Unlisted</t>
  </si>
  <si>
    <t>Preference shares - Unlisted</t>
  </si>
  <si>
    <t>Debentures - NCL</t>
  </si>
  <si>
    <t>Debentures - NCA</t>
  </si>
  <si>
    <t>Raw material consumed - COGS</t>
  </si>
  <si>
    <t>Salaries, wages and other benefits - COGS</t>
  </si>
  <si>
    <t>Stores consumed - COGS</t>
  </si>
  <si>
    <t>Fuel and power - COGS</t>
  </si>
  <si>
    <t>Depreciation - COGS</t>
  </si>
  <si>
    <t>Other manufacturing overheads - COGS</t>
  </si>
  <si>
    <t>Salaries and other benefits - COSS</t>
  </si>
  <si>
    <t>Depreciation - COSS</t>
  </si>
  <si>
    <t>Other overheads - COSS</t>
  </si>
  <si>
    <t>Purchases - COC</t>
  </si>
  <si>
    <t>Purchases - COGS</t>
  </si>
  <si>
    <t>Raw material consumed - COC</t>
  </si>
  <si>
    <t>Salaries, wages and other benefits - COC</t>
  </si>
  <si>
    <t>Stores consumed - COC</t>
  </si>
  <si>
    <t>Fuel and power - COC</t>
  </si>
  <si>
    <t>Depreciation - COC</t>
  </si>
  <si>
    <t>Other manufacturing overheads - COC</t>
  </si>
  <si>
    <t>Salaries and other benefits - COI</t>
  </si>
  <si>
    <t>Depreciation - COI</t>
  </si>
  <si>
    <t>Other overheads - COI</t>
  </si>
  <si>
    <t>Freight and octroi - DC</t>
  </si>
  <si>
    <t>Export handling expenses - DC</t>
  </si>
  <si>
    <t>Sales promotion expenses - DC</t>
  </si>
  <si>
    <t>Advertisement - DC</t>
  </si>
  <si>
    <t>Commission on Sales - DC</t>
  </si>
  <si>
    <t>Bad debts written off - DC</t>
  </si>
  <si>
    <t>Director's remuneration - AE</t>
  </si>
  <si>
    <t>Staff salaries and benefits - AE</t>
  </si>
  <si>
    <t>Printing and stationery - AE</t>
  </si>
  <si>
    <t>Travelling and conveyance - AE</t>
  </si>
  <si>
    <t>General repair and maintenance - AE</t>
  </si>
  <si>
    <t>Vehicle running and maintenance - AE</t>
  </si>
  <si>
    <t>Entertainment - AE</t>
  </si>
  <si>
    <t>Fee and subscription - AE</t>
  </si>
  <si>
    <t>Rent, rates and taxes - AE</t>
  </si>
  <si>
    <t>Legal and professional charges - AE</t>
  </si>
  <si>
    <t>Newspaper and periodicals - AE</t>
  </si>
  <si>
    <t>Communication - AE</t>
  </si>
  <si>
    <t>Utilities - AE</t>
  </si>
  <si>
    <t>Revaluation expenses - AE</t>
  </si>
  <si>
    <t>Depreciation - AE</t>
  </si>
  <si>
    <t>Amortisation - AE</t>
  </si>
  <si>
    <t>Impairment of assets damaged by fire - AE</t>
  </si>
  <si>
    <t>Insurance - AE</t>
  </si>
  <si>
    <t>Miscellaneous - AE</t>
  </si>
  <si>
    <t>Workers welfare fund - OO</t>
  </si>
  <si>
    <t>Workers profit participation fund - OO</t>
  </si>
  <si>
    <t>Auditors' remuneration - OO</t>
  </si>
  <si>
    <t>Foreign exchange loss - OO</t>
  </si>
  <si>
    <t>Net gain/(loss) on disposal of property, plant and equipment - OGL</t>
  </si>
  <si>
    <t>Fair value adjustment to investment property - OGL</t>
  </si>
  <si>
    <t>Fair value gains/(losses) on financial assets at fair value through profit or loss - OGL</t>
  </si>
  <si>
    <t>Net gain/(loss) on sale of available-for-sale financial assets - OGL</t>
  </si>
  <si>
    <t>Net foreign exchange gains/(losses) - OGL</t>
  </si>
  <si>
    <t>Net gains on derivatives held for trading - OGL</t>
  </si>
  <si>
    <t>Other items - OGL</t>
  </si>
  <si>
    <t>Scrap sales - OI</t>
  </si>
  <si>
    <t>Bad debts recovered - OI</t>
  </si>
  <si>
    <t>Rental and sub-lease rental income - OI</t>
  </si>
  <si>
    <t>Dividends - OI</t>
  </si>
  <si>
    <t>Interest on financial assets held as investments - OI</t>
  </si>
  <si>
    <t>Other income - OI</t>
  </si>
  <si>
    <t>Mark-up on short term borrowings - FC</t>
  </si>
  <si>
    <t>Bank charges - FC</t>
  </si>
  <si>
    <t>Bank guarantee commission - FC</t>
  </si>
  <si>
    <t>Total Assets</t>
  </si>
  <si>
    <t>Depreciation Charge</t>
  </si>
  <si>
    <t>Depreciation Rate</t>
  </si>
  <si>
    <t>Cost</t>
  </si>
  <si>
    <t>Date of Acquisition</t>
  </si>
  <si>
    <t>Date of Disposal</t>
  </si>
  <si>
    <t>Opening Net Book Value</t>
  </si>
  <si>
    <t>Opening Accumulated Depreciation</t>
  </si>
  <si>
    <t>Depreciation Charge for the year</t>
  </si>
  <si>
    <t>Closing Net Book Value</t>
  </si>
  <si>
    <t>Sales Proceeds</t>
  </si>
  <si>
    <t>Gain / (Loss) on Disposals</t>
  </si>
  <si>
    <t>Disposals Working</t>
  </si>
  <si>
    <t>Depreciation Working</t>
  </si>
  <si>
    <t>ACCOUNTING DEPRECIATION &amp; DISPOSALS WORKING</t>
  </si>
  <si>
    <t>Asset Type</t>
  </si>
  <si>
    <t>Applicable Financial Reporting Framework</t>
  </si>
  <si>
    <t>Functional and Presentation Currency</t>
  </si>
  <si>
    <t>Rupees</t>
  </si>
  <si>
    <t>IFRS for SMEs</t>
  </si>
  <si>
    <t>AFRS for NPOs</t>
  </si>
  <si>
    <t>IFRSs</t>
  </si>
  <si>
    <t>Financial Software</t>
  </si>
  <si>
    <t>Net carrying value basis</t>
  </si>
  <si>
    <t>Opening net book value (NBV)</t>
  </si>
  <si>
    <t>Amortization charge</t>
  </si>
  <si>
    <t>Closing net book value (NBV)</t>
  </si>
  <si>
    <t>Gross carrying value basis</t>
  </si>
  <si>
    <t>Accumulated amortization</t>
  </si>
  <si>
    <t>Amortization Rate</t>
  </si>
  <si>
    <t>These financial statements have been prepared in accordance with the approved accounting standards as applicable in Pakistan and the requirements of Companies Act, 2017. Approved accounting standards comprise of:</t>
  </si>
  <si>
    <t>Wherever, the requirements of the Companies Act, 2017 or directives issued by the Securities and Exchange Commission of Pakistan differs with the requirements of these accounting standards, the requirements of the Companies Act, 2017 or the requirements of the said directives shall prevail.</t>
  </si>
  <si>
    <t>Islamic Financial Accounting Standards (IFASs) as issued by the Institute of Chartered Accountants of Pakistan (ICAP); and</t>
  </si>
  <si>
    <t>The useful lives, residual values and amortization method are reviewed on a regular basis. The effect of any changes in estimate accounted for on a prospective basis.</t>
  </si>
  <si>
    <t>Stores and spares</t>
  </si>
  <si>
    <t>Stock in trade</t>
  </si>
  <si>
    <t>All stocks are stated at lower of cost and estimated net realizable value. Cost is determined as follows:</t>
  </si>
  <si>
    <t>Stock Type</t>
  </si>
  <si>
    <t>Valuation Method</t>
  </si>
  <si>
    <t>Raw material</t>
  </si>
  <si>
    <t>Weighted average basis</t>
  </si>
  <si>
    <t>Work in process</t>
  </si>
  <si>
    <t xml:space="preserve">Estimated manufacturing cost including appropriate overheads </t>
  </si>
  <si>
    <t>Finished goods</t>
  </si>
  <si>
    <t>Average manufacturing cost including appropriate overheads</t>
  </si>
  <si>
    <t>Waste/Scrap</t>
  </si>
  <si>
    <t>Net realizable value</t>
  </si>
  <si>
    <t>Cash and cash equivalents</t>
  </si>
  <si>
    <t>Provisions</t>
  </si>
  <si>
    <t>Provisions are recognized when the company has a present legal or constructive obligation as a result of past events and, it is probable that an outflow of resources embodying economic benefits will be required to settle the obligation and a reliable estimate can be made of the amount of obligation.</t>
  </si>
  <si>
    <t>Related party transactions and transfer pricing</t>
  </si>
  <si>
    <t>Current:</t>
  </si>
  <si>
    <t>Provision for current taxation is based on taxable income at the current rates of taxation after taking into account applicable tax credits, rebates and exemptions, if any.</t>
  </si>
  <si>
    <t>Deferred:</t>
  </si>
  <si>
    <t xml:space="preserve">Deferred tax is accounted for using the balance sheet liability method in respect of all temporary differences arising from difference between the carrying amount of the assets and liabilities in the financial statements and corresponding tax bases used in the computation of taxable profit. Deferred tax liabilities are recognized for all taxable temporary differences and deferred tax assets are recognized to the extent that it is probable that taxable profit will be available against which the deductible temporary differences, unused tax losses and tax credits can be utilized.
Deferred tax is calculated at the rates that are expected to apply to the period when the differences reverse, based on tax rates that have been enacted or substantively enacted by the statement of financial position date. Deferred tax is charged or credited in the income statement, except where deferred tax arises on the items credited or charged to equity in which case it is included in equity. </t>
  </si>
  <si>
    <t>Borrowings and their costs</t>
  </si>
  <si>
    <t>Borrowings are recorded at the proceeds received. Borrowing costs are recognized as an expense in the period in which these are incurred except to the extent of borrowing costs that are directly attributable to the acquisition, construction or production of a qualifying asset. Such borrowing costs, if any, are capitalized as part of the cost of that asset.</t>
  </si>
  <si>
    <t>Revenue recognition</t>
  </si>
  <si>
    <t>Financial assets and liabilities are offset and the net amount is reported in the statement of financial position, if the company has a legally enforceable right to offset the recognized amounts and the company intends to settle either on a net basis or realize the asset and settle the liability simultaneously.</t>
  </si>
  <si>
    <t>Offsetting of financial assets and liabilities</t>
  </si>
  <si>
    <t>Broght Forward Of Losses</t>
  </si>
  <si>
    <t>Adjustment Against Income Of Tax Year</t>
  </si>
  <si>
    <t>Balance Available For Adjustment</t>
  </si>
  <si>
    <t>Unabsorbed Depreciation Broght Forward</t>
  </si>
  <si>
    <t>Unabsorbed Amortisation Broght Forward</t>
  </si>
  <si>
    <t>Year</t>
  </si>
  <si>
    <t>--------------------------Rupees---------------------------</t>
  </si>
  <si>
    <t>--Rupees--</t>
  </si>
  <si>
    <t>UNUSED TAX CREDITS</t>
  </si>
  <si>
    <t>Adjustment in Tax Year</t>
  </si>
  <si>
    <t>Deferred tax liability / (asset) @ 29%</t>
  </si>
  <si>
    <t>Accumulated Activity</t>
  </si>
  <si>
    <t>International Financial Reporting Standards issued by the International Accounting Standards Board (IASB) as notified under the Companies Act, 2017; and</t>
  </si>
  <si>
    <t>International Financial Reporting Standards for Small and Medium Sized Entities (IFRS for SMEs) issued by the International Accounting Standards Board (IASB) as notified under the Companies Act, 2017; and</t>
  </si>
  <si>
    <t>Revised Accounting and Financial Reporting Standards for Small Sized Entities (Revised AFRS for SSEs) issued by the Institute of Chartered Accountants of Pakistan (ICAP) as notified under the Companies Act, 2017; and</t>
  </si>
  <si>
    <t>Revised AFRS for SSEs</t>
  </si>
  <si>
    <t>Accounting and Financial Reporting Standards for Non Government Organizations and Not for Profit Organization (AFRS for NPOs) issued by the Institute of Chartered Accountants of Pakistan (ICAP); and</t>
  </si>
  <si>
    <t>Accounting Profit</t>
  </si>
  <si>
    <t>Tax rate @</t>
  </si>
  <si>
    <t>Reconciliation of Tax expense</t>
  </si>
  <si>
    <t>Tax Payable</t>
  </si>
  <si>
    <t>Prior period tax recognised</t>
  </si>
  <si>
    <t>Temporary differences effective tax rates</t>
  </si>
  <si>
    <t>Unrecognised tax losses, credit</t>
  </si>
  <si>
    <t>Deferred tax expense arises from written down</t>
  </si>
  <si>
    <t>Effect of rate changes in prior period</t>
  </si>
  <si>
    <t>Tax credit/losses arises policy changes</t>
  </si>
  <si>
    <t>Deferred tax expense effective tax rates</t>
  </si>
  <si>
    <t>Expected Tax Expense</t>
  </si>
  <si>
    <t>Effect of permanent incomes</t>
  </si>
  <si>
    <t>Effect of permanent expenses</t>
  </si>
  <si>
    <t>Particulars</t>
  </si>
  <si>
    <t>Classified as</t>
  </si>
  <si>
    <t>Accumulated depreciation</t>
  </si>
  <si>
    <t>Book value</t>
  </si>
  <si>
    <t>Sale proceeds</t>
  </si>
  <si>
    <t>Mode of disposal</t>
  </si>
  <si>
    <t>Particulars of buyer</t>
  </si>
  <si>
    <t>Name of finished goods</t>
  </si>
  <si>
    <t>Name of related party and basis of relationship</t>
  </si>
  <si>
    <t>Detail of transactions</t>
  </si>
  <si>
    <t xml:space="preserve">Negotiation </t>
  </si>
  <si>
    <t>Direct sale</t>
  </si>
  <si>
    <t>Quotation</t>
  </si>
  <si>
    <t>Other means</t>
  </si>
  <si>
    <t>Selected tender</t>
  </si>
  <si>
    <t>Open tender</t>
  </si>
  <si>
    <t>Particulars of person</t>
  </si>
  <si>
    <t>Value of the property/assets</t>
  </si>
  <si>
    <t>Particulars of property/assets</t>
  </si>
  <si>
    <t>Reason for the property or assets not being in the name of or possession of control of the company</t>
  </si>
  <si>
    <t>Depreciation for the year has been allocated as under:</t>
  </si>
  <si>
    <t>Accumulated Depreciation</t>
  </si>
  <si>
    <t>Book Value</t>
  </si>
  <si>
    <t>In case of disposal if aggregate book value of assets exceeds 5 Million Rupees, following particulars of each assets which has book value 500,000 or more shall be disclosed.</t>
  </si>
  <si>
    <t>Cost/ revalued amount</t>
  </si>
  <si>
    <t>Gain/(Loss)</t>
  </si>
  <si>
    <t>Relationship with company or any of its director</t>
  </si>
  <si>
    <t>Ageing of receivables from related parties</t>
  </si>
  <si>
    <t>Carrying amount</t>
  </si>
  <si>
    <t>Less than one year</t>
  </si>
  <si>
    <t>One to two years</t>
  </si>
  <si>
    <t>Two to three years</t>
  </si>
  <si>
    <t>More than three years</t>
  </si>
  <si>
    <t>Opening balance receivable</t>
  </si>
  <si>
    <t>Payments made during the year</t>
  </si>
  <si>
    <t>Payments received during the year</t>
  </si>
  <si>
    <t>Closing balance receivable</t>
  </si>
  <si>
    <t>ABC Limited</t>
  </si>
  <si>
    <t>- Fully paid other than cash</t>
  </si>
  <si>
    <t>Share issued against property</t>
  </si>
  <si>
    <t>Share issued against other than property</t>
  </si>
  <si>
    <t>- Treasury shares</t>
  </si>
  <si>
    <t>Payable to related parties</t>
  </si>
  <si>
    <t>Payable to directors</t>
  </si>
  <si>
    <t>Payable to associated concern</t>
  </si>
  <si>
    <t>Auditors' remuneration</t>
  </si>
  <si>
    <t>Annual audit fee</t>
  </si>
  <si>
    <t>Out of pocket charges</t>
  </si>
  <si>
    <t>Audit services</t>
  </si>
  <si>
    <t>Non-audit services</t>
  </si>
  <si>
    <t>Certifications for regulatory purposes</t>
  </si>
  <si>
    <t>Tax advisory services</t>
  </si>
  <si>
    <t>Fees</t>
  </si>
  <si>
    <t>Commission or bonus</t>
  </si>
  <si>
    <t>Other benefits</t>
  </si>
  <si>
    <t>Opening Balance</t>
  </si>
  <si>
    <t>Number of Month in use</t>
  </si>
  <si>
    <t>Date Value</t>
  </si>
  <si>
    <t>Total Depreciation</t>
  </si>
  <si>
    <t>Number of Years in use (Previous Years)</t>
  </si>
  <si>
    <t>Number of months in use (Current Years)</t>
  </si>
  <si>
    <t>Accumulated depreciation at date of disposal</t>
  </si>
  <si>
    <t>Number of months (other than years in previous column) in use (Previous Years)</t>
  </si>
  <si>
    <t>Depreciation to added back in above depreciation</t>
  </si>
  <si>
    <t>Disposal</t>
  </si>
  <si>
    <t xml:space="preserve">Disposal </t>
  </si>
  <si>
    <t>Donations</t>
  </si>
  <si>
    <t>ABC foundation</t>
  </si>
  <si>
    <t>XYZ trust</t>
  </si>
  <si>
    <t>Name of Directors</t>
  </si>
  <si>
    <t>Interest in Donee</t>
  </si>
  <si>
    <t>Name and address of the Donee</t>
  </si>
  <si>
    <t>Donations in which directors have interest are as follows:</t>
  </si>
  <si>
    <t>Trustee</t>
  </si>
  <si>
    <t>LMN</t>
  </si>
  <si>
    <t>PQR</t>
  </si>
  <si>
    <t>Chairman</t>
  </si>
  <si>
    <t>Impairment of financial assets</t>
  </si>
  <si>
    <t>Trade debts</t>
  </si>
  <si>
    <t>Use of judgments, estimates and assumptions</t>
  </si>
  <si>
    <t>The preparation of financial statements in conformity with the accounting and reporting standards requires the use of certain critical accounting estimates. It also requires management to exercise its judgement in the process of applying the Company’s accounting policies. Estimates and judgements are continually evaluated and are based on historic experience and other factors, including expectation of future events that are believed to be reasonable under the circumstances. In the process of applying the Company’s accounting policies, the management has made the following estimates and judgements which are significant to the financial statements:</t>
  </si>
  <si>
    <t>Stores</t>
  </si>
  <si>
    <t>Spares</t>
  </si>
  <si>
    <t>Loose tools</t>
  </si>
  <si>
    <t xml:space="preserve">Stores, spares and loose tools </t>
  </si>
  <si>
    <t xml:space="preserve">Trade receivables - net </t>
  </si>
  <si>
    <t xml:space="preserve">Advances, deposits and prepayments </t>
  </si>
  <si>
    <t xml:space="preserve">Contingencies and commitments </t>
  </si>
  <si>
    <t>Normal repairs and maintenance are charged to profit or loss as and when incurred. Major renewals and improvements, if any, are capitalised, when it is probable that future economic benefits will flow to the Company.</t>
  </si>
  <si>
    <t>Residual values and the useful lives are reviewed at each date of statement of financial position and adjusted if expectations differ significantly from previous estimates.</t>
  </si>
  <si>
    <t>Useful lives are determined by the management based on the expected usage of assets, physical wear and tear, technical and commercial obsolescence, legal and similar limits on the use of the assets and other similar factors.</t>
  </si>
  <si>
    <t>The carrying amount of the intangible is reviewed for impairment whenever events or changes in circumstances indicate that the carrying amount may not be recoverable. An impairment loss is recognised in the profit or loss for the amount by which the asset’s carrying amount exceeds its recoverable amount. Reversal of impairment losses are also recognised in the profit or loss, however, it is restricted to the original cost of the asset.</t>
  </si>
  <si>
    <t>Net realisable value specifies the estimated selling price in the ordinary course of business less the estimated cost of completion and cost necessarily to be incurred to make the sale.</t>
  </si>
  <si>
    <t>Net realisable value is determined on the basis of estimated selling price of the product in the ordinary course of business less estimated costs of completion and the estimated costs necessary to be incurred for its sale.</t>
  </si>
  <si>
    <t xml:space="preserve">Investment property, which is property held to earn rentals and/or for capital appreciation (including property under construction for such purposes), is measured initially at cost, including transaction costs. Subsequent to initial recognition, investment property is measured at fair value. Gains or losses arising from changes in the fair value of investment property are included in profit or loss in the period in which they arise. </t>
  </si>
  <si>
    <t>An investment property is derecognised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included in profit or loss in the period in which the property is derecognised.</t>
  </si>
  <si>
    <t>Normal Income Tax</t>
  </si>
  <si>
    <t>Accounting Profit / Tax Chargeable u/s 113C @17%</t>
  </si>
  <si>
    <t xml:space="preserve"> Minimum Tax Chargeable u/s 113</t>
  </si>
  <si>
    <t>Amount Adjusted</t>
  </si>
  <si>
    <t>ACT to be C/F 
(10 years)</t>
  </si>
  <si>
    <t>Minimum Tax to be C/F 
(5 years)</t>
  </si>
  <si>
    <t>Net Book Value</t>
  </si>
  <si>
    <t>Tax Gain / (Loss) on Disposals</t>
  </si>
  <si>
    <t>plant</t>
  </si>
  <si>
    <t>Interest expense on lease liability</t>
  </si>
  <si>
    <t>Current</t>
  </si>
  <si>
    <t>Interest income recognised on a time proportion basis on the principal amount outstanding and at the applicable rate.</t>
  </si>
  <si>
    <t>The company recognizes revenue when the amount of revenue can be reliably measured, it is probable that future economic benefits will flow to the company and specific criteria has been met for each of the company's activities as described below:</t>
  </si>
  <si>
    <t>Provisions of and directives issued under the Companies Act, 2017.</t>
  </si>
  <si>
    <t>Less: Discount on issue of shares</t>
  </si>
  <si>
    <t>These are valued at lower of cost using Weighted Average Cost method and estimated net realisable value. Provision is made for slow moving and obsolete stores and spares. Items in transit are valued at cost comprising invoice values plus other charges incurred thereon.</t>
  </si>
  <si>
    <t>- Allotted as bonus share</t>
  </si>
  <si>
    <t>Narrative.</t>
  </si>
  <si>
    <t>Current tax expense</t>
  </si>
  <si>
    <t>Deferred tax expense / (income)</t>
  </si>
  <si>
    <t xml:space="preserve">The related parties comprise of major shareholder, associated undertakings, entities under common directorship and key management personnel. </t>
  </si>
  <si>
    <t>Withheld on cash transactions</t>
  </si>
  <si>
    <t>Withheld on non-cash transactions</t>
  </si>
  <si>
    <t>Withheld by customers</t>
  </si>
  <si>
    <t>Withheld on electricity</t>
  </si>
  <si>
    <t>Payable to director</t>
  </si>
  <si>
    <t>Audit fee payable</t>
  </si>
  <si>
    <t>Operating expenses</t>
  </si>
  <si>
    <t>Salaries, Wages And Other Benefits</t>
  </si>
  <si>
    <t>Fuel Expenses</t>
  </si>
  <si>
    <t>Utilities</t>
  </si>
  <si>
    <t>Entertainment</t>
  </si>
  <si>
    <t>Repair And Maintenance</t>
  </si>
  <si>
    <t>Rent, Rates And Taxation</t>
  </si>
  <si>
    <t>Legal And Professional Charges</t>
  </si>
  <si>
    <t>Auditors' Remuneration</t>
  </si>
  <si>
    <t>Sales tax panelty</t>
  </si>
  <si>
    <t>Suspense</t>
  </si>
  <si>
    <t>Raw Material Consumed</t>
  </si>
  <si>
    <t>Rent, rates and taxes</t>
  </si>
  <si>
    <t>Bank Charges</t>
  </si>
  <si>
    <t>The cost of inventories recognised as an expense during the year in respect of continuing operations was CU__</t>
  </si>
  <si>
    <t>million (2019: CU__ million).</t>
  </si>
  <si>
    <t>The cost of inventories recognised as an expense includes CU__ million (2019: CU__ million) in respect of writedowns of inventory to net realisable value, and has been reduced by CU__ million (2019: CU__ million) in respect of</t>
  </si>
  <si>
    <t>the reversal of such write-downs. Previous write-downs have been reversed as a result of increased sales prices in</t>
  </si>
  <si>
    <t>certain markets.</t>
  </si>
  <si>
    <t>Inventories of CU__ million (2019: CU__ million) are expected to be recovered after more than 12 months.</t>
  </si>
  <si>
    <t>Inventories with a carrying amount of CU__ million (2019: CU__ million) have been pledged as security for certain of</t>
  </si>
  <si>
    <t>the Group’s bank overdrafts.</t>
  </si>
  <si>
    <t>Inventories are stated at the lower of cost and net realisable value. Cost comprises direct materials and, where</t>
  </si>
  <si>
    <t>applicable, direct labour costs and those overheads that have been incurred in bringing the inventories to their</t>
  </si>
  <si>
    <t>present location and condition. Cost is calculated using the weighted average cost method. Net realisable value</t>
  </si>
  <si>
    <t>represents the estimated selling price less all estimated costs of completion and costs to be incurred in marketing,</t>
  </si>
  <si>
    <t>selling and distribution.</t>
  </si>
  <si>
    <t>Impairment losses recognised during the year</t>
  </si>
  <si>
    <t>IAS 36:130(a)-(g)</t>
  </si>
  <si>
    <t>IAS 36:131</t>
  </si>
  <si>
    <t>IAS 36:126(a)</t>
  </si>
  <si>
    <t>The discount rate used in measuring value in use was __ per cent per annum. No impairment assessment was</t>
  </si>
  <si>
    <t>performed in 2019 as there was no indication of impairment.</t>
  </si>
  <si>
    <t>These losses are attributable to greater than anticipated wear and tear. Those assets have been impaired in full and</t>
  </si>
  <si>
    <t>The impairment losses have been included in the profit and loss in the [other expenses/cost of sales] line item.</t>
  </si>
  <si>
    <t>IAS 16:74(a) Assets pledged as security</t>
  </si>
  <si>
    <t>Freehold land and buildings with a carrying amount of CU__ million (2019: CU__ million) have been pledged to</t>
  </si>
  <si>
    <t>secure borrowings of the Group (see note 33). The Group is not allowed to pledge these assets as security for other</t>
  </si>
  <si>
    <t>borrowings or to sell them to another entity.</t>
  </si>
  <si>
    <t>This represents freehold land and building adjacent to PVC manufacturing plant owned</t>
  </si>
  <si>
    <t>by the Group. This property is not occupied by the Group and is held for capital</t>
  </si>
  <si>
    <t>appreciation and earning rental income. The Group carries this investment property</t>
  </si>
  <si>
    <t>under cost model as its fair value cannot be reliably determined as there is no active</t>
  </si>
  <si>
    <t>market for this property and a recent comparable transaction for identical property is</t>
  </si>
  <si>
    <t>also not available. Further, the application of valuation techniques is not supposed to</t>
  </si>
  <si>
    <t>provide a reliable measure of fair value. The possible range of estimates with in which</t>
  </si>
  <si>
    <t>the fair value is highly likely to lie is Rs. xxx to Rs.xxx.</t>
  </si>
  <si>
    <t>Purchase of equipment</t>
  </si>
  <si>
    <t>Non-current</t>
  </si>
  <si>
    <t>The purchase of equipment deferred income arises as a result of a grant received on [date] to install energy efficient machinery for the production of [product X]. The income will be recognised in profit or loss on a straight line basis over the useful life of the related asset. There are no unfulfilled conditions or other contingencies attaching to this grant.</t>
  </si>
  <si>
    <t>Recognised under normal tax regime @ __ %</t>
  </si>
  <si>
    <t>2015 and before</t>
  </si>
  <si>
    <t>B/f DTL - CIE</t>
  </si>
  <si>
    <t>B/f DTL - OCI</t>
  </si>
  <si>
    <t>B/f DTL - PNL</t>
  </si>
  <si>
    <t>C/f DTL - CIE</t>
  </si>
  <si>
    <t>C/f DTL - OCI</t>
  </si>
  <si>
    <t>C/f DTL - PNL</t>
  </si>
  <si>
    <t>B/f DTA - UTC</t>
  </si>
  <si>
    <t>B/f DTA - PNL</t>
  </si>
  <si>
    <t>OCI</t>
  </si>
  <si>
    <t>CIE</t>
  </si>
  <si>
    <t>PNL</t>
  </si>
  <si>
    <t>DEFERRED TAX A/C</t>
  </si>
  <si>
    <t>Long-term loans and advances</t>
  </si>
  <si>
    <t>Related parties</t>
  </si>
  <si>
    <t>Employees</t>
  </si>
  <si>
    <t>Long-term loans to related parties</t>
  </si>
  <si>
    <t>Holding company</t>
  </si>
  <si>
    <t>Associated companies</t>
  </si>
  <si>
    <t>Less:  Due within 12 months, shown under current loans and advances</t>
  </si>
  <si>
    <t>Long-term loans to directors</t>
  </si>
  <si>
    <t>The Company's Board of Directors has adopted a policy that there should be no loans to Directors, except for loans to fund expenditure to defend Directors in legal or regulatory proceedings. The loans provided are unsecured and bear interest at six month KIBOR + 1.5% (20X7: six month KIBOR + 1.5%) per annum. The effective interest rate was 6% (20X7: 6.5%) per annum. All the related requirements of the Companies Act, 2017 have been complied with. The reconciliation of the carrying amount at the beginning and end of the period is as under:</t>
  </si>
  <si>
    <t>Balance at the beginning of the year</t>
  </si>
  <si>
    <t>Disbursements</t>
  </si>
  <si>
    <t>Receipts</t>
  </si>
  <si>
    <t>Balance at the end of the year</t>
  </si>
  <si>
    <t>The maximum amount due as at the end of any month during the year was Rs. xxx (2020: Rs. xxx).</t>
  </si>
  <si>
    <t>July 01, 2021</t>
  </si>
  <si>
    <t>June 30, 2022</t>
  </si>
  <si>
    <t>2022</t>
  </si>
  <si>
    <t>Sales tax refundable</t>
  </si>
  <si>
    <t>Short term borrowings</t>
  </si>
  <si>
    <t>Loans from director</t>
  </si>
  <si>
    <t>ABC LIMITED</t>
  </si>
  <si>
    <t>July 01, 2022</t>
  </si>
  <si>
    <t>June 30, 2023</t>
  </si>
  <si>
    <t>2023</t>
  </si>
  <si>
    <t>All the financial assets and financial liabilities are recognized at the time when the Company becomes a party to the contractual provisions of the instruments. The Company derecognizes a financial asset or a portion of financial asset when, and only when, the Company loses control of the contractual rights that comprise the financial asset or portion of financial asset. While a financial liability or part of financial liability is derecognized from the balance sheet when, and only when, it is extinguished, i.e. when the obligation specified in the contract is discharged, cancelled or expires.</t>
  </si>
  <si>
    <t>All financial assets and financial liabilities are initially measured at cost, which is the fair value of the consideration given and received respectively. These financial assets and liabilities are subsequently measured at fair value, amortized cost or cost, as the case may be.</t>
  </si>
  <si>
    <t>Financial assets are Trade receivebales, cash and bank balances. These are stated at their nominal values as reduced by the appropriate allowances for estimating irrecoverable amount.</t>
  </si>
  <si>
    <t>Financial liabilities are classified according to the substance of the contractual arrangements entered into. Significant financial liabilities are long term loans, short term running finance utilized under mark-up arrangements, creditors, liabilities, accrued and other liabilities. Mark-up bearing finances are recorded at the gross proceeds received. Other liabilities are stated at their nominal value.</t>
  </si>
  <si>
    <t>The Company assesses at each balance sheet date whether there is any objective evidence that a financial asset or a group of financial assets is impaired. A financial asset or a group of financial assets is deemed to be impaired if, and only if, there is objective evidence of impairment as a result of one or more events that has occurred after the initial recognition of the asset (an incurred ‘loss event’) and that loss event has an impact on the estimated future cash flows of the financial asset or the group of financial assets that can be reliably estimated.</t>
  </si>
  <si>
    <t>Evidence of the impairment may include indicators that the debtor or a group of debtors is experiencing significant financial difficulty, default or delinquency in interest or principal payments, the probability that they will enter bankruptcy or other financial reorganization and where observable data indicates that there is a measurable decrease in the estimated future cash flows, such as changes in arrears or economic conditions that correlate with defaults.</t>
  </si>
  <si>
    <t>The amount of loss is measured as the difference between the asset’s carrying amount and the present value of the estimated future cash flows discounted at the financial asset’s original effective interest rate. The carrying amount of the asset is reduced and the amount of the loss is recognized in the profit and loss account. If, in a subsequent period, the amount of the impairment loss decreases and the decrease can be related objectively to an event occurring after the impairment was recognized, the reversal of the previously recognized impairment loss is recognized in profit and loss account.</t>
  </si>
  <si>
    <t>Trade debts are carried at invoice amount on transaction date less any estimate for doubtful debts. Known bad debts are written off as and when identified.</t>
  </si>
  <si>
    <t>Cash and cash equivalents are carried in the statement of financial position at cost. For the purposes of the statement of cash flows, cash and cash equivalents comprise cash in hand, cash with banks on current/savings and deposit accounts, that are readily convertible to known amount of cash and which are subject to insignificant risk of change in value.</t>
  </si>
  <si>
    <t>Liabilities for trade and other payables are carried at cost which is the fair value of the consideration to be paid in future for goods and services.</t>
  </si>
  <si>
    <t>4.10</t>
  </si>
  <si>
    <t>Parties are said to be related if they are able to influence the operating and financing decisions of the Company and vice versa. All transactions with related parties and associated undertakings are entered into on the basis of mutually agreed terms.</t>
  </si>
  <si>
    <t>Leases</t>
  </si>
  <si>
    <t>At its inception, a lease is classified as either a finance lease or an operating lease. Finance leases transfer substantially all the risks and rewards of ownership. All other leases are classified as operating leases.</t>
  </si>
  <si>
    <t>Finance leases</t>
  </si>
  <si>
    <t>Finance leases are capitalized at the lease’s commencement at the lower of the fair value of the leased property and the present value of the minimum lease payments. Each lease payment is apportioned between the liability and finance charges using the effective interest method. Rental obligations, net of finance charges, are included in borrowings in the statement of financial position.</t>
  </si>
  <si>
    <t>Operating leases</t>
  </si>
  <si>
    <t>Rentals payable under operating leases are charged to profit or loss on a straight-line basis over the term of the relevant lease. Minimum lease payments receivable under operating leases are recognised as revenue on a straight-line basis over the term of the lease.</t>
  </si>
  <si>
    <t>Deferred income</t>
  </si>
  <si>
    <t>Grants related to long term financing are accounted for by recognising the grants as deferred income. These grants are recognised as income on a systematic basis over the period for which the company has obtained long term financing. The company adjusts grant income against the associated expense of long term financing.</t>
  </si>
  <si>
    <t>Revenue from the sale of goods is recognised when the significant risks and rewards of ownership of the goods have been transferred to the buyer. This is usually at the point that the customer has signed for the delivery of the goods.</t>
  </si>
  <si>
    <t>Contingent liabilities</t>
  </si>
  <si>
    <t xml:space="preserve">Contingent liability is disclosed when there is a possible obligation that arises from past events and whose existence will be confirmed only by the occurrence or non occurrence of one or more uncertain future events not wholly within the control of the Company or when there is present obligation that arises from past events but it is not probable that an outflow of resources embodying economic benefits will be required to settle the obligation or the amount of the obligation cannot be measured with sufficient reliability.
</t>
  </si>
  <si>
    <t>Contingent assets</t>
  </si>
  <si>
    <t>Contingent assets are disclosed when there is a possible asset that arises from past events and whose existence will be confirmed only by the occurrence or non-occurrence of one or more uncertain future events not wholly within the control of the Company. Contingent assets are not recognised until their realisation become virtually certain.</t>
  </si>
  <si>
    <t>4.20</t>
  </si>
  <si>
    <t>Future minimum lease payments</t>
  </si>
  <si>
    <t>payable within one year</t>
  </si>
  <si>
    <t>payable after than one year but within five years</t>
  </si>
  <si>
    <t>Less: finance cost</t>
  </si>
  <si>
    <t>Present value of minimum lease payments</t>
  </si>
  <si>
    <r>
      <t xml:space="preserve">Following are the </t>
    </r>
    <r>
      <rPr>
        <sz val="11"/>
        <color rgb="FFFF0000"/>
        <rFont val="Times New Roman"/>
        <family val="1"/>
      </rPr>
      <t>property/assets</t>
    </r>
    <r>
      <rPr>
        <sz val="11"/>
        <color theme="1"/>
        <rFont val="Times New Roman"/>
        <family val="1"/>
      </rPr>
      <t xml:space="preserve"> acquired with the fund of the company, is not held in the name of the company or is not in the possession and control of the company.</t>
    </r>
  </si>
  <si>
    <r>
      <rPr>
        <sz val="11"/>
        <color rgb="FFFF0000"/>
        <rFont val="Times New Roman"/>
        <family val="1"/>
      </rPr>
      <t>Freehold Land, building, furniture and fixture and plant and machinery</t>
    </r>
    <r>
      <rPr>
        <sz val="11"/>
        <color theme="1"/>
        <rFont val="Times New Roman"/>
        <family val="1"/>
      </rPr>
      <t xml:space="preserve"> were revalued by M/s _________________ as on ___________.</t>
    </r>
  </si>
  <si>
    <r>
      <t xml:space="preserve">Forced Sales Value (FSV) of the </t>
    </r>
    <r>
      <rPr>
        <sz val="11"/>
        <color rgb="FFFF0000"/>
        <rFont val="Times New Roman"/>
        <family val="1"/>
      </rPr>
      <t>land, building, furniture and fixture and plant and machinery</t>
    </r>
    <r>
      <rPr>
        <sz val="11"/>
        <color theme="1"/>
        <rFont val="Times New Roman"/>
        <family val="1"/>
      </rPr>
      <t xml:space="preserve"> was Rs. _____ million , _____ million, Rs. ______ thousand and ___________ million respectively as at date of valuation.</t>
    </r>
  </si>
  <si>
    <r>
      <t xml:space="preserve">( Purpose and Utilization of amount) i.e. </t>
    </r>
    <r>
      <rPr>
        <sz val="11"/>
        <rFont val="Times New Roman"/>
        <family val="1"/>
      </rPr>
      <t>It represents interest free unsecured loan from directors to meet the working capital requirements of the company.</t>
    </r>
  </si>
  <si>
    <r>
      <t xml:space="preserve">Narrative. </t>
    </r>
    <r>
      <rPr>
        <sz val="11"/>
        <color rgb="FFFF0000"/>
        <rFont val="Times New Roman"/>
        <family val="1"/>
      </rPr>
      <t>(In describing legal proceedings, under any court, agency or government authority, whether local or foreign include name of the court, agency or authority in which the proceedings are pending, the date instituted, the principal parties thereto, a description of the factual basis of the proceeding and the relief sought.)</t>
    </r>
  </si>
  <si>
    <r>
      <t xml:space="preserve">Donations to following Organizations and Trusts </t>
    </r>
    <r>
      <rPr>
        <sz val="11"/>
        <color rgb="FFFF0000"/>
        <rFont val="Times New Roman"/>
        <family val="1"/>
      </rPr>
      <t>exceed 10% of total donations of the Company or 1 million which ever is higher:</t>
    </r>
  </si>
  <si>
    <r>
      <rPr>
        <b/>
        <sz val="11"/>
        <color rgb="FFFF0000"/>
        <rFont val="Times New Roman"/>
        <family val="1"/>
      </rPr>
      <t>ABC limited</t>
    </r>
    <r>
      <rPr>
        <b/>
        <sz val="11"/>
        <color theme="1"/>
        <rFont val="Times New Roman"/>
        <family val="1"/>
      </rPr>
      <t xml:space="preserve"> - </t>
    </r>
    <r>
      <rPr>
        <b/>
        <i/>
        <sz val="11"/>
        <color theme="1"/>
        <rFont val="Times New Roman"/>
        <family val="1"/>
      </rPr>
      <t>Associated company by virtue of common directorship</t>
    </r>
  </si>
  <si>
    <r>
      <t xml:space="preserve">These financial statements have been approved and authorized for issue on </t>
    </r>
    <r>
      <rPr>
        <b/>
        <sz val="11"/>
        <color theme="1"/>
        <rFont val="Times New Roman"/>
        <family val="1"/>
      </rPr>
      <t>October 05, 2020</t>
    </r>
    <r>
      <rPr>
        <sz val="11"/>
        <color theme="1"/>
        <rFont val="Times New Roman"/>
        <family val="1"/>
      </rPr>
      <t xml:space="preserve"> by the Board of Directors of the company.</t>
    </r>
  </si>
  <si>
    <r>
      <t xml:space="preserve">ABC Limited (the Company) was incorporated in Pakistan on _________________ as a Private Limited Company under the repealed Companies Ordinance, 1984. The company is principally engaged in ___________________. The registered office of the company is located at ________________________. </t>
    </r>
    <r>
      <rPr>
        <sz val="11"/>
        <color rgb="FFFF0000"/>
        <rFont val="Times New Roman"/>
        <family val="1"/>
      </rPr>
      <t>(If the Company is a Manufacturer and its registered office is located at a location other than Manufacturing Facility then, The manufacturing facility of the company is located at ___________________________).</t>
    </r>
  </si>
  <si>
    <r>
      <t>Lease payments</t>
    </r>
    <r>
      <rPr>
        <sz val="11"/>
        <color rgb="FFFF0000"/>
        <rFont val="Times New Roman"/>
        <family val="1"/>
      </rPr>
      <t xml:space="preserve"> (interest portion)</t>
    </r>
  </si>
  <si>
    <r>
      <t xml:space="preserve">Short-term lease payments </t>
    </r>
    <r>
      <rPr>
        <sz val="11"/>
        <color rgb="FFFF0000"/>
        <rFont val="Times New Roman"/>
        <family val="1"/>
      </rPr>
      <t>(low values assets and variable lease payments not included in lease liability)</t>
    </r>
  </si>
  <si>
    <r>
      <t>Lease payments</t>
    </r>
    <r>
      <rPr>
        <sz val="11"/>
        <color rgb="FFFF0000"/>
        <rFont val="Times New Roman"/>
        <family val="1"/>
      </rPr>
      <t xml:space="preserve"> (principal portion)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</si>
</sst>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_(* #,##0.0_);_(* \(#,##0.0\);_(* &quot;-&quot;??_);_(@_)"/>
    <numFmt numFmtId="167" formatCode="0.0"/>
    <numFmt numFmtId="168" formatCode="[$-409]d/mmm/yy;@"/>
  </numFmts>
  <fonts count="24" x14ac:knownFonts="1">
    <font>
      <sz val="11"/>
      <color theme="1"/>
      <name val="Calibri"/>
      <family val="2"/>
      <scheme val="minor"/>
    </font>
    <font>
      <sz val="11"/>
      <color theme="1"/>
      <name val="Calibri"/>
      <family val="2"/>
      <scheme val="minor"/>
    </font>
    <font>
      <sz val="10"/>
      <name val="Arial"/>
      <family val="2"/>
    </font>
    <font>
      <sz val="11"/>
      <color indexed="8"/>
      <name val="Calibri"/>
      <family val="2"/>
    </font>
    <font>
      <b/>
      <sz val="11"/>
      <color theme="1"/>
      <name val="Calibri"/>
      <family val="2"/>
      <scheme val="minor"/>
    </font>
    <font>
      <i/>
      <sz val="11"/>
      <color theme="1"/>
      <name val="Calibri"/>
      <family val="2"/>
      <scheme val="minor"/>
    </font>
    <font>
      <b/>
      <sz val="11"/>
      <name val="Times New Roman"/>
      <family val="1"/>
    </font>
    <font>
      <sz val="11"/>
      <name val="Times New Roman"/>
      <family val="1"/>
    </font>
    <font>
      <sz val="11"/>
      <color theme="1"/>
      <name val="Times New Roman"/>
      <family val="1"/>
    </font>
    <font>
      <i/>
      <sz val="11"/>
      <color theme="1"/>
      <name val="Times New Roman"/>
      <family val="1"/>
    </font>
    <font>
      <b/>
      <sz val="11"/>
      <color theme="1"/>
      <name val="Times New Roman"/>
      <family val="1"/>
    </font>
    <font>
      <b/>
      <sz val="11"/>
      <color theme="0"/>
      <name val="Times New Roman"/>
      <family val="1"/>
    </font>
    <font>
      <sz val="11"/>
      <color theme="0"/>
      <name val="Times New Roman"/>
      <family val="1"/>
    </font>
    <font>
      <sz val="11"/>
      <color indexed="8"/>
      <name val="Times New Roman"/>
      <family val="1"/>
    </font>
    <font>
      <sz val="11"/>
      <color rgb="FFFF0000"/>
      <name val="Times New Roman"/>
      <family val="1"/>
    </font>
    <font>
      <b/>
      <sz val="11"/>
      <color rgb="FFFF0000"/>
      <name val="Times New Roman"/>
      <family val="1"/>
    </font>
    <font>
      <b/>
      <i/>
      <sz val="11"/>
      <color theme="1"/>
      <name val="Times New Roman"/>
      <family val="1"/>
    </font>
    <font>
      <u val="singleAccounting"/>
      <sz val="11"/>
      <name val="Times New Roman"/>
      <family val="1"/>
    </font>
    <font>
      <b/>
      <sz val="12"/>
      <name val="Times New Roman"/>
      <family val="1"/>
    </font>
    <font>
      <sz val="12"/>
      <name val="Times New Roman"/>
      <family val="1"/>
    </font>
    <font>
      <sz val="12"/>
      <color theme="1"/>
      <name val="Times New Roman"/>
      <family val="1"/>
    </font>
    <font>
      <b/>
      <sz val="12"/>
      <color indexed="9"/>
      <name val="Times New Roman"/>
      <family val="1"/>
    </font>
    <font>
      <i/>
      <sz val="12"/>
      <color theme="1"/>
      <name val="Times New Roman"/>
      <family val="1"/>
    </font>
    <font>
      <b/>
      <sz val="12"/>
      <color theme="1"/>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5"/>
        <bgColor indexed="64"/>
      </patternFill>
    </fill>
    <fill>
      <patternFill patternType="solid">
        <fgColor theme="2" tint="-9.9948118533890809E-2"/>
        <bgColor indexed="64"/>
      </patternFill>
    </fill>
    <fill>
      <patternFill patternType="solid">
        <fgColor theme="2"/>
        <bgColor indexed="64"/>
      </patternFill>
    </fill>
  </fills>
  <borders count="2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right/>
      <top/>
      <bottom style="double">
        <color indexed="64"/>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diagonal/>
    </border>
    <border>
      <left style="thin">
        <color theme="0"/>
      </left>
      <right style="thin">
        <color theme="0"/>
      </right>
      <top style="thin">
        <color theme="0"/>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rgb="FFC00000"/>
      </left>
      <right style="thin">
        <color rgb="FFC00000"/>
      </right>
      <top style="thin">
        <color rgb="FFC00000"/>
      </top>
      <bottom style="thin">
        <color rgb="FFC00000"/>
      </bottom>
      <diagonal/>
    </border>
  </borders>
  <cellStyleXfs count="14">
    <xf numFmtId="0" fontId="0" fillId="0" borderId="0"/>
    <xf numFmtId="0" fontId="4"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4" fontId="2" fillId="0" borderId="0" applyFont="0" applyFill="0" applyBorder="0" applyAlignment="0" applyProtection="0"/>
    <xf numFmtId="0" fontId="2" fillId="0" borderId="0"/>
    <xf numFmtId="166" fontId="2" fillId="0" borderId="0" applyFont="0" applyFill="0" applyBorder="0" applyAlignment="0" applyProtection="0"/>
    <xf numFmtId="0" fontId="1" fillId="0" borderId="0"/>
    <xf numFmtId="0" fontId="2" fillId="0" borderId="0"/>
    <xf numFmtId="0" fontId="2" fillId="0" borderId="0"/>
    <xf numFmtId="164" fontId="3" fillId="0" borderId="0" applyFont="0" applyFill="0" applyBorder="0" applyAlignment="0" applyProtection="0"/>
    <xf numFmtId="0" fontId="1" fillId="0" borderId="0"/>
  </cellStyleXfs>
  <cellXfs count="448">
    <xf numFmtId="0" fontId="0" fillId="0" borderId="0" xfId="0"/>
    <xf numFmtId="0" fontId="6" fillId="0" borderId="0" xfId="0" applyFont="1" applyAlignment="1">
      <alignment vertical="center"/>
    </xf>
    <xf numFmtId="0" fontId="6" fillId="0" borderId="0" xfId="0" applyFont="1"/>
    <xf numFmtId="0" fontId="6" fillId="0" borderId="0" xfId="0" applyFont="1" applyAlignment="1">
      <alignment horizontal="left" vertical="top"/>
    </xf>
    <xf numFmtId="0" fontId="6" fillId="0" borderId="0" xfId="0" applyFont="1" applyAlignment="1">
      <alignment horizontal="center" vertical="top"/>
    </xf>
    <xf numFmtId="0" fontId="6" fillId="0" borderId="0" xfId="0" applyFont="1" applyAlignment="1">
      <alignment horizontal="center" vertical="center"/>
    </xf>
    <xf numFmtId="0" fontId="8" fillId="0" borderId="0" xfId="0" applyFont="1" applyAlignment="1">
      <alignment vertical="center"/>
    </xf>
    <xf numFmtId="0" fontId="6" fillId="0" borderId="0" xfId="0" applyFont="1" applyAlignment="1">
      <alignment horizontal="center" vertical="center"/>
    </xf>
    <xf numFmtId="165" fontId="10" fillId="0" borderId="0" xfId="4" applyNumberFormat="1" applyFont="1" applyFill="1" applyBorder="1" applyAlignment="1">
      <alignment horizontal="center" vertical="center"/>
    </xf>
    <xf numFmtId="0" fontId="10" fillId="0" borderId="0" xfId="4" applyNumberFormat="1" applyFont="1" applyFill="1" applyAlignment="1">
      <alignment horizontal="center" vertical="center"/>
    </xf>
    <xf numFmtId="0" fontId="8" fillId="0" borderId="0" xfId="0" applyFont="1" applyAlignment="1">
      <alignment horizontal="center" vertical="center"/>
    </xf>
    <xf numFmtId="165" fontId="8" fillId="0" borderId="0" xfId="4" quotePrefix="1" applyNumberFormat="1" applyFont="1" applyFill="1" applyAlignment="1">
      <alignment horizontal="center" vertical="center"/>
    </xf>
    <xf numFmtId="165" fontId="8" fillId="0" borderId="0" xfId="4" applyNumberFormat="1" applyFont="1" applyFill="1" applyAlignment="1">
      <alignment horizontal="center" vertical="center"/>
    </xf>
    <xf numFmtId="0" fontId="8" fillId="0" borderId="0" xfId="4" applyNumberFormat="1" applyFont="1" applyFill="1" applyAlignment="1">
      <alignment horizontal="center" vertical="center"/>
    </xf>
    <xf numFmtId="0" fontId="10" fillId="0" borderId="0" xfId="0" applyFont="1" applyAlignment="1">
      <alignment vertical="center"/>
    </xf>
    <xf numFmtId="165" fontId="8" fillId="0" borderId="0" xfId="4" applyNumberFormat="1" applyFont="1" applyFill="1" applyAlignment="1">
      <alignment vertical="center"/>
    </xf>
    <xf numFmtId="0" fontId="8" fillId="0" borderId="0" xfId="0" quotePrefix="1" applyFont="1" applyAlignment="1">
      <alignment horizontal="center" vertical="center"/>
    </xf>
    <xf numFmtId="165" fontId="8" fillId="0" borderId="1" xfId="4" applyNumberFormat="1" applyFont="1" applyFill="1" applyBorder="1" applyAlignment="1">
      <alignment vertical="center"/>
    </xf>
    <xf numFmtId="165" fontId="8" fillId="0" borderId="2" xfId="4" applyNumberFormat="1" applyFont="1" applyFill="1" applyBorder="1" applyAlignment="1">
      <alignment vertical="center"/>
    </xf>
    <xf numFmtId="165" fontId="8" fillId="0" borderId="3" xfId="4" applyNumberFormat="1" applyFont="1" applyFill="1" applyBorder="1" applyAlignment="1">
      <alignment vertical="center"/>
    </xf>
    <xf numFmtId="165" fontId="8" fillId="0" borderId="5" xfId="4" applyNumberFormat="1" applyFont="1" applyFill="1" applyBorder="1" applyAlignment="1">
      <alignment vertical="center"/>
    </xf>
    <xf numFmtId="165" fontId="10" fillId="0" borderId="7" xfId="4" applyNumberFormat="1" applyFont="1" applyFill="1" applyBorder="1" applyAlignment="1">
      <alignment vertical="center"/>
    </xf>
    <xf numFmtId="165" fontId="10" fillId="0" borderId="0" xfId="4" applyNumberFormat="1" applyFont="1" applyFill="1" applyAlignment="1">
      <alignment vertical="center"/>
    </xf>
    <xf numFmtId="165" fontId="8" fillId="0" borderId="11" xfId="4" applyNumberFormat="1" applyFont="1" applyFill="1" applyBorder="1" applyAlignment="1">
      <alignment vertical="center"/>
    </xf>
    <xf numFmtId="165" fontId="8" fillId="0" borderId="4" xfId="4" applyNumberFormat="1" applyFont="1" applyFill="1" applyBorder="1" applyAlignment="1">
      <alignment vertical="center"/>
    </xf>
    <xf numFmtId="0" fontId="6" fillId="0" borderId="9" xfId="7" applyFont="1" applyBorder="1" applyAlignment="1">
      <alignment horizontal="center" vertical="center" wrapText="1"/>
    </xf>
    <xf numFmtId="165" fontId="6" fillId="0" borderId="9" xfId="4" applyNumberFormat="1" applyFont="1" applyFill="1" applyBorder="1" applyAlignment="1">
      <alignment horizontal="center" vertical="center" wrapText="1"/>
    </xf>
    <xf numFmtId="165" fontId="6" fillId="0" borderId="9" xfId="6" applyNumberFormat="1" applyFont="1" applyFill="1" applyBorder="1" applyAlignment="1">
      <alignment horizontal="center" vertical="center" wrapText="1"/>
    </xf>
    <xf numFmtId="0" fontId="8" fillId="0" borderId="0" xfId="0" applyFont="1"/>
    <xf numFmtId="0" fontId="6" fillId="0" borderId="9" xfId="6" applyNumberFormat="1" applyFont="1" applyFill="1" applyBorder="1" applyAlignment="1">
      <alignment horizontal="center" vertical="center" wrapText="1"/>
    </xf>
    <xf numFmtId="0" fontId="11" fillId="0" borderId="9" xfId="6" applyNumberFormat="1" applyFont="1" applyFill="1" applyBorder="1" applyAlignment="1">
      <alignment horizontal="center" vertical="center" wrapText="1"/>
    </xf>
    <xf numFmtId="0" fontId="6" fillId="0" borderId="10" xfId="6" applyNumberFormat="1" applyFont="1" applyFill="1" applyBorder="1" applyAlignment="1">
      <alignment horizontal="center" vertical="center" wrapText="1"/>
    </xf>
    <xf numFmtId="0" fontId="6" fillId="0" borderId="2" xfId="6" applyNumberFormat="1" applyFont="1" applyFill="1" applyBorder="1" applyAlignment="1">
      <alignment horizontal="center" vertical="center" wrapText="1"/>
    </xf>
    <xf numFmtId="0" fontId="6" fillId="0" borderId="14" xfId="6" applyNumberFormat="1" applyFont="1" applyFill="1" applyBorder="1" applyAlignment="1">
      <alignment horizontal="center" vertical="center" wrapText="1"/>
    </xf>
    <xf numFmtId="165" fontId="7" fillId="0" borderId="9" xfId="6" applyNumberFormat="1" applyFont="1" applyFill="1" applyBorder="1" applyAlignment="1">
      <alignment horizontal="center" vertical="center" wrapText="1"/>
    </xf>
    <xf numFmtId="165" fontId="7" fillId="0" borderId="9" xfId="4" applyNumberFormat="1" applyFont="1" applyFill="1" applyBorder="1" applyAlignment="1">
      <alignment horizontal="center" vertical="center" wrapText="1"/>
    </xf>
    <xf numFmtId="0" fontId="6" fillId="0" borderId="9" xfId="0" applyFont="1" applyBorder="1" applyAlignment="1">
      <alignment horizontal="center" vertical="center" wrapText="1"/>
    </xf>
    <xf numFmtId="165" fontId="6" fillId="0" borderId="19" xfId="6" applyNumberFormat="1" applyFont="1" applyFill="1" applyBorder="1" applyAlignment="1">
      <alignment horizontal="center"/>
    </xf>
    <xf numFmtId="165" fontId="11" fillId="0" borderId="19" xfId="6" applyNumberFormat="1" applyFont="1" applyFill="1" applyBorder="1" applyAlignment="1">
      <alignment horizontal="center"/>
    </xf>
    <xf numFmtId="165" fontId="11" fillId="0" borderId="4" xfId="6" applyNumberFormat="1" applyFont="1" applyFill="1" applyBorder="1" applyAlignment="1">
      <alignment horizontal="center"/>
    </xf>
    <xf numFmtId="165" fontId="11" fillId="0" borderId="20" xfId="6" applyNumberFormat="1" applyFont="1" applyFill="1" applyBorder="1" applyAlignment="1">
      <alignment horizontal="center"/>
    </xf>
    <xf numFmtId="165" fontId="6" fillId="0" borderId="9" xfId="6" applyNumberFormat="1" applyFont="1" applyFill="1" applyBorder="1" applyAlignment="1">
      <alignment horizontal="center"/>
    </xf>
    <xf numFmtId="0" fontId="6" fillId="0" borderId="9" xfId="7" applyFont="1" applyBorder="1" applyAlignment="1">
      <alignment horizontal="left" vertical="center" wrapText="1"/>
    </xf>
    <xf numFmtId="0" fontId="8" fillId="0" borderId="9" xfId="0" applyFont="1" applyBorder="1" applyAlignment="1">
      <alignment horizontal="center"/>
    </xf>
    <xf numFmtId="165" fontId="8" fillId="0" borderId="9" xfId="6" applyNumberFormat="1" applyFont="1" applyFill="1" applyBorder="1"/>
    <xf numFmtId="0" fontId="8" fillId="0" borderId="9" xfId="6" applyNumberFormat="1" applyFont="1" applyFill="1" applyBorder="1" applyAlignment="1">
      <alignment horizontal="center"/>
    </xf>
    <xf numFmtId="165" fontId="7" fillId="0" borderId="9" xfId="8" applyNumberFormat="1" applyFont="1" applyFill="1" applyBorder="1" applyAlignment="1">
      <alignment vertical="center"/>
    </xf>
    <xf numFmtId="165" fontId="7" fillId="0" borderId="9" xfId="6" applyNumberFormat="1" applyFont="1" applyFill="1" applyBorder="1" applyAlignment="1">
      <alignment vertical="center"/>
    </xf>
    <xf numFmtId="165" fontId="7" fillId="0" borderId="9" xfId="6" applyNumberFormat="1" applyFont="1" applyFill="1" applyBorder="1" applyAlignment="1">
      <alignment vertical="center" wrapText="1"/>
    </xf>
    <xf numFmtId="165" fontId="7" fillId="0" borderId="9" xfId="4" applyNumberFormat="1" applyFont="1" applyFill="1" applyBorder="1" applyAlignment="1">
      <alignment vertical="center" wrapText="1"/>
    </xf>
    <xf numFmtId="0" fontId="6" fillId="0" borderId="9" xfId="8" applyNumberFormat="1" applyFont="1" applyFill="1" applyBorder="1" applyAlignment="1">
      <alignment vertical="center"/>
    </xf>
    <xf numFmtId="0" fontId="10" fillId="0" borderId="9" xfId="0" applyFont="1" applyBorder="1" applyAlignment="1">
      <alignment horizontal="center"/>
    </xf>
    <xf numFmtId="165" fontId="10" fillId="0" borderId="9" xfId="6" applyNumberFormat="1" applyFont="1" applyFill="1" applyBorder="1"/>
    <xf numFmtId="0" fontId="8" fillId="0" borderId="0" xfId="0" applyFont="1" applyAlignment="1">
      <alignment horizontal="center"/>
    </xf>
    <xf numFmtId="165" fontId="8" fillId="0" borderId="0" xfId="6" applyNumberFormat="1" applyFont="1" applyFill="1" applyBorder="1"/>
    <xf numFmtId="165" fontId="6" fillId="0" borderId="9" xfId="8" applyNumberFormat="1" applyFont="1" applyFill="1" applyBorder="1" applyAlignment="1">
      <alignment vertical="center"/>
    </xf>
    <xf numFmtId="165" fontId="6" fillId="0" borderId="9" xfId="6" applyNumberFormat="1" applyFont="1" applyFill="1" applyBorder="1" applyAlignment="1">
      <alignment vertical="center"/>
    </xf>
    <xf numFmtId="165" fontId="6" fillId="0" borderId="9" xfId="4" applyNumberFormat="1" applyFont="1" applyFill="1" applyBorder="1" applyAlignment="1">
      <alignment vertical="center"/>
    </xf>
    <xf numFmtId="0" fontId="10" fillId="0" borderId="0" xfId="0" applyFont="1"/>
    <xf numFmtId="165" fontId="8" fillId="0" borderId="0" xfId="6" applyNumberFormat="1" applyFont="1" applyFill="1"/>
    <xf numFmtId="165" fontId="6" fillId="0" borderId="0" xfId="8" applyNumberFormat="1" applyFont="1" applyFill="1" applyBorder="1" applyAlignment="1">
      <alignment vertical="center"/>
    </xf>
    <xf numFmtId="165" fontId="6" fillId="0" borderId="0" xfId="6" applyNumberFormat="1" applyFont="1" applyFill="1" applyBorder="1" applyAlignment="1">
      <alignment vertical="center"/>
    </xf>
    <xf numFmtId="165" fontId="6" fillId="0" borderId="0" xfId="4" applyNumberFormat="1" applyFont="1" applyFill="1" applyBorder="1" applyAlignment="1">
      <alignment vertical="center"/>
    </xf>
    <xf numFmtId="0" fontId="7" fillId="0" borderId="9" xfId="0" applyFont="1" applyBorder="1" applyAlignment="1">
      <alignment horizontal="center" vertical="center" wrapText="1"/>
    </xf>
    <xf numFmtId="165" fontId="7" fillId="0" borderId="9" xfId="6" applyNumberFormat="1" applyFont="1" applyFill="1" applyBorder="1" applyAlignment="1">
      <alignment horizontal="center" vertical="center"/>
    </xf>
    <xf numFmtId="0" fontId="7" fillId="0" borderId="9" xfId="6" applyNumberFormat="1" applyFont="1" applyFill="1" applyBorder="1" applyAlignment="1">
      <alignment horizontal="center" vertical="center" wrapText="1"/>
    </xf>
    <xf numFmtId="165" fontId="8" fillId="0" borderId="0" xfId="6" applyNumberFormat="1" applyFont="1" applyFill="1" applyAlignment="1">
      <alignment vertical="center"/>
    </xf>
    <xf numFmtId="0" fontId="7" fillId="0" borderId="0" xfId="8" applyNumberFormat="1" applyFont="1" applyFill="1" applyAlignment="1">
      <alignment vertical="center"/>
    </xf>
    <xf numFmtId="165" fontId="7" fillId="0" borderId="0" xfId="6" applyNumberFormat="1" applyFont="1" applyFill="1" applyAlignment="1">
      <alignment vertical="center"/>
    </xf>
    <xf numFmtId="165" fontId="7" fillId="0" borderId="0" xfId="6" applyNumberFormat="1" applyFont="1" applyFill="1" applyAlignment="1">
      <alignment vertical="center" wrapText="1"/>
    </xf>
    <xf numFmtId="165" fontId="7" fillId="0" borderId="0" xfId="4" applyNumberFormat="1" applyFont="1" applyFill="1" applyBorder="1" applyAlignment="1">
      <alignment vertical="center" wrapText="1"/>
    </xf>
    <xf numFmtId="164" fontId="8" fillId="0" borderId="9" xfId="4" applyFont="1" applyFill="1" applyBorder="1" applyAlignment="1">
      <alignment horizontal="center"/>
    </xf>
    <xf numFmtId="164" fontId="8" fillId="0" borderId="9" xfId="4" applyFont="1" applyFill="1" applyBorder="1"/>
    <xf numFmtId="0" fontId="8" fillId="0" borderId="9" xfId="4" applyNumberFormat="1" applyFont="1" applyFill="1" applyBorder="1" applyAlignment="1">
      <alignment horizontal="center"/>
    </xf>
    <xf numFmtId="165" fontId="7" fillId="0" borderId="6" xfId="4" applyNumberFormat="1" applyFont="1" applyFill="1" applyBorder="1" applyAlignment="1">
      <alignment vertical="center" wrapText="1"/>
    </xf>
    <xf numFmtId="0" fontId="7" fillId="0" borderId="0" xfId="7" applyFont="1" applyAlignment="1">
      <alignment vertical="center"/>
    </xf>
    <xf numFmtId="165" fontId="7" fillId="0" borderId="5" xfId="4" applyNumberFormat="1" applyFont="1" applyFill="1" applyBorder="1" applyAlignment="1">
      <alignment vertical="center" wrapText="1"/>
    </xf>
    <xf numFmtId="0" fontId="8" fillId="0" borderId="9" xfId="4" applyNumberFormat="1" applyFont="1" applyFill="1" applyBorder="1"/>
    <xf numFmtId="0" fontId="13" fillId="0" borderId="0" xfId="9" applyFont="1"/>
    <xf numFmtId="165" fontId="7" fillId="0" borderId="0" xfId="4" applyNumberFormat="1" applyFont="1" applyFill="1" applyAlignment="1">
      <alignment vertical="center"/>
    </xf>
    <xf numFmtId="164" fontId="10" fillId="0" borderId="9" xfId="4" applyFont="1" applyFill="1" applyBorder="1"/>
    <xf numFmtId="164" fontId="10" fillId="0" borderId="9" xfId="4" applyFont="1" applyFill="1" applyBorder="1" applyAlignment="1">
      <alignment horizontal="center"/>
    </xf>
    <xf numFmtId="2" fontId="10" fillId="0" borderId="9" xfId="4" applyNumberFormat="1" applyFont="1" applyFill="1" applyBorder="1"/>
    <xf numFmtId="165" fontId="7" fillId="0" borderId="0" xfId="4" applyNumberFormat="1" applyFont="1" applyFill="1" applyAlignment="1">
      <alignment vertical="center" wrapText="1"/>
    </xf>
    <xf numFmtId="165" fontId="6" fillId="0" borderId="11" xfId="6" applyNumberFormat="1" applyFont="1" applyFill="1" applyBorder="1" applyAlignment="1">
      <alignment horizontal="center" vertical="center"/>
    </xf>
    <xf numFmtId="0" fontId="7" fillId="0" borderId="6" xfId="7" applyFont="1" applyBorder="1" applyAlignment="1">
      <alignment horizontal="left" vertical="center"/>
    </xf>
    <xf numFmtId="165" fontId="7" fillId="0" borderId="14" xfId="6" applyNumberFormat="1" applyFont="1" applyFill="1" applyBorder="1" applyAlignment="1">
      <alignment vertical="center"/>
    </xf>
    <xf numFmtId="0" fontId="7" fillId="0" borderId="6" xfId="6" applyNumberFormat="1" applyFont="1" applyFill="1" applyBorder="1" applyAlignment="1">
      <alignment horizontal="left" vertical="center"/>
    </xf>
    <xf numFmtId="165" fontId="7" fillId="0" borderId="0" xfId="4" applyNumberFormat="1" applyFont="1" applyFill="1" applyBorder="1" applyAlignment="1">
      <alignment vertical="center"/>
    </xf>
    <xf numFmtId="0" fontId="7" fillId="0" borderId="0" xfId="7" applyFont="1" applyAlignment="1">
      <alignment horizontal="left" vertical="center"/>
    </xf>
    <xf numFmtId="165" fontId="7" fillId="0" borderId="21" xfId="6" applyNumberFormat="1" applyFont="1" applyFill="1" applyBorder="1" applyAlignment="1">
      <alignment vertical="center"/>
    </xf>
    <xf numFmtId="0" fontId="7" fillId="0" borderId="0" xfId="6" applyNumberFormat="1" applyFont="1" applyFill="1" applyBorder="1" applyAlignment="1">
      <alignment horizontal="left" vertical="center" wrapText="1"/>
    </xf>
    <xf numFmtId="165" fontId="13" fillId="0" borderId="21" xfId="6" applyNumberFormat="1" applyFont="1" applyFill="1" applyBorder="1"/>
    <xf numFmtId="0" fontId="7" fillId="0" borderId="0" xfId="6" applyNumberFormat="1" applyFont="1" applyFill="1" applyBorder="1" applyAlignment="1">
      <alignment horizontal="left" vertical="center"/>
    </xf>
    <xf numFmtId="165" fontId="13" fillId="0" borderId="0" xfId="4" applyNumberFormat="1" applyFont="1" applyFill="1"/>
    <xf numFmtId="0" fontId="8" fillId="0" borderId="0" xfId="0" applyFont="1" applyAlignment="1">
      <alignment horizontal="left"/>
    </xf>
    <xf numFmtId="0" fontId="13" fillId="0" borderId="0" xfId="6" applyNumberFormat="1" applyFont="1" applyFill="1" applyAlignment="1">
      <alignment horizontal="left"/>
    </xf>
    <xf numFmtId="165" fontId="7" fillId="0" borderId="5" xfId="6" applyNumberFormat="1" applyFont="1" applyFill="1" applyBorder="1" applyAlignment="1">
      <alignment vertical="center"/>
    </xf>
    <xf numFmtId="165" fontId="7" fillId="0" borderId="0" xfId="6" applyNumberFormat="1" applyFont="1" applyFill="1" applyBorder="1" applyAlignment="1">
      <alignment vertical="center"/>
    </xf>
    <xf numFmtId="165" fontId="7" fillId="0" borderId="5" xfId="4" applyNumberFormat="1" applyFont="1" applyFill="1" applyBorder="1" applyAlignment="1">
      <alignment vertical="center"/>
    </xf>
    <xf numFmtId="165" fontId="8" fillId="0" borderId="0" xfId="4" applyNumberFormat="1" applyFont="1" applyFill="1"/>
    <xf numFmtId="0" fontId="7" fillId="0" borderId="0" xfId="0" applyFont="1"/>
    <xf numFmtId="0" fontId="7" fillId="0" borderId="0" xfId="0" applyFont="1" applyAlignment="1">
      <alignment horizontal="center"/>
    </xf>
    <xf numFmtId="165" fontId="7" fillId="0" borderId="0" xfId="4" applyNumberFormat="1" applyFont="1" applyFill="1" applyAlignment="1">
      <alignment horizontal="center"/>
    </xf>
    <xf numFmtId="165" fontId="7" fillId="0" borderId="0" xfId="4" applyNumberFormat="1" applyFont="1" applyFill="1"/>
    <xf numFmtId="165" fontId="7" fillId="0" borderId="6" xfId="4" applyNumberFormat="1" applyFont="1" applyFill="1" applyBorder="1" applyAlignment="1">
      <alignment horizontal="center"/>
    </xf>
    <xf numFmtId="165" fontId="7" fillId="0" borderId="1" xfId="4" applyNumberFormat="1" applyFont="1" applyFill="1" applyBorder="1" applyAlignment="1">
      <alignment horizontal="center"/>
    </xf>
    <xf numFmtId="165" fontId="7" fillId="0" borderId="0" xfId="4" applyNumberFormat="1" applyFont="1" applyFill="1" applyBorder="1" applyAlignment="1">
      <alignment horizontal="center"/>
    </xf>
    <xf numFmtId="165" fontId="7" fillId="0" borderId="0" xfId="4" applyNumberFormat="1" applyFont="1" applyFill="1" applyBorder="1"/>
    <xf numFmtId="165" fontId="7" fillId="0" borderId="2" xfId="4" applyNumberFormat="1" applyFont="1" applyFill="1" applyBorder="1" applyAlignment="1">
      <alignment horizontal="center"/>
    </xf>
    <xf numFmtId="165" fontId="7" fillId="0" borderId="3" xfId="4" applyNumberFormat="1" applyFont="1" applyFill="1" applyBorder="1" applyAlignment="1">
      <alignment horizontal="center"/>
    </xf>
    <xf numFmtId="165" fontId="7" fillId="0" borderId="4" xfId="4" applyNumberFormat="1" applyFont="1" applyFill="1" applyBorder="1" applyAlignment="1">
      <alignment horizontal="center"/>
    </xf>
    <xf numFmtId="9" fontId="7" fillId="0" borderId="0" xfId="5" applyFont="1" applyFill="1" applyAlignment="1">
      <alignment horizontal="center"/>
    </xf>
    <xf numFmtId="10" fontId="7" fillId="0" borderId="0" xfId="5" applyNumberFormat="1" applyFont="1" applyFill="1" applyAlignment="1">
      <alignment horizontal="center"/>
    </xf>
    <xf numFmtId="0" fontId="7" fillId="0" borderId="0" xfId="0" applyFont="1" applyAlignment="1">
      <alignment horizontal="left"/>
    </xf>
    <xf numFmtId="0" fontId="7" fillId="0" borderId="0" xfId="0" applyFont="1" applyAlignment="1">
      <alignment horizontal="left" indent="1"/>
    </xf>
    <xf numFmtId="165" fontId="7" fillId="0" borderId="5" xfId="4" applyNumberFormat="1" applyFont="1" applyFill="1" applyBorder="1" applyAlignment="1">
      <alignment horizontal="center"/>
    </xf>
    <xf numFmtId="0" fontId="8" fillId="0" borderId="9" xfId="0" applyFont="1" applyBorder="1" applyAlignment="1">
      <alignment vertical="center"/>
    </xf>
    <xf numFmtId="165" fontId="8" fillId="0" borderId="9" xfId="4" applyNumberFormat="1" applyFont="1" applyFill="1" applyBorder="1" applyAlignment="1">
      <alignment horizontal="center" vertical="center"/>
    </xf>
    <xf numFmtId="165" fontId="8" fillId="0" borderId="9" xfId="4" applyNumberFormat="1" applyFont="1" applyFill="1" applyBorder="1" applyAlignment="1">
      <alignment vertical="center"/>
    </xf>
    <xf numFmtId="9" fontId="8" fillId="0" borderId="9" xfId="5" applyFont="1" applyFill="1" applyBorder="1" applyAlignment="1">
      <alignment horizontal="center" vertical="center"/>
    </xf>
    <xf numFmtId="0" fontId="7" fillId="0" borderId="5" xfId="0" applyFont="1" applyBorder="1" applyAlignment="1">
      <alignment horizontal="center" vertical="center"/>
    </xf>
    <xf numFmtId="165" fontId="7" fillId="0" borderId="5" xfId="4" applyNumberFormat="1" applyFont="1" applyFill="1" applyBorder="1" applyAlignment="1">
      <alignment horizontal="center" vertical="center"/>
    </xf>
    <xf numFmtId="0" fontId="8" fillId="0" borderId="9" xfId="5" applyNumberFormat="1" applyFont="1" applyFill="1" applyBorder="1" applyAlignment="1">
      <alignment horizontal="center" vertical="center"/>
    </xf>
    <xf numFmtId="0" fontId="7" fillId="0" borderId="13" xfId="0" applyFont="1" applyBorder="1" applyAlignment="1">
      <alignment horizontal="center" vertical="center" wrapText="1"/>
    </xf>
    <xf numFmtId="168" fontId="7" fillId="0" borderId="9" xfId="4" applyNumberFormat="1" applyFont="1" applyFill="1" applyBorder="1" applyAlignment="1">
      <alignment horizontal="center" vertical="center" wrapText="1"/>
    </xf>
    <xf numFmtId="168" fontId="7" fillId="0" borderId="22" xfId="4" applyNumberFormat="1" applyFont="1" applyFill="1" applyBorder="1" applyAlignment="1">
      <alignment horizontal="center" vertical="center" wrapText="1"/>
    </xf>
    <xf numFmtId="0" fontId="8" fillId="0" borderId="9" xfId="0" applyFont="1" applyBorder="1"/>
    <xf numFmtId="165" fontId="8" fillId="0" borderId="9" xfId="4" applyNumberFormat="1" applyFont="1" applyBorder="1"/>
    <xf numFmtId="0" fontId="6" fillId="0" borderId="9" xfId="0" applyFont="1" applyBorder="1"/>
    <xf numFmtId="168" fontId="8" fillId="0" borderId="9" xfId="4" applyNumberFormat="1" applyFont="1" applyBorder="1" applyAlignment="1">
      <alignment horizontal="center" vertical="center"/>
    </xf>
    <xf numFmtId="9" fontId="8" fillId="0" borderId="9" xfId="5" applyFont="1" applyFill="1" applyBorder="1" applyAlignment="1">
      <alignment horizontal="center"/>
    </xf>
    <xf numFmtId="0" fontId="10" fillId="2" borderId="9" xfId="0" applyFont="1" applyFill="1" applyBorder="1"/>
    <xf numFmtId="0" fontId="10" fillId="2" borderId="9" xfId="0" applyFont="1" applyFill="1" applyBorder="1" applyAlignment="1">
      <alignment vertical="center"/>
    </xf>
    <xf numFmtId="168" fontId="10" fillId="2" borderId="9" xfId="4" applyNumberFormat="1" applyFont="1" applyFill="1" applyBorder="1" applyAlignment="1">
      <alignment horizontal="center" vertical="center"/>
    </xf>
    <xf numFmtId="0" fontId="10" fillId="0" borderId="9" xfId="0" applyFont="1" applyBorder="1"/>
    <xf numFmtId="0" fontId="10" fillId="0" borderId="9" xfId="0" applyFont="1" applyBorder="1" applyAlignment="1">
      <alignment vertical="center"/>
    </xf>
    <xf numFmtId="164" fontId="8" fillId="0" borderId="9" xfId="0" applyNumberFormat="1" applyFont="1" applyBorder="1"/>
    <xf numFmtId="0" fontId="8" fillId="2" borderId="9" xfId="0" applyFont="1" applyFill="1" applyBorder="1"/>
    <xf numFmtId="0" fontId="8" fillId="2" borderId="9" xfId="0" applyFont="1" applyFill="1" applyBorder="1" applyAlignment="1">
      <alignment vertical="center"/>
    </xf>
    <xf numFmtId="168" fontId="8" fillId="2" borderId="9" xfId="4" applyNumberFormat="1" applyFont="1" applyFill="1" applyBorder="1" applyAlignment="1">
      <alignment horizontal="center" vertical="center"/>
    </xf>
    <xf numFmtId="0" fontId="7" fillId="4" borderId="5" xfId="0" applyFont="1" applyFill="1" applyBorder="1" applyAlignment="1">
      <alignment horizontal="center" vertical="center"/>
    </xf>
    <xf numFmtId="168" fontId="7" fillId="4" borderId="5" xfId="4" applyNumberFormat="1" applyFont="1" applyFill="1" applyBorder="1" applyAlignment="1">
      <alignment horizontal="center" vertical="center"/>
    </xf>
    <xf numFmtId="0" fontId="6" fillId="0" borderId="19" xfId="0" applyFont="1" applyBorder="1" applyAlignment="1">
      <alignment horizontal="left" vertical="center"/>
    </xf>
    <xf numFmtId="0" fontId="11" fillId="0" borderId="4" xfId="0" applyFont="1" applyBorder="1" applyAlignment="1">
      <alignment horizontal="left" vertical="center"/>
    </xf>
    <xf numFmtId="0" fontId="11" fillId="0" borderId="6" xfId="0" applyFont="1" applyBorder="1" applyAlignment="1">
      <alignment horizontal="left" vertical="center"/>
    </xf>
    <xf numFmtId="168" fontId="8" fillId="0" borderId="0" xfId="0" applyNumberFormat="1" applyFont="1" applyAlignment="1">
      <alignment horizontal="center"/>
    </xf>
    <xf numFmtId="0" fontId="8" fillId="0" borderId="19" xfId="0" applyFont="1" applyBorder="1"/>
    <xf numFmtId="165" fontId="8" fillId="0" borderId="9" xfId="4" applyNumberFormat="1" applyFont="1" applyBorder="1" applyAlignment="1">
      <alignment horizontal="center" vertical="center"/>
    </xf>
    <xf numFmtId="168" fontId="10" fillId="0" borderId="9" xfId="4" applyNumberFormat="1" applyFont="1" applyBorder="1" applyAlignment="1">
      <alignment horizontal="center" vertical="center"/>
    </xf>
    <xf numFmtId="165" fontId="10" fillId="0" borderId="9" xfId="4" applyNumberFormat="1" applyFont="1" applyBorder="1" applyAlignment="1">
      <alignment vertical="center"/>
    </xf>
    <xf numFmtId="9" fontId="10" fillId="0" borderId="9" xfId="5" applyFont="1" applyBorder="1" applyAlignment="1">
      <alignment horizontal="center" vertical="center"/>
    </xf>
    <xf numFmtId="165" fontId="8" fillId="0" borderId="9" xfId="4" applyNumberFormat="1" applyFont="1" applyBorder="1" applyAlignment="1">
      <alignment vertical="center"/>
    </xf>
    <xf numFmtId="9" fontId="8" fillId="0" borderId="9" xfId="5" applyFont="1" applyBorder="1" applyAlignment="1">
      <alignment horizontal="center" vertical="center"/>
    </xf>
    <xf numFmtId="0" fontId="10" fillId="3" borderId="9" xfId="0" applyFont="1" applyFill="1" applyBorder="1" applyAlignment="1">
      <alignment vertical="center"/>
    </xf>
    <xf numFmtId="168" fontId="10" fillId="3" borderId="9" xfId="4" applyNumberFormat="1" applyFont="1" applyFill="1" applyBorder="1" applyAlignment="1">
      <alignment horizontal="center" vertical="center"/>
    </xf>
    <xf numFmtId="165" fontId="10" fillId="3" borderId="9" xfId="4" applyNumberFormat="1" applyFont="1" applyFill="1" applyBorder="1" applyAlignment="1">
      <alignment vertical="center"/>
    </xf>
    <xf numFmtId="9" fontId="10" fillId="3" borderId="9" xfId="5" applyFont="1" applyFill="1" applyBorder="1" applyAlignment="1">
      <alignment horizontal="center" vertical="center"/>
    </xf>
    <xf numFmtId="165" fontId="6" fillId="3" borderId="9" xfId="4" applyNumberFormat="1" applyFont="1" applyFill="1" applyBorder="1" applyAlignment="1">
      <alignment vertical="center"/>
    </xf>
    <xf numFmtId="9" fontId="6" fillId="3" borderId="9" xfId="5" applyFont="1" applyFill="1" applyBorder="1" applyAlignment="1">
      <alignment horizontal="center" vertical="center"/>
    </xf>
    <xf numFmtId="165" fontId="10" fillId="2" borderId="9" xfId="4" applyNumberFormat="1" applyFont="1" applyFill="1" applyBorder="1" applyAlignment="1">
      <alignment vertical="center"/>
    </xf>
    <xf numFmtId="165" fontId="8" fillId="0" borderId="19" xfId="4" applyNumberFormat="1" applyFont="1" applyBorder="1" applyAlignment="1">
      <alignment vertical="center"/>
    </xf>
    <xf numFmtId="165" fontId="10" fillId="3" borderId="3" xfId="4" applyNumberFormat="1" applyFont="1" applyFill="1" applyBorder="1" applyAlignment="1">
      <alignment vertical="center"/>
    </xf>
    <xf numFmtId="168" fontId="7" fillId="0" borderId="5" xfId="4" applyNumberFormat="1" applyFont="1" applyFill="1" applyBorder="1" applyAlignment="1">
      <alignment horizontal="center" vertical="center"/>
    </xf>
    <xf numFmtId="164" fontId="7" fillId="0" borderId="5" xfId="4" applyFont="1" applyFill="1" applyBorder="1" applyAlignment="1">
      <alignment horizontal="center" vertical="center"/>
    </xf>
    <xf numFmtId="168" fontId="8" fillId="0" borderId="0" xfId="4" applyNumberFormat="1" applyFont="1" applyFill="1" applyAlignment="1">
      <alignment horizontal="center" vertical="center"/>
    </xf>
    <xf numFmtId="0" fontId="6" fillId="0" borderId="12" xfId="0" applyFont="1" applyBorder="1" applyAlignment="1">
      <alignment horizontal="left" vertical="center"/>
    </xf>
    <xf numFmtId="0" fontId="11" fillId="0" borderId="0" xfId="0" applyFont="1" applyAlignment="1">
      <alignment horizontal="left" vertical="center"/>
    </xf>
    <xf numFmtId="0" fontId="11" fillId="0" borderId="21" xfId="0" applyFont="1" applyBorder="1" applyAlignment="1">
      <alignment horizontal="left" vertical="center"/>
    </xf>
    <xf numFmtId="165" fontId="12" fillId="0" borderId="0" xfId="4" applyNumberFormat="1" applyFont="1" applyFill="1" applyBorder="1" applyAlignment="1">
      <alignment horizontal="center" vertical="center" wrapText="1"/>
    </xf>
    <xf numFmtId="0" fontId="12" fillId="0" borderId="0" xfId="0" applyFont="1" applyAlignment="1">
      <alignment horizontal="center" vertical="center" wrapText="1"/>
    </xf>
    <xf numFmtId="0" fontId="8" fillId="0" borderId="3" xfId="0" applyFont="1" applyBorder="1"/>
    <xf numFmtId="0" fontId="8" fillId="0" borderId="3" xfId="0" applyFont="1" applyBorder="1" applyAlignment="1">
      <alignment vertical="center"/>
    </xf>
    <xf numFmtId="168" fontId="8" fillId="0" borderId="3" xfId="4" applyNumberFormat="1" applyFont="1" applyFill="1" applyBorder="1" applyAlignment="1">
      <alignment horizontal="center" vertical="center"/>
    </xf>
    <xf numFmtId="165" fontId="8" fillId="0" borderId="3" xfId="4" applyNumberFormat="1" applyFont="1" applyFill="1" applyBorder="1" applyAlignment="1">
      <alignment horizontal="center" vertical="center"/>
    </xf>
    <xf numFmtId="165" fontId="8" fillId="0" borderId="15" xfId="4" applyNumberFormat="1" applyFont="1" applyFill="1" applyBorder="1" applyAlignment="1">
      <alignment horizontal="center" vertical="center"/>
    </xf>
    <xf numFmtId="165" fontId="8" fillId="0" borderId="0" xfId="4" applyNumberFormat="1" applyFont="1" applyFill="1" applyBorder="1" applyAlignment="1">
      <alignment horizontal="center" vertical="center"/>
    </xf>
    <xf numFmtId="0" fontId="8" fillId="3" borderId="9" xfId="4" applyNumberFormat="1" applyFont="1" applyFill="1" applyBorder="1" applyAlignment="1">
      <alignment horizontal="center" vertical="center"/>
    </xf>
    <xf numFmtId="164" fontId="8" fillId="0" borderId="9" xfId="4" applyFont="1" applyBorder="1" applyAlignment="1">
      <alignment horizontal="center" vertical="center"/>
    </xf>
    <xf numFmtId="165" fontId="8" fillId="0" borderId="19" xfId="0" applyNumberFormat="1" applyFont="1" applyBorder="1"/>
    <xf numFmtId="165" fontId="10" fillId="0" borderId="0" xfId="0" applyNumberFormat="1" applyFont="1" applyAlignment="1">
      <alignment vertical="center"/>
    </xf>
    <xf numFmtId="165" fontId="8" fillId="0" borderId="0" xfId="0" applyNumberFormat="1" applyFont="1" applyAlignment="1">
      <alignment vertical="center"/>
    </xf>
    <xf numFmtId="0" fontId="10" fillId="2" borderId="9" xfId="4" applyNumberFormat="1" applyFont="1" applyFill="1" applyBorder="1" applyAlignment="1">
      <alignment horizontal="center" vertical="center"/>
    </xf>
    <xf numFmtId="165" fontId="10" fillId="2" borderId="9" xfId="4" applyNumberFormat="1" applyFont="1" applyFill="1" applyBorder="1" applyAlignment="1">
      <alignment horizontal="center" vertical="center"/>
    </xf>
    <xf numFmtId="9" fontId="10" fillId="2" borderId="9" xfId="5" applyFont="1" applyFill="1" applyBorder="1" applyAlignment="1">
      <alignment horizontal="center" vertical="center"/>
    </xf>
    <xf numFmtId="165" fontId="10" fillId="2" borderId="19" xfId="0" applyNumberFormat="1" applyFont="1" applyFill="1" applyBorder="1"/>
    <xf numFmtId="165" fontId="10" fillId="0" borderId="9" xfId="4" applyNumberFormat="1" applyFont="1" applyBorder="1" applyAlignment="1">
      <alignment horizontal="center" vertical="center"/>
    </xf>
    <xf numFmtId="0" fontId="8" fillId="2" borderId="9" xfId="4" applyNumberFormat="1" applyFont="1" applyFill="1" applyBorder="1" applyAlignment="1">
      <alignment horizontal="center" vertical="center"/>
    </xf>
    <xf numFmtId="165" fontId="8" fillId="2" borderId="9" xfId="4" applyNumberFormat="1" applyFont="1" applyFill="1" applyBorder="1" applyAlignment="1">
      <alignment horizontal="center" vertical="center"/>
    </xf>
    <xf numFmtId="9" fontId="8" fillId="2" borderId="9" xfId="5" applyFont="1" applyFill="1" applyBorder="1" applyAlignment="1">
      <alignment horizontal="center" vertical="center"/>
    </xf>
    <xf numFmtId="165" fontId="8" fillId="0" borderId="0" xfId="4" applyNumberFormat="1" applyFont="1" applyFill="1" applyBorder="1" applyAlignment="1">
      <alignment vertical="center"/>
    </xf>
    <xf numFmtId="165" fontId="7" fillId="4" borderId="5" xfId="4" applyNumberFormat="1" applyFont="1" applyFill="1" applyBorder="1" applyAlignment="1">
      <alignment horizontal="center" vertical="center"/>
    </xf>
    <xf numFmtId="164" fontId="7" fillId="4" borderId="5" xfId="4" applyFont="1" applyFill="1" applyBorder="1" applyAlignment="1">
      <alignment horizontal="center" vertical="center"/>
    </xf>
    <xf numFmtId="165" fontId="12" fillId="0" borderId="0" xfId="4" applyNumberFormat="1" applyFont="1" applyFill="1" applyBorder="1" applyAlignment="1">
      <alignment horizontal="center" vertical="center"/>
    </xf>
    <xf numFmtId="0" fontId="6" fillId="0" borderId="9" xfId="0" applyFont="1" applyBorder="1" applyAlignment="1">
      <alignment horizontal="center" vertical="center"/>
    </xf>
    <xf numFmtId="0" fontId="6" fillId="0" borderId="9" xfId="0" applyFont="1" applyBorder="1" applyAlignment="1">
      <alignment horizontal="center" vertical="center"/>
    </xf>
    <xf numFmtId="164" fontId="6" fillId="0" borderId="9" xfId="4" applyFont="1" applyFill="1" applyBorder="1" applyAlignment="1">
      <alignment horizontal="center" vertical="center"/>
    </xf>
    <xf numFmtId="164" fontId="11" fillId="0" borderId="9" xfId="4" applyFont="1" applyFill="1" applyBorder="1" applyAlignment="1">
      <alignment horizontal="center" vertical="center"/>
    </xf>
    <xf numFmtId="0" fontId="11" fillId="0" borderId="9" xfId="0" applyFont="1" applyBorder="1" applyAlignment="1">
      <alignment horizontal="center" vertical="center"/>
    </xf>
    <xf numFmtId="164" fontId="6" fillId="0" borderId="9" xfId="4" applyFont="1" applyFill="1" applyBorder="1" applyAlignment="1">
      <alignment horizontal="center" vertical="center"/>
    </xf>
    <xf numFmtId="164" fontId="8" fillId="0" borderId="9" xfId="4" applyFont="1" applyFill="1" applyBorder="1" applyAlignment="1">
      <alignment vertical="center"/>
    </xf>
    <xf numFmtId="164" fontId="8" fillId="0" borderId="0" xfId="4" applyFont="1" applyFill="1" applyAlignment="1">
      <alignment vertical="center"/>
    </xf>
    <xf numFmtId="0" fontId="7" fillId="0" borderId="0" xfId="0" applyFont="1" applyAlignment="1">
      <alignment vertical="center"/>
    </xf>
    <xf numFmtId="0" fontId="10" fillId="0" borderId="9" xfId="0" applyFont="1" applyBorder="1" applyAlignment="1">
      <alignment horizontal="left" vertical="center"/>
    </xf>
    <xf numFmtId="0" fontId="8" fillId="0" borderId="9" xfId="0" applyFont="1" applyBorder="1" applyAlignment="1">
      <alignment horizontal="left" vertical="center"/>
    </xf>
    <xf numFmtId="164" fontId="8" fillId="0" borderId="19" xfId="4" applyFont="1" applyFill="1" applyBorder="1" applyAlignment="1">
      <alignment vertical="center"/>
    </xf>
    <xf numFmtId="164" fontId="8" fillId="0" borderId="3" xfId="4" applyFont="1" applyFill="1" applyBorder="1" applyAlignment="1">
      <alignment vertical="center"/>
    </xf>
    <xf numFmtId="0" fontId="10" fillId="0" borderId="9" xfId="0" applyFont="1" applyBorder="1" applyAlignment="1">
      <alignment horizontal="left" vertical="center" indent="1"/>
    </xf>
    <xf numFmtId="0" fontId="8" fillId="0" borderId="9" xfId="0" applyFont="1" applyBorder="1" applyAlignment="1">
      <alignment horizontal="left" vertical="center" indent="1"/>
    </xf>
    <xf numFmtId="0" fontId="9" fillId="0" borderId="0" xfId="3" applyFont="1" applyFill="1"/>
    <xf numFmtId="0" fontId="10" fillId="0" borderId="0" xfId="2" applyFont="1" applyFill="1"/>
    <xf numFmtId="164" fontId="8" fillId="0" borderId="0" xfId="0" applyNumberFormat="1" applyFont="1"/>
    <xf numFmtId="164" fontId="9" fillId="0" borderId="9" xfId="3" applyNumberFormat="1" applyFont="1" applyFill="1" applyBorder="1" applyAlignment="1">
      <alignment vertical="center"/>
    </xf>
    <xf numFmtId="164" fontId="10" fillId="0" borderId="9" xfId="2" applyNumberFormat="1" applyFont="1" applyFill="1" applyBorder="1" applyAlignment="1">
      <alignment vertical="center"/>
    </xf>
    <xf numFmtId="0" fontId="10" fillId="0" borderId="9" xfId="0" applyFont="1" applyBorder="1" applyAlignment="1">
      <alignment horizontal="left" vertical="center" indent="2"/>
    </xf>
    <xf numFmtId="0" fontId="8" fillId="0" borderId="9" xfId="0" applyFont="1" applyBorder="1" applyAlignment="1">
      <alignment horizontal="left" vertical="center" indent="2"/>
    </xf>
    <xf numFmtId="0" fontId="10" fillId="0" borderId="0" xfId="1" applyFont="1" applyFill="1" applyBorder="1" applyAlignment="1">
      <alignment vertical="center"/>
    </xf>
    <xf numFmtId="0" fontId="10" fillId="0" borderId="9" xfId="1" applyFont="1" applyFill="1" applyBorder="1" applyAlignment="1">
      <alignment vertical="center"/>
    </xf>
    <xf numFmtId="164" fontId="10" fillId="0" borderId="9" xfId="1" applyNumberFormat="1" applyFont="1" applyFill="1" applyBorder="1" applyAlignment="1">
      <alignment vertical="center"/>
    </xf>
    <xf numFmtId="164" fontId="9" fillId="0" borderId="0" xfId="3" applyNumberFormat="1" applyFont="1" applyFill="1" applyAlignment="1">
      <alignment vertical="center"/>
    </xf>
    <xf numFmtId="164" fontId="10" fillId="0" borderId="0" xfId="2" applyNumberFormat="1" applyFont="1" applyFill="1" applyAlignment="1">
      <alignment vertical="center"/>
    </xf>
    <xf numFmtId="0" fontId="10" fillId="0" borderId="0" xfId="0" applyFont="1" applyAlignment="1">
      <alignment horizontal="center"/>
    </xf>
    <xf numFmtId="0" fontId="8" fillId="0" borderId="0" xfId="0" applyFont="1" applyAlignment="1">
      <alignment horizontal="justify" vertical="top"/>
    </xf>
    <xf numFmtId="165" fontId="8" fillId="0" borderId="0" xfId="4" applyNumberFormat="1" applyFont="1" applyFill="1" applyBorder="1" applyAlignment="1">
      <alignment horizontal="center"/>
    </xf>
    <xf numFmtId="165" fontId="8" fillId="0" borderId="0" xfId="4" applyNumberFormat="1" applyFont="1" applyFill="1" applyBorder="1"/>
    <xf numFmtId="49" fontId="11" fillId="0" borderId="0" xfId="4" applyNumberFormat="1" applyFont="1" applyFill="1" applyBorder="1" applyAlignment="1">
      <alignment horizontal="center" vertical="center"/>
    </xf>
    <xf numFmtId="165" fontId="8" fillId="0" borderId="0" xfId="4" applyNumberFormat="1" applyFont="1" applyFill="1" applyAlignment="1">
      <alignment horizontal="center"/>
    </xf>
    <xf numFmtId="165" fontId="10" fillId="0" borderId="0" xfId="4" applyNumberFormat="1" applyFont="1" applyFill="1" applyAlignment="1">
      <alignment horizontal="center" vertical="center"/>
    </xf>
    <xf numFmtId="49" fontId="11" fillId="0" borderId="0" xfId="4" applyNumberFormat="1" applyFont="1" applyFill="1" applyBorder="1" applyAlignment="1">
      <alignment horizontal="center" vertical="center" wrapText="1"/>
    </xf>
    <xf numFmtId="165" fontId="10" fillId="0" borderId="0" xfId="4" applyNumberFormat="1" applyFont="1" applyFill="1" applyAlignment="1">
      <alignment horizontal="center" vertical="center"/>
    </xf>
    <xf numFmtId="165" fontId="8" fillId="0" borderId="5" xfId="4" applyNumberFormat="1" applyFont="1" applyFill="1" applyBorder="1"/>
    <xf numFmtId="0" fontId="8" fillId="0" borderId="0" xfId="0" applyFont="1" applyAlignment="1">
      <alignment horizontal="justify"/>
    </xf>
    <xf numFmtId="0" fontId="8" fillId="0" borderId="0" xfId="0" applyFont="1" applyAlignment="1">
      <alignment horizontal="justify"/>
    </xf>
    <xf numFmtId="0" fontId="8" fillId="0" borderId="0" xfId="0" applyFont="1" applyAlignment="1">
      <alignment vertical="top"/>
    </xf>
    <xf numFmtId="165" fontId="8" fillId="0" borderId="0" xfId="4" applyNumberFormat="1" applyFont="1" applyFill="1" applyAlignment="1">
      <alignment vertical="top"/>
    </xf>
    <xf numFmtId="9" fontId="8" fillId="0" borderId="0" xfId="5" applyFont="1" applyFill="1"/>
    <xf numFmtId="0" fontId="6" fillId="0" borderId="0" xfId="0" applyFont="1" applyAlignment="1">
      <alignment vertical="top"/>
    </xf>
    <xf numFmtId="165" fontId="8" fillId="0" borderId="5" xfId="4" applyNumberFormat="1" applyFont="1" applyFill="1" applyBorder="1" applyAlignment="1">
      <alignment horizontal="center"/>
    </xf>
    <xf numFmtId="0" fontId="10" fillId="0" borderId="0" xfId="0" applyFont="1" applyAlignment="1">
      <alignment wrapText="1"/>
    </xf>
    <xf numFmtId="165" fontId="10" fillId="0" borderId="5" xfId="4" applyNumberFormat="1" applyFont="1" applyFill="1" applyBorder="1"/>
    <xf numFmtId="165" fontId="10" fillId="0" borderId="0" xfId="4" applyNumberFormat="1" applyFont="1" applyFill="1"/>
    <xf numFmtId="165" fontId="8" fillId="0" borderId="7" xfId="4" applyNumberFormat="1" applyFont="1" applyFill="1" applyBorder="1"/>
    <xf numFmtId="0" fontId="8" fillId="0" borderId="0" xfId="4" applyNumberFormat="1" applyFont="1" applyFill="1" applyAlignment="1">
      <alignment horizontal="center"/>
    </xf>
    <xf numFmtId="0" fontId="8" fillId="0" borderId="0" xfId="0" applyFont="1" applyAlignment="1">
      <alignment horizontal="justify" vertical="justify"/>
    </xf>
    <xf numFmtId="0" fontId="8" fillId="0" borderId="0" xfId="0" quotePrefix="1" applyFont="1"/>
    <xf numFmtId="165" fontId="8" fillId="0" borderId="1" xfId="4" applyNumberFormat="1" applyFont="1" applyFill="1" applyBorder="1"/>
    <xf numFmtId="165" fontId="8" fillId="0" borderId="2" xfId="4" applyNumberFormat="1" applyFont="1" applyFill="1" applyBorder="1"/>
    <xf numFmtId="165" fontId="8" fillId="0" borderId="3" xfId="4" applyNumberFormat="1" applyFont="1" applyFill="1" applyBorder="1"/>
    <xf numFmtId="0" fontId="8" fillId="0" borderId="0" xfId="0" applyFont="1" applyAlignment="1">
      <alignment horizontal="center" vertical="center"/>
    </xf>
    <xf numFmtId="0" fontId="12" fillId="0" borderId="0" xfId="0" applyFont="1" applyAlignment="1">
      <alignment vertical="center"/>
    </xf>
    <xf numFmtId="165" fontId="8" fillId="0" borderId="1" xfId="4" applyNumberFormat="1" applyFont="1" applyFill="1" applyBorder="1" applyAlignment="1">
      <alignment horizontal="center"/>
    </xf>
    <xf numFmtId="165" fontId="8" fillId="0" borderId="2" xfId="4" applyNumberFormat="1" applyFont="1" applyFill="1" applyBorder="1" applyAlignment="1">
      <alignment horizontal="center"/>
    </xf>
    <xf numFmtId="165" fontId="8" fillId="0" borderId="3" xfId="4" applyNumberFormat="1" applyFont="1" applyFill="1" applyBorder="1" applyAlignment="1">
      <alignment horizontal="center"/>
    </xf>
    <xf numFmtId="165" fontId="8" fillId="0" borderId="0" xfId="0" applyNumberFormat="1" applyFont="1"/>
    <xf numFmtId="165" fontId="10" fillId="0" borderId="0" xfId="4" applyNumberFormat="1" applyFont="1" applyFill="1" applyBorder="1"/>
    <xf numFmtId="0" fontId="8" fillId="0" borderId="0" xfId="0" applyFont="1" applyAlignment="1">
      <alignment vertical="top"/>
    </xf>
    <xf numFmtId="165" fontId="8" fillId="0" borderId="0" xfId="4" applyNumberFormat="1" applyFont="1" applyFill="1" applyBorder="1" applyAlignment="1">
      <alignment vertical="top"/>
    </xf>
    <xf numFmtId="165" fontId="8" fillId="0" borderId="1" xfId="4" applyNumberFormat="1" applyFont="1" applyFill="1" applyBorder="1" applyAlignment="1">
      <alignment vertical="top"/>
    </xf>
    <xf numFmtId="165" fontId="8" fillId="0" borderId="2" xfId="4" applyNumberFormat="1" applyFont="1" applyFill="1" applyBorder="1" applyAlignment="1">
      <alignment vertical="top"/>
    </xf>
    <xf numFmtId="165" fontId="8" fillId="0" borderId="3" xfId="4" applyNumberFormat="1" applyFont="1" applyFill="1" applyBorder="1" applyAlignment="1">
      <alignment vertical="top"/>
    </xf>
    <xf numFmtId="165" fontId="10" fillId="0" borderId="5" xfId="4" applyNumberFormat="1" applyFont="1" applyFill="1" applyBorder="1" applyAlignment="1">
      <alignment vertical="top"/>
    </xf>
    <xf numFmtId="165" fontId="10" fillId="0" borderId="0" xfId="4" applyNumberFormat="1" applyFont="1" applyFill="1" applyBorder="1" applyAlignment="1">
      <alignment vertical="top"/>
    </xf>
    <xf numFmtId="0" fontId="7" fillId="0" borderId="0" xfId="0" applyFont="1" applyAlignment="1">
      <alignment horizontal="justify" vertical="top" wrapText="1"/>
    </xf>
    <xf numFmtId="0" fontId="14" fillId="0" borderId="0" xfId="0" applyFont="1" applyAlignment="1">
      <alignment horizontal="justify" vertical="top"/>
    </xf>
    <xf numFmtId="0" fontId="7" fillId="0" borderId="0" xfId="0" applyFont="1" applyAlignment="1">
      <alignment horizontal="justify" vertical="top"/>
    </xf>
    <xf numFmtId="165" fontId="10" fillId="0" borderId="11" xfId="4" applyNumberFormat="1" applyFont="1" applyFill="1" applyBorder="1"/>
    <xf numFmtId="0" fontId="8" fillId="0" borderId="0" xfId="0" applyFont="1" applyAlignment="1">
      <alignment vertical="top" wrapText="1"/>
    </xf>
    <xf numFmtId="0" fontId="10" fillId="0" borderId="0" xfId="0" applyFont="1" applyAlignment="1">
      <alignment vertical="top"/>
    </xf>
    <xf numFmtId="0" fontId="8" fillId="0" borderId="0" xfId="0" applyFont="1" applyAlignment="1">
      <alignment horizontal="center" vertical="top"/>
    </xf>
    <xf numFmtId="165" fontId="10" fillId="0" borderId="0" xfId="4" applyNumberFormat="1" applyFont="1" applyFill="1" applyAlignment="1">
      <alignment horizontal="center"/>
    </xf>
    <xf numFmtId="0" fontId="14" fillId="0" borderId="0" xfId="0" applyFont="1"/>
    <xf numFmtId="165" fontId="8" fillId="0" borderId="6" xfId="4" applyNumberFormat="1" applyFont="1" applyFill="1" applyBorder="1"/>
    <xf numFmtId="0" fontId="8" fillId="0" borderId="0" xfId="0" applyFont="1" applyAlignment="1">
      <alignment horizontal="left" indent="1"/>
    </xf>
    <xf numFmtId="0" fontId="8" fillId="0" borderId="0" xfId="0" applyFont="1" applyAlignment="1">
      <alignment horizontal="justify" vertical="top" wrapText="1"/>
    </xf>
    <xf numFmtId="165" fontId="11" fillId="0" borderId="0" xfId="4" applyNumberFormat="1" applyFont="1" applyFill="1" applyBorder="1" applyAlignment="1">
      <alignment vertical="center" wrapText="1"/>
    </xf>
    <xf numFmtId="0" fontId="10" fillId="0" borderId="0" xfId="0" applyFont="1" applyAlignment="1">
      <alignment horizontal="justify" vertical="top"/>
    </xf>
    <xf numFmtId="0" fontId="8" fillId="0" borderId="0" xfId="0" applyFont="1" applyAlignment="1">
      <alignment horizontal="left" vertical="top"/>
    </xf>
    <xf numFmtId="0" fontId="15" fillId="0" borderId="0" xfId="0" applyFont="1"/>
    <xf numFmtId="0" fontId="8" fillId="0" borderId="7" xfId="0" applyFont="1" applyBorder="1" applyAlignment="1">
      <alignment horizontal="center"/>
    </xf>
    <xf numFmtId="0" fontId="8" fillId="0" borderId="7" xfId="4" applyNumberFormat="1" applyFont="1" applyFill="1" applyBorder="1" applyAlignment="1">
      <alignment horizontal="center"/>
    </xf>
    <xf numFmtId="10" fontId="8" fillId="0" borderId="0" xfId="5" applyNumberFormat="1" applyFont="1" applyFill="1" applyAlignment="1">
      <alignment vertical="top"/>
    </xf>
    <xf numFmtId="0" fontId="10" fillId="0" borderId="0" xfId="0" applyFont="1" applyAlignment="1">
      <alignment horizontal="right"/>
    </xf>
    <xf numFmtId="0" fontId="6" fillId="0" borderId="0" xfId="11" applyFont="1" applyAlignment="1">
      <alignment horizontal="center" vertical="center"/>
    </xf>
    <xf numFmtId="0" fontId="6" fillId="0" borderId="0" xfId="12" applyNumberFormat="1" applyFont="1" applyFill="1" applyBorder="1" applyAlignment="1">
      <alignment horizontal="left" vertical="center"/>
    </xf>
    <xf numFmtId="0" fontId="7" fillId="0" borderId="0" xfId="11" applyFont="1" applyAlignment="1">
      <alignment vertical="center"/>
    </xf>
    <xf numFmtId="0" fontId="10" fillId="0" borderId="0" xfId="4" applyNumberFormat="1" applyFont="1" applyFill="1" applyBorder="1" applyAlignment="1">
      <alignment horizontal="center" vertical="center"/>
    </xf>
    <xf numFmtId="165" fontId="7" fillId="0" borderId="0" xfId="12" applyNumberFormat="1" applyFont="1" applyFill="1" applyBorder="1" applyAlignment="1">
      <alignment vertical="center"/>
    </xf>
    <xf numFmtId="167" fontId="6" fillId="0" borderId="0" xfId="11" applyNumberFormat="1" applyFont="1" applyAlignment="1">
      <alignment horizontal="center" vertical="center"/>
    </xf>
    <xf numFmtId="165" fontId="6" fillId="0" borderId="0" xfId="12" applyNumberFormat="1" applyFont="1" applyFill="1" applyBorder="1" applyAlignment="1">
      <alignment vertical="center"/>
    </xf>
    <xf numFmtId="165" fontId="6" fillId="0" borderId="17" xfId="12" applyNumberFormat="1" applyFont="1" applyFill="1" applyBorder="1" applyAlignment="1">
      <alignment vertical="center"/>
    </xf>
    <xf numFmtId="0" fontId="6" fillId="0" borderId="0" xfId="13" applyFont="1" applyAlignment="1">
      <alignment vertical="center"/>
    </xf>
    <xf numFmtId="167" fontId="6" fillId="0" borderId="0" xfId="13" applyNumberFormat="1" applyFont="1" applyAlignment="1">
      <alignment horizontal="center" vertical="center"/>
    </xf>
    <xf numFmtId="0" fontId="7" fillId="0" borderId="0" xfId="13" applyFont="1" applyAlignment="1">
      <alignment vertical="center"/>
    </xf>
    <xf numFmtId="165" fontId="7" fillId="0" borderId="0" xfId="13" applyNumberFormat="1" applyFont="1" applyAlignment="1">
      <alignment vertical="center"/>
    </xf>
    <xf numFmtId="0" fontId="7" fillId="0" borderId="0" xfId="13" applyFont="1" applyAlignment="1">
      <alignment horizontal="center" vertical="center" wrapText="1"/>
    </xf>
    <xf numFmtId="0" fontId="7" fillId="0" borderId="0" xfId="0" applyFont="1" applyAlignment="1">
      <alignment wrapText="1"/>
    </xf>
    <xf numFmtId="0" fontId="6" fillId="0" borderId="0" xfId="13" quotePrefix="1" applyFont="1" applyAlignment="1">
      <alignment vertical="center" wrapText="1"/>
    </xf>
    <xf numFmtId="0" fontId="7" fillId="0" borderId="0" xfId="13" applyFont="1" applyAlignment="1">
      <alignment vertical="center" wrapText="1"/>
    </xf>
    <xf numFmtId="0" fontId="6" fillId="0" borderId="0" xfId="11" applyFont="1" applyAlignment="1">
      <alignment vertical="center"/>
    </xf>
    <xf numFmtId="165" fontId="6" fillId="0" borderId="0" xfId="4" applyNumberFormat="1" applyFont="1" applyFill="1" applyAlignment="1">
      <alignment vertical="center"/>
    </xf>
    <xf numFmtId="165" fontId="17" fillId="0" borderId="0" xfId="4" applyNumberFormat="1" applyFont="1" applyFill="1" applyAlignment="1">
      <alignment vertical="center"/>
    </xf>
    <xf numFmtId="165" fontId="7" fillId="0" borderId="6" xfId="4" applyNumberFormat="1" applyFont="1" applyFill="1" applyBorder="1" applyAlignment="1">
      <alignment vertical="center"/>
    </xf>
    <xf numFmtId="0" fontId="8" fillId="0" borderId="0" xfId="11" applyFont="1" applyAlignment="1">
      <alignment vertical="center"/>
    </xf>
    <xf numFmtId="165" fontId="6" fillId="0" borderId="5" xfId="4" applyNumberFormat="1" applyFont="1" applyFill="1" applyBorder="1" applyAlignment="1">
      <alignment vertical="center"/>
    </xf>
    <xf numFmtId="9" fontId="7" fillId="0" borderId="7" xfId="5" applyFont="1" applyFill="1" applyBorder="1" applyAlignment="1">
      <alignment horizontal="center" vertical="center"/>
    </xf>
    <xf numFmtId="0" fontId="7" fillId="0" borderId="0" xfId="11" applyFont="1" applyAlignment="1">
      <alignment horizontal="center" vertical="center"/>
    </xf>
    <xf numFmtId="165" fontId="6" fillId="0" borderId="5" xfId="11" applyNumberFormat="1" applyFont="1" applyBorder="1" applyAlignment="1">
      <alignment vertical="center"/>
    </xf>
    <xf numFmtId="49" fontId="6" fillId="0" borderId="18" xfId="4" applyNumberFormat="1" applyFont="1" applyFill="1" applyBorder="1" applyAlignment="1">
      <alignment horizontal="center" vertical="center"/>
    </xf>
    <xf numFmtId="49" fontId="6" fillId="0" borderId="0" xfId="4" applyNumberFormat="1" applyFont="1" applyFill="1" applyBorder="1" applyAlignment="1">
      <alignment horizontal="center" vertical="center"/>
    </xf>
    <xf numFmtId="49" fontId="11" fillId="0" borderId="0" xfId="4" applyNumberFormat="1" applyFont="1" applyFill="1" applyBorder="1" applyAlignment="1">
      <alignment horizontal="center" vertical="center"/>
    </xf>
    <xf numFmtId="165" fontId="10" fillId="0" borderId="0" xfId="4" applyNumberFormat="1" applyFont="1" applyFill="1" applyAlignment="1">
      <alignment vertical="top"/>
    </xf>
    <xf numFmtId="49" fontId="11" fillId="0" borderId="0" xfId="4" applyNumberFormat="1" applyFont="1" applyFill="1" applyBorder="1" applyAlignment="1">
      <alignment vertical="center"/>
    </xf>
    <xf numFmtId="0" fontId="10" fillId="0" borderId="0" xfId="0" quotePrefix="1" applyFont="1" applyAlignment="1">
      <alignment horizontal="center" vertical="top"/>
    </xf>
    <xf numFmtId="0" fontId="10" fillId="0" borderId="0" xfId="0" applyFont="1" applyAlignment="1">
      <alignment horizontal="center" vertical="top"/>
    </xf>
    <xf numFmtId="0" fontId="7" fillId="0" borderId="0" xfId="0" applyFont="1" applyAlignment="1">
      <alignment vertical="top"/>
    </xf>
    <xf numFmtId="0" fontId="10" fillId="0" borderId="0" xfId="0" applyFont="1" applyAlignment="1">
      <alignment horizontal="right" vertical="top"/>
    </xf>
    <xf numFmtId="0" fontId="8" fillId="0" borderId="19" xfId="0" applyFont="1" applyBorder="1" applyAlignment="1">
      <alignment horizontal="justify" vertical="top"/>
    </xf>
    <xf numFmtId="0" fontId="8" fillId="0" borderId="4" xfId="0" applyFont="1" applyBorder="1" applyAlignment="1">
      <alignment horizontal="justify" vertical="top"/>
    </xf>
    <xf numFmtId="0" fontId="8" fillId="0" borderId="20" xfId="0" applyFont="1" applyBorder="1" applyAlignment="1">
      <alignment horizontal="justify" vertical="top"/>
    </xf>
    <xf numFmtId="0" fontId="8" fillId="0" borderId="0" xfId="0" applyFont="1" applyAlignment="1">
      <alignment horizontal="justify" vertical="top"/>
    </xf>
    <xf numFmtId="0" fontId="10"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justify" vertical="top" wrapText="1"/>
    </xf>
    <xf numFmtId="0" fontId="8" fillId="0" borderId="19" xfId="0" applyFont="1" applyBorder="1" applyAlignment="1">
      <alignment horizontal="center" vertical="top"/>
    </xf>
    <xf numFmtId="0" fontId="8" fillId="0" borderId="4" xfId="0" applyFont="1" applyBorder="1" applyAlignment="1">
      <alignment horizontal="center" vertical="top"/>
    </xf>
    <xf numFmtId="0" fontId="8" fillId="0" borderId="20" xfId="0" applyFont="1" applyBorder="1" applyAlignment="1">
      <alignment horizontal="center" vertical="top"/>
    </xf>
    <xf numFmtId="0" fontId="8" fillId="0" borderId="10" xfId="0" applyFont="1" applyBorder="1" applyAlignment="1">
      <alignment vertical="top"/>
    </xf>
    <xf numFmtId="0" fontId="8" fillId="0" borderId="6" xfId="0" applyFont="1" applyBorder="1" applyAlignment="1">
      <alignment vertical="top"/>
    </xf>
    <xf numFmtId="0" fontId="8" fillId="0" borderId="14" xfId="0" applyFont="1" applyBorder="1" applyAlignment="1">
      <alignment vertical="top"/>
    </xf>
    <xf numFmtId="0" fontId="8" fillId="0" borderId="12" xfId="0" applyFont="1" applyBorder="1" applyAlignment="1">
      <alignment vertical="top"/>
    </xf>
    <xf numFmtId="0" fontId="8" fillId="0" borderId="21" xfId="0" applyFont="1" applyBorder="1" applyAlignment="1">
      <alignment vertical="top"/>
    </xf>
    <xf numFmtId="0" fontId="8" fillId="0" borderId="15" xfId="0" applyFont="1" applyBorder="1" applyAlignment="1">
      <alignment vertical="top"/>
    </xf>
    <xf numFmtId="0" fontId="8" fillId="0" borderId="11" xfId="0" applyFont="1" applyBorder="1" applyAlignment="1">
      <alignment vertical="top"/>
    </xf>
    <xf numFmtId="0" fontId="8" fillId="0" borderId="16" xfId="0" applyFont="1" applyBorder="1" applyAlignment="1">
      <alignment vertical="top"/>
    </xf>
    <xf numFmtId="0" fontId="7" fillId="0" borderId="0" xfId="11" applyFont="1" applyAlignment="1">
      <alignment horizontal="justify" vertical="top" wrapText="1"/>
    </xf>
    <xf numFmtId="0" fontId="7" fillId="0" borderId="0" xfId="0" applyFont="1" applyAlignment="1">
      <alignment horizontal="justify" vertical="top" wrapText="1"/>
    </xf>
    <xf numFmtId="0" fontId="7" fillId="0" borderId="0" xfId="11" applyFont="1" applyAlignment="1">
      <alignment vertical="top" wrapText="1"/>
    </xf>
    <xf numFmtId="0" fontId="7" fillId="0" borderId="0" xfId="0" applyFont="1" applyAlignment="1">
      <alignment vertical="top" wrapText="1"/>
    </xf>
    <xf numFmtId="0" fontId="7" fillId="0" borderId="0" xfId="11" applyFont="1" applyAlignment="1">
      <alignment horizontal="justify" vertical="top" wrapText="1"/>
    </xf>
    <xf numFmtId="0" fontId="6" fillId="0" borderId="0" xfId="0" quotePrefix="1" applyFont="1" applyAlignment="1">
      <alignment horizontal="center" vertical="top"/>
    </xf>
    <xf numFmtId="0" fontId="6" fillId="0" borderId="0" xfId="0" applyFont="1" applyAlignment="1">
      <alignment horizontal="justify" vertical="top" wrapText="1"/>
    </xf>
    <xf numFmtId="0" fontId="10" fillId="0" borderId="0" xfId="0" applyFont="1" applyAlignment="1">
      <alignment horizontal="center" vertical="center" wrapText="1"/>
    </xf>
    <xf numFmtId="165" fontId="10" fillId="0" borderId="0" xfId="4" applyNumberFormat="1" applyFont="1" applyFill="1" applyBorder="1" applyAlignment="1">
      <alignment horizontal="center" vertical="center" wrapText="1"/>
    </xf>
    <xf numFmtId="165" fontId="10" fillId="0" borderId="0" xfId="4" applyNumberFormat="1" applyFont="1" applyFill="1" applyBorder="1" applyAlignment="1">
      <alignment vertical="center" wrapText="1"/>
    </xf>
    <xf numFmtId="165" fontId="10" fillId="0" borderId="0" xfId="4" applyNumberFormat="1" applyFont="1" applyFill="1" applyAlignment="1">
      <alignment wrapText="1"/>
    </xf>
    <xf numFmtId="0" fontId="8" fillId="0" borderId="0" xfId="0" applyFont="1" applyAlignment="1">
      <alignment horizontal="left" vertical="center" indent="1"/>
    </xf>
    <xf numFmtId="0" fontId="10" fillId="0" borderId="0" xfId="0" applyFont="1" applyAlignment="1">
      <alignment horizontal="left" vertical="center"/>
    </xf>
    <xf numFmtId="165" fontId="8" fillId="0" borderId="4" xfId="4" applyNumberFormat="1" applyFont="1" applyFill="1" applyBorder="1"/>
    <xf numFmtId="0" fontId="9" fillId="0" borderId="0" xfId="0" applyFont="1"/>
    <xf numFmtId="0" fontId="10" fillId="0" borderId="21" xfId="4" applyNumberFormat="1" applyFont="1" applyFill="1" applyBorder="1" applyAlignment="1">
      <alignment horizontal="center" vertical="center"/>
    </xf>
    <xf numFmtId="0" fontId="10" fillId="0" borderId="0" xfId="0" applyFont="1" applyAlignment="1">
      <alignment horizontal="center" vertical="center"/>
    </xf>
    <xf numFmtId="165" fontId="10" fillId="0" borderId="6" xfId="4" applyNumberFormat="1" applyFont="1" applyFill="1" applyBorder="1" applyAlignment="1">
      <alignment vertical="center"/>
    </xf>
    <xf numFmtId="165" fontId="10" fillId="0" borderId="0" xfId="4" applyNumberFormat="1" applyFont="1" applyFill="1" applyBorder="1" applyAlignment="1">
      <alignment vertical="center"/>
    </xf>
    <xf numFmtId="165" fontId="8" fillId="0" borderId="7" xfId="4" applyNumberFormat="1" applyFont="1" applyFill="1" applyBorder="1" applyAlignment="1">
      <alignment vertical="center"/>
    </xf>
    <xf numFmtId="0" fontId="7" fillId="0" borderId="0" xfId="0" applyFont="1" applyAlignment="1">
      <alignment horizontal="center" vertical="center"/>
    </xf>
    <xf numFmtId="49" fontId="8" fillId="0" borderId="0" xfId="0" quotePrefix="1" applyNumberFormat="1" applyFont="1" applyAlignment="1">
      <alignment horizontal="center" vertical="center"/>
    </xf>
    <xf numFmtId="14" fontId="8" fillId="0" borderId="0" xfId="0" applyNumberFormat="1" applyFont="1" applyAlignment="1">
      <alignment horizontal="center" vertical="center"/>
    </xf>
    <xf numFmtId="3" fontId="8" fillId="5" borderId="0" xfId="0" quotePrefix="1" applyNumberFormat="1" applyFont="1" applyFill="1" applyAlignment="1">
      <alignment horizontal="center" vertical="center"/>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Border="1" applyAlignment="1">
      <alignment vertical="center"/>
    </xf>
    <xf numFmtId="0" fontId="19" fillId="0" borderId="0" xfId="0" applyFont="1" applyBorder="1" applyAlignment="1">
      <alignment horizontal="center" vertical="center"/>
    </xf>
    <xf numFmtId="165" fontId="18" fillId="0" borderId="0" xfId="4" applyNumberFormat="1" applyFont="1" applyFill="1" applyBorder="1" applyAlignment="1">
      <alignment vertical="center"/>
    </xf>
    <xf numFmtId="0" fontId="18" fillId="0" borderId="0" xfId="0" applyFont="1" applyBorder="1"/>
    <xf numFmtId="0" fontId="18" fillId="0" borderId="0" xfId="0" applyFont="1" applyBorder="1" applyAlignment="1">
      <alignment horizontal="center"/>
    </xf>
    <xf numFmtId="165" fontId="18" fillId="0" borderId="0" xfId="4" applyNumberFormat="1" applyFont="1" applyFill="1" applyBorder="1"/>
    <xf numFmtId="0" fontId="20" fillId="0" borderId="0" xfId="0" applyFont="1" applyBorder="1"/>
    <xf numFmtId="168" fontId="18" fillId="0" borderId="0" xfId="0" applyNumberFormat="1" applyFont="1" applyBorder="1" applyAlignment="1">
      <alignment horizontal="center"/>
    </xf>
    <xf numFmtId="164" fontId="18" fillId="0" borderId="0" xfId="4" applyFont="1" applyFill="1" applyBorder="1" applyAlignment="1">
      <alignment vertical="center"/>
    </xf>
    <xf numFmtId="0" fontId="21" fillId="0" borderId="0" xfId="0" applyFont="1" applyBorder="1"/>
    <xf numFmtId="0" fontId="22" fillId="0" borderId="0" xfId="3" applyFont="1" applyFill="1" applyBorder="1"/>
    <xf numFmtId="0" fontId="23" fillId="0" borderId="0" xfId="2" applyFont="1" applyFill="1" applyBorder="1"/>
    <xf numFmtId="165" fontId="18" fillId="0" borderId="0" xfId="4" applyNumberFormat="1" applyFont="1" applyFill="1" applyBorder="1" applyAlignment="1">
      <alignment horizontal="center"/>
    </xf>
    <xf numFmtId="0" fontId="18" fillId="0" borderId="0" xfId="0" applyFont="1" applyBorder="1" applyAlignment="1">
      <alignment horizontal="left" vertical="top"/>
    </xf>
    <xf numFmtId="2" fontId="18" fillId="0" borderId="0" xfId="0" applyNumberFormat="1" applyFont="1" applyBorder="1" applyAlignment="1">
      <alignment horizontal="left" vertical="top"/>
    </xf>
    <xf numFmtId="0" fontId="18" fillId="0" borderId="0" xfId="0" applyFont="1" applyBorder="1" applyAlignment="1">
      <alignment horizontal="center" vertical="top"/>
    </xf>
    <xf numFmtId="0" fontId="18" fillId="0" borderId="0" xfId="4" quotePrefix="1" applyNumberFormat="1" applyFont="1" applyFill="1" applyBorder="1" applyAlignment="1">
      <alignment horizontal="center" vertical="center"/>
    </xf>
    <xf numFmtId="0" fontId="18" fillId="0" borderId="0" xfId="4" applyNumberFormat="1" applyFont="1" applyFill="1" applyBorder="1" applyAlignment="1">
      <alignment horizontal="center" vertical="center"/>
    </xf>
    <xf numFmtId="0" fontId="18" fillId="0" borderId="0" xfId="0" applyFont="1" applyBorder="1" applyAlignment="1">
      <alignment horizontal="left" vertical="center"/>
    </xf>
    <xf numFmtId="0" fontId="18" fillId="0" borderId="0" xfId="0" applyFont="1" applyBorder="1" applyAlignment="1">
      <alignment horizontal="center" vertical="center"/>
    </xf>
    <xf numFmtId="0" fontId="18" fillId="0" borderId="7" xfId="0" applyFont="1" applyBorder="1" applyAlignment="1">
      <alignment vertical="center"/>
    </xf>
    <xf numFmtId="0" fontId="19" fillId="0" borderId="7" xfId="0" applyFont="1" applyBorder="1" applyAlignment="1">
      <alignment horizontal="center" vertical="center"/>
    </xf>
    <xf numFmtId="165" fontId="18" fillId="0" borderId="7" xfId="4" applyNumberFormat="1" applyFont="1" applyFill="1" applyBorder="1" applyAlignment="1">
      <alignment vertical="center"/>
    </xf>
    <xf numFmtId="0" fontId="18" fillId="0" borderId="7" xfId="0" applyFont="1" applyBorder="1"/>
    <xf numFmtId="0" fontId="18" fillId="0" borderId="7" xfId="0" applyFont="1" applyBorder="1" applyAlignment="1">
      <alignment horizontal="center"/>
    </xf>
    <xf numFmtId="165" fontId="18" fillId="0" borderId="7" xfId="4" applyNumberFormat="1" applyFont="1" applyFill="1" applyBorder="1"/>
    <xf numFmtId="0" fontId="20" fillId="0" borderId="7" xfId="0" applyFont="1" applyBorder="1"/>
    <xf numFmtId="168" fontId="18" fillId="0" borderId="7" xfId="0" applyNumberFormat="1" applyFont="1" applyBorder="1" applyAlignment="1">
      <alignment horizontal="center"/>
    </xf>
    <xf numFmtId="164" fontId="18" fillId="0" borderId="7" xfId="4" applyFont="1" applyFill="1" applyBorder="1" applyAlignment="1">
      <alignment vertical="center"/>
    </xf>
    <xf numFmtId="0" fontId="21" fillId="0" borderId="7" xfId="0" applyFont="1" applyBorder="1"/>
    <xf numFmtId="0" fontId="22" fillId="0" borderId="7" xfId="3" applyFont="1" applyFill="1" applyBorder="1"/>
    <xf numFmtId="0" fontId="23" fillId="0" borderId="7" xfId="2" applyFont="1" applyFill="1" applyBorder="1"/>
    <xf numFmtId="165" fontId="18" fillId="0" borderId="7" xfId="4" applyNumberFormat="1" applyFont="1" applyFill="1" applyBorder="1" applyAlignment="1">
      <alignment horizontal="center"/>
    </xf>
    <xf numFmtId="0" fontId="18" fillId="0" borderId="7" xfId="0" applyFont="1" applyBorder="1" applyAlignment="1">
      <alignment horizontal="left" vertical="top"/>
    </xf>
    <xf numFmtId="2" fontId="18" fillId="0" borderId="7" xfId="0" applyNumberFormat="1" applyFont="1" applyBorder="1" applyAlignment="1">
      <alignment horizontal="left" vertical="top"/>
    </xf>
    <xf numFmtId="0" fontId="18" fillId="0" borderId="7" xfId="0" applyFont="1" applyBorder="1" applyAlignment="1">
      <alignment horizontal="center" vertical="center"/>
    </xf>
    <xf numFmtId="165" fontId="6" fillId="0" borderId="1" xfId="4" quotePrefix="1" applyNumberFormat="1" applyFont="1" applyFill="1" applyBorder="1" applyAlignment="1">
      <alignment horizontal="center" vertical="center"/>
    </xf>
    <xf numFmtId="0" fontId="6" fillId="0" borderId="9" xfId="4" quotePrefix="1" applyNumberFormat="1" applyFont="1" applyFill="1" applyBorder="1" applyAlignment="1">
      <alignment horizontal="center" vertical="center"/>
    </xf>
    <xf numFmtId="0" fontId="11" fillId="0" borderId="9" xfId="4" quotePrefix="1" applyNumberFormat="1" applyFont="1" applyFill="1" applyBorder="1" applyAlignment="1">
      <alignment horizontal="center" vertical="center"/>
    </xf>
    <xf numFmtId="0" fontId="6" fillId="0" borderId="9" xfId="4" quotePrefix="1" applyNumberFormat="1" applyFont="1" applyFill="1" applyBorder="1" applyAlignment="1">
      <alignment horizontal="center" vertical="center"/>
    </xf>
    <xf numFmtId="0" fontId="6" fillId="0" borderId="1" xfId="4" quotePrefix="1" applyNumberFormat="1" applyFont="1" applyFill="1" applyBorder="1" applyAlignment="1">
      <alignment horizontal="center" vertical="center"/>
    </xf>
    <xf numFmtId="165" fontId="6" fillId="0" borderId="9" xfId="4" quotePrefix="1" applyNumberFormat="1" applyFont="1" applyFill="1" applyBorder="1" applyAlignment="1">
      <alignment horizontal="center" vertical="center"/>
    </xf>
    <xf numFmtId="165" fontId="11" fillId="0" borderId="9" xfId="4" quotePrefix="1" applyNumberFormat="1" applyFont="1" applyFill="1" applyBorder="1" applyAlignment="1">
      <alignment horizontal="center" vertical="center"/>
    </xf>
    <xf numFmtId="0" fontId="6" fillId="0" borderId="9" xfId="13" applyFont="1" applyBorder="1" applyAlignment="1">
      <alignment horizontal="center" vertical="center"/>
    </xf>
    <xf numFmtId="0" fontId="11" fillId="0" borderId="9" xfId="13" applyFont="1" applyBorder="1" applyAlignment="1">
      <alignment horizontal="center" vertical="center"/>
    </xf>
    <xf numFmtId="0" fontId="6" fillId="0" borderId="9" xfId="13" applyFont="1" applyBorder="1" applyAlignment="1">
      <alignment horizontal="center" vertical="center" wrapText="1"/>
    </xf>
    <xf numFmtId="0" fontId="6" fillId="0" borderId="9" xfId="4" quotePrefix="1" applyNumberFormat="1" applyFont="1" applyFill="1" applyBorder="1" applyAlignment="1">
      <alignment horizontal="center" vertical="center" wrapText="1"/>
    </xf>
    <xf numFmtId="0" fontId="11" fillId="0" borderId="9" xfId="13" applyFont="1" applyBorder="1" applyAlignment="1">
      <alignment horizontal="center" vertical="center" wrapText="1"/>
    </xf>
    <xf numFmtId="0" fontId="11" fillId="0" borderId="9" xfId="13" applyFont="1" applyBorder="1" applyAlignment="1">
      <alignment horizontal="center" vertical="center" wrapText="1"/>
    </xf>
    <xf numFmtId="0" fontId="6" fillId="0" borderId="9" xfId="4" quotePrefix="1" applyNumberFormat="1" applyFont="1" applyFill="1" applyBorder="1" applyAlignment="1">
      <alignment horizontal="center" vertical="center" wrapText="1"/>
    </xf>
    <xf numFmtId="0" fontId="11" fillId="0" borderId="9" xfId="4" quotePrefix="1" applyNumberFormat="1" applyFont="1" applyFill="1" applyBorder="1" applyAlignment="1">
      <alignment horizontal="center" vertical="center" wrapText="1"/>
    </xf>
    <xf numFmtId="49" fontId="6" fillId="0" borderId="9" xfId="4" applyNumberFormat="1" applyFont="1" applyFill="1" applyBorder="1" applyAlignment="1">
      <alignment horizontal="center" vertical="center" wrapText="1"/>
    </xf>
    <xf numFmtId="49" fontId="6" fillId="0" borderId="9" xfId="4" applyNumberFormat="1" applyFont="1" applyFill="1" applyBorder="1" applyAlignment="1">
      <alignment horizontal="center" vertical="center"/>
    </xf>
    <xf numFmtId="49" fontId="11" fillId="0" borderId="9" xfId="4" applyNumberFormat="1" applyFont="1" applyFill="1" applyBorder="1" applyAlignment="1">
      <alignment horizontal="center" vertical="center"/>
    </xf>
    <xf numFmtId="49" fontId="6" fillId="0" borderId="9" xfId="4" applyNumberFormat="1" applyFont="1" applyFill="1" applyBorder="1" applyAlignment="1">
      <alignment horizontal="center" vertical="center" wrapText="1"/>
    </xf>
    <xf numFmtId="49" fontId="11" fillId="0" borderId="9" xfId="4" applyNumberFormat="1" applyFont="1" applyFill="1" applyBorder="1" applyAlignment="1">
      <alignment horizontal="center" vertical="center" wrapText="1"/>
    </xf>
    <xf numFmtId="49" fontId="6" fillId="0" borderId="1" xfId="4" applyNumberFormat="1" applyFont="1" applyFill="1" applyBorder="1" applyAlignment="1">
      <alignment horizontal="center" vertical="center" wrapText="1"/>
    </xf>
    <xf numFmtId="49" fontId="6" fillId="0" borderId="1" xfId="4" applyNumberFormat="1" applyFont="1" applyFill="1" applyBorder="1" applyAlignment="1">
      <alignment horizontal="center" vertical="center"/>
    </xf>
    <xf numFmtId="0" fontId="6" fillId="0" borderId="9" xfId="4" applyNumberFormat="1" applyFont="1" applyFill="1" applyBorder="1" applyAlignment="1">
      <alignment horizontal="center" vertical="top"/>
    </xf>
    <xf numFmtId="0" fontId="11" fillId="0" borderId="9" xfId="4" applyNumberFormat="1" applyFont="1" applyFill="1" applyBorder="1" applyAlignment="1">
      <alignment horizontal="center" vertical="top"/>
    </xf>
    <xf numFmtId="165" fontId="6" fillId="0" borderId="9" xfId="4" quotePrefix="1" applyNumberFormat="1" applyFont="1" applyFill="1" applyBorder="1" applyAlignment="1">
      <alignment horizontal="center"/>
    </xf>
    <xf numFmtId="165" fontId="6" fillId="0" borderId="9" xfId="4" applyNumberFormat="1" applyFont="1" applyFill="1" applyBorder="1" applyAlignment="1">
      <alignment horizontal="center"/>
    </xf>
    <xf numFmtId="165" fontId="11" fillId="0" borderId="9" xfId="4" applyNumberFormat="1" applyFont="1" applyFill="1" applyBorder="1" applyAlignment="1">
      <alignment horizontal="center"/>
    </xf>
    <xf numFmtId="165" fontId="6" fillId="0" borderId="9" xfId="4" applyNumberFormat="1" applyFont="1" applyFill="1" applyBorder="1" applyAlignment="1">
      <alignment horizontal="center"/>
    </xf>
    <xf numFmtId="165" fontId="11" fillId="0" borderId="9" xfId="4" applyNumberFormat="1" applyFont="1" applyFill="1" applyBorder="1" applyAlignment="1">
      <alignment horizontal="center"/>
    </xf>
    <xf numFmtId="0" fontId="6" fillId="0" borderId="9" xfId="4" applyNumberFormat="1" applyFont="1" applyFill="1" applyBorder="1" applyAlignment="1">
      <alignment horizontal="center" vertical="center" wrapText="1"/>
    </xf>
    <xf numFmtId="0" fontId="11" fillId="0" borderId="9" xfId="4" applyNumberFormat="1" applyFont="1" applyFill="1" applyBorder="1" applyAlignment="1">
      <alignment horizontal="center" vertical="center" wrapText="1"/>
    </xf>
    <xf numFmtId="0" fontId="8" fillId="0" borderId="0" xfId="0" applyFont="1" applyAlignment="1">
      <alignment horizontal="justify" vertical="justify"/>
    </xf>
    <xf numFmtId="165" fontId="6" fillId="0" borderId="9" xfId="4" quotePrefix="1" applyNumberFormat="1" applyFont="1" applyFill="1" applyBorder="1" applyAlignment="1">
      <alignment horizontal="center"/>
    </xf>
    <xf numFmtId="165" fontId="6" fillId="0" borderId="9" xfId="4" applyNumberFormat="1" applyFont="1" applyFill="1" applyBorder="1" applyAlignment="1">
      <alignment horizontal="center" vertical="center" wrapText="1"/>
    </xf>
    <xf numFmtId="165" fontId="11" fillId="0" borderId="9" xfId="4" applyNumberFormat="1" applyFont="1" applyFill="1" applyBorder="1" applyAlignment="1">
      <alignment horizontal="center" vertical="center" wrapText="1"/>
    </xf>
    <xf numFmtId="165" fontId="6" fillId="0" borderId="9" xfId="4" applyNumberFormat="1" applyFont="1" applyFill="1" applyBorder="1" applyAlignment="1">
      <alignment horizontal="center" wrapText="1"/>
    </xf>
    <xf numFmtId="165" fontId="11" fillId="0" borderId="9" xfId="4" applyNumberFormat="1" applyFont="1" applyFill="1" applyBorder="1" applyAlignment="1">
      <alignment horizontal="center" wrapText="1"/>
    </xf>
    <xf numFmtId="165" fontId="6" fillId="0" borderId="9" xfId="4" applyNumberFormat="1" applyFont="1" applyFill="1" applyBorder="1" applyAlignment="1">
      <alignment horizontal="center" vertical="center"/>
    </xf>
    <xf numFmtId="165" fontId="11" fillId="0" borderId="9" xfId="4" applyNumberFormat="1" applyFont="1" applyFill="1" applyBorder="1" applyAlignment="1">
      <alignment horizontal="center" vertical="center"/>
    </xf>
    <xf numFmtId="165" fontId="6" fillId="0" borderId="19" xfId="4" applyNumberFormat="1" applyFont="1" applyFill="1" applyBorder="1" applyAlignment="1">
      <alignment horizontal="center"/>
    </xf>
    <xf numFmtId="165" fontId="11" fillId="0" borderId="4" xfId="4" applyNumberFormat="1" applyFont="1" applyFill="1" applyBorder="1" applyAlignment="1">
      <alignment horizontal="center"/>
    </xf>
    <xf numFmtId="165" fontId="11" fillId="0" borderId="20" xfId="4" applyNumberFormat="1" applyFont="1" applyFill="1" applyBorder="1" applyAlignment="1">
      <alignment horizontal="center"/>
    </xf>
    <xf numFmtId="165" fontId="6" fillId="0" borderId="9" xfId="4" applyNumberFormat="1" applyFont="1" applyFill="1" applyBorder="1" applyAlignment="1">
      <alignment horizontal="center" wrapText="1"/>
    </xf>
    <xf numFmtId="165" fontId="11" fillId="0" borderId="9" xfId="4" applyNumberFormat="1" applyFont="1" applyFill="1" applyBorder="1" applyAlignment="1">
      <alignment horizontal="center" wrapText="1"/>
    </xf>
    <xf numFmtId="0" fontId="11" fillId="0" borderId="0" xfId="0" applyFont="1" applyAlignment="1">
      <alignment horizontal="center" vertical="center"/>
    </xf>
    <xf numFmtId="10" fontId="6" fillId="0" borderId="9" xfId="5" applyNumberFormat="1" applyFont="1" applyFill="1" applyBorder="1" applyAlignment="1">
      <alignment horizontal="center"/>
    </xf>
    <xf numFmtId="10" fontId="7" fillId="0" borderId="9" xfId="5" applyNumberFormat="1" applyFont="1" applyFill="1" applyBorder="1" applyAlignment="1">
      <alignment horizontal="center"/>
    </xf>
    <xf numFmtId="10" fontId="6" fillId="0" borderId="18" xfId="5" applyNumberFormat="1" applyFont="1" applyFill="1" applyBorder="1" applyAlignment="1">
      <alignment horizontal="center"/>
    </xf>
    <xf numFmtId="10" fontId="11" fillId="0" borderId="8" xfId="5" applyNumberFormat="1" applyFont="1" applyFill="1" applyBorder="1" applyAlignment="1">
      <alignment horizontal="center"/>
    </xf>
    <xf numFmtId="10" fontId="7" fillId="0" borderId="18" xfId="5" applyNumberFormat="1" applyFont="1" applyFill="1" applyBorder="1" applyAlignment="1">
      <alignment horizontal="center"/>
    </xf>
    <xf numFmtId="10" fontId="12" fillId="0" borderId="8" xfId="5" applyNumberFormat="1" applyFont="1" applyFill="1" applyBorder="1" applyAlignment="1">
      <alignment horizontal="center"/>
    </xf>
    <xf numFmtId="10" fontId="6" fillId="0" borderId="9" xfId="5" applyNumberFormat="1" applyFont="1" applyFill="1" applyBorder="1" applyAlignment="1">
      <alignment horizontal="center" vertical="center"/>
    </xf>
  </cellXfs>
  <cellStyles count="14">
    <cellStyle name="ColLevel_1" xfId="2" builtinId="2" iLevel="0"/>
    <cellStyle name="ColLevel_2" xfId="3" builtinId="2" iLevel="1"/>
    <cellStyle name="Comma" xfId="4" builtinId="3"/>
    <cellStyle name="Comma 10 2" xfId="6" xr:uid="{00000000-0005-0000-0000-000003000000}"/>
    <cellStyle name="Comma 2 2 2" xfId="8" xr:uid="{00000000-0005-0000-0000-000004000000}"/>
    <cellStyle name="Comma 3 2" xfId="12" xr:uid="{00000000-0005-0000-0000-000005000000}"/>
    <cellStyle name="Normal" xfId="0" builtinId="0"/>
    <cellStyle name="Normal - Style1" xfId="11" xr:uid="{00000000-0005-0000-0000-000007000000}"/>
    <cellStyle name="Normal 2" xfId="10" xr:uid="{00000000-0005-0000-0000-000008000000}"/>
    <cellStyle name="Normal 3 7" xfId="9" xr:uid="{00000000-0005-0000-0000-000009000000}"/>
    <cellStyle name="Normal 34" xfId="13" xr:uid="{00000000-0005-0000-0000-00000A000000}"/>
    <cellStyle name="Normal 4 2 2" xfId="7" xr:uid="{00000000-0005-0000-0000-00000B000000}"/>
    <cellStyle name="Percent" xfId="5" builtinId="5"/>
    <cellStyle name="RowLevel_1" xfId="1" builtinId="1" iLevel="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fill>
        <patternFill patternType="none">
          <bgColor auto="1"/>
        </patternFill>
      </fill>
    </dxf>
    <dxf>
      <font>
        <color rgb="FFFF0000"/>
      </font>
    </dxf>
    <dxf>
      <font>
        <color rgb="FFFF0000"/>
      </font>
    </dxf>
    <dxf>
      <font>
        <color rgb="FFFF0000"/>
      </font>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7"/>
  <sheetViews>
    <sheetView zoomScaleNormal="100" zoomScaleSheetLayoutView="100" workbookViewId="0">
      <selection activeCell="C18" sqref="C18"/>
    </sheetView>
  </sheetViews>
  <sheetFormatPr defaultColWidth="9.1796875" defaultRowHeight="14" x14ac:dyDescent="0.35"/>
  <cols>
    <col min="1" max="1" width="0.81640625" style="6" customWidth="1"/>
    <col min="2" max="2" width="21" style="6" customWidth="1"/>
    <col min="3" max="3" width="40.81640625" style="6" customWidth="1"/>
    <col min="4" max="4" width="1.453125" style="6" customWidth="1"/>
    <col min="5" max="5" width="16" style="10" bestFit="1" customWidth="1"/>
    <col min="6" max="6" width="1.453125" style="6" customWidth="1"/>
    <col min="7" max="7" width="16" style="10" bestFit="1" customWidth="1"/>
    <col min="8" max="8" width="9.1796875" style="6"/>
    <col min="9" max="9" width="12.453125" style="6" customWidth="1"/>
    <col min="10" max="10" width="11.54296875" style="6" customWidth="1"/>
    <col min="11" max="16384" width="9.1796875" style="6"/>
  </cols>
  <sheetData>
    <row r="1" spans="2:10" s="358" customFormat="1" ht="15" x14ac:dyDescent="0.35">
      <c r="B1" s="358" t="s">
        <v>0</v>
      </c>
      <c r="C1" s="358" t="s">
        <v>767</v>
      </c>
      <c r="E1" s="359"/>
      <c r="G1" s="359"/>
    </row>
    <row r="2" spans="2:10" s="358" customFormat="1" ht="15" x14ac:dyDescent="0.35">
      <c r="B2" s="358" t="s">
        <v>1</v>
      </c>
      <c r="C2" s="358" t="str">
        <f>UPPER("as at "&amp;G6)</f>
        <v>AS AT JUNE 30, 2023</v>
      </c>
      <c r="E2" s="359"/>
      <c r="G2" s="359"/>
    </row>
    <row r="3" spans="2:10" s="358" customFormat="1" ht="15" x14ac:dyDescent="0.35">
      <c r="B3" s="358" t="s">
        <v>2</v>
      </c>
      <c r="C3" s="358" t="str">
        <f>UPPER("for the year ended "&amp;G6)</f>
        <v>FOR THE YEAR ENDED JUNE 30, 2023</v>
      </c>
      <c r="E3" s="359"/>
      <c r="G3" s="359"/>
    </row>
    <row r="4" spans="2:10" s="202" customFormat="1" x14ac:dyDescent="0.35">
      <c r="E4" s="354"/>
      <c r="G4" s="354"/>
    </row>
    <row r="5" spans="2:10" x14ac:dyDescent="0.35">
      <c r="B5" s="14" t="s">
        <v>84</v>
      </c>
      <c r="I5" s="6" t="s">
        <v>617</v>
      </c>
    </row>
    <row r="6" spans="2:10" x14ac:dyDescent="0.35">
      <c r="B6" s="6" t="s">
        <v>88</v>
      </c>
      <c r="E6" s="16" t="s">
        <v>768</v>
      </c>
      <c r="G6" s="16" t="s">
        <v>769</v>
      </c>
      <c r="H6" s="355" t="s">
        <v>770</v>
      </c>
      <c r="I6" s="356">
        <v>44743</v>
      </c>
      <c r="J6" s="356">
        <v>45107</v>
      </c>
    </row>
    <row r="7" spans="2:10" x14ac:dyDescent="0.35">
      <c r="B7" s="6" t="s">
        <v>89</v>
      </c>
      <c r="E7" s="16" t="s">
        <v>761</v>
      </c>
      <c r="G7" s="16" t="s">
        <v>762</v>
      </c>
      <c r="H7" s="355" t="s">
        <v>763</v>
      </c>
      <c r="I7" s="356">
        <v>44378</v>
      </c>
      <c r="J7" s="356">
        <v>44742</v>
      </c>
    </row>
    <row r="8" spans="2:10" x14ac:dyDescent="0.35">
      <c r="B8" s="6" t="s">
        <v>90</v>
      </c>
      <c r="E8" s="10" t="str">
        <f>Policies!A5</f>
        <v>1</v>
      </c>
      <c r="G8" s="10">
        <f>Notes!A753</f>
        <v>38</v>
      </c>
    </row>
    <row r="9" spans="2:10" x14ac:dyDescent="0.35">
      <c r="B9" s="6" t="s">
        <v>91</v>
      </c>
      <c r="E9" s="10" t="s">
        <v>69</v>
      </c>
      <c r="G9" s="10" t="s">
        <v>70</v>
      </c>
    </row>
    <row r="10" spans="2:10" x14ac:dyDescent="0.35">
      <c r="B10" s="6" t="s">
        <v>152</v>
      </c>
      <c r="E10" s="357"/>
      <c r="G10" s="10">
        <v>10</v>
      </c>
    </row>
    <row r="11" spans="2:10" x14ac:dyDescent="0.35">
      <c r="B11" s="6" t="s">
        <v>486</v>
      </c>
      <c r="E11" s="10" t="s">
        <v>487</v>
      </c>
    </row>
    <row r="12" spans="2:10" x14ac:dyDescent="0.35">
      <c r="B12" s="6" t="s">
        <v>485</v>
      </c>
      <c r="E12" s="10" t="s">
        <v>544</v>
      </c>
    </row>
    <row r="13" spans="2:10" x14ac:dyDescent="0.35">
      <c r="B13" s="6" t="s">
        <v>299</v>
      </c>
      <c r="E13" s="10" t="s">
        <v>472</v>
      </c>
      <c r="I13" s="6" t="s">
        <v>472</v>
      </c>
      <c r="J13" s="6" t="s">
        <v>300</v>
      </c>
    </row>
    <row r="14" spans="2:10" x14ac:dyDescent="0.35">
      <c r="I14" s="6" t="s">
        <v>490</v>
      </c>
      <c r="J14" s="6" t="s">
        <v>541</v>
      </c>
    </row>
    <row r="15" spans="2:10" x14ac:dyDescent="0.35">
      <c r="I15" s="6" t="s">
        <v>488</v>
      </c>
      <c r="J15" s="6" t="s">
        <v>542</v>
      </c>
    </row>
    <row r="16" spans="2:10" x14ac:dyDescent="0.35">
      <c r="I16" s="6" t="s">
        <v>544</v>
      </c>
      <c r="J16" s="6" t="s">
        <v>543</v>
      </c>
    </row>
    <row r="17" spans="9:10" x14ac:dyDescent="0.35">
      <c r="I17" s="6" t="s">
        <v>489</v>
      </c>
      <c r="J17" s="6" t="s">
        <v>545</v>
      </c>
    </row>
  </sheetData>
  <dataValidations count="2">
    <dataValidation type="list" allowBlank="1" showInputMessage="1" showErrorMessage="1" sqref="E12" xr:uid="{00000000-0002-0000-0000-000000000000}">
      <formula1>$I$14:$I$17</formula1>
    </dataValidation>
    <dataValidation type="list" allowBlank="1" showInputMessage="1" showErrorMessage="1" sqref="E13" xr:uid="{00000000-0002-0000-0000-000001000000}">
      <formula1>$I$13:$J$13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2"/>
  <sheetViews>
    <sheetView tabSelected="1" view="pageBreakPreview" topLeftCell="A48" zoomScaleNormal="100" zoomScaleSheetLayoutView="100" workbookViewId="0">
      <selection activeCell="B69" sqref="A69:XFD69"/>
    </sheetView>
  </sheetViews>
  <sheetFormatPr defaultColWidth="0" defaultRowHeight="14" x14ac:dyDescent="0.35"/>
  <cols>
    <col min="1" max="1" width="0.54296875" style="6" customWidth="1"/>
    <col min="2" max="2" width="14.453125" style="6" customWidth="1"/>
    <col min="3" max="3" width="0.81640625" style="6" customWidth="1"/>
    <col min="4" max="4" width="14.453125" style="6" customWidth="1"/>
    <col min="5" max="5" width="0.54296875" style="6" customWidth="1"/>
    <col min="6" max="6" width="14.453125" style="6" customWidth="1"/>
    <col min="7" max="7" width="0.54296875" style="6" customWidth="1"/>
    <col min="8" max="8" width="14.7265625" style="6" customWidth="1"/>
    <col min="9" max="9" width="0.54296875" style="6" customWidth="1"/>
    <col min="10" max="10" width="14.453125" style="10" customWidth="1"/>
    <col min="11" max="11" width="0.54296875" style="6" customWidth="1"/>
    <col min="12" max="12" width="14.453125" style="15" customWidth="1"/>
    <col min="13" max="13" width="0.81640625" style="15" customWidth="1"/>
    <col min="14" max="14" width="14.453125" style="15" customWidth="1"/>
    <col min="15" max="15" width="0.54296875" style="15" customWidth="1"/>
    <col min="16" max="26" width="9.1796875" style="6" customWidth="1"/>
    <col min="27" max="16384" width="9.1796875" style="6" hidden="1"/>
  </cols>
  <sheetData>
    <row r="1" spans="2:15" s="360" customFormat="1" ht="15.5" x14ac:dyDescent="0.35">
      <c r="B1" s="360" t="str">
        <f>Cover!C1</f>
        <v>ABC LIMITED</v>
      </c>
      <c r="J1" s="361"/>
      <c r="L1" s="362"/>
      <c r="M1" s="362"/>
      <c r="N1" s="362"/>
      <c r="O1" s="362"/>
    </row>
    <row r="2" spans="2:15" s="360" customFormat="1" ht="15.5" x14ac:dyDescent="0.35">
      <c r="B2" s="360" t="s">
        <v>3</v>
      </c>
      <c r="J2" s="361"/>
      <c r="L2" s="362"/>
      <c r="M2" s="362"/>
      <c r="N2" s="362"/>
      <c r="O2" s="362"/>
    </row>
    <row r="3" spans="2:15" s="380" customFormat="1" ht="16" thickBot="1" x14ac:dyDescent="0.4">
      <c r="B3" s="380" t="str">
        <f>Cover!C2</f>
        <v>AS AT JUNE 30, 2023</v>
      </c>
      <c r="J3" s="381"/>
      <c r="L3" s="382"/>
      <c r="M3" s="382"/>
      <c r="N3" s="382"/>
      <c r="O3" s="382"/>
    </row>
    <row r="4" spans="2:15" ht="14.5" thickTop="1" x14ac:dyDescent="0.35"/>
    <row r="5" spans="2:15" x14ac:dyDescent="0.35">
      <c r="J5" s="7" t="s">
        <v>68</v>
      </c>
      <c r="L5" s="396" t="str">
        <f>Cover!H6</f>
        <v>2023</v>
      </c>
      <c r="M5" s="8"/>
      <c r="N5" s="396" t="str">
        <f>Cover!H7</f>
        <v>2022</v>
      </c>
      <c r="O5" s="9"/>
    </row>
    <row r="6" spans="2:15" x14ac:dyDescent="0.35">
      <c r="J6" s="7"/>
      <c r="L6" s="397" t="s">
        <v>87</v>
      </c>
      <c r="M6" s="398"/>
      <c r="N6" s="398"/>
      <c r="O6" s="6"/>
    </row>
    <row r="7" spans="2:15" x14ac:dyDescent="0.35">
      <c r="L7" s="11"/>
      <c r="M7" s="12"/>
      <c r="N7" s="11"/>
      <c r="O7" s="13"/>
    </row>
    <row r="8" spans="2:15" x14ac:dyDescent="0.35">
      <c r="B8" s="14" t="s">
        <v>13</v>
      </c>
    </row>
    <row r="9" spans="2:15" x14ac:dyDescent="0.35">
      <c r="B9" s="14" t="s">
        <v>35</v>
      </c>
    </row>
    <row r="10" spans="2:15" x14ac:dyDescent="0.35">
      <c r="B10" s="6" t="s">
        <v>14</v>
      </c>
      <c r="J10" s="16">
        <f>Policies!A73+1</f>
        <v>5</v>
      </c>
      <c r="L10" s="17">
        <f>FAS!L11</f>
        <v>0</v>
      </c>
      <c r="N10" s="17">
        <f>FAS!N11</f>
        <v>0</v>
      </c>
    </row>
    <row r="11" spans="2:15" x14ac:dyDescent="0.35">
      <c r="B11" s="6" t="s">
        <v>15</v>
      </c>
      <c r="J11" s="10">
        <f>J10+1</f>
        <v>6</v>
      </c>
      <c r="L11" s="18">
        <f>Notes!L71</f>
        <v>0</v>
      </c>
      <c r="N11" s="18">
        <f>Notes!N71</f>
        <v>0</v>
      </c>
    </row>
    <row r="12" spans="2:15" x14ac:dyDescent="0.35">
      <c r="B12" s="6" t="s">
        <v>16</v>
      </c>
      <c r="J12" s="10">
        <f>J11+1</f>
        <v>7</v>
      </c>
      <c r="L12" s="18">
        <f>Notes!L91</f>
        <v>0</v>
      </c>
      <c r="N12" s="18">
        <f>Notes!N91</f>
        <v>0</v>
      </c>
    </row>
    <row r="13" spans="2:15" x14ac:dyDescent="0.35">
      <c r="B13" s="6" t="s">
        <v>747</v>
      </c>
      <c r="J13" s="10">
        <f>J12+1</f>
        <v>8</v>
      </c>
      <c r="L13" s="18">
        <f>Notes!L105</f>
        <v>0</v>
      </c>
      <c r="N13" s="18">
        <f>Notes!N105</f>
        <v>0</v>
      </c>
    </row>
    <row r="14" spans="2:15" x14ac:dyDescent="0.35">
      <c r="B14" s="6" t="s">
        <v>17</v>
      </c>
      <c r="J14" s="10">
        <f>J13+1</f>
        <v>9</v>
      </c>
      <c r="L14" s="18">
        <f>Notes!L143</f>
        <v>0</v>
      </c>
      <c r="N14" s="18">
        <f>Notes!N143</f>
        <v>0</v>
      </c>
    </row>
    <row r="15" spans="2:15" ht="5.15" customHeight="1" x14ac:dyDescent="0.35">
      <c r="L15" s="19"/>
      <c r="N15" s="19"/>
    </row>
    <row r="16" spans="2:15" x14ac:dyDescent="0.35">
      <c r="B16" s="14"/>
      <c r="L16" s="15">
        <f>SUM(L10:L15)</f>
        <v>0</v>
      </c>
      <c r="N16" s="15">
        <f>SUM(N10:N15)</f>
        <v>0</v>
      </c>
    </row>
    <row r="17" spans="2:14" ht="8.15" customHeight="1" x14ac:dyDescent="0.35"/>
    <row r="18" spans="2:14" x14ac:dyDescent="0.35">
      <c r="B18" s="14" t="s">
        <v>20</v>
      </c>
    </row>
    <row r="19" spans="2:14" x14ac:dyDescent="0.35">
      <c r="B19" s="6" t="s">
        <v>644</v>
      </c>
      <c r="J19" s="10">
        <f>J14+1</f>
        <v>10</v>
      </c>
      <c r="L19" s="17">
        <v>0</v>
      </c>
      <c r="N19" s="17">
        <v>0</v>
      </c>
    </row>
    <row r="20" spans="2:14" x14ac:dyDescent="0.35">
      <c r="B20" s="6" t="s">
        <v>21</v>
      </c>
      <c r="J20" s="10">
        <f>J19+1</f>
        <v>11</v>
      </c>
      <c r="L20" s="18">
        <f>Notes!L178</f>
        <v>0</v>
      </c>
      <c r="N20" s="18">
        <f>Notes!N178</f>
        <v>0</v>
      </c>
    </row>
    <row r="21" spans="2:14" x14ac:dyDescent="0.35">
      <c r="B21" s="6" t="s">
        <v>645</v>
      </c>
      <c r="J21" s="10">
        <f>J20+1</f>
        <v>12</v>
      </c>
      <c r="L21" s="18">
        <f>Notes!L184</f>
        <v>0</v>
      </c>
      <c r="N21" s="18">
        <f>Notes!N184</f>
        <v>0</v>
      </c>
    </row>
    <row r="22" spans="2:14" x14ac:dyDescent="0.35">
      <c r="B22" s="6" t="s">
        <v>646</v>
      </c>
      <c r="J22" s="10">
        <f>J21+1</f>
        <v>13</v>
      </c>
      <c r="L22" s="18">
        <f>Notes!L197</f>
        <v>0</v>
      </c>
      <c r="N22" s="18">
        <f>Notes!N197</f>
        <v>0</v>
      </c>
    </row>
    <row r="23" spans="2:14" x14ac:dyDescent="0.35">
      <c r="B23" s="6" t="s">
        <v>67</v>
      </c>
      <c r="L23" s="18">
        <v>0</v>
      </c>
      <c r="N23" s="18">
        <v>0</v>
      </c>
    </row>
    <row r="24" spans="2:14" x14ac:dyDescent="0.35">
      <c r="B24" s="6" t="s">
        <v>23</v>
      </c>
      <c r="J24" s="10">
        <f>J22+1</f>
        <v>14</v>
      </c>
      <c r="L24" s="18">
        <f>Notes!L208</f>
        <v>0</v>
      </c>
      <c r="N24" s="18">
        <f>Notes!N208</f>
        <v>0</v>
      </c>
    </row>
    <row r="25" spans="2:14" ht="5.15" customHeight="1" x14ac:dyDescent="0.35">
      <c r="L25" s="19"/>
      <c r="N25" s="19"/>
    </row>
    <row r="26" spans="2:14" x14ac:dyDescent="0.35">
      <c r="B26" s="14"/>
      <c r="L26" s="15">
        <f>SUM(L20:L25)</f>
        <v>0</v>
      </c>
      <c r="N26" s="15">
        <f>SUM(N20:N25)</f>
        <v>0</v>
      </c>
    </row>
    <row r="27" spans="2:14" ht="5.15" customHeight="1" x14ac:dyDescent="0.35"/>
    <row r="28" spans="2:14" ht="14.5" thickBot="1" x14ac:dyDescent="0.4">
      <c r="B28" s="14" t="s">
        <v>28</v>
      </c>
      <c r="L28" s="20">
        <f>L16+L26</f>
        <v>0</v>
      </c>
      <c r="N28" s="20">
        <f>N16+N26</f>
        <v>0</v>
      </c>
    </row>
    <row r="29" spans="2:14" ht="14.5" thickTop="1" x14ac:dyDescent="0.35"/>
    <row r="30" spans="2:14" x14ac:dyDescent="0.35">
      <c r="B30" s="14" t="s">
        <v>36</v>
      </c>
    </row>
    <row r="31" spans="2:14" x14ac:dyDescent="0.35">
      <c r="B31" s="14" t="s">
        <v>383</v>
      </c>
    </row>
    <row r="32" spans="2:14" ht="14.5" thickBot="1" x14ac:dyDescent="0.4">
      <c r="B32" s="14" t="s">
        <v>150</v>
      </c>
      <c r="L32" s="21">
        <f>IFERROR(Cover!E10*Cover!G10,0)</f>
        <v>0</v>
      </c>
      <c r="M32" s="22"/>
      <c r="N32" s="21">
        <f>IFERROR(Cover!E10*Cover!G10,0)</f>
        <v>0</v>
      </c>
    </row>
    <row r="33" spans="2:14" ht="14.5" thickTop="1" x14ac:dyDescent="0.35">
      <c r="B33" s="14" t="str">
        <f>TEXT(Cover!E10,"##,###")&amp;" Ordinary shares of Rs. "&amp;Cover!G10 &amp;" each."</f>
        <v xml:space="preserve"> Ordinary shares of Rs. 10 each.</v>
      </c>
    </row>
    <row r="34" spans="2:14" ht="5.15" customHeight="1" x14ac:dyDescent="0.35">
      <c r="B34" s="14"/>
    </row>
    <row r="35" spans="2:14" ht="13.5" customHeight="1" x14ac:dyDescent="0.35">
      <c r="B35" s="6" t="s">
        <v>151</v>
      </c>
      <c r="J35" s="10">
        <f>J24+1</f>
        <v>15</v>
      </c>
      <c r="L35" s="17">
        <f>Notes!L230</f>
        <v>0</v>
      </c>
      <c r="N35" s="17">
        <f>Notes!N230</f>
        <v>0</v>
      </c>
    </row>
    <row r="36" spans="2:14" x14ac:dyDescent="0.35">
      <c r="B36" s="6" t="s">
        <v>153</v>
      </c>
      <c r="J36" s="10">
        <f>J35+1</f>
        <v>16</v>
      </c>
      <c r="L36" s="18">
        <f>Notes!L248</f>
        <v>0</v>
      </c>
      <c r="N36" s="18">
        <f>Notes!N248</f>
        <v>0</v>
      </c>
    </row>
    <row r="37" spans="2:14" x14ac:dyDescent="0.35">
      <c r="B37" s="6" t="s">
        <v>33</v>
      </c>
      <c r="J37" s="10">
        <f>J36+1</f>
        <v>17</v>
      </c>
      <c r="L37" s="18">
        <f>Notes!L262</f>
        <v>0</v>
      </c>
      <c r="N37" s="18">
        <f>Notes!N262</f>
        <v>0</v>
      </c>
    </row>
    <row r="38" spans="2:14" x14ac:dyDescent="0.35">
      <c r="B38" s="6" t="s">
        <v>34</v>
      </c>
      <c r="L38" s="18">
        <f>SOCIE!N22</f>
        <v>0</v>
      </c>
      <c r="N38" s="18">
        <f>SOCIE!N14</f>
        <v>0</v>
      </c>
    </row>
    <row r="39" spans="2:14" ht="5.15" customHeight="1" x14ac:dyDescent="0.35">
      <c r="L39" s="19"/>
      <c r="N39" s="19"/>
    </row>
    <row r="40" spans="2:14" x14ac:dyDescent="0.35">
      <c r="B40" s="14"/>
      <c r="L40" s="23">
        <f>SUM(L35:L39)</f>
        <v>0</v>
      </c>
      <c r="N40" s="24">
        <f>SUM(N35:N39)</f>
        <v>0</v>
      </c>
    </row>
    <row r="41" spans="2:14" ht="8.15" customHeight="1" x14ac:dyDescent="0.35"/>
    <row r="42" spans="2:14" x14ac:dyDescent="0.35">
      <c r="B42" s="14" t="s">
        <v>24</v>
      </c>
    </row>
    <row r="43" spans="2:14" x14ac:dyDescent="0.35">
      <c r="B43" s="6" t="s">
        <v>25</v>
      </c>
      <c r="J43" s="10">
        <f>J37+1</f>
        <v>18</v>
      </c>
      <c r="L43" s="17">
        <f>Notes!L291</f>
        <v>0</v>
      </c>
      <c r="N43" s="17">
        <f>Notes!N291</f>
        <v>0</v>
      </c>
    </row>
    <row r="44" spans="2:14" x14ac:dyDescent="0.35">
      <c r="B44" s="6" t="s">
        <v>26</v>
      </c>
      <c r="J44" s="10">
        <f>J14</f>
        <v>9</v>
      </c>
      <c r="L44" s="18">
        <v>0</v>
      </c>
      <c r="N44" s="18">
        <v>0</v>
      </c>
    </row>
    <row r="45" spans="2:14" ht="5.15" customHeight="1" x14ac:dyDescent="0.35">
      <c r="L45" s="19"/>
      <c r="N45" s="19"/>
    </row>
    <row r="46" spans="2:14" x14ac:dyDescent="0.35">
      <c r="B46" s="14"/>
      <c r="L46" s="15">
        <f>SUM(L43:L45)</f>
        <v>0</v>
      </c>
      <c r="N46" s="15">
        <f>SUM(N43:N45)</f>
        <v>0</v>
      </c>
    </row>
    <row r="48" spans="2:14" x14ac:dyDescent="0.35">
      <c r="B48" s="14" t="s">
        <v>29</v>
      </c>
    </row>
    <row r="49" spans="2:14" x14ac:dyDescent="0.35">
      <c r="B49" s="6" t="s">
        <v>30</v>
      </c>
      <c r="J49" s="10">
        <f>J43+1</f>
        <v>19</v>
      </c>
      <c r="L49" s="17">
        <f>Notes!L329</f>
        <v>0</v>
      </c>
      <c r="N49" s="17">
        <f>Notes!N329</f>
        <v>0</v>
      </c>
    </row>
    <row r="50" spans="2:14" x14ac:dyDescent="0.35">
      <c r="B50" s="6" t="str">
        <f>"Current portion of "&amp;LOWER(B43)</f>
        <v xml:space="preserve">Current portion of borrowings </v>
      </c>
      <c r="J50" s="10">
        <f>J43</f>
        <v>18</v>
      </c>
      <c r="L50" s="18">
        <f>Notes!L290</f>
        <v>0</v>
      </c>
      <c r="N50" s="18">
        <f>Notes!N290</f>
        <v>0</v>
      </c>
    </row>
    <row r="51" spans="2:14" x14ac:dyDescent="0.35">
      <c r="B51" s="6" t="s">
        <v>602</v>
      </c>
      <c r="J51" s="10">
        <f>J49+1</f>
        <v>20</v>
      </c>
      <c r="L51" s="18">
        <f>Notes!L335</f>
        <v>0</v>
      </c>
      <c r="N51" s="18">
        <f>Notes!N335</f>
        <v>0</v>
      </c>
    </row>
    <row r="52" spans="2:14" x14ac:dyDescent="0.35">
      <c r="B52" s="6" t="s">
        <v>31</v>
      </c>
      <c r="J52" s="10">
        <f>J51+1</f>
        <v>21</v>
      </c>
      <c r="L52" s="18"/>
      <c r="N52" s="18"/>
    </row>
    <row r="53" spans="2:14" x14ac:dyDescent="0.35">
      <c r="B53" s="6" t="s">
        <v>175</v>
      </c>
      <c r="L53" s="18"/>
      <c r="N53" s="18"/>
    </row>
    <row r="54" spans="2:14" ht="5.15" customHeight="1" x14ac:dyDescent="0.35">
      <c r="L54" s="19"/>
      <c r="N54" s="19"/>
    </row>
    <row r="55" spans="2:14" x14ac:dyDescent="0.35">
      <c r="B55" s="14"/>
      <c r="L55" s="15">
        <f>SUM(L49:L54)</f>
        <v>0</v>
      </c>
      <c r="N55" s="15">
        <f>SUM(N49:N54)</f>
        <v>0</v>
      </c>
    </row>
    <row r="56" spans="2:14" ht="5.15" customHeight="1" x14ac:dyDescent="0.35"/>
    <row r="57" spans="2:14" x14ac:dyDescent="0.35">
      <c r="B57" s="14" t="s">
        <v>647</v>
      </c>
      <c r="J57" s="10">
        <f>J52+1</f>
        <v>22</v>
      </c>
      <c r="L57" s="15">
        <v>0</v>
      </c>
      <c r="N57" s="15">
        <v>0</v>
      </c>
    </row>
    <row r="58" spans="2:14" ht="5.15" customHeight="1" x14ac:dyDescent="0.35">
      <c r="B58" s="14"/>
    </row>
    <row r="59" spans="2:14" x14ac:dyDescent="0.35">
      <c r="B59" s="14" t="s">
        <v>32</v>
      </c>
      <c r="L59" s="24">
        <f>L46+L55</f>
        <v>0</v>
      </c>
      <c r="N59" s="24">
        <f>N46+N55</f>
        <v>0</v>
      </c>
    </row>
    <row r="60" spans="2:14" ht="5.15" customHeight="1" x14ac:dyDescent="0.35">
      <c r="B60" s="14"/>
    </row>
    <row r="61" spans="2:14" ht="14.5" thickBot="1" x14ac:dyDescent="0.4">
      <c r="B61" s="14" t="s">
        <v>37</v>
      </c>
      <c r="L61" s="20">
        <f>L40+L59</f>
        <v>0</v>
      </c>
      <c r="N61" s="20">
        <f>N40+N59</f>
        <v>0</v>
      </c>
    </row>
    <row r="62" spans="2:14" ht="14.5" thickTop="1" x14ac:dyDescent="0.35"/>
    <row r="63" spans="2:14" x14ac:dyDescent="0.35">
      <c r="B63" s="6" t="str">
        <f>"The annexed notes from "&amp;Cover!E8&amp;" to "&amp;Cover!G8&amp;" form an integral part of these financial statements."</f>
        <v>The annexed notes from 1 to 38 form an integral part of these financial statements.</v>
      </c>
    </row>
    <row r="69" spans="2:14" s="14" customFormat="1" x14ac:dyDescent="0.35">
      <c r="B69" s="194" t="str">
        <f>Cover!E9</f>
        <v>Chief Executive</v>
      </c>
      <c r="C69" s="198"/>
      <c r="D69" s="198"/>
      <c r="J69" s="350"/>
      <c r="L69" s="433" t="str">
        <f>Cover!G9</f>
        <v>Director</v>
      </c>
      <c r="M69" s="434"/>
      <c r="N69" s="434"/>
    </row>
    <row r="72" spans="2:14" x14ac:dyDescent="0.35">
      <c r="L72" s="15">
        <f>L28-L61</f>
        <v>0</v>
      </c>
      <c r="N72" s="15">
        <f>N28-N61</f>
        <v>0</v>
      </c>
    </row>
  </sheetData>
  <mergeCells count="4">
    <mergeCell ref="L6:N6"/>
    <mergeCell ref="J5:J6"/>
    <mergeCell ref="B69:D69"/>
    <mergeCell ref="L69:N69"/>
  </mergeCells>
  <pageMargins left="0.7" right="0.7" top="0.75" bottom="0.75" header="0.3" footer="0.3"/>
  <pageSetup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2"/>
  <sheetViews>
    <sheetView view="pageBreakPreview" topLeftCell="A22" zoomScaleNormal="100" zoomScaleSheetLayoutView="100" workbookViewId="0">
      <selection activeCell="B42" sqref="A42:XFD42"/>
    </sheetView>
  </sheetViews>
  <sheetFormatPr defaultColWidth="0" defaultRowHeight="14" x14ac:dyDescent="0.35"/>
  <cols>
    <col min="1" max="1" width="0.54296875" style="6" customWidth="1"/>
    <col min="2" max="2" width="14.453125" style="6" customWidth="1"/>
    <col min="3" max="3" width="0.81640625" style="6" customWidth="1"/>
    <col min="4" max="4" width="14.453125" style="6" customWidth="1"/>
    <col min="5" max="5" width="0.54296875" style="6" customWidth="1"/>
    <col min="6" max="6" width="14.453125" style="6" customWidth="1"/>
    <col min="7" max="7" width="0.54296875" style="6" customWidth="1"/>
    <col min="8" max="8" width="14.7265625" style="6" customWidth="1"/>
    <col min="9" max="9" width="0.54296875" style="6" customWidth="1"/>
    <col min="10" max="10" width="14.453125" style="10" customWidth="1"/>
    <col min="11" max="11" width="0.54296875" style="6" customWidth="1"/>
    <col min="12" max="12" width="14.453125" style="15" customWidth="1"/>
    <col min="13" max="13" width="0.81640625" style="15" customWidth="1"/>
    <col min="14" max="14" width="14.453125" style="15" customWidth="1"/>
    <col min="15" max="15" width="0.54296875" style="15" customWidth="1"/>
    <col min="16" max="26" width="9.1796875" style="6" customWidth="1"/>
    <col min="27" max="16384" width="9.1796875" style="6" hidden="1"/>
  </cols>
  <sheetData>
    <row r="1" spans="2:15" s="360" customFormat="1" ht="15" x14ac:dyDescent="0.35">
      <c r="B1" s="360" t="str">
        <f>Cover!C1</f>
        <v>ABC LIMITED</v>
      </c>
      <c r="J1" s="379"/>
      <c r="L1" s="362"/>
      <c r="M1" s="362"/>
      <c r="N1" s="362"/>
      <c r="O1" s="362"/>
    </row>
    <row r="2" spans="2:15" s="360" customFormat="1" ht="15" x14ac:dyDescent="0.35">
      <c r="B2" s="360" t="s">
        <v>4</v>
      </c>
      <c r="J2" s="379"/>
      <c r="L2" s="362"/>
      <c r="M2" s="362"/>
      <c r="N2" s="362"/>
      <c r="O2" s="362"/>
    </row>
    <row r="3" spans="2:15" s="380" customFormat="1" ht="15.5" thickBot="1" x14ac:dyDescent="0.4">
      <c r="B3" s="380" t="str">
        <f>Cover!C3</f>
        <v>FOR THE YEAR ENDED JUNE 30, 2023</v>
      </c>
      <c r="J3" s="395"/>
      <c r="L3" s="382"/>
      <c r="M3" s="382"/>
      <c r="N3" s="382"/>
      <c r="O3" s="382"/>
    </row>
    <row r="4" spans="2:15" ht="14.5" thickTop="1" x14ac:dyDescent="0.35"/>
    <row r="5" spans="2:15" x14ac:dyDescent="0.35">
      <c r="J5" s="7" t="str">
        <f>SOFP!J5</f>
        <v>Note</v>
      </c>
      <c r="L5" s="400" t="str">
        <f>SOFP!L5</f>
        <v>2023</v>
      </c>
      <c r="M5" s="349"/>
      <c r="N5" s="400" t="str">
        <f>SOFP!N5</f>
        <v>2022</v>
      </c>
      <c r="O5" s="9"/>
    </row>
    <row r="6" spans="2:15" x14ac:dyDescent="0.35">
      <c r="J6" s="7"/>
      <c r="L6" s="397" t="str">
        <f>SOFP!L6</f>
        <v>------------- Rupees -------------</v>
      </c>
      <c r="M6" s="398"/>
      <c r="N6" s="398"/>
      <c r="O6" s="6"/>
    </row>
    <row r="7" spans="2:15" x14ac:dyDescent="0.35">
      <c r="L7" s="11"/>
      <c r="M7" s="12"/>
      <c r="N7" s="11"/>
      <c r="O7" s="13"/>
    </row>
    <row r="8" spans="2:15" x14ac:dyDescent="0.35">
      <c r="B8" s="6" t="s">
        <v>218</v>
      </c>
      <c r="J8" s="10">
        <f>SOFP!J57+1</f>
        <v>23</v>
      </c>
      <c r="L8" s="11">
        <f>Notes!L416</f>
        <v>0</v>
      </c>
      <c r="M8" s="12"/>
      <c r="N8" s="11">
        <f>Notes!N416</f>
        <v>0</v>
      </c>
      <c r="O8" s="13"/>
    </row>
    <row r="9" spans="2:15" x14ac:dyDescent="0.35">
      <c r="L9" s="11"/>
      <c r="M9" s="12"/>
      <c r="N9" s="11"/>
      <c r="O9" s="13"/>
    </row>
    <row r="10" spans="2:15" x14ac:dyDescent="0.35">
      <c r="B10" s="6" t="s">
        <v>71</v>
      </c>
      <c r="J10" s="10">
        <f>J8+1</f>
        <v>24</v>
      </c>
      <c r="L10" s="15">
        <f>-Notes!L424</f>
        <v>0</v>
      </c>
      <c r="N10" s="15">
        <f>-Notes!N424</f>
        <v>0</v>
      </c>
    </row>
    <row r="12" spans="2:15" s="14" customFormat="1" x14ac:dyDescent="0.35">
      <c r="B12" s="14" t="str">
        <f>IF(AND(L12&gt;=0,N12&gt;=0),"Gross profit",IF(AND(L12&gt;=0,N12&lt;0),"Gross profit / (loss)",IF(AND(L12&lt;0,N12&gt;=0),"Gross (loss) / profit","Gross loss")))</f>
        <v>Gross profit</v>
      </c>
      <c r="J12" s="350"/>
      <c r="L12" s="351">
        <f>SUM(L8:L11)</f>
        <v>0</v>
      </c>
      <c r="M12" s="352"/>
      <c r="N12" s="351">
        <f>SUM(N8:N11)</f>
        <v>0</v>
      </c>
      <c r="O12" s="22"/>
    </row>
    <row r="14" spans="2:15" x14ac:dyDescent="0.35">
      <c r="B14" s="6" t="s">
        <v>74</v>
      </c>
      <c r="J14" s="10">
        <f>J10+1</f>
        <v>25</v>
      </c>
      <c r="L14" s="17">
        <f>-Notes!L516</f>
        <v>0</v>
      </c>
      <c r="N14" s="17">
        <f>-Notes!N516</f>
        <v>0</v>
      </c>
    </row>
    <row r="15" spans="2:15" x14ac:dyDescent="0.35">
      <c r="B15" s="6" t="s">
        <v>72</v>
      </c>
      <c r="J15" s="10">
        <f>J14+1</f>
        <v>26</v>
      </c>
      <c r="L15" s="18">
        <f>-Notes!L531</f>
        <v>0</v>
      </c>
      <c r="N15" s="18">
        <f>-Notes!N531</f>
        <v>0</v>
      </c>
    </row>
    <row r="16" spans="2:15" x14ac:dyDescent="0.35">
      <c r="B16" s="6" t="s">
        <v>76</v>
      </c>
      <c r="J16" s="10">
        <f>J15+1</f>
        <v>27</v>
      </c>
      <c r="L16" s="18">
        <f>-Notes!L564</f>
        <v>0</v>
      </c>
      <c r="N16" s="18">
        <f>-Notes!N564</f>
        <v>0</v>
      </c>
    </row>
    <row r="17" spans="2:15" x14ac:dyDescent="0.35">
      <c r="B17" s="6" t="s">
        <v>75</v>
      </c>
      <c r="J17" s="10">
        <f>J16+1</f>
        <v>28</v>
      </c>
      <c r="L17" s="18">
        <f>-Notes!L599</f>
        <v>0</v>
      </c>
      <c r="N17" s="18">
        <f>-Notes!N599</f>
        <v>0</v>
      </c>
    </row>
    <row r="18" spans="2:15" x14ac:dyDescent="0.35">
      <c r="L18" s="19"/>
      <c r="N18" s="19"/>
    </row>
    <row r="19" spans="2:15" x14ac:dyDescent="0.35">
      <c r="L19" s="15">
        <f>SUM(L14:L18)</f>
        <v>0</v>
      </c>
      <c r="N19" s="15">
        <f>SUM(N14:N18)</f>
        <v>0</v>
      </c>
    </row>
    <row r="21" spans="2:15" s="14" customFormat="1" x14ac:dyDescent="0.35">
      <c r="B21" s="14" t="str">
        <f>IF(AND(L21&gt;=0,N21&gt;=0),"Operating profit",IF(AND(L21&gt;=0,N21&lt;0),"Operating profit / (loss)",IF(AND(L21&lt;0,N21&gt;=0),"Operating (loss) / profit","Operating loss")))</f>
        <v>Operating profit</v>
      </c>
      <c r="J21" s="350"/>
      <c r="L21" s="351">
        <f>L12+L19</f>
        <v>0</v>
      </c>
      <c r="M21" s="22"/>
      <c r="N21" s="351">
        <f>N12+N19</f>
        <v>0</v>
      </c>
      <c r="O21" s="22"/>
    </row>
    <row r="23" spans="2:15" x14ac:dyDescent="0.35">
      <c r="B23" s="6" t="s">
        <v>77</v>
      </c>
      <c r="J23" s="10">
        <f>J17+1</f>
        <v>29</v>
      </c>
      <c r="L23" s="17">
        <f>Notes!L606</f>
        <v>0</v>
      </c>
      <c r="N23" s="17">
        <f>Notes!N606</f>
        <v>0</v>
      </c>
    </row>
    <row r="24" spans="2:15" x14ac:dyDescent="0.35">
      <c r="B24" s="6" t="s">
        <v>73</v>
      </c>
      <c r="J24" s="10">
        <f>J23+1</f>
        <v>30</v>
      </c>
      <c r="L24" s="18">
        <f>-Notes!L619</f>
        <v>0</v>
      </c>
      <c r="M24" s="190"/>
      <c r="N24" s="18">
        <f>-Notes!N619</f>
        <v>0</v>
      </c>
      <c r="O24" s="190"/>
    </row>
    <row r="25" spans="2:15" x14ac:dyDescent="0.35">
      <c r="L25" s="19"/>
      <c r="M25" s="190"/>
      <c r="N25" s="19"/>
      <c r="O25" s="190"/>
    </row>
    <row r="26" spans="2:15" x14ac:dyDescent="0.35">
      <c r="L26" s="15">
        <f>SUM(L23:L24)</f>
        <v>0</v>
      </c>
      <c r="N26" s="15">
        <f>SUM(N23:N24)</f>
        <v>0</v>
      </c>
    </row>
    <row r="28" spans="2:15" s="14" customFormat="1" x14ac:dyDescent="0.35">
      <c r="B28" s="14" t="str">
        <f>IF(AND(L28&gt;=0,N28&gt;=0),"Profit before tax",IF(AND(L28&gt;=0,N28&lt;0),"Profit / (loss) before tax",IF(AND(L28&lt;0,N28&gt;=0),"(Loss) / profit before tax","Loss before tax")))</f>
        <v>Profit before tax</v>
      </c>
      <c r="J28" s="350"/>
      <c r="L28" s="351">
        <f>L21+L26</f>
        <v>0</v>
      </c>
      <c r="M28" s="22"/>
      <c r="N28" s="351">
        <f>N21+N26</f>
        <v>0</v>
      </c>
      <c r="O28" s="22"/>
    </row>
    <row r="30" spans="2:15" x14ac:dyDescent="0.35">
      <c r="B30" s="6" t="s">
        <v>78</v>
      </c>
      <c r="J30" s="10">
        <f>J24+1</f>
        <v>31</v>
      </c>
      <c r="L30" s="15">
        <f>-Notes!L627</f>
        <v>0</v>
      </c>
      <c r="N30" s="15">
        <f>-Notes!N627</f>
        <v>0</v>
      </c>
    </row>
    <row r="32" spans="2:15" ht="14.5" thickBot="1" x14ac:dyDescent="0.4">
      <c r="B32" s="14" t="str">
        <f>IF(AND(L32&gt;=0,N32&gt;=0),"Profit after tax",IF(AND(L32&gt;=0,N32&lt;0),"Profit / (loss) after tax",IF(AND(L32&lt;0,N32&gt;=0),"(Loss) / profit after tax","Loss after tax")))</f>
        <v>Profit after tax</v>
      </c>
      <c r="L32" s="20">
        <f>SUM(L28:L31)</f>
        <v>0</v>
      </c>
      <c r="N32" s="20">
        <f>SUM(N28:N31)</f>
        <v>0</v>
      </c>
    </row>
    <row r="33" spans="2:14" ht="14.5" thickTop="1" x14ac:dyDescent="0.35"/>
    <row r="34" spans="2:14" ht="14.5" thickBot="1" x14ac:dyDescent="0.4">
      <c r="B34" s="6" t="s">
        <v>217</v>
      </c>
      <c r="J34" s="10">
        <f>J30+1</f>
        <v>32</v>
      </c>
      <c r="L34" s="353" t="e">
        <f>Notes!#REF!</f>
        <v>#REF!</v>
      </c>
      <c r="N34" s="353" t="e">
        <f>Notes!#REF!</f>
        <v>#REF!</v>
      </c>
    </row>
    <row r="35" spans="2:14" ht="14.5" thickTop="1" x14ac:dyDescent="0.35"/>
    <row r="36" spans="2:14" x14ac:dyDescent="0.35">
      <c r="B36" s="6" t="str">
        <f>SOFP!B63</f>
        <v>The annexed notes from 1 to 38 form an integral part of these financial statements.</v>
      </c>
    </row>
    <row r="42" spans="2:14" s="14" customFormat="1" x14ac:dyDescent="0.35">
      <c r="B42" s="194" t="str">
        <f>SOFP!B69</f>
        <v>Chief Executive</v>
      </c>
      <c r="C42" s="198"/>
      <c r="D42" s="198"/>
      <c r="J42" s="350"/>
      <c r="L42" s="194" t="str">
        <f>SOFP!L69</f>
        <v>Director</v>
      </c>
      <c r="M42" s="198"/>
      <c r="N42" s="198"/>
    </row>
    <row r="62" spans="15:15" x14ac:dyDescent="0.35">
      <c r="O62" s="6"/>
    </row>
  </sheetData>
  <mergeCells count="4">
    <mergeCell ref="L6:N6"/>
    <mergeCell ref="J5:J6"/>
    <mergeCell ref="B42:D42"/>
    <mergeCell ref="L42:N42"/>
  </mergeCells>
  <pageMargins left="0.7" right="0.7" top="0.75" bottom="0.75" header="0.3" footer="0.3"/>
  <pageSetup scale="8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36"/>
  <sheetViews>
    <sheetView view="pageBreakPreview" topLeftCell="A22" zoomScaleNormal="100" zoomScaleSheetLayoutView="100" workbookViewId="0">
      <selection activeCell="B36" sqref="A36:XFD36"/>
    </sheetView>
  </sheetViews>
  <sheetFormatPr defaultColWidth="0" defaultRowHeight="14" x14ac:dyDescent="0.3"/>
  <cols>
    <col min="1" max="1" width="0.54296875" style="28" customWidth="1"/>
    <col min="2" max="2" width="14.453125" style="28" customWidth="1"/>
    <col min="3" max="3" width="0.81640625" style="28" customWidth="1"/>
    <col min="4" max="4" width="14.453125" style="28" customWidth="1"/>
    <col min="5" max="5" width="0.54296875" style="28" customWidth="1"/>
    <col min="6" max="6" width="14.453125" style="28" customWidth="1"/>
    <col min="7" max="7" width="0.54296875" style="28" customWidth="1"/>
    <col min="8" max="8" width="14.7265625" style="28" customWidth="1"/>
    <col min="9" max="9" width="0.54296875" style="28" customWidth="1"/>
    <col min="10" max="10" width="14.453125" style="28" customWidth="1"/>
    <col min="11" max="11" width="0.54296875" style="28" customWidth="1"/>
    <col min="12" max="12" width="14.453125" style="100" customWidth="1"/>
    <col min="13" max="13" width="0.81640625" style="100" customWidth="1"/>
    <col min="14" max="14" width="14.453125" style="100" customWidth="1"/>
    <col min="15" max="15" width="0.54296875" style="28" customWidth="1"/>
    <col min="16" max="26" width="9.1796875" style="28" customWidth="1"/>
    <col min="27" max="16384" width="0" style="28" hidden="1"/>
  </cols>
  <sheetData>
    <row r="1" spans="2:14" s="363" customFormat="1" ht="15" x14ac:dyDescent="0.3">
      <c r="B1" s="360" t="str">
        <f>Cover!C1</f>
        <v>ABC LIMITED</v>
      </c>
      <c r="C1" s="360"/>
      <c r="D1" s="376"/>
      <c r="E1" s="377"/>
      <c r="F1" s="377"/>
      <c r="G1" s="377"/>
      <c r="H1" s="376"/>
      <c r="L1" s="365"/>
      <c r="M1" s="365"/>
      <c r="N1" s="365"/>
    </row>
    <row r="2" spans="2:14" s="363" customFormat="1" ht="15" x14ac:dyDescent="0.3">
      <c r="B2" s="378" t="s">
        <v>5</v>
      </c>
      <c r="C2" s="360"/>
      <c r="D2" s="376"/>
      <c r="E2" s="376"/>
      <c r="F2" s="376"/>
      <c r="G2" s="376"/>
      <c r="H2" s="376"/>
      <c r="L2" s="365"/>
      <c r="M2" s="365"/>
      <c r="N2" s="365"/>
    </row>
    <row r="3" spans="2:14" s="383" customFormat="1" ht="15.5" thickBot="1" x14ac:dyDescent="0.35">
      <c r="B3" s="383" t="str">
        <f>Cover!C3</f>
        <v>FOR THE YEAR ENDED JUNE 30, 2023</v>
      </c>
      <c r="L3" s="385"/>
      <c r="M3" s="385"/>
      <c r="N3" s="385"/>
    </row>
    <row r="4" spans="2:14" ht="14.5" thickTop="1" x14ac:dyDescent="0.3"/>
    <row r="5" spans="2:14" x14ac:dyDescent="0.3">
      <c r="J5" s="7" t="str">
        <f>SOFP!J5</f>
        <v>Note</v>
      </c>
      <c r="K5" s="6"/>
      <c r="L5" s="400" t="str">
        <f>SOFP!L5</f>
        <v>2023</v>
      </c>
      <c r="M5" s="285"/>
      <c r="N5" s="399" t="str">
        <f>SOFP!N5</f>
        <v>2022</v>
      </c>
    </row>
    <row r="6" spans="2:14" x14ac:dyDescent="0.3">
      <c r="J6" s="7"/>
      <c r="K6" s="6"/>
      <c r="L6" s="397" t="str">
        <f>SOFP!L6</f>
        <v>------------- Rupees -------------</v>
      </c>
      <c r="M6" s="398"/>
      <c r="N6" s="398"/>
    </row>
    <row r="7" spans="2:14" x14ac:dyDescent="0.3">
      <c r="B7" s="58"/>
    </row>
    <row r="8" spans="2:14" x14ac:dyDescent="0.3">
      <c r="B8" s="58" t="str">
        <f>SOPL!B32</f>
        <v>Profit after tax</v>
      </c>
      <c r="L8" s="100">
        <f>SOPL!L32</f>
        <v>0</v>
      </c>
      <c r="N8" s="100">
        <f>SOPL!N32</f>
        <v>0</v>
      </c>
    </row>
    <row r="9" spans="2:14" x14ac:dyDescent="0.3">
      <c r="B9" s="58"/>
    </row>
    <row r="10" spans="2:14" x14ac:dyDescent="0.3">
      <c r="B10" s="58" t="s">
        <v>38</v>
      </c>
    </row>
    <row r="11" spans="2:14" x14ac:dyDescent="0.3">
      <c r="B11" s="58"/>
    </row>
    <row r="12" spans="2:14" x14ac:dyDescent="0.3">
      <c r="B12" s="348" t="s">
        <v>85</v>
      </c>
    </row>
    <row r="13" spans="2:14" x14ac:dyDescent="0.3">
      <c r="B13" s="272" t="s">
        <v>39</v>
      </c>
      <c r="L13" s="245"/>
      <c r="N13" s="245"/>
    </row>
    <row r="14" spans="2:14" x14ac:dyDescent="0.3">
      <c r="B14" s="272" t="s">
        <v>40</v>
      </c>
      <c r="L14" s="246"/>
      <c r="N14" s="246"/>
    </row>
    <row r="15" spans="2:14" x14ac:dyDescent="0.3">
      <c r="B15" s="272" t="s">
        <v>66</v>
      </c>
      <c r="L15" s="246"/>
      <c r="N15" s="246"/>
    </row>
    <row r="16" spans="2:14" x14ac:dyDescent="0.3">
      <c r="B16" s="272" t="s">
        <v>41</v>
      </c>
      <c r="L16" s="246"/>
      <c r="N16" s="246"/>
    </row>
    <row r="17" spans="2:14" x14ac:dyDescent="0.3">
      <c r="B17" s="272" t="s">
        <v>42</v>
      </c>
      <c r="L17" s="246"/>
      <c r="N17" s="246"/>
    </row>
    <row r="18" spans="2:14" x14ac:dyDescent="0.3">
      <c r="B18" s="272" t="s">
        <v>79</v>
      </c>
      <c r="L18" s="247"/>
      <c r="N18" s="247"/>
    </row>
    <row r="19" spans="2:14" x14ac:dyDescent="0.3">
      <c r="L19" s="100">
        <f>SUM(L13:L18)</f>
        <v>0</v>
      </c>
      <c r="N19" s="100">
        <f>SUM(N13:N18)</f>
        <v>0</v>
      </c>
    </row>
    <row r="20" spans="2:14" x14ac:dyDescent="0.3">
      <c r="B20" s="348" t="s">
        <v>86</v>
      </c>
    </row>
    <row r="21" spans="2:14" x14ac:dyDescent="0.3">
      <c r="B21" s="272" t="s">
        <v>43</v>
      </c>
      <c r="L21" s="245"/>
      <c r="N21" s="245"/>
    </row>
    <row r="22" spans="2:14" x14ac:dyDescent="0.3">
      <c r="B22" s="272" t="s">
        <v>44</v>
      </c>
      <c r="L22" s="246"/>
      <c r="N22" s="246"/>
    </row>
    <row r="23" spans="2:14" x14ac:dyDescent="0.3">
      <c r="B23" s="272" t="s">
        <v>45</v>
      </c>
      <c r="L23" s="247"/>
      <c r="N23" s="247"/>
    </row>
    <row r="24" spans="2:14" x14ac:dyDescent="0.3">
      <c r="B24" s="272"/>
      <c r="L24" s="100">
        <f>SUM(L21:L23)</f>
        <v>0</v>
      </c>
      <c r="N24" s="100">
        <f>SUM(N21:N23)</f>
        <v>0</v>
      </c>
    </row>
    <row r="25" spans="2:14" x14ac:dyDescent="0.3">
      <c r="B25" s="272"/>
    </row>
    <row r="26" spans="2:14" x14ac:dyDescent="0.3">
      <c r="B26" s="14" t="str">
        <f>IF(AND(L26&gt;=0,N26&gt;=0),"Other comprehensive income",IF(AND(L26&gt;=0,N26&lt;0),"Other comprehensive income / (loss)",IF(AND(L26&lt;0,N26&gt;=0),"Other comprehensive (loss) / income","Other comprehensive loss")))</f>
        <v>Other comprehensive income</v>
      </c>
      <c r="L26" s="271">
        <f>L19+L24</f>
        <v>0</v>
      </c>
      <c r="N26" s="271">
        <f>N19+N24</f>
        <v>0</v>
      </c>
    </row>
    <row r="27" spans="2:14" x14ac:dyDescent="0.3">
      <c r="B27" s="58"/>
    </row>
    <row r="28" spans="2:14" ht="14.5" thickBot="1" x14ac:dyDescent="0.35">
      <c r="B28" s="14" t="str">
        <f>IF(AND(L28&gt;=0,N28&gt;=0),"Total comprehensive income for the year",IF(AND(L28&gt;=0,N28&lt;0),"Total comprehensive income / (loss) for the year",IF(AND(L28&lt;0,N28&gt;=0),"Total comprehensive (loss) / income for the year","Total comprehensive loss for the year")))</f>
        <v>Total comprehensive income for the year</v>
      </c>
      <c r="L28" s="230">
        <f>L8+L26</f>
        <v>0</v>
      </c>
      <c r="N28" s="230">
        <f>N8+N26</f>
        <v>0</v>
      </c>
    </row>
    <row r="29" spans="2:14" ht="14.5" thickTop="1" x14ac:dyDescent="0.3">
      <c r="B29" s="58"/>
    </row>
    <row r="30" spans="2:14" x14ac:dyDescent="0.3">
      <c r="B30" s="28" t="str">
        <f>SOFP!B63</f>
        <v>The annexed notes from 1 to 38 form an integral part of these financial statements.</v>
      </c>
    </row>
    <row r="36" spans="2:14" s="14" customFormat="1" x14ac:dyDescent="0.35">
      <c r="B36" s="194" t="str">
        <f>SOFP!B69</f>
        <v>Chief Executive</v>
      </c>
      <c r="C36" s="198"/>
      <c r="D36" s="198"/>
      <c r="L36" s="194" t="str">
        <f>SOFP!L69</f>
        <v>Director</v>
      </c>
      <c r="M36" s="198"/>
      <c r="N36" s="198"/>
    </row>
  </sheetData>
  <mergeCells count="4">
    <mergeCell ref="J5:J6"/>
    <mergeCell ref="L6:N6"/>
    <mergeCell ref="B36:D36"/>
    <mergeCell ref="L36:N36"/>
  </mergeCells>
  <pageMargins left="0.7" right="0.7" top="0.75" bottom="0.75" header="0.3" footer="0.3"/>
  <pageSetup scale="8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88"/>
  <sheetViews>
    <sheetView view="pageBreakPreview" topLeftCell="A65" zoomScaleNormal="100" zoomScaleSheetLayoutView="100" workbookViewId="0">
      <selection activeCell="B85" sqref="A85:XFD85"/>
    </sheetView>
  </sheetViews>
  <sheetFormatPr defaultColWidth="0" defaultRowHeight="14" x14ac:dyDescent="0.3"/>
  <cols>
    <col min="1" max="1" width="0.54296875" style="28" customWidth="1"/>
    <col min="2" max="2" width="14.453125" style="28" customWidth="1"/>
    <col min="3" max="3" width="0.81640625" style="28" customWidth="1"/>
    <col min="4" max="4" width="14.453125" style="28" customWidth="1"/>
    <col min="5" max="5" width="0.54296875" style="28" customWidth="1"/>
    <col min="6" max="6" width="14.453125" style="28" customWidth="1"/>
    <col min="7" max="7" width="0.54296875" style="28" customWidth="1"/>
    <col min="8" max="8" width="14.7265625" style="28" customWidth="1"/>
    <col min="9" max="9" width="0.54296875" style="28" customWidth="1"/>
    <col min="10" max="10" width="14.453125" style="28" customWidth="1"/>
    <col min="11" max="11" width="0.54296875" style="28" customWidth="1"/>
    <col min="12" max="12" width="14.453125" style="100" customWidth="1"/>
    <col min="13" max="13" width="0.81640625" style="100" customWidth="1"/>
    <col min="14" max="14" width="14.453125" style="100" customWidth="1"/>
    <col min="15" max="15" width="0.54296875" style="28" customWidth="1"/>
    <col min="16" max="26" width="9.1796875" style="28" customWidth="1"/>
    <col min="27" max="16384" width="9.1796875" style="28" hidden="1"/>
  </cols>
  <sheetData>
    <row r="1" spans="2:14" s="363" customFormat="1" ht="15" x14ac:dyDescent="0.3">
      <c r="B1" s="363" t="str">
        <f>Cover!C1</f>
        <v>ABC LIMITED</v>
      </c>
      <c r="L1" s="365"/>
      <c r="M1" s="365"/>
      <c r="N1" s="365"/>
    </row>
    <row r="2" spans="2:14" s="363" customFormat="1" ht="15" x14ac:dyDescent="0.3">
      <c r="B2" s="363" t="s">
        <v>219</v>
      </c>
      <c r="L2" s="365"/>
      <c r="M2" s="365"/>
      <c r="N2" s="365"/>
    </row>
    <row r="3" spans="2:14" s="383" customFormat="1" ht="15.5" thickBot="1" x14ac:dyDescent="0.35">
      <c r="B3" s="383" t="str">
        <f>Cover!C3</f>
        <v>FOR THE YEAR ENDED JUNE 30, 2023</v>
      </c>
      <c r="L3" s="385"/>
      <c r="M3" s="385"/>
      <c r="N3" s="385"/>
    </row>
    <row r="4" spans="2:14" ht="14.5" thickTop="1" x14ac:dyDescent="0.3"/>
    <row r="5" spans="2:14" x14ac:dyDescent="0.3">
      <c r="J5" s="7" t="str">
        <f>SOFP!J5</f>
        <v>Note</v>
      </c>
      <c r="K5" s="6"/>
      <c r="L5" s="400" t="str">
        <f>SOFP!L5</f>
        <v>2023</v>
      </c>
      <c r="M5" s="285"/>
      <c r="N5" s="400" t="str">
        <f>SOFP!N5</f>
        <v>2022</v>
      </c>
    </row>
    <row r="6" spans="2:14" x14ac:dyDescent="0.3">
      <c r="J6" s="7"/>
      <c r="K6" s="6"/>
      <c r="L6" s="397" t="str">
        <f>SOFP!L6</f>
        <v>------------- Rupees -------------</v>
      </c>
      <c r="M6" s="398"/>
      <c r="N6" s="398"/>
    </row>
    <row r="7" spans="2:14" x14ac:dyDescent="0.3">
      <c r="B7" s="58"/>
    </row>
    <row r="8" spans="2:14" x14ac:dyDescent="0.3">
      <c r="B8" s="58" t="s">
        <v>46</v>
      </c>
    </row>
    <row r="9" spans="2:14" x14ac:dyDescent="0.3">
      <c r="B9" s="28" t="str">
        <f>SOPL!B28</f>
        <v>Profit before tax</v>
      </c>
      <c r="L9" s="100">
        <f>SOPL!L28</f>
        <v>0</v>
      </c>
      <c r="N9" s="100">
        <f>SOPL!N28</f>
        <v>0</v>
      </c>
    </row>
    <row r="10" spans="2:14" x14ac:dyDescent="0.3">
      <c r="B10" s="272" t="s">
        <v>389</v>
      </c>
    </row>
    <row r="11" spans="2:14" x14ac:dyDescent="0.3">
      <c r="B11" s="272"/>
      <c r="L11" s="245"/>
      <c r="N11" s="245"/>
    </row>
    <row r="12" spans="2:14" x14ac:dyDescent="0.3">
      <c r="B12" s="272"/>
      <c r="L12" s="246"/>
      <c r="N12" s="246"/>
    </row>
    <row r="13" spans="2:14" x14ac:dyDescent="0.3">
      <c r="B13" s="272"/>
      <c r="L13" s="246"/>
      <c r="N13" s="246"/>
    </row>
    <row r="14" spans="2:14" x14ac:dyDescent="0.3">
      <c r="B14" s="272"/>
      <c r="L14" s="246"/>
      <c r="N14" s="246"/>
    </row>
    <row r="15" spans="2:14" x14ac:dyDescent="0.3">
      <c r="B15" s="272"/>
      <c r="L15" s="246"/>
      <c r="N15" s="246"/>
    </row>
    <row r="16" spans="2:14" x14ac:dyDescent="0.3">
      <c r="B16" s="272"/>
      <c r="L16" s="246"/>
      <c r="N16" s="246"/>
    </row>
    <row r="17" spans="2:14" x14ac:dyDescent="0.3">
      <c r="B17" s="272"/>
      <c r="L17" s="246"/>
      <c r="N17" s="246"/>
    </row>
    <row r="18" spans="2:14" x14ac:dyDescent="0.3">
      <c r="B18" s="272"/>
      <c r="L18" s="246"/>
      <c r="N18" s="246"/>
    </row>
    <row r="19" spans="2:14" x14ac:dyDescent="0.3">
      <c r="B19" s="272"/>
      <c r="L19" s="247"/>
      <c r="N19" s="247"/>
    </row>
    <row r="20" spans="2:14" x14ac:dyDescent="0.3">
      <c r="B20" s="272"/>
      <c r="L20" s="224">
        <f>SUM(L11:L19)</f>
        <v>0</v>
      </c>
      <c r="N20" s="224">
        <f>SUM(N11:N19)</f>
        <v>0</v>
      </c>
    </row>
    <row r="21" spans="2:14" x14ac:dyDescent="0.3">
      <c r="B21" s="345" t="str">
        <f>IF(AND(L21&gt;=0,N21&gt;=0),"Operating profit before working capital changes",IF(AND(L21&gt;=0,N21&lt;0),"Operating profit / (loss) before working capital changes",IF(AND(L21&lt;0,N21&gt;=0),"Operating (loss) / profit before working capital changes","Operating loss before working capital changes")))</f>
        <v>Operating profit before working capital changes</v>
      </c>
      <c r="L21" s="271">
        <f>L9+L20</f>
        <v>0</v>
      </c>
      <c r="N21" s="271">
        <f>N9+N20</f>
        <v>0</v>
      </c>
    </row>
    <row r="22" spans="2:14" x14ac:dyDescent="0.3">
      <c r="B22" s="272"/>
      <c r="L22" s="224"/>
      <c r="N22" s="224"/>
    </row>
    <row r="23" spans="2:14" x14ac:dyDescent="0.3">
      <c r="B23" s="272" t="s">
        <v>390</v>
      </c>
      <c r="L23" s="224"/>
      <c r="N23" s="224"/>
    </row>
    <row r="24" spans="2:14" x14ac:dyDescent="0.3">
      <c r="B24" s="272" t="s">
        <v>391</v>
      </c>
      <c r="L24" s="224"/>
      <c r="N24" s="224"/>
    </row>
    <row r="25" spans="2:14" x14ac:dyDescent="0.3">
      <c r="B25" s="272"/>
      <c r="L25" s="245"/>
      <c r="N25" s="245"/>
    </row>
    <row r="26" spans="2:14" x14ac:dyDescent="0.3">
      <c r="B26" s="272"/>
      <c r="L26" s="246"/>
      <c r="N26" s="246"/>
    </row>
    <row r="27" spans="2:14" x14ac:dyDescent="0.3">
      <c r="B27" s="272"/>
      <c r="L27" s="246"/>
      <c r="N27" s="246"/>
    </row>
    <row r="28" spans="2:14" x14ac:dyDescent="0.3">
      <c r="B28" s="272"/>
      <c r="L28" s="247"/>
      <c r="N28" s="247"/>
    </row>
    <row r="29" spans="2:14" x14ac:dyDescent="0.3">
      <c r="B29" s="272"/>
      <c r="L29" s="224">
        <f>SUM(L25:L28)</f>
        <v>0</v>
      </c>
      <c r="N29" s="224">
        <f>SUM(N25:N28)</f>
        <v>0</v>
      </c>
    </row>
    <row r="30" spans="2:14" x14ac:dyDescent="0.3">
      <c r="B30" s="272" t="s">
        <v>392</v>
      </c>
      <c r="L30" s="224"/>
      <c r="N30" s="224"/>
    </row>
    <row r="31" spans="2:14" x14ac:dyDescent="0.3">
      <c r="B31" s="272"/>
      <c r="L31" s="245"/>
      <c r="N31" s="245"/>
    </row>
    <row r="32" spans="2:14" x14ac:dyDescent="0.3">
      <c r="B32" s="272"/>
      <c r="L32" s="246"/>
      <c r="N32" s="246"/>
    </row>
    <row r="33" spans="2:14" x14ac:dyDescent="0.3">
      <c r="B33" s="272"/>
      <c r="L33" s="246"/>
      <c r="N33" s="246"/>
    </row>
    <row r="34" spans="2:14" x14ac:dyDescent="0.3">
      <c r="B34" s="272"/>
      <c r="L34" s="247"/>
      <c r="N34" s="247"/>
    </row>
    <row r="35" spans="2:14" x14ac:dyDescent="0.3">
      <c r="B35" s="272"/>
      <c r="L35" s="224">
        <f>SUM(L31:L34)</f>
        <v>0</v>
      </c>
      <c r="N35" s="224">
        <f>SUM(N31:N34)</f>
        <v>0</v>
      </c>
    </row>
    <row r="36" spans="2:14" x14ac:dyDescent="0.3">
      <c r="B36" s="272"/>
      <c r="L36" s="224"/>
      <c r="N36" s="224"/>
    </row>
    <row r="37" spans="2:14" x14ac:dyDescent="0.3">
      <c r="B37" s="345" t="str">
        <f>IF(AND(L37&gt;=0,N37&gt;=0),"Cash generated from operations",IF(AND(L37&gt;=0,N37&lt;0),"Cash generated from / (used in) operations",IF(AND(L37&lt;0,N37&gt;=0),"Cash (used in) / generated from operations","Cash used in operations")))</f>
        <v>Cash generated from operations</v>
      </c>
      <c r="L37" s="271">
        <f>L21+L29+L35</f>
        <v>0</v>
      </c>
      <c r="N37" s="271">
        <f>N21+N29+N35</f>
        <v>0</v>
      </c>
    </row>
    <row r="38" spans="2:14" x14ac:dyDescent="0.3">
      <c r="B38" s="272"/>
    </row>
    <row r="39" spans="2:14" x14ac:dyDescent="0.3">
      <c r="B39" s="272" t="s">
        <v>49</v>
      </c>
      <c r="L39" s="245"/>
      <c r="N39" s="245"/>
    </row>
    <row r="40" spans="2:14" x14ac:dyDescent="0.3">
      <c r="B40" s="272" t="s">
        <v>50</v>
      </c>
      <c r="L40" s="246"/>
      <c r="N40" s="246"/>
    </row>
    <row r="41" spans="2:14" x14ac:dyDescent="0.3">
      <c r="B41" s="272" t="s">
        <v>51</v>
      </c>
      <c r="L41" s="246"/>
      <c r="N41" s="246"/>
    </row>
    <row r="42" spans="2:14" x14ac:dyDescent="0.3">
      <c r="B42" s="272" t="s">
        <v>811</v>
      </c>
      <c r="L42" s="246"/>
      <c r="N42" s="246"/>
    </row>
    <row r="43" spans="2:14" x14ac:dyDescent="0.3">
      <c r="B43" s="272" t="s">
        <v>812</v>
      </c>
      <c r="L43" s="246"/>
      <c r="N43" s="246"/>
    </row>
    <row r="44" spans="2:14" x14ac:dyDescent="0.3">
      <c r="B44" s="272"/>
      <c r="L44" s="246"/>
      <c r="N44" s="246"/>
    </row>
    <row r="45" spans="2:14" x14ac:dyDescent="0.3">
      <c r="B45" s="272"/>
      <c r="L45" s="247"/>
      <c r="N45" s="247"/>
    </row>
    <row r="46" spans="2:14" x14ac:dyDescent="0.3">
      <c r="B46" s="272"/>
      <c r="L46" s="224">
        <f>SUM(L39:L45)</f>
        <v>0</v>
      </c>
      <c r="N46" s="224">
        <f>SUM(N39:N45)</f>
        <v>0</v>
      </c>
    </row>
    <row r="47" spans="2:14" x14ac:dyDescent="0.3">
      <c r="B47" s="272"/>
      <c r="L47" s="224"/>
      <c r="N47" s="224"/>
    </row>
    <row r="48" spans="2:14" x14ac:dyDescent="0.3">
      <c r="B48" s="346" t="str">
        <f>IF(AND(L48&gt;0,N48&gt;0),"Net cash inflows from operating activities",IF(AND(L48&gt;=0,N48&lt;0),"Net cash inflows / (outflows) from operating activities",IF(AND(L48&lt;0,N48&gt;=0),"Net cash (outflows) / inflows from operating activities",IF(AND(L48=0,N48=0),"Net cash flows from operating activities","Net cash outflows from operating activities"))))</f>
        <v>Net cash flows from operating activities</v>
      </c>
      <c r="L48" s="347">
        <f>L37+L46</f>
        <v>0</v>
      </c>
      <c r="N48" s="347">
        <f>N37+N46</f>
        <v>0</v>
      </c>
    </row>
    <row r="49" spans="2:14" x14ac:dyDescent="0.3">
      <c r="B49" s="58"/>
    </row>
    <row r="50" spans="2:14" x14ac:dyDescent="0.3">
      <c r="B50" s="58" t="s">
        <v>47</v>
      </c>
    </row>
    <row r="51" spans="2:14" x14ac:dyDescent="0.3">
      <c r="B51" s="28" t="s">
        <v>52</v>
      </c>
      <c r="L51" s="245"/>
      <c r="N51" s="245"/>
    </row>
    <row r="52" spans="2:14" x14ac:dyDescent="0.3">
      <c r="B52" s="28" t="s">
        <v>53</v>
      </c>
      <c r="L52" s="246"/>
      <c r="N52" s="246"/>
    </row>
    <row r="53" spans="2:14" x14ac:dyDescent="0.3">
      <c r="B53" s="28" t="s">
        <v>54</v>
      </c>
      <c r="L53" s="246"/>
      <c r="N53" s="246"/>
    </row>
    <row r="54" spans="2:14" x14ac:dyDescent="0.3">
      <c r="B54" s="28" t="s">
        <v>55</v>
      </c>
      <c r="L54" s="246"/>
      <c r="N54" s="246"/>
    </row>
    <row r="55" spans="2:14" x14ac:dyDescent="0.3">
      <c r="B55" s="28" t="s">
        <v>56</v>
      </c>
      <c r="L55" s="246"/>
      <c r="N55" s="246"/>
    </row>
    <row r="56" spans="2:14" x14ac:dyDescent="0.3">
      <c r="B56" s="28" t="s">
        <v>57</v>
      </c>
      <c r="L56" s="246"/>
      <c r="N56" s="246"/>
    </row>
    <row r="57" spans="2:14" x14ac:dyDescent="0.3">
      <c r="B57" s="28" t="s">
        <v>63</v>
      </c>
      <c r="L57" s="246"/>
      <c r="N57" s="246"/>
    </row>
    <row r="58" spans="2:14" x14ac:dyDescent="0.3">
      <c r="B58" s="28" t="s">
        <v>58</v>
      </c>
      <c r="L58" s="246"/>
      <c r="N58" s="246"/>
    </row>
    <row r="59" spans="2:14" x14ac:dyDescent="0.3">
      <c r="B59" s="28" t="s">
        <v>59</v>
      </c>
      <c r="L59" s="246"/>
      <c r="N59" s="246"/>
    </row>
    <row r="60" spans="2:14" x14ac:dyDescent="0.3">
      <c r="B60" s="28" t="s">
        <v>60</v>
      </c>
      <c r="L60" s="246"/>
      <c r="N60" s="246"/>
    </row>
    <row r="61" spans="2:14" x14ac:dyDescent="0.3">
      <c r="B61" s="28" t="s">
        <v>61</v>
      </c>
      <c r="L61" s="246"/>
      <c r="N61" s="246"/>
    </row>
    <row r="62" spans="2:14" x14ac:dyDescent="0.3">
      <c r="B62" s="28" t="s">
        <v>62</v>
      </c>
      <c r="L62" s="246"/>
      <c r="N62" s="246"/>
    </row>
    <row r="63" spans="2:14" x14ac:dyDescent="0.3">
      <c r="L63" s="247"/>
      <c r="N63" s="247"/>
    </row>
    <row r="64" spans="2:14" x14ac:dyDescent="0.3">
      <c r="B64" s="346" t="str">
        <f>IF(AND(L64&gt;0,N64&gt;0),"Net cash inflows from investing activities",IF(AND(L64&gt;=0,N64&lt;0),"Net cash inflows / (outflows) from investing activities",IF(AND(L64&lt;0,N64&gt;=0),"Net cash (outflows) / inflows from investing activities",IF(AND(L64=0,N64=0),"Net cash flows from investing activities","Net cash outflows from investing activities"))))</f>
        <v>Net cash flows from investing activities</v>
      </c>
      <c r="L64" s="347">
        <f>SUM(L51:L63)</f>
        <v>0</v>
      </c>
      <c r="N64" s="347">
        <f>SUM(N51:N63)</f>
        <v>0</v>
      </c>
    </row>
    <row r="65" spans="2:14" x14ac:dyDescent="0.3">
      <c r="B65" s="58"/>
    </row>
    <row r="66" spans="2:14" x14ac:dyDescent="0.3">
      <c r="B66" s="58" t="s">
        <v>48</v>
      </c>
    </row>
    <row r="67" spans="2:14" x14ac:dyDescent="0.3">
      <c r="B67" s="28" t="s">
        <v>80</v>
      </c>
      <c r="L67" s="245"/>
      <c r="N67" s="245"/>
    </row>
    <row r="68" spans="2:14" x14ac:dyDescent="0.3">
      <c r="B68" s="28" t="s">
        <v>64</v>
      </c>
      <c r="L68" s="246"/>
      <c r="N68" s="246"/>
    </row>
    <row r="69" spans="2:14" x14ac:dyDescent="0.3">
      <c r="B69" s="28" t="s">
        <v>81</v>
      </c>
      <c r="L69" s="246"/>
      <c r="N69" s="246"/>
    </row>
    <row r="70" spans="2:14" x14ac:dyDescent="0.3">
      <c r="B70" s="28" t="s">
        <v>813</v>
      </c>
      <c r="L70" s="246"/>
      <c r="N70" s="246"/>
    </row>
    <row r="71" spans="2:14" x14ac:dyDescent="0.3">
      <c r="B71" s="28" t="s">
        <v>65</v>
      </c>
      <c r="L71" s="246"/>
      <c r="N71" s="246"/>
    </row>
    <row r="72" spans="2:14" x14ac:dyDescent="0.3">
      <c r="L72" s="247"/>
      <c r="N72" s="247"/>
    </row>
    <row r="73" spans="2:14" x14ac:dyDescent="0.3">
      <c r="B73" s="346" t="str">
        <f>IF(AND(L73&gt;0,N73&gt;0),"Net cash inflows from financing activities",IF(AND(L73&gt;=0,N73&lt;0),"Net cash inflows / (outflows) from financing activities",IF(AND(L73&lt;0,N73&gt;=0),"Net cash (outflows) / inflows from financing activities",IF(AND(L73=0,N73=0),"Net cash flows from investing activities","Net cash outflows from financing activities"))))</f>
        <v>Net cash flows from investing activities</v>
      </c>
      <c r="L73" s="347">
        <f>SUM(L67:L72)</f>
        <v>0</v>
      </c>
      <c r="N73" s="347">
        <f>SUM(N67:N72)</f>
        <v>0</v>
      </c>
    </row>
    <row r="74" spans="2:14" x14ac:dyDescent="0.3">
      <c r="B74" s="58"/>
    </row>
    <row r="75" spans="2:14" x14ac:dyDescent="0.3">
      <c r="B75" s="346" t="str">
        <f>IF(AND(L75&gt;=0,N75&gt;=0),"Net increase in cash and cash equivalents",IF(AND(L75&gt;=0,N75&lt;0),"Net increase / (decrease) in cash and cash equivalents",IF(AND(L75&lt;0,N75&gt;=0),"Net (decrease) / increase in cash and cash equivalents","Net decrease in cash and cash equivalents")))</f>
        <v>Net increase in cash and cash equivalents</v>
      </c>
      <c r="L75" s="100">
        <f>L48+L64+L73</f>
        <v>0</v>
      </c>
      <c r="N75" s="100">
        <f>N48+N64+N73</f>
        <v>0</v>
      </c>
    </row>
    <row r="76" spans="2:14" x14ac:dyDescent="0.3">
      <c r="B76" s="28" t="s">
        <v>82</v>
      </c>
      <c r="L76" s="100">
        <f>N77</f>
        <v>0</v>
      </c>
    </row>
    <row r="77" spans="2:14" ht="14.5" thickBot="1" x14ac:dyDescent="0.35">
      <c r="B77" s="58" t="s">
        <v>83</v>
      </c>
      <c r="L77" s="230">
        <f>SUM(L75:L76)</f>
        <v>0</v>
      </c>
      <c r="N77" s="230">
        <f>SUM(N75:N76)</f>
        <v>0</v>
      </c>
    </row>
    <row r="78" spans="2:14" ht="14.5" thickTop="1" x14ac:dyDescent="0.3"/>
    <row r="79" spans="2:14" x14ac:dyDescent="0.3">
      <c r="B79" s="28" t="str">
        <f>SOFP!B63</f>
        <v>The annexed notes from 1 to 38 form an integral part of these financial statements.</v>
      </c>
    </row>
    <row r="85" spans="2:14" s="14" customFormat="1" x14ac:dyDescent="0.35">
      <c r="B85" s="194" t="str">
        <f>SOFP!B69</f>
        <v>Chief Executive</v>
      </c>
      <c r="C85" s="198"/>
      <c r="D85" s="198"/>
      <c r="L85" s="433" t="str">
        <f>SOFP!L69</f>
        <v>Director</v>
      </c>
      <c r="M85" s="434"/>
      <c r="N85" s="434"/>
    </row>
    <row r="88" spans="2:14" x14ac:dyDescent="0.3">
      <c r="L88" s="100">
        <f>L77-SOFP!L24</f>
        <v>0</v>
      </c>
      <c r="N88" s="100">
        <f>N77-SOFP!N24</f>
        <v>0</v>
      </c>
    </row>
  </sheetData>
  <mergeCells count="4">
    <mergeCell ref="J5:J6"/>
    <mergeCell ref="L6:N6"/>
    <mergeCell ref="B85:D85"/>
    <mergeCell ref="L85:N85"/>
  </mergeCells>
  <pageMargins left="0.7" right="0.7" top="0.75" bottom="0.75" header="0.3" footer="0.3"/>
  <pageSetup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0"/>
  <sheetViews>
    <sheetView view="pageBreakPreview" topLeftCell="B20" zoomScaleNormal="100" zoomScaleSheetLayoutView="100" workbookViewId="0">
      <selection activeCell="B30" sqref="A30:XFD30"/>
    </sheetView>
  </sheetViews>
  <sheetFormatPr defaultColWidth="0" defaultRowHeight="14" x14ac:dyDescent="0.3"/>
  <cols>
    <col min="1" max="1" width="0.54296875" style="28" customWidth="1"/>
    <col min="2" max="2" width="14.453125" style="28" customWidth="1"/>
    <col min="3" max="3" width="0.81640625" style="28" customWidth="1"/>
    <col min="4" max="4" width="14.453125" style="28" customWidth="1"/>
    <col min="5" max="5" width="22.81640625" style="28" customWidth="1"/>
    <col min="6" max="6" width="14.453125" style="28" customWidth="1"/>
    <col min="7" max="7" width="0.54296875" style="28" customWidth="1"/>
    <col min="8" max="8" width="14.7265625" style="100" customWidth="1"/>
    <col min="9" max="9" width="0.54296875" style="100" customWidth="1"/>
    <col min="10" max="10" width="14.453125" style="100" customWidth="1"/>
    <col min="11" max="11" width="0.54296875" style="100" customWidth="1"/>
    <col min="12" max="12" width="14.453125" style="100" customWidth="1"/>
    <col min="13" max="13" width="0.54296875" style="100" customWidth="1"/>
    <col min="14" max="14" width="14.453125" style="100" customWidth="1"/>
    <col min="15" max="15" width="0.81640625" style="100" customWidth="1"/>
    <col min="16" max="16" width="14.453125" style="100" customWidth="1"/>
    <col min="17" max="17" width="0.54296875" style="28" customWidth="1"/>
    <col min="18" max="26" width="9.1796875" style="28" customWidth="1"/>
    <col min="27" max="16384" width="9.1796875" style="28" hidden="1"/>
  </cols>
  <sheetData>
    <row r="1" spans="2:16" s="363" customFormat="1" ht="15" x14ac:dyDescent="0.3">
      <c r="B1" s="363" t="str">
        <f>Cover!C1</f>
        <v>ABC LIMITED</v>
      </c>
      <c r="H1" s="365"/>
      <c r="I1" s="365"/>
      <c r="J1" s="365"/>
      <c r="K1" s="365"/>
      <c r="L1" s="365"/>
      <c r="M1" s="365"/>
      <c r="N1" s="365"/>
      <c r="O1" s="365"/>
      <c r="P1" s="365"/>
    </row>
    <row r="2" spans="2:16" s="363" customFormat="1" ht="15" x14ac:dyDescent="0.3">
      <c r="B2" s="363" t="s">
        <v>6</v>
      </c>
      <c r="H2" s="365"/>
      <c r="I2" s="365"/>
      <c r="J2" s="365"/>
      <c r="K2" s="365"/>
      <c r="L2" s="365"/>
      <c r="M2" s="365"/>
      <c r="N2" s="365"/>
      <c r="O2" s="365"/>
      <c r="P2" s="365"/>
    </row>
    <row r="3" spans="2:16" s="383" customFormat="1" ht="15.5" thickBot="1" x14ac:dyDescent="0.35">
      <c r="B3" s="383" t="str">
        <f>Cover!C3</f>
        <v>FOR THE YEAR ENDED JUNE 30, 2023</v>
      </c>
      <c r="H3" s="385"/>
      <c r="I3" s="385"/>
      <c r="J3" s="385"/>
      <c r="K3" s="385"/>
      <c r="L3" s="385"/>
      <c r="M3" s="385"/>
      <c r="N3" s="385"/>
      <c r="O3" s="385"/>
      <c r="P3" s="385"/>
    </row>
    <row r="4" spans="2:16" ht="14.5" thickTop="1" x14ac:dyDescent="0.3"/>
    <row r="5" spans="2:16" ht="56" x14ac:dyDescent="0.3">
      <c r="F5" s="341" t="str">
        <f>SOFP!J5</f>
        <v>Note</v>
      </c>
      <c r="G5" s="341"/>
      <c r="H5" s="26" t="str">
        <f>SOFP!B35</f>
        <v>Issued, subscribed and paid up share capital</v>
      </c>
      <c r="J5" s="26" t="str">
        <f>SOFP!B36</f>
        <v>Share deposit money</v>
      </c>
      <c r="L5" s="26" t="str">
        <f>SOFP!B37</f>
        <v xml:space="preserve">Other reserves </v>
      </c>
      <c r="N5" s="26" t="str">
        <f>SOFP!B38</f>
        <v xml:space="preserve">Retained earnings </v>
      </c>
      <c r="P5" s="26" t="s">
        <v>384</v>
      </c>
    </row>
    <row r="6" spans="2:16" x14ac:dyDescent="0.3">
      <c r="F6" s="341"/>
      <c r="G6" s="341"/>
      <c r="H6" s="401" t="str">
        <f>"------------------------"&amp;SOFP!L6&amp;"------------------------"</f>
        <v>------------------------------------- Rupees -------------------------------------</v>
      </c>
      <c r="I6" s="402"/>
      <c r="J6" s="402"/>
      <c r="K6" s="402"/>
      <c r="L6" s="402"/>
      <c r="M6" s="402"/>
      <c r="N6" s="402"/>
      <c r="O6" s="402"/>
      <c r="P6" s="402"/>
    </row>
    <row r="7" spans="2:16" x14ac:dyDescent="0.3">
      <c r="F7" s="341"/>
      <c r="G7" s="341"/>
      <c r="H7" s="342"/>
      <c r="I7" s="342"/>
      <c r="J7" s="342"/>
      <c r="K7" s="342"/>
      <c r="L7" s="342"/>
      <c r="M7" s="343"/>
      <c r="N7" s="342"/>
      <c r="O7" s="342"/>
      <c r="P7" s="342"/>
    </row>
    <row r="8" spans="2:16" x14ac:dyDescent="0.3">
      <c r="B8" s="28" t="str">
        <f>("Balance as at " &amp;Cover!E7)</f>
        <v>Balance as at July 01, 2021</v>
      </c>
      <c r="F8" s="238"/>
      <c r="G8" s="238"/>
      <c r="H8" s="344"/>
      <c r="I8" s="344"/>
      <c r="J8" s="344"/>
      <c r="K8" s="344"/>
      <c r="L8" s="344"/>
      <c r="M8" s="344"/>
      <c r="N8" s="344"/>
      <c r="O8" s="344"/>
      <c r="P8" s="344">
        <f>SUM(H8:N8)</f>
        <v>0</v>
      </c>
    </row>
    <row r="9" spans="2:16" x14ac:dyDescent="0.3">
      <c r="F9" s="238"/>
      <c r="G9" s="238"/>
      <c r="H9" s="344"/>
      <c r="I9" s="344"/>
      <c r="J9" s="344"/>
      <c r="K9" s="344"/>
      <c r="L9" s="344"/>
      <c r="M9" s="344"/>
      <c r="N9" s="344"/>
      <c r="O9" s="344"/>
      <c r="P9" s="344"/>
    </row>
    <row r="10" spans="2:16" x14ac:dyDescent="0.3">
      <c r="B10" s="28" t="str">
        <f>IF(P10&gt;=0,"Profit for the year","Loss for the year")</f>
        <v>Profit for the year</v>
      </c>
      <c r="P10" s="344">
        <f>SUM(H10:N10)</f>
        <v>0</v>
      </c>
    </row>
    <row r="12" spans="2:16" x14ac:dyDescent="0.3">
      <c r="B12" s="28" t="str">
        <f>IF(P12&gt;=0,"Other comprehensive income for the year","Other comprehensive loss for the year")</f>
        <v>Other comprehensive income for the year</v>
      </c>
      <c r="N12" s="100">
        <f>SOCI!N26</f>
        <v>0</v>
      </c>
      <c r="P12" s="344">
        <f>SUM(H12:N12)</f>
        <v>0</v>
      </c>
    </row>
    <row r="14" spans="2:16" s="58" customFormat="1" ht="14.5" thickBot="1" x14ac:dyDescent="0.35">
      <c r="B14" s="58" t="str">
        <f>("Balance as at " &amp;Cover!G7)</f>
        <v>Balance as at June 30, 2022</v>
      </c>
      <c r="H14" s="239">
        <f>SUM(H8:H13)</f>
        <v>0</v>
      </c>
      <c r="I14" s="240"/>
      <c r="J14" s="239">
        <f>SUM(J8:J13)</f>
        <v>0</v>
      </c>
      <c r="K14" s="240"/>
      <c r="L14" s="239">
        <f>SUM(L8:L13)</f>
        <v>0</v>
      </c>
      <c r="M14" s="240"/>
      <c r="N14" s="239">
        <f>SUM(N8:N13)</f>
        <v>0</v>
      </c>
      <c r="O14" s="239"/>
      <c r="P14" s="239">
        <f>SUM(P8:P13)</f>
        <v>0</v>
      </c>
    </row>
    <row r="15" spans="2:16" ht="14.5" thickTop="1" x14ac:dyDescent="0.3"/>
    <row r="16" spans="2:16" x14ac:dyDescent="0.3">
      <c r="B16" s="28" t="str">
        <f>("Balance as at " &amp;Cover!E6)</f>
        <v>Balance as at July 01, 2022</v>
      </c>
      <c r="H16" s="100">
        <f>H14</f>
        <v>0</v>
      </c>
      <c r="J16" s="100">
        <f>J14</f>
        <v>0</v>
      </c>
      <c r="L16" s="100">
        <f>L14</f>
        <v>0</v>
      </c>
      <c r="N16" s="100">
        <f>N14</f>
        <v>0</v>
      </c>
      <c r="P16" s="344">
        <f>SUM(H16:N16)</f>
        <v>0</v>
      </c>
    </row>
    <row r="18" spans="2:20" x14ac:dyDescent="0.3">
      <c r="B18" s="28" t="str">
        <f>IF(P18&gt;=0,"Profit for the year","Loss for the year")</f>
        <v>Profit for the year</v>
      </c>
      <c r="N18" s="100">
        <f>SOPL!L32</f>
        <v>0</v>
      </c>
      <c r="P18" s="344">
        <f>SUM(H18:N18)</f>
        <v>0</v>
      </c>
    </row>
    <row r="20" spans="2:20" x14ac:dyDescent="0.3">
      <c r="B20" s="28" t="str">
        <f>IF(P20&gt;=0,"Other comprehensive income for the year","Other comprehensive loss for the year")</f>
        <v>Other comprehensive income for the year</v>
      </c>
      <c r="N20" s="100">
        <f>SOCI!L26</f>
        <v>0</v>
      </c>
      <c r="P20" s="344">
        <f>SUM(H20:N20)</f>
        <v>0</v>
      </c>
    </row>
    <row r="22" spans="2:20" s="58" customFormat="1" ht="14.5" thickBot="1" x14ac:dyDescent="0.35">
      <c r="B22" s="58" t="str">
        <f>("Balance as at " &amp;Cover!G6)</f>
        <v>Balance as at June 30, 2023</v>
      </c>
      <c r="H22" s="239">
        <f>SUM(H16:H21)</f>
        <v>0</v>
      </c>
      <c r="I22" s="240"/>
      <c r="J22" s="239">
        <f>SUM(J16:J21)</f>
        <v>0</v>
      </c>
      <c r="K22" s="240"/>
      <c r="L22" s="239">
        <f>SUM(L16:L21)</f>
        <v>0</v>
      </c>
      <c r="M22" s="240"/>
      <c r="N22" s="239">
        <f>SUM(N16:N21)</f>
        <v>0</v>
      </c>
      <c r="O22" s="239"/>
      <c r="P22" s="239">
        <f>SUM(P16:P21)</f>
        <v>0</v>
      </c>
    </row>
    <row r="23" spans="2:20" ht="14.5" thickTop="1" x14ac:dyDescent="0.3"/>
    <row r="24" spans="2:20" x14ac:dyDescent="0.3">
      <c r="B24" s="28" t="str">
        <f>SOFP!B63</f>
        <v>The annexed notes from 1 to 38 form an integral part of these financial statements.</v>
      </c>
    </row>
    <row r="30" spans="2:20" s="58" customFormat="1" x14ac:dyDescent="0.3">
      <c r="B30" s="194" t="str">
        <f>SOFP!B69</f>
        <v>Chief Executive</v>
      </c>
      <c r="C30" s="198"/>
      <c r="D30" s="198"/>
      <c r="E30" s="14"/>
      <c r="F30" s="14"/>
      <c r="G30" s="14"/>
      <c r="H30" s="14"/>
      <c r="I30" s="14"/>
      <c r="J30" s="14"/>
      <c r="K30" s="14"/>
      <c r="L30" s="14"/>
      <c r="M30" s="14"/>
      <c r="N30" s="194" t="str">
        <f>SOFP!L69</f>
        <v>Director</v>
      </c>
      <c r="O30" s="198"/>
      <c r="P30" s="198"/>
      <c r="Q30" s="240"/>
      <c r="R30" s="240"/>
      <c r="S30" s="240"/>
      <c r="T30" s="240"/>
    </row>
  </sheetData>
  <mergeCells count="3">
    <mergeCell ref="H6:P6"/>
    <mergeCell ref="B30:D30"/>
    <mergeCell ref="N30:P30"/>
  </mergeCells>
  <pageMargins left="0.70866141732283472" right="0.70866141732283472" top="0.74803149606299213" bottom="0.74803149606299213" header="0.31496062992125984" footer="0.31496062992125984"/>
  <pageSetup scale="85" orientation="landscape"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01"/>
  <sheetViews>
    <sheetView view="pageBreakPreview" topLeftCell="A176" zoomScaleNormal="100" zoomScaleSheetLayoutView="100" workbookViewId="0">
      <selection activeCell="D1" sqref="A1:XFD3"/>
    </sheetView>
  </sheetViews>
  <sheetFormatPr defaultColWidth="0" defaultRowHeight="14" x14ac:dyDescent="0.35"/>
  <cols>
    <col min="1" max="1" width="6.26953125" style="313" customWidth="1"/>
    <col min="2" max="2" width="14.453125" style="233" customWidth="1"/>
    <col min="3" max="3" width="0.54296875" style="233" customWidth="1"/>
    <col min="4" max="4" width="14.453125" style="233" customWidth="1"/>
    <col min="5" max="5" width="0.54296875" style="233" customWidth="1"/>
    <col min="6" max="6" width="14.453125" style="233" customWidth="1"/>
    <col min="7" max="7" width="0.54296875" style="233" customWidth="1"/>
    <col min="8" max="8" width="9.54296875" style="233" customWidth="1"/>
    <col min="9" max="9" width="0.54296875" style="233" customWidth="1"/>
    <col min="10" max="10" width="14.453125" style="233" customWidth="1"/>
    <col min="11" max="11" width="0.54296875" style="233" customWidth="1"/>
    <col min="12" max="12" width="14.453125" style="233" customWidth="1"/>
    <col min="13" max="13" width="0.54296875" style="233" customWidth="1"/>
    <col min="14" max="14" width="14.453125" style="233" customWidth="1"/>
    <col min="15" max="15" width="0.54296875" style="233" customWidth="1"/>
    <col min="16" max="16" width="14.7265625" style="314" customWidth="1"/>
    <col min="17" max="26" width="9.1796875" style="314" customWidth="1"/>
    <col min="27" max="28" width="0" style="314" hidden="1" customWidth="1"/>
    <col min="29" max="16384" width="9.1796875" style="314" hidden="1"/>
  </cols>
  <sheetData>
    <row r="1" spans="1:17" s="373" customFormat="1" ht="15" x14ac:dyDescent="0.35">
      <c r="A1" s="373" t="str">
        <f>Cover!C1</f>
        <v>ABC LIMITED</v>
      </c>
      <c r="O1" s="374"/>
      <c r="Q1" s="375"/>
    </row>
    <row r="2" spans="1:17" s="373" customFormat="1" ht="15" x14ac:dyDescent="0.35">
      <c r="A2" s="373" t="s">
        <v>7</v>
      </c>
      <c r="O2" s="374"/>
    </row>
    <row r="3" spans="1:17" s="393" customFormat="1" ht="15.5" thickBot="1" x14ac:dyDescent="0.4">
      <c r="A3" s="393" t="str">
        <f>Cover!C3</f>
        <v>FOR THE YEAR ENDED JUNE 30, 2023</v>
      </c>
      <c r="O3" s="394"/>
    </row>
    <row r="4" spans="1:17" ht="14.5" thickTop="1" x14ac:dyDescent="0.35"/>
    <row r="5" spans="1:17" s="236" customFormat="1" x14ac:dyDescent="0.35">
      <c r="A5" s="312" t="s">
        <v>220</v>
      </c>
      <c r="B5" s="267" t="s">
        <v>221</v>
      </c>
      <c r="C5" s="267"/>
      <c r="D5" s="267"/>
      <c r="E5" s="267"/>
      <c r="F5" s="267"/>
      <c r="G5" s="267"/>
      <c r="H5" s="267"/>
      <c r="I5" s="267"/>
      <c r="J5" s="267"/>
    </row>
    <row r="6" spans="1:17" s="236" customFormat="1" ht="5.15" customHeight="1" x14ac:dyDescent="0.35">
      <c r="A6" s="312"/>
      <c r="B6" s="267"/>
      <c r="C6" s="267"/>
      <c r="D6" s="267"/>
      <c r="E6" s="267"/>
      <c r="F6" s="267"/>
      <c r="G6" s="267"/>
      <c r="H6" s="267"/>
      <c r="I6" s="267"/>
      <c r="J6" s="267"/>
    </row>
    <row r="7" spans="1:17" x14ac:dyDescent="0.35">
      <c r="B7" s="222" t="s">
        <v>810</v>
      </c>
      <c r="C7" s="222"/>
      <c r="D7" s="222"/>
      <c r="E7" s="222"/>
      <c r="F7" s="222"/>
      <c r="G7" s="222"/>
      <c r="H7" s="222"/>
      <c r="I7" s="222"/>
      <c r="J7" s="222"/>
      <c r="K7" s="222"/>
      <c r="L7" s="222"/>
      <c r="M7" s="222"/>
      <c r="N7" s="222"/>
    </row>
    <row r="8" spans="1:17" x14ac:dyDescent="0.35">
      <c r="B8" s="222"/>
      <c r="C8" s="222"/>
      <c r="D8" s="222"/>
      <c r="E8" s="222"/>
      <c r="F8" s="222"/>
      <c r="G8" s="222"/>
      <c r="H8" s="222"/>
      <c r="I8" s="222"/>
      <c r="J8" s="222"/>
      <c r="K8" s="222"/>
      <c r="L8" s="222"/>
      <c r="M8" s="222"/>
      <c r="N8" s="222"/>
    </row>
    <row r="9" spans="1:17" x14ac:dyDescent="0.35">
      <c r="B9" s="222"/>
      <c r="C9" s="222"/>
      <c r="D9" s="222"/>
      <c r="E9" s="222"/>
      <c r="F9" s="222"/>
      <c r="G9" s="222"/>
      <c r="H9" s="222"/>
      <c r="I9" s="222"/>
      <c r="J9" s="222"/>
      <c r="K9" s="222"/>
      <c r="L9" s="222"/>
      <c r="M9" s="222"/>
      <c r="N9" s="222"/>
    </row>
    <row r="10" spans="1:17" x14ac:dyDescent="0.35">
      <c r="B10" s="222"/>
      <c r="C10" s="222"/>
      <c r="D10" s="222"/>
      <c r="E10" s="222"/>
      <c r="F10" s="222"/>
      <c r="G10" s="222"/>
      <c r="H10" s="222"/>
      <c r="I10" s="222"/>
      <c r="J10" s="222"/>
      <c r="K10" s="222"/>
      <c r="L10" s="222"/>
      <c r="M10" s="222"/>
      <c r="N10" s="222"/>
    </row>
    <row r="11" spans="1:17" x14ac:dyDescent="0.35">
      <c r="B11" s="222"/>
      <c r="C11" s="222"/>
      <c r="D11" s="222"/>
      <c r="E11" s="222"/>
      <c r="F11" s="222"/>
      <c r="G11" s="222"/>
      <c r="H11" s="222"/>
      <c r="I11" s="222"/>
      <c r="J11" s="222"/>
      <c r="K11" s="222"/>
      <c r="L11" s="222"/>
      <c r="M11" s="222"/>
      <c r="N11" s="222"/>
    </row>
    <row r="12" spans="1:17" ht="5.15" customHeight="1" x14ac:dyDescent="0.35"/>
    <row r="13" spans="1:17" x14ac:dyDescent="0.35">
      <c r="A13" s="313">
        <f>A5+1</f>
        <v>2</v>
      </c>
      <c r="B13" s="267" t="s">
        <v>222</v>
      </c>
    </row>
    <row r="14" spans="1:17" ht="5.15" customHeight="1" x14ac:dyDescent="0.35">
      <c r="B14" s="267"/>
    </row>
    <row r="15" spans="1:17" x14ac:dyDescent="0.35">
      <c r="A15" s="313">
        <f>A13+0.1</f>
        <v>2.1</v>
      </c>
      <c r="B15" s="267" t="s">
        <v>223</v>
      </c>
    </row>
    <row r="16" spans="1:17" ht="5.15" customHeight="1" x14ac:dyDescent="0.35">
      <c r="B16" s="267"/>
    </row>
    <row r="17" spans="1:14" ht="15" customHeight="1" x14ac:dyDescent="0.35">
      <c r="B17" s="273" t="str">
        <f>IF(Cover!E13="Cost","These financial statements have been prepared under the historical cost convention unless otherwise specifically stated, if any,","These financial statements have been prepared under the historical cost convention unless otherwise specifically stated, except for, "&amp;"certain items of property, plant and equipment, which are stated at revalued amount less accumulated depreciation and impairment losses, if any.")</f>
        <v>These financial statements have been prepared under the historical cost convention unless otherwise specifically stated, if any,</v>
      </c>
      <c r="C17" s="273"/>
      <c r="D17" s="273"/>
      <c r="E17" s="273"/>
      <c r="F17" s="273"/>
      <c r="G17" s="273"/>
      <c r="H17" s="273"/>
      <c r="I17" s="273"/>
      <c r="J17" s="273"/>
      <c r="K17" s="273"/>
      <c r="L17" s="273"/>
      <c r="M17" s="273"/>
      <c r="N17" s="273"/>
    </row>
    <row r="18" spans="1:14" x14ac:dyDescent="0.35">
      <c r="B18" s="273"/>
      <c r="C18" s="273"/>
      <c r="D18" s="273"/>
      <c r="E18" s="273"/>
      <c r="F18" s="273"/>
      <c r="G18" s="273"/>
      <c r="H18" s="273"/>
      <c r="I18" s="273"/>
      <c r="J18" s="273"/>
      <c r="K18" s="273"/>
      <c r="L18" s="273"/>
      <c r="M18" s="273"/>
      <c r="N18" s="273"/>
    </row>
    <row r="19" spans="1:14" ht="5.15" customHeight="1" x14ac:dyDescent="0.35"/>
    <row r="20" spans="1:14" x14ac:dyDescent="0.35">
      <c r="A20" s="313">
        <f>A15+0.1</f>
        <v>2.2000000000000002</v>
      </c>
      <c r="B20" s="267" t="s">
        <v>224</v>
      </c>
    </row>
    <row r="21" spans="1:14" ht="5.15" customHeight="1" x14ac:dyDescent="0.35">
      <c r="B21" s="267"/>
    </row>
    <row r="22" spans="1:14" x14ac:dyDescent="0.35">
      <c r="B22" s="222" t="s">
        <v>499</v>
      </c>
      <c r="C22" s="222"/>
      <c r="D22" s="222"/>
      <c r="E22" s="222"/>
      <c r="F22" s="222"/>
      <c r="G22" s="222"/>
      <c r="H22" s="222"/>
      <c r="I22" s="222"/>
      <c r="J22" s="222"/>
      <c r="K22" s="222"/>
      <c r="L22" s="222"/>
      <c r="M22" s="222"/>
      <c r="N22" s="222"/>
    </row>
    <row r="23" spans="1:14" x14ac:dyDescent="0.35">
      <c r="B23" s="222"/>
      <c r="C23" s="222"/>
      <c r="D23" s="222"/>
      <c r="E23" s="222"/>
      <c r="F23" s="222"/>
      <c r="G23" s="222"/>
      <c r="H23" s="222"/>
      <c r="I23" s="222"/>
      <c r="J23" s="222"/>
      <c r="K23" s="222"/>
      <c r="L23" s="222"/>
      <c r="M23" s="222"/>
      <c r="N23" s="222"/>
    </row>
    <row r="24" spans="1:14" ht="16.5" customHeight="1" x14ac:dyDescent="0.35">
      <c r="A24" s="315" t="s">
        <v>347</v>
      </c>
      <c r="B24" s="222" t="str">
        <f>VLOOKUP(Cover!$E$12,Cover!$I$14:$J$17,2,FALSE)</f>
        <v>Revised Accounting and Financial Reporting Standards for Small Sized Entities (Revised AFRS for SSEs) issued by the Institute of Chartered Accountants of Pakistan (ICAP) as notified under the Companies Act, 2017; and</v>
      </c>
      <c r="C24" s="222"/>
      <c r="D24" s="222"/>
      <c r="E24" s="222"/>
      <c r="F24" s="222"/>
      <c r="G24" s="222"/>
      <c r="H24" s="222"/>
      <c r="I24" s="222"/>
      <c r="J24" s="222"/>
      <c r="K24" s="222"/>
      <c r="L24" s="222"/>
      <c r="M24" s="222"/>
      <c r="N24" s="222"/>
    </row>
    <row r="25" spans="1:14" x14ac:dyDescent="0.35">
      <c r="B25" s="222"/>
      <c r="C25" s="222"/>
      <c r="D25" s="222"/>
      <c r="E25" s="222"/>
      <c r="F25" s="222"/>
      <c r="G25" s="222"/>
      <c r="H25" s="222"/>
      <c r="I25" s="222"/>
      <c r="J25" s="222"/>
      <c r="K25" s="222"/>
      <c r="L25" s="222"/>
      <c r="M25" s="222"/>
      <c r="N25" s="222"/>
    </row>
    <row r="26" spans="1:14" ht="16.5" customHeight="1" x14ac:dyDescent="0.35">
      <c r="A26" s="315" t="s">
        <v>347</v>
      </c>
      <c r="B26" s="222" t="s">
        <v>501</v>
      </c>
      <c r="C26" s="222"/>
      <c r="D26" s="222"/>
      <c r="E26" s="222"/>
      <c r="F26" s="222"/>
      <c r="G26" s="222"/>
      <c r="H26" s="222"/>
      <c r="I26" s="222"/>
      <c r="J26" s="222"/>
      <c r="K26" s="222"/>
      <c r="L26" s="222"/>
      <c r="M26" s="222"/>
      <c r="N26" s="222"/>
    </row>
    <row r="27" spans="1:14" x14ac:dyDescent="0.35">
      <c r="A27" s="315" t="s">
        <v>347</v>
      </c>
      <c r="B27" s="222" t="s">
        <v>669</v>
      </c>
      <c r="C27" s="222"/>
      <c r="D27" s="222"/>
      <c r="E27" s="222"/>
      <c r="F27" s="222"/>
      <c r="G27" s="222"/>
      <c r="H27" s="222"/>
      <c r="I27" s="222"/>
      <c r="J27" s="222"/>
      <c r="K27" s="222"/>
      <c r="L27" s="222"/>
      <c r="M27" s="222"/>
      <c r="N27" s="222"/>
    </row>
    <row r="28" spans="1:14" x14ac:dyDescent="0.35">
      <c r="B28" s="222" t="s">
        <v>500</v>
      </c>
      <c r="C28" s="222"/>
      <c r="D28" s="222"/>
      <c r="E28" s="222"/>
      <c r="F28" s="222"/>
      <c r="G28" s="222"/>
      <c r="H28" s="222"/>
      <c r="I28" s="222"/>
      <c r="J28" s="222"/>
      <c r="K28" s="222"/>
      <c r="L28" s="222"/>
      <c r="M28" s="222"/>
      <c r="N28" s="222"/>
    </row>
    <row r="29" spans="1:14" x14ac:dyDescent="0.35">
      <c r="B29" s="222"/>
      <c r="C29" s="222"/>
      <c r="D29" s="222"/>
      <c r="E29" s="222"/>
      <c r="F29" s="222"/>
      <c r="G29" s="222"/>
      <c r="H29" s="222"/>
      <c r="I29" s="222"/>
      <c r="J29" s="222"/>
      <c r="K29" s="222"/>
      <c r="L29" s="222"/>
      <c r="M29" s="222"/>
      <c r="N29" s="222"/>
    </row>
    <row r="30" spans="1:14" ht="10" customHeight="1" x14ac:dyDescent="0.35">
      <c r="B30" s="222"/>
      <c r="C30" s="222"/>
      <c r="D30" s="222"/>
      <c r="E30" s="222"/>
      <c r="F30" s="222"/>
      <c r="G30" s="222"/>
      <c r="H30" s="222"/>
      <c r="I30" s="222"/>
      <c r="J30" s="222"/>
      <c r="K30" s="222"/>
      <c r="L30" s="222"/>
      <c r="M30" s="222"/>
      <c r="N30" s="222"/>
    </row>
    <row r="31" spans="1:14" ht="5.15" customHeight="1" x14ac:dyDescent="0.35"/>
    <row r="32" spans="1:14" x14ac:dyDescent="0.35">
      <c r="A32" s="313">
        <f>A20+0.1</f>
        <v>2.3000000000000003</v>
      </c>
      <c r="B32" s="267" t="s">
        <v>225</v>
      </c>
    </row>
    <row r="33" spans="1:14" ht="5.15" customHeight="1" x14ac:dyDescent="0.35">
      <c r="B33" s="267"/>
    </row>
    <row r="34" spans="1:14" x14ac:dyDescent="0.35">
      <c r="B34" s="273" t="s">
        <v>301</v>
      </c>
      <c r="C34" s="222"/>
      <c r="D34" s="222"/>
      <c r="E34" s="222"/>
      <c r="F34" s="222"/>
      <c r="G34" s="222"/>
      <c r="H34" s="222"/>
      <c r="I34" s="222"/>
      <c r="J34" s="222"/>
      <c r="K34" s="222"/>
      <c r="L34" s="222"/>
      <c r="M34" s="222"/>
      <c r="N34" s="222"/>
    </row>
    <row r="35" spans="1:14" ht="5.15" customHeight="1" x14ac:dyDescent="0.35"/>
    <row r="36" spans="1:14" x14ac:dyDescent="0.35">
      <c r="A36" s="313">
        <f>A13+1</f>
        <v>3</v>
      </c>
      <c r="B36" s="267" t="s">
        <v>639</v>
      </c>
    </row>
    <row r="37" spans="1:14" ht="5.15" customHeight="1" x14ac:dyDescent="0.35">
      <c r="B37" s="267"/>
    </row>
    <row r="38" spans="1:14" x14ac:dyDescent="0.35">
      <c r="B38" s="222" t="s">
        <v>640</v>
      </c>
      <c r="C38" s="222"/>
      <c r="D38" s="222"/>
      <c r="E38" s="222"/>
      <c r="F38" s="222"/>
      <c r="G38" s="222"/>
      <c r="H38" s="222"/>
      <c r="I38" s="222"/>
      <c r="J38" s="222"/>
      <c r="K38" s="222"/>
      <c r="L38" s="222"/>
      <c r="M38" s="222"/>
      <c r="N38" s="222"/>
    </row>
    <row r="39" spans="1:14" x14ac:dyDescent="0.35">
      <c r="B39" s="222"/>
      <c r="C39" s="222"/>
      <c r="D39" s="222"/>
      <c r="E39" s="222"/>
      <c r="F39" s="222"/>
      <c r="G39" s="222"/>
      <c r="H39" s="222"/>
      <c r="I39" s="222"/>
      <c r="J39" s="222"/>
      <c r="K39" s="222"/>
      <c r="L39" s="222"/>
      <c r="M39" s="222"/>
      <c r="N39" s="222"/>
    </row>
    <row r="40" spans="1:14" x14ac:dyDescent="0.35">
      <c r="B40" s="222"/>
      <c r="C40" s="222"/>
      <c r="D40" s="222"/>
      <c r="E40" s="222"/>
      <c r="F40" s="222"/>
      <c r="G40" s="222"/>
      <c r="H40" s="222"/>
      <c r="I40" s="222"/>
      <c r="J40" s="222"/>
      <c r="K40" s="222"/>
      <c r="L40" s="222"/>
      <c r="M40" s="222"/>
      <c r="N40" s="222"/>
    </row>
    <row r="41" spans="1:14" x14ac:dyDescent="0.35">
      <c r="B41" s="222"/>
      <c r="C41" s="222"/>
      <c r="D41" s="222"/>
      <c r="E41" s="222"/>
      <c r="F41" s="222"/>
      <c r="G41" s="222"/>
      <c r="H41" s="222"/>
      <c r="I41" s="222"/>
      <c r="J41" s="222"/>
      <c r="K41" s="222"/>
      <c r="L41" s="222"/>
      <c r="M41" s="222"/>
      <c r="N41" s="222"/>
    </row>
    <row r="42" spans="1:14" x14ac:dyDescent="0.35">
      <c r="B42" s="222"/>
      <c r="C42" s="222"/>
      <c r="D42" s="222"/>
      <c r="E42" s="222"/>
      <c r="F42" s="222"/>
      <c r="G42" s="222"/>
      <c r="H42" s="222"/>
      <c r="I42" s="222"/>
      <c r="J42" s="222"/>
      <c r="K42" s="222"/>
      <c r="L42" s="316"/>
      <c r="M42" s="317"/>
      <c r="N42" s="318"/>
    </row>
    <row r="43" spans="1:14" ht="7" customHeight="1" x14ac:dyDescent="0.35">
      <c r="B43" s="222"/>
      <c r="C43" s="222"/>
      <c r="D43" s="222"/>
      <c r="E43" s="222"/>
      <c r="F43" s="222"/>
      <c r="G43" s="222"/>
      <c r="H43" s="222"/>
      <c r="I43" s="222"/>
      <c r="J43" s="222"/>
      <c r="K43" s="222"/>
      <c r="L43" s="222"/>
      <c r="M43" s="222"/>
      <c r="N43" s="222"/>
    </row>
    <row r="44" spans="1:14" ht="3" customHeight="1" x14ac:dyDescent="0.35">
      <c r="B44" s="319"/>
      <c r="C44" s="319"/>
      <c r="D44" s="319"/>
      <c r="E44" s="319"/>
      <c r="F44" s="319"/>
      <c r="G44" s="319"/>
      <c r="H44" s="319"/>
      <c r="I44" s="319"/>
      <c r="J44" s="319"/>
      <c r="K44" s="319"/>
      <c r="L44" s="319"/>
      <c r="M44" s="319"/>
      <c r="N44" s="319"/>
    </row>
    <row r="45" spans="1:14" x14ac:dyDescent="0.35">
      <c r="A45" s="315" t="s">
        <v>347</v>
      </c>
      <c r="B45" s="222" t="str">
        <f>"assumptions and estimates used in determining the recoverable amount, residual values and useful lives of "&amp;LOWER(SOFP!B10)&amp;"(Note "&amp;TEXT(SOFP!J10,"##")&amp;");"</f>
        <v>assumptions and estimates used in determining the recoverable amount, residual values and useful lives of property, plant and equipment (Note 5);</v>
      </c>
      <c r="C45" s="222"/>
      <c r="D45" s="222"/>
      <c r="E45" s="222"/>
      <c r="F45" s="222"/>
      <c r="G45" s="222"/>
      <c r="H45" s="222"/>
      <c r="I45" s="222"/>
      <c r="J45" s="222"/>
      <c r="K45" s="222"/>
      <c r="L45" s="222"/>
      <c r="M45" s="222"/>
      <c r="N45" s="222"/>
    </row>
    <row r="46" spans="1:14" x14ac:dyDescent="0.35">
      <c r="B46" s="222"/>
      <c r="C46" s="222"/>
      <c r="D46" s="222"/>
      <c r="E46" s="222"/>
      <c r="F46" s="222"/>
      <c r="G46" s="222"/>
      <c r="H46" s="222"/>
      <c r="I46" s="222"/>
      <c r="J46" s="222"/>
      <c r="K46" s="222"/>
      <c r="L46" s="222"/>
      <c r="M46" s="222"/>
      <c r="N46" s="222"/>
    </row>
    <row r="47" spans="1:14" ht="3" customHeight="1" x14ac:dyDescent="0.35">
      <c r="B47" s="319"/>
      <c r="C47" s="319"/>
      <c r="D47" s="319"/>
      <c r="E47" s="319"/>
      <c r="F47" s="319"/>
      <c r="G47" s="319"/>
      <c r="H47" s="319"/>
      <c r="I47" s="319"/>
      <c r="J47" s="319"/>
      <c r="K47" s="319"/>
      <c r="L47" s="319"/>
      <c r="M47" s="319"/>
      <c r="N47" s="319"/>
    </row>
    <row r="48" spans="1:14" ht="3" customHeight="1" x14ac:dyDescent="0.35">
      <c r="B48" s="319"/>
      <c r="C48" s="319"/>
      <c r="D48" s="319"/>
      <c r="E48" s="319"/>
      <c r="F48" s="319"/>
      <c r="G48" s="319"/>
      <c r="H48" s="319"/>
      <c r="I48" s="319"/>
      <c r="J48" s="319"/>
      <c r="K48" s="319"/>
      <c r="L48" s="319"/>
      <c r="M48" s="319"/>
      <c r="N48" s="319"/>
    </row>
    <row r="49" spans="1:14" x14ac:dyDescent="0.35">
      <c r="A49" s="315" t="s">
        <v>347</v>
      </c>
      <c r="B49" s="276" t="str">
        <f>"assumptions and estimates used in deriving fair value of "&amp;LOWER(SOFP!B11)&amp;"(Note "&amp;TEXT(SOFP!J11,"##")&amp;");"</f>
        <v>assumptions and estimates used in deriving fair value of investment properties (Note 6);</v>
      </c>
      <c r="C49" s="319"/>
      <c r="D49" s="319"/>
      <c r="E49" s="319"/>
      <c r="F49" s="319"/>
      <c r="G49" s="319"/>
      <c r="H49" s="319"/>
      <c r="I49" s="319"/>
      <c r="J49" s="319"/>
      <c r="K49" s="319"/>
      <c r="L49" s="319"/>
      <c r="M49" s="319"/>
      <c r="N49" s="319"/>
    </row>
    <row r="50" spans="1:14" ht="3" customHeight="1" x14ac:dyDescent="0.35">
      <c r="B50" s="319"/>
      <c r="C50" s="319"/>
      <c r="D50" s="319"/>
      <c r="E50" s="319"/>
      <c r="F50" s="319"/>
      <c r="G50" s="319"/>
      <c r="H50" s="319"/>
      <c r="I50" s="319"/>
      <c r="J50" s="319"/>
      <c r="K50" s="319"/>
      <c r="L50" s="319"/>
      <c r="M50" s="319"/>
      <c r="N50" s="319"/>
    </row>
    <row r="51" spans="1:14" x14ac:dyDescent="0.35">
      <c r="A51" s="315" t="s">
        <v>347</v>
      </c>
      <c r="B51" s="222" t="str">
        <f>"assumptions and estimates used in determining the recoverable amount, residual values and useful lives of "&amp;LOWER(SOFP!B12)&amp;"(Note "&amp;TEXT(SOFP!J12,"##")&amp;");"</f>
        <v>assumptions and estimates used in determining the recoverable amount, residual values and useful lives of intangible assets (Note 7);</v>
      </c>
      <c r="C51" s="222"/>
      <c r="D51" s="222"/>
      <c r="E51" s="222"/>
      <c r="F51" s="222"/>
      <c r="G51" s="222"/>
      <c r="H51" s="222"/>
      <c r="I51" s="222"/>
      <c r="J51" s="222"/>
      <c r="K51" s="222"/>
      <c r="L51" s="222"/>
      <c r="M51" s="222"/>
      <c r="N51" s="222"/>
    </row>
    <row r="52" spans="1:14" x14ac:dyDescent="0.35">
      <c r="A52" s="315"/>
      <c r="B52" s="222"/>
      <c r="C52" s="222"/>
      <c r="D52" s="222"/>
      <c r="E52" s="222"/>
      <c r="F52" s="222"/>
      <c r="G52" s="222"/>
      <c r="H52" s="222"/>
      <c r="I52" s="222"/>
      <c r="J52" s="222"/>
      <c r="K52" s="222"/>
      <c r="L52" s="222"/>
      <c r="M52" s="222"/>
      <c r="N52" s="222"/>
    </row>
    <row r="53" spans="1:14" ht="3" customHeight="1" x14ac:dyDescent="0.35">
      <c r="B53" s="319"/>
      <c r="C53" s="319"/>
      <c r="D53" s="319"/>
      <c r="E53" s="319"/>
      <c r="F53" s="319"/>
      <c r="G53" s="319"/>
      <c r="H53" s="319"/>
      <c r="I53" s="319"/>
      <c r="J53" s="319"/>
      <c r="K53" s="319"/>
      <c r="L53" s="319"/>
      <c r="M53" s="319"/>
      <c r="N53" s="319"/>
    </row>
    <row r="54" spans="1:14" x14ac:dyDescent="0.35">
      <c r="A54" s="315" t="s">
        <v>347</v>
      </c>
      <c r="B54" s="222" t="str">
        <f>LOWER(SOFP!B14)&amp;" is recognised only to the extent that it is probable that future taxable profits will be available against which the assets may be utilised"&amp;" (Note "&amp;TEXT(SOFP!J14,"##")&amp;");"</f>
        <v>deferred tax assets  is recognised only to the extent that it is probable that future taxable profits will be available against which the assets may be utilised (Note 9);</v>
      </c>
      <c r="C54" s="222"/>
      <c r="D54" s="222"/>
      <c r="E54" s="222"/>
      <c r="F54" s="222"/>
      <c r="G54" s="222"/>
      <c r="H54" s="222"/>
      <c r="I54" s="222"/>
      <c r="J54" s="222"/>
      <c r="K54" s="222"/>
      <c r="L54" s="222"/>
      <c r="M54" s="222"/>
      <c r="N54" s="222"/>
    </row>
    <row r="55" spans="1:14" x14ac:dyDescent="0.35">
      <c r="B55" s="222"/>
      <c r="C55" s="222"/>
      <c r="D55" s="222"/>
      <c r="E55" s="222"/>
      <c r="F55" s="222"/>
      <c r="G55" s="222"/>
      <c r="H55" s="222"/>
      <c r="I55" s="222"/>
      <c r="J55" s="222"/>
      <c r="K55" s="222"/>
      <c r="L55" s="222"/>
      <c r="M55" s="222"/>
      <c r="N55" s="222"/>
    </row>
    <row r="56" spans="1:14" ht="3" customHeight="1" x14ac:dyDescent="0.35">
      <c r="B56" s="319"/>
      <c r="C56" s="319"/>
      <c r="D56" s="319"/>
      <c r="E56" s="319"/>
      <c r="F56" s="319"/>
      <c r="G56" s="319"/>
      <c r="H56" s="319"/>
      <c r="I56" s="319"/>
      <c r="J56" s="319"/>
      <c r="K56" s="319"/>
      <c r="L56" s="319"/>
      <c r="M56" s="319"/>
      <c r="N56" s="319"/>
    </row>
    <row r="57" spans="1:14" x14ac:dyDescent="0.35">
      <c r="A57" s="315" t="s">
        <v>347</v>
      </c>
      <c r="B57" s="222" t="str">
        <f>"assumptions and estimates used in determining the provision for slow moving and obsolete "&amp;LOWER(SOFP!B19)&amp;"(Note "&amp;TEXT(SOFP!J19,"##")&amp;");"</f>
        <v>assumptions and estimates used in determining the provision for slow moving and obsolete stores, spares and loose tools (Note 10);</v>
      </c>
      <c r="C57" s="222"/>
      <c r="D57" s="222"/>
      <c r="E57" s="222"/>
      <c r="F57" s="222"/>
      <c r="G57" s="222"/>
      <c r="H57" s="222"/>
      <c r="I57" s="222"/>
      <c r="J57" s="222"/>
      <c r="K57" s="222"/>
      <c r="L57" s="222"/>
      <c r="M57" s="222"/>
      <c r="N57" s="222"/>
    </row>
    <row r="58" spans="1:14" x14ac:dyDescent="0.35">
      <c r="A58" s="315"/>
      <c r="B58" s="222"/>
      <c r="C58" s="222"/>
      <c r="D58" s="222"/>
      <c r="E58" s="222"/>
      <c r="F58" s="222"/>
      <c r="G58" s="222"/>
      <c r="H58" s="222"/>
      <c r="I58" s="222"/>
      <c r="J58" s="222"/>
      <c r="K58" s="222"/>
      <c r="L58" s="222"/>
      <c r="M58" s="222"/>
      <c r="N58" s="222"/>
    </row>
    <row r="59" spans="1:14" ht="3" customHeight="1" x14ac:dyDescent="0.35">
      <c r="B59" s="319"/>
      <c r="C59" s="319"/>
      <c r="D59" s="319"/>
      <c r="E59" s="319"/>
      <c r="F59" s="319"/>
      <c r="G59" s="319"/>
      <c r="H59" s="319"/>
      <c r="I59" s="319"/>
      <c r="J59" s="319"/>
      <c r="K59" s="319"/>
      <c r="L59" s="319"/>
      <c r="M59" s="319"/>
      <c r="N59" s="319"/>
    </row>
    <row r="60" spans="1:14" x14ac:dyDescent="0.35">
      <c r="A60" s="315" t="s">
        <v>347</v>
      </c>
      <c r="B60" s="276" t="str">
        <f>"assumptions and estimates used in writing down items of "&amp;LOWER(SOFP!B20)&amp;" to their net realisable value "&amp;"(Note "&amp;TEXT(SOFP!J20,"##")&amp;");"</f>
        <v>assumptions and estimates used in writing down items of inventories  to their net realisable value (Note 11);</v>
      </c>
      <c r="C60" s="319"/>
      <c r="D60" s="319"/>
      <c r="E60" s="319"/>
      <c r="F60" s="319"/>
      <c r="G60" s="319"/>
      <c r="H60" s="319"/>
      <c r="I60" s="319"/>
      <c r="J60" s="319"/>
      <c r="K60" s="319"/>
      <c r="L60" s="319"/>
      <c r="M60" s="319"/>
      <c r="N60" s="319"/>
    </row>
    <row r="61" spans="1:14" ht="3" customHeight="1" x14ac:dyDescent="0.35">
      <c r="B61" s="319"/>
      <c r="C61" s="319"/>
      <c r="D61" s="319"/>
      <c r="E61" s="319"/>
      <c r="F61" s="319"/>
      <c r="G61" s="319"/>
      <c r="H61" s="319"/>
      <c r="I61" s="319"/>
      <c r="J61" s="319"/>
      <c r="K61" s="319"/>
      <c r="L61" s="319"/>
      <c r="M61" s="319"/>
      <c r="N61" s="319"/>
    </row>
    <row r="62" spans="1:14" x14ac:dyDescent="0.35">
      <c r="A62" s="315" t="s">
        <v>347</v>
      </c>
      <c r="B62" s="276" t="str">
        <f>"assumptions and estimates used in calculating the provision for impairment for "&amp;LOWER(SOFP!B21)&amp;"(Note "&amp;TEXT(SOFP!J21,"##")&amp;");"</f>
        <v>assumptions and estimates used in calculating the provision for impairment for trade receivables - net (Note 12);</v>
      </c>
      <c r="C62" s="319"/>
      <c r="D62" s="319"/>
      <c r="E62" s="319"/>
      <c r="F62" s="319"/>
      <c r="G62" s="319"/>
      <c r="H62" s="319"/>
      <c r="I62" s="319"/>
      <c r="J62" s="319"/>
      <c r="K62" s="319"/>
      <c r="L62" s="319"/>
      <c r="M62" s="319"/>
      <c r="N62" s="319"/>
    </row>
    <row r="63" spans="1:14" ht="3" customHeight="1" x14ac:dyDescent="0.35">
      <c r="B63" s="319"/>
      <c r="C63" s="319"/>
      <c r="D63" s="319"/>
      <c r="E63" s="319"/>
      <c r="F63" s="319"/>
      <c r="G63" s="319"/>
      <c r="H63" s="319"/>
      <c r="I63" s="319"/>
      <c r="J63" s="319"/>
      <c r="K63" s="319"/>
      <c r="L63" s="319"/>
      <c r="M63" s="319"/>
      <c r="N63" s="319"/>
    </row>
    <row r="64" spans="1:14" x14ac:dyDescent="0.35">
      <c r="A64" s="315" t="s">
        <v>347</v>
      </c>
      <c r="B64" s="222" t="str">
        <f>"assumptions and estimates used in calculating the provision for impairment for "&amp;LOWER(SOFP!B22)&amp;"(Note "&amp;TEXT(SOFP!J22,"##")&amp;");"</f>
        <v>assumptions and estimates used in calculating the provision for impairment for advances, deposits and prepayments (Note 13);</v>
      </c>
      <c r="C64" s="222"/>
      <c r="D64" s="222"/>
      <c r="E64" s="222"/>
      <c r="F64" s="222"/>
      <c r="G64" s="222"/>
      <c r="H64" s="222"/>
      <c r="I64" s="222"/>
      <c r="J64" s="222"/>
      <c r="K64" s="222"/>
      <c r="L64" s="222"/>
      <c r="M64" s="222"/>
      <c r="N64" s="222"/>
    </row>
    <row r="65" spans="1:28" x14ac:dyDescent="0.35">
      <c r="A65" s="315"/>
      <c r="B65" s="222"/>
      <c r="C65" s="222"/>
      <c r="D65" s="222"/>
      <c r="E65" s="222"/>
      <c r="F65" s="222"/>
      <c r="G65" s="222"/>
      <c r="H65" s="222"/>
      <c r="I65" s="222"/>
      <c r="J65" s="222"/>
      <c r="K65" s="222"/>
      <c r="L65" s="222"/>
      <c r="M65" s="222"/>
      <c r="N65" s="222"/>
    </row>
    <row r="66" spans="1:28" ht="3" customHeight="1" x14ac:dyDescent="0.35">
      <c r="B66" s="319"/>
      <c r="C66" s="319"/>
      <c r="D66" s="319"/>
      <c r="E66" s="319"/>
      <c r="F66" s="319"/>
      <c r="G66" s="319"/>
      <c r="H66" s="319"/>
      <c r="I66" s="319"/>
      <c r="J66" s="319"/>
      <c r="K66" s="319"/>
      <c r="L66" s="319"/>
      <c r="M66" s="319"/>
      <c r="N66" s="319"/>
    </row>
    <row r="67" spans="1:28" ht="3" customHeight="1" x14ac:dyDescent="0.35">
      <c r="B67" s="319"/>
      <c r="C67" s="319"/>
      <c r="D67" s="319"/>
      <c r="E67" s="319"/>
      <c r="F67" s="319"/>
      <c r="G67" s="319"/>
      <c r="H67" s="319"/>
      <c r="I67" s="319"/>
      <c r="J67" s="319"/>
      <c r="K67" s="319"/>
      <c r="L67" s="319"/>
      <c r="M67" s="319"/>
      <c r="N67" s="319"/>
    </row>
    <row r="68" spans="1:28" x14ac:dyDescent="0.35">
      <c r="A68" s="315" t="s">
        <v>347</v>
      </c>
      <c r="B68" s="276" t="str">
        <f>"assumptions and estimates used in disclosure and assessment of provision for "&amp;LOWER(SOFP!B57)&amp;"(Note "&amp;TEXT(SOFP!J57,"##")&amp;");"</f>
        <v>assumptions and estimates used in disclosure and assessment of provision for contingencies and commitments (Note 22);</v>
      </c>
      <c r="C68" s="319"/>
      <c r="D68" s="319"/>
      <c r="E68" s="319"/>
      <c r="F68" s="319"/>
      <c r="G68" s="319"/>
      <c r="H68" s="319"/>
      <c r="I68" s="319"/>
      <c r="J68" s="319"/>
      <c r="K68" s="319"/>
      <c r="L68" s="319"/>
      <c r="M68" s="319"/>
      <c r="N68" s="319"/>
    </row>
    <row r="69" spans="1:28" ht="3" customHeight="1" x14ac:dyDescent="0.35">
      <c r="B69" s="319"/>
      <c r="C69" s="319"/>
      <c r="D69" s="319"/>
      <c r="E69" s="319"/>
      <c r="F69" s="319"/>
      <c r="G69" s="319"/>
      <c r="H69" s="319"/>
      <c r="I69" s="319"/>
      <c r="J69" s="319"/>
      <c r="K69" s="319"/>
      <c r="L69" s="319"/>
      <c r="M69" s="319"/>
      <c r="N69" s="319"/>
    </row>
    <row r="70" spans="1:28" x14ac:dyDescent="0.35">
      <c r="A70" s="315" t="s">
        <v>347</v>
      </c>
      <c r="B70" s="222" t="str">
        <f>"assumptions and estimates used in determining current income under relevant tax law and the decisions of appellate authorities on certain cases issued in the past "&amp;"(Note "&amp;TEXT(SOPL!J30,"##")&amp;");"</f>
        <v>assumptions and estimates used in determining current income under relevant tax law and the decisions of appellate authorities on certain cases issued in the past (Note 31);</v>
      </c>
      <c r="C70" s="222"/>
      <c r="D70" s="222"/>
      <c r="E70" s="222"/>
      <c r="F70" s="222"/>
      <c r="G70" s="222"/>
      <c r="H70" s="222"/>
      <c r="I70" s="222"/>
      <c r="J70" s="222"/>
      <c r="K70" s="222"/>
      <c r="L70" s="222"/>
      <c r="M70" s="222"/>
      <c r="N70" s="222"/>
    </row>
    <row r="71" spans="1:28" x14ac:dyDescent="0.35">
      <c r="B71" s="222"/>
      <c r="C71" s="222"/>
      <c r="D71" s="222"/>
      <c r="E71" s="222"/>
      <c r="F71" s="222"/>
      <c r="G71" s="222"/>
      <c r="H71" s="222"/>
      <c r="I71" s="222"/>
      <c r="J71" s="222"/>
      <c r="K71" s="222"/>
      <c r="L71" s="222"/>
      <c r="M71" s="222"/>
      <c r="N71" s="222"/>
    </row>
    <row r="72" spans="1:28" ht="3" customHeight="1" x14ac:dyDescent="0.35">
      <c r="B72" s="319"/>
      <c r="C72" s="319"/>
      <c r="D72" s="319"/>
      <c r="E72" s="319"/>
      <c r="F72" s="319"/>
      <c r="G72" s="319"/>
      <c r="H72" s="319"/>
      <c r="I72" s="319"/>
      <c r="J72" s="319"/>
      <c r="K72" s="319"/>
      <c r="L72" s="319"/>
      <c r="M72" s="319"/>
      <c r="N72" s="319"/>
    </row>
    <row r="73" spans="1:28" s="321" customFormat="1" x14ac:dyDescent="0.35">
      <c r="A73" s="313">
        <f>A36+1</f>
        <v>4</v>
      </c>
      <c r="B73" s="320" t="s">
        <v>226</v>
      </c>
      <c r="C73" s="276"/>
      <c r="D73" s="276"/>
      <c r="E73" s="276"/>
      <c r="F73" s="276"/>
      <c r="G73" s="276"/>
      <c r="H73" s="276"/>
      <c r="I73" s="276"/>
      <c r="J73" s="276"/>
      <c r="K73" s="276"/>
      <c r="L73" s="276"/>
      <c r="M73" s="276"/>
      <c r="N73" s="276"/>
      <c r="O73" s="276"/>
    </row>
    <row r="74" spans="1:28" ht="5.15" customHeight="1" x14ac:dyDescent="0.35"/>
    <row r="75" spans="1:28" x14ac:dyDescent="0.35">
      <c r="A75" s="313">
        <f>A73+0.1</f>
        <v>4.0999999999999996</v>
      </c>
      <c r="B75" s="267" t="str">
        <f>SOFP!B10</f>
        <v xml:space="preserve">Property, plant and equipment </v>
      </c>
    </row>
    <row r="76" spans="1:28" ht="3" customHeight="1" x14ac:dyDescent="0.35"/>
    <row r="77" spans="1:28" ht="16.5" customHeight="1" x14ac:dyDescent="0.35">
      <c r="B77" s="273" t="str">
        <f>B75&amp;" are stated at cost less accumulated depreciation and impairment losses, if any, Cost includes expenditures directly attributable to the acquisition of an asset."</f>
        <v>Property, plant and equipment  are stated at cost less accumulated depreciation and impairment losses, if any, Cost includes expenditures directly attributable to the acquisition of an asset.</v>
      </c>
      <c r="C77" s="222"/>
      <c r="D77" s="222"/>
      <c r="E77" s="222"/>
      <c r="F77" s="222"/>
      <c r="G77" s="222"/>
      <c r="H77" s="222"/>
      <c r="I77" s="222"/>
      <c r="J77" s="222"/>
      <c r="K77" s="222"/>
      <c r="L77" s="222"/>
      <c r="M77" s="222"/>
      <c r="N77" s="222"/>
      <c r="R77" s="319"/>
      <c r="S77" s="319"/>
      <c r="T77" s="319"/>
      <c r="U77" s="319"/>
      <c r="V77" s="319"/>
      <c r="W77" s="319"/>
      <c r="X77" s="319"/>
      <c r="Y77" s="319"/>
      <c r="Z77" s="319"/>
      <c r="AA77" s="319"/>
      <c r="AB77" s="319"/>
    </row>
    <row r="78" spans="1:28" x14ac:dyDescent="0.35">
      <c r="B78" s="222"/>
      <c r="C78" s="222"/>
      <c r="D78" s="222"/>
      <c r="E78" s="222"/>
      <c r="F78" s="222"/>
      <c r="G78" s="222"/>
      <c r="H78" s="222"/>
      <c r="I78" s="222"/>
      <c r="J78" s="222"/>
      <c r="K78" s="222"/>
      <c r="L78" s="222"/>
      <c r="M78" s="222"/>
      <c r="N78" s="222"/>
      <c r="R78" s="319"/>
      <c r="S78" s="319"/>
      <c r="T78" s="319"/>
      <c r="U78" s="319"/>
      <c r="V78" s="319"/>
      <c r="W78" s="319"/>
      <c r="X78" s="319"/>
      <c r="Y78" s="319"/>
      <c r="Z78" s="319"/>
      <c r="AA78" s="319"/>
      <c r="AB78" s="319"/>
    </row>
    <row r="79" spans="1:28" ht="3" customHeight="1" x14ac:dyDescent="0.35">
      <c r="B79" s="319"/>
      <c r="C79" s="319"/>
      <c r="D79" s="319"/>
      <c r="E79" s="319"/>
      <c r="F79" s="319"/>
      <c r="G79" s="319"/>
      <c r="H79" s="319"/>
      <c r="I79" s="319"/>
      <c r="J79" s="319"/>
      <c r="K79" s="319"/>
      <c r="L79" s="319"/>
      <c r="M79" s="319"/>
      <c r="N79" s="319"/>
      <c r="R79" s="319"/>
      <c r="S79" s="319"/>
      <c r="T79" s="319"/>
      <c r="U79" s="319"/>
      <c r="V79" s="319"/>
      <c r="W79" s="319"/>
      <c r="X79" s="319"/>
      <c r="Y79" s="319"/>
      <c r="Z79" s="319"/>
      <c r="AA79" s="319"/>
      <c r="AB79" s="319"/>
    </row>
    <row r="80" spans="1:28" x14ac:dyDescent="0.35">
      <c r="B80" s="273" t="s">
        <v>393</v>
      </c>
      <c r="C80" s="222"/>
      <c r="D80" s="222"/>
      <c r="E80" s="222"/>
      <c r="F80" s="222"/>
      <c r="G80" s="222"/>
      <c r="H80" s="222"/>
      <c r="I80" s="222"/>
      <c r="J80" s="222"/>
      <c r="K80" s="222"/>
      <c r="L80" s="222"/>
      <c r="M80" s="222"/>
      <c r="N80" s="222"/>
    </row>
    <row r="81" spans="2:14" ht="3" customHeight="1" x14ac:dyDescent="0.35">
      <c r="B81" s="319"/>
      <c r="C81" s="319"/>
      <c r="D81" s="319"/>
      <c r="E81" s="319"/>
      <c r="F81" s="319"/>
      <c r="G81" s="319"/>
      <c r="H81" s="319"/>
      <c r="I81" s="319"/>
      <c r="J81" s="319"/>
      <c r="K81" s="319"/>
      <c r="L81" s="319"/>
      <c r="M81" s="319"/>
      <c r="N81" s="319"/>
    </row>
    <row r="82" spans="2:14" x14ac:dyDescent="0.35">
      <c r="B82" s="273" t="str">
        <f>"Depreciation on "&amp;LOWER(B75)&amp;" is charged on reducing balance method at the rates stated in Note "&amp;FAS!A5&amp;" to these financial statements. Depreciation charge commences from the month in which asset is available for use and continues until the month of disposal."</f>
        <v>Depreciation on property, plant and equipment  is charged on reducing balance method at the rates stated in Note 5 to these financial statements. Depreciation charge commences from the month in which asset is available for use and continues until the month of disposal.</v>
      </c>
      <c r="C82" s="222"/>
      <c r="D82" s="222"/>
      <c r="E82" s="222"/>
      <c r="F82" s="222"/>
      <c r="G82" s="222"/>
      <c r="H82" s="222"/>
      <c r="I82" s="222"/>
      <c r="J82" s="222"/>
      <c r="K82" s="222"/>
      <c r="L82" s="222"/>
      <c r="M82" s="222"/>
      <c r="N82" s="222"/>
    </row>
    <row r="83" spans="2:14" x14ac:dyDescent="0.35">
      <c r="B83" s="222"/>
      <c r="C83" s="222"/>
      <c r="D83" s="222"/>
      <c r="E83" s="222"/>
      <c r="F83" s="222"/>
      <c r="G83" s="222"/>
      <c r="H83" s="222"/>
      <c r="I83" s="222"/>
      <c r="J83" s="222"/>
      <c r="K83" s="222"/>
      <c r="L83" s="222"/>
      <c r="M83" s="222"/>
      <c r="N83" s="222"/>
    </row>
    <row r="84" spans="2:14" x14ac:dyDescent="0.35">
      <c r="B84" s="222"/>
      <c r="C84" s="222"/>
      <c r="D84" s="222"/>
      <c r="E84" s="222"/>
      <c r="F84" s="222"/>
      <c r="G84" s="222"/>
      <c r="H84" s="222"/>
      <c r="I84" s="222"/>
      <c r="J84" s="222"/>
      <c r="K84" s="222"/>
      <c r="L84" s="222"/>
      <c r="M84" s="222"/>
      <c r="N84" s="222"/>
    </row>
    <row r="85" spans="2:14" ht="3" customHeight="1" x14ac:dyDescent="0.35">
      <c r="B85" s="319"/>
      <c r="C85" s="319"/>
      <c r="D85" s="319"/>
      <c r="E85" s="319"/>
      <c r="F85" s="319"/>
      <c r="G85" s="319"/>
      <c r="H85" s="319"/>
      <c r="I85" s="319"/>
      <c r="J85" s="319"/>
      <c r="K85" s="319"/>
      <c r="L85" s="319"/>
      <c r="M85" s="319"/>
      <c r="N85" s="319"/>
    </row>
    <row r="86" spans="2:14" x14ac:dyDescent="0.35">
      <c r="B86" s="222" t="s">
        <v>649</v>
      </c>
      <c r="C86" s="222"/>
      <c r="D86" s="222"/>
      <c r="E86" s="222"/>
      <c r="F86" s="222"/>
      <c r="G86" s="222"/>
      <c r="H86" s="222"/>
      <c r="I86" s="222"/>
      <c r="J86" s="222"/>
      <c r="K86" s="222"/>
      <c r="L86" s="222"/>
      <c r="M86" s="222"/>
      <c r="N86" s="222"/>
    </row>
    <row r="87" spans="2:14" x14ac:dyDescent="0.35">
      <c r="B87" s="222"/>
      <c r="C87" s="222"/>
      <c r="D87" s="222"/>
      <c r="E87" s="222"/>
      <c r="F87" s="222"/>
      <c r="G87" s="222"/>
      <c r="H87" s="222"/>
      <c r="I87" s="222"/>
      <c r="J87" s="222"/>
      <c r="K87" s="222"/>
      <c r="L87" s="222"/>
      <c r="M87" s="222"/>
      <c r="N87" s="222"/>
    </row>
    <row r="88" spans="2:14" ht="3" customHeight="1" x14ac:dyDescent="0.35">
      <c r="B88" s="319"/>
      <c r="C88" s="319"/>
      <c r="D88" s="319"/>
      <c r="E88" s="319"/>
      <c r="F88" s="319"/>
      <c r="G88" s="319"/>
      <c r="H88" s="319"/>
      <c r="I88" s="319"/>
      <c r="J88" s="319"/>
      <c r="K88" s="319"/>
      <c r="L88" s="319"/>
      <c r="M88" s="319"/>
      <c r="N88" s="319"/>
    </row>
    <row r="89" spans="2:14" x14ac:dyDescent="0.35">
      <c r="B89" s="222" t="str">
        <f>"Residual values are determined by the management as the amount it expects it would receive currently for an item of "&amp;LOWER(B75)&amp;" if it was already of the age and in the condition expected at the end of its useful life based on the prevailing market prices of similar assets already at the end of their useful lives."</f>
        <v>Residual values are determined by the management as the amount it expects it would receive currently for an item of property, plant and equipment  if it was already of the age and in the condition expected at the end of its useful life based on the prevailing market prices of similar assets already at the end of their useful lives.</v>
      </c>
      <c r="C89" s="222"/>
      <c r="D89" s="222"/>
      <c r="E89" s="222"/>
      <c r="F89" s="222"/>
      <c r="G89" s="222"/>
      <c r="H89" s="222"/>
      <c r="I89" s="222"/>
      <c r="J89" s="222"/>
      <c r="K89" s="222"/>
      <c r="L89" s="222"/>
      <c r="M89" s="222"/>
      <c r="N89" s="222"/>
    </row>
    <row r="90" spans="2:14" x14ac:dyDescent="0.35">
      <c r="B90" s="222"/>
      <c r="C90" s="222"/>
      <c r="D90" s="222"/>
      <c r="E90" s="222"/>
      <c r="F90" s="222"/>
      <c r="G90" s="222"/>
      <c r="H90" s="222"/>
      <c r="I90" s="222"/>
      <c r="J90" s="222"/>
      <c r="K90" s="222"/>
      <c r="L90" s="222"/>
      <c r="M90" s="222"/>
      <c r="N90" s="222"/>
    </row>
    <row r="91" spans="2:14" x14ac:dyDescent="0.35">
      <c r="B91" s="222"/>
      <c r="C91" s="222"/>
      <c r="D91" s="222"/>
      <c r="E91" s="222"/>
      <c r="F91" s="222"/>
      <c r="G91" s="222"/>
      <c r="H91" s="222"/>
      <c r="I91" s="222"/>
      <c r="J91" s="222"/>
      <c r="K91" s="222"/>
      <c r="L91" s="222"/>
      <c r="M91" s="222"/>
      <c r="N91" s="222"/>
    </row>
    <row r="92" spans="2:14" ht="3" customHeight="1" x14ac:dyDescent="0.35">
      <c r="B92" s="319"/>
      <c r="C92" s="319"/>
      <c r="D92" s="319"/>
      <c r="E92" s="319"/>
      <c r="F92" s="319"/>
      <c r="G92" s="319"/>
      <c r="H92" s="319"/>
      <c r="I92" s="319"/>
      <c r="J92" s="319"/>
      <c r="K92" s="319"/>
      <c r="L92" s="319"/>
      <c r="M92" s="319"/>
      <c r="N92" s="319"/>
    </row>
    <row r="93" spans="2:14" x14ac:dyDescent="0.35">
      <c r="B93" s="273" t="s">
        <v>650</v>
      </c>
      <c r="C93" s="273"/>
      <c r="D93" s="273"/>
      <c r="E93" s="273"/>
      <c r="F93" s="273"/>
      <c r="G93" s="273"/>
      <c r="H93" s="273"/>
      <c r="I93" s="273"/>
      <c r="J93" s="273"/>
      <c r="K93" s="273"/>
      <c r="L93" s="273"/>
      <c r="M93" s="273"/>
      <c r="N93" s="273"/>
    </row>
    <row r="94" spans="2:14" x14ac:dyDescent="0.35">
      <c r="B94" s="273"/>
      <c r="C94" s="273"/>
      <c r="D94" s="273"/>
      <c r="E94" s="273"/>
      <c r="F94" s="273"/>
      <c r="G94" s="273"/>
      <c r="H94" s="273"/>
      <c r="I94" s="273"/>
      <c r="J94" s="273"/>
      <c r="K94" s="273"/>
      <c r="L94" s="273"/>
      <c r="M94" s="273"/>
      <c r="N94" s="273"/>
    </row>
    <row r="95" spans="2:14" ht="3" customHeight="1" x14ac:dyDescent="0.35">
      <c r="B95" s="319"/>
      <c r="C95" s="319"/>
      <c r="D95" s="319"/>
      <c r="E95" s="319"/>
      <c r="F95" s="319"/>
      <c r="G95" s="319"/>
      <c r="H95" s="319"/>
      <c r="I95" s="319"/>
      <c r="J95" s="319"/>
      <c r="K95" s="319"/>
      <c r="L95" s="319"/>
      <c r="M95" s="319"/>
      <c r="N95" s="319"/>
    </row>
    <row r="96" spans="2:14" x14ac:dyDescent="0.35">
      <c r="B96" s="273" t="str">
        <f>"The carrying values of "&amp;LOWER(B75)&amp;" are reviewed at each reporting date for indications that an asset may be impaired and carrying values may not be recovered."&amp;" If any such indication exists and where the carrying value exceeds the estimated recoverable amount, the asset or cash generating unit is written down to its recoverable amount. The recoverable amount of "&amp;LOWER(B75)&amp;" is the greater of fair value less cost to sell and value in use."</f>
        <v>The carrying values of property, plant and equipment  are reviewed at each reporting date for indications that an asset may be impaired and carrying values may not be recovered. If any such indication exists and where the carrying value exceeds the estimated recoverable amount, the asset or cash generating unit is written down to its recoverable amount. The recoverable amount of property, plant and equipment  is the greater of fair value less cost to sell and value in use.</v>
      </c>
      <c r="C96" s="222"/>
      <c r="D96" s="222"/>
      <c r="E96" s="222"/>
      <c r="F96" s="222"/>
      <c r="G96" s="222"/>
      <c r="H96" s="222"/>
      <c r="I96" s="222"/>
      <c r="J96" s="222"/>
      <c r="K96" s="222"/>
      <c r="L96" s="222"/>
      <c r="M96" s="222"/>
      <c r="N96" s="222"/>
    </row>
    <row r="97" spans="1:14" x14ac:dyDescent="0.35">
      <c r="B97" s="273"/>
      <c r="C97" s="222"/>
      <c r="D97" s="222"/>
      <c r="E97" s="222"/>
      <c r="F97" s="222"/>
      <c r="G97" s="222"/>
      <c r="H97" s="222"/>
      <c r="I97" s="222"/>
      <c r="J97" s="222"/>
      <c r="K97" s="222"/>
      <c r="L97" s="222"/>
      <c r="M97" s="222"/>
      <c r="N97" s="222"/>
    </row>
    <row r="98" spans="1:14" x14ac:dyDescent="0.35">
      <c r="B98" s="273"/>
      <c r="C98" s="222"/>
      <c r="D98" s="222"/>
      <c r="E98" s="222"/>
      <c r="F98" s="222"/>
      <c r="G98" s="222"/>
      <c r="H98" s="222"/>
      <c r="I98" s="222"/>
      <c r="J98" s="222"/>
      <c r="K98" s="222"/>
      <c r="L98" s="222"/>
      <c r="M98" s="222"/>
      <c r="N98" s="222"/>
    </row>
    <row r="99" spans="1:14" x14ac:dyDescent="0.35">
      <c r="B99" s="222"/>
      <c r="C99" s="222"/>
      <c r="D99" s="222"/>
      <c r="E99" s="222"/>
      <c r="F99" s="222"/>
      <c r="G99" s="222"/>
      <c r="H99" s="222"/>
      <c r="I99" s="222"/>
      <c r="J99" s="222"/>
      <c r="K99" s="222"/>
      <c r="L99" s="222"/>
      <c r="M99" s="222"/>
      <c r="N99" s="222"/>
    </row>
    <row r="100" spans="1:14" ht="3" customHeight="1" x14ac:dyDescent="0.35">
      <c r="B100" s="319"/>
      <c r="C100" s="319"/>
      <c r="D100" s="319"/>
      <c r="E100" s="319"/>
      <c r="F100" s="319"/>
      <c r="G100" s="319"/>
      <c r="H100" s="319"/>
      <c r="I100" s="319"/>
      <c r="J100" s="319"/>
      <c r="K100" s="319"/>
      <c r="L100" s="319"/>
      <c r="M100" s="319"/>
      <c r="N100" s="319"/>
    </row>
    <row r="101" spans="1:14" x14ac:dyDescent="0.35">
      <c r="B101" s="273" t="s">
        <v>648</v>
      </c>
      <c r="C101" s="273"/>
      <c r="D101" s="273"/>
      <c r="E101" s="273"/>
      <c r="F101" s="273"/>
      <c r="G101" s="273"/>
      <c r="H101" s="273"/>
      <c r="I101" s="273"/>
      <c r="J101" s="273"/>
      <c r="K101" s="273"/>
      <c r="L101" s="273"/>
      <c r="M101" s="273"/>
      <c r="N101" s="273"/>
    </row>
    <row r="102" spans="1:14" x14ac:dyDescent="0.35">
      <c r="B102" s="273"/>
      <c r="C102" s="273"/>
      <c r="D102" s="273"/>
      <c r="E102" s="273"/>
      <c r="F102" s="273"/>
      <c r="G102" s="273"/>
      <c r="H102" s="273"/>
      <c r="I102" s="273"/>
      <c r="J102" s="273"/>
      <c r="K102" s="273"/>
      <c r="L102" s="273"/>
      <c r="M102" s="273"/>
      <c r="N102" s="273"/>
    </row>
    <row r="103" spans="1:14" ht="3" customHeight="1" x14ac:dyDescent="0.35">
      <c r="B103" s="322"/>
      <c r="C103" s="322"/>
      <c r="D103" s="322"/>
      <c r="E103" s="322"/>
      <c r="F103" s="322"/>
      <c r="G103" s="322"/>
      <c r="H103" s="322"/>
      <c r="I103" s="322"/>
      <c r="J103" s="322"/>
      <c r="K103" s="322"/>
      <c r="L103" s="322"/>
      <c r="M103" s="322"/>
      <c r="N103" s="322"/>
    </row>
    <row r="104" spans="1:14" x14ac:dyDescent="0.35">
      <c r="B104" s="222" t="str">
        <f>"An item of "&amp;LOWER(B75)&amp;" is derecognised upon disposal or when no future economic benefits are expected from its use or disposal. Gains and losses on disposals are determined by comparing proceeds with carrying amount of the relevant assets. These are included in profit or loss."</f>
        <v>An item of property, plant and equipment  is derecognised upon disposal or when no future economic benefits are expected from its use or disposal. Gains and losses on disposals are determined by comparing proceeds with carrying amount of the relevant assets. These are included in profit or loss.</v>
      </c>
      <c r="C104" s="222"/>
      <c r="D104" s="222"/>
      <c r="E104" s="222"/>
      <c r="F104" s="222"/>
      <c r="G104" s="222"/>
      <c r="H104" s="222"/>
      <c r="I104" s="222"/>
      <c r="J104" s="222"/>
      <c r="K104" s="222"/>
      <c r="L104" s="222"/>
      <c r="M104" s="222"/>
      <c r="N104" s="222"/>
    </row>
    <row r="105" spans="1:14" x14ac:dyDescent="0.35">
      <c r="B105" s="222"/>
      <c r="C105" s="222"/>
      <c r="D105" s="222"/>
      <c r="E105" s="222"/>
      <c r="F105" s="222"/>
      <c r="G105" s="222"/>
      <c r="H105" s="222"/>
      <c r="I105" s="222"/>
      <c r="J105" s="222"/>
      <c r="K105" s="222"/>
      <c r="L105" s="222"/>
      <c r="M105" s="222"/>
      <c r="N105" s="222"/>
    </row>
    <row r="106" spans="1:14" x14ac:dyDescent="0.35">
      <c r="B106" s="222"/>
      <c r="C106" s="222"/>
      <c r="D106" s="222"/>
      <c r="E106" s="222"/>
      <c r="F106" s="222"/>
      <c r="G106" s="222"/>
      <c r="H106" s="222"/>
      <c r="I106" s="222"/>
      <c r="J106" s="222"/>
      <c r="K106" s="222"/>
      <c r="L106" s="222"/>
      <c r="M106" s="222"/>
      <c r="N106" s="222"/>
    </row>
    <row r="107" spans="1:14" ht="3" customHeight="1" x14ac:dyDescent="0.35">
      <c r="B107" s="319"/>
      <c r="C107" s="319"/>
      <c r="D107" s="319"/>
      <c r="E107" s="319"/>
      <c r="F107" s="319"/>
      <c r="G107" s="319"/>
      <c r="H107" s="319"/>
      <c r="I107" s="319"/>
      <c r="J107" s="319"/>
      <c r="K107" s="319"/>
      <c r="L107" s="319"/>
      <c r="M107" s="319"/>
      <c r="N107" s="319"/>
    </row>
    <row r="108" spans="1:14" x14ac:dyDescent="0.35">
      <c r="A108" s="313">
        <f>A75+0.1</f>
        <v>4.1999999999999993</v>
      </c>
      <c r="B108" s="267" t="s">
        <v>15</v>
      </c>
    </row>
    <row r="109" spans="1:14" ht="5.15" customHeight="1" x14ac:dyDescent="0.35"/>
    <row r="110" spans="1:14" ht="15" customHeight="1" x14ac:dyDescent="0.35">
      <c r="B110" s="273" t="s">
        <v>654</v>
      </c>
      <c r="C110" s="273"/>
      <c r="D110" s="273"/>
      <c r="E110" s="273"/>
      <c r="F110" s="273"/>
      <c r="G110" s="273"/>
      <c r="H110" s="273"/>
      <c r="I110" s="273"/>
      <c r="J110" s="273"/>
      <c r="K110" s="273"/>
      <c r="L110" s="273"/>
      <c r="M110" s="273"/>
      <c r="N110" s="273"/>
    </row>
    <row r="111" spans="1:14" ht="15" customHeight="1" x14ac:dyDescent="0.35">
      <c r="B111" s="273"/>
      <c r="C111" s="273"/>
      <c r="D111" s="273"/>
      <c r="E111" s="273"/>
      <c r="F111" s="273"/>
      <c r="G111" s="273"/>
      <c r="H111" s="273"/>
      <c r="I111" s="273"/>
      <c r="J111" s="273"/>
      <c r="K111" s="273"/>
      <c r="L111" s="273"/>
      <c r="M111" s="273"/>
      <c r="N111" s="273"/>
    </row>
    <row r="112" spans="1:14" ht="15" customHeight="1" x14ac:dyDescent="0.35">
      <c r="B112" s="273"/>
      <c r="C112" s="273"/>
      <c r="D112" s="273"/>
      <c r="E112" s="273"/>
      <c r="F112" s="273"/>
      <c r="G112" s="273"/>
      <c r="H112" s="273"/>
      <c r="I112" s="273"/>
      <c r="J112" s="273"/>
      <c r="K112" s="273"/>
      <c r="L112" s="273"/>
      <c r="M112" s="273"/>
      <c r="N112" s="273"/>
    </row>
    <row r="113" spans="1:14" ht="15" customHeight="1" x14ac:dyDescent="0.35">
      <c r="B113" s="273"/>
      <c r="C113" s="273"/>
      <c r="D113" s="273"/>
      <c r="E113" s="273"/>
      <c r="F113" s="273"/>
      <c r="G113" s="273"/>
      <c r="H113" s="273"/>
      <c r="I113" s="273"/>
      <c r="J113" s="273"/>
      <c r="K113" s="273"/>
      <c r="L113" s="273"/>
      <c r="M113" s="273"/>
      <c r="N113" s="273"/>
    </row>
    <row r="114" spans="1:14" ht="3" customHeight="1" x14ac:dyDescent="0.35"/>
    <row r="115" spans="1:14" ht="15" customHeight="1" x14ac:dyDescent="0.35">
      <c r="B115" s="273" t="s">
        <v>655</v>
      </c>
      <c r="C115" s="273"/>
      <c r="D115" s="273"/>
      <c r="E115" s="273"/>
      <c r="F115" s="273"/>
      <c r="G115" s="273"/>
      <c r="H115" s="273"/>
      <c r="I115" s="273"/>
      <c r="J115" s="273"/>
      <c r="K115" s="273"/>
      <c r="L115" s="273"/>
      <c r="M115" s="273"/>
      <c r="N115" s="273"/>
    </row>
    <row r="116" spans="1:14" ht="15" customHeight="1" x14ac:dyDescent="0.35">
      <c r="B116" s="273"/>
      <c r="C116" s="273"/>
      <c r="D116" s="273"/>
      <c r="E116" s="273"/>
      <c r="F116" s="273"/>
      <c r="G116" s="273"/>
      <c r="H116" s="273"/>
      <c r="I116" s="273"/>
      <c r="J116" s="273"/>
      <c r="K116" s="273"/>
      <c r="L116" s="273"/>
      <c r="M116" s="273"/>
      <c r="N116" s="273"/>
    </row>
    <row r="117" spans="1:14" ht="15" customHeight="1" x14ac:dyDescent="0.35">
      <c r="B117" s="273"/>
      <c r="C117" s="273"/>
      <c r="D117" s="273"/>
      <c r="E117" s="273"/>
      <c r="F117" s="273"/>
      <c r="G117" s="273"/>
      <c r="H117" s="273"/>
      <c r="I117" s="273"/>
      <c r="J117" s="273"/>
      <c r="K117" s="273"/>
      <c r="L117" s="273"/>
      <c r="M117" s="273"/>
      <c r="N117" s="273"/>
    </row>
    <row r="118" spans="1:14" ht="15" customHeight="1" x14ac:dyDescent="0.35">
      <c r="B118" s="273"/>
      <c r="C118" s="273"/>
      <c r="D118" s="273"/>
      <c r="E118" s="273"/>
      <c r="F118" s="273"/>
      <c r="G118" s="273"/>
      <c r="H118" s="273"/>
      <c r="I118" s="273"/>
      <c r="J118" s="273"/>
      <c r="K118" s="273"/>
      <c r="L118" s="273"/>
      <c r="M118" s="273"/>
      <c r="N118" s="273"/>
    </row>
    <row r="119" spans="1:14" ht="5.15" customHeight="1" x14ac:dyDescent="0.35"/>
    <row r="120" spans="1:14" x14ac:dyDescent="0.35">
      <c r="A120" s="313">
        <f>A108+0.1</f>
        <v>4.2999999999999989</v>
      </c>
      <c r="B120" s="267" t="s">
        <v>16</v>
      </c>
    </row>
    <row r="121" spans="1:14" ht="5.15" customHeight="1" x14ac:dyDescent="0.35"/>
    <row r="122" spans="1:14" x14ac:dyDescent="0.35">
      <c r="B122" s="273" t="str">
        <f>"Intangible assets are measured at cost less accumulated amortization and accumulated impairment losses. "&amp;"Amortization is charged so as to allocate the cost of assets over their estimated useful lives, using the straight-line method at the rates specified in Note "&amp;SOFP!J12&amp;" to these financial statements."</f>
        <v>Intangible assets are measured at cost less accumulated amortization and accumulated impairment losses. Amortization is charged so as to allocate the cost of assets over their estimated useful lives, using the straight-line method at the rates specified in Note 7 to these financial statements.</v>
      </c>
      <c r="C122" s="222"/>
      <c r="D122" s="222"/>
      <c r="E122" s="222"/>
      <c r="F122" s="222"/>
      <c r="G122" s="222"/>
      <c r="H122" s="222"/>
      <c r="I122" s="222"/>
      <c r="J122" s="222"/>
      <c r="K122" s="222"/>
      <c r="L122" s="222"/>
      <c r="M122" s="222"/>
      <c r="N122" s="222"/>
    </row>
    <row r="123" spans="1:14" x14ac:dyDescent="0.35">
      <c r="B123" s="273"/>
      <c r="C123" s="222"/>
      <c r="D123" s="222"/>
      <c r="E123" s="222"/>
      <c r="F123" s="222"/>
      <c r="G123" s="222"/>
      <c r="H123" s="222"/>
      <c r="I123" s="222"/>
      <c r="J123" s="222"/>
      <c r="K123" s="222"/>
      <c r="L123" s="222"/>
      <c r="M123" s="222"/>
      <c r="N123" s="222"/>
    </row>
    <row r="124" spans="1:14" x14ac:dyDescent="0.35">
      <c r="B124" s="273"/>
      <c r="C124" s="222"/>
      <c r="D124" s="222"/>
      <c r="E124" s="222"/>
      <c r="F124" s="222"/>
      <c r="G124" s="222"/>
      <c r="H124" s="222"/>
      <c r="I124" s="222"/>
      <c r="J124" s="222"/>
      <c r="K124" s="222"/>
      <c r="L124" s="222"/>
      <c r="M124" s="222"/>
      <c r="N124" s="222"/>
    </row>
    <row r="125" spans="1:14" ht="3" customHeight="1" x14ac:dyDescent="0.35">
      <c r="B125" s="322"/>
      <c r="C125" s="319"/>
      <c r="D125" s="319"/>
      <c r="E125" s="319"/>
      <c r="F125" s="319"/>
      <c r="G125" s="319"/>
      <c r="H125" s="319"/>
      <c r="I125" s="319"/>
      <c r="J125" s="319"/>
      <c r="K125" s="319"/>
      <c r="L125" s="319"/>
      <c r="M125" s="319"/>
      <c r="N125" s="319"/>
    </row>
    <row r="126" spans="1:14" x14ac:dyDescent="0.35">
      <c r="B126" s="273" t="s">
        <v>502</v>
      </c>
      <c r="C126" s="273"/>
      <c r="D126" s="273"/>
      <c r="E126" s="273"/>
      <c r="F126" s="273"/>
      <c r="G126" s="273"/>
      <c r="H126" s="273"/>
      <c r="I126" s="273"/>
      <c r="J126" s="273"/>
      <c r="K126" s="273"/>
      <c r="L126" s="273"/>
      <c r="M126" s="273"/>
      <c r="N126" s="273"/>
    </row>
    <row r="127" spans="1:14" x14ac:dyDescent="0.35">
      <c r="B127" s="273"/>
      <c r="C127" s="273"/>
      <c r="D127" s="273"/>
      <c r="E127" s="273"/>
      <c r="F127" s="273"/>
      <c r="G127" s="273"/>
      <c r="H127" s="273"/>
      <c r="I127" s="273"/>
      <c r="J127" s="273"/>
      <c r="K127" s="273"/>
      <c r="L127" s="273"/>
      <c r="M127" s="273"/>
      <c r="N127" s="273"/>
    </row>
    <row r="128" spans="1:14" ht="3" customHeight="1" x14ac:dyDescent="0.35">
      <c r="B128" s="322"/>
      <c r="C128" s="322"/>
      <c r="D128" s="322"/>
      <c r="E128" s="322"/>
      <c r="F128" s="322"/>
      <c r="G128" s="322"/>
      <c r="H128" s="322"/>
      <c r="I128" s="322"/>
      <c r="J128" s="322"/>
      <c r="K128" s="322"/>
      <c r="L128" s="322"/>
      <c r="M128" s="322"/>
      <c r="N128" s="322"/>
    </row>
    <row r="129" spans="1:15" x14ac:dyDescent="0.35">
      <c r="B129" s="273" t="s">
        <v>651</v>
      </c>
      <c r="C129" s="273"/>
      <c r="D129" s="273"/>
      <c r="E129" s="273"/>
      <c r="F129" s="273"/>
      <c r="G129" s="273"/>
      <c r="H129" s="273"/>
      <c r="I129" s="273"/>
      <c r="J129" s="273"/>
      <c r="K129" s="273"/>
      <c r="L129" s="273"/>
      <c r="M129" s="273"/>
      <c r="N129" s="273"/>
    </row>
    <row r="130" spans="1:15" x14ac:dyDescent="0.35">
      <c r="B130" s="273"/>
      <c r="C130" s="273"/>
      <c r="D130" s="273"/>
      <c r="E130" s="273"/>
      <c r="F130" s="273"/>
      <c r="G130" s="273"/>
      <c r="H130" s="273"/>
      <c r="I130" s="273"/>
      <c r="J130" s="273"/>
      <c r="K130" s="273"/>
      <c r="L130" s="273"/>
      <c r="M130" s="273"/>
      <c r="N130" s="273"/>
    </row>
    <row r="131" spans="1:15" x14ac:dyDescent="0.35">
      <c r="B131" s="273"/>
      <c r="C131" s="273"/>
      <c r="D131" s="273"/>
      <c r="E131" s="273"/>
      <c r="F131" s="273"/>
      <c r="G131" s="273"/>
      <c r="H131" s="273"/>
      <c r="I131" s="273"/>
      <c r="J131" s="273"/>
      <c r="K131" s="273"/>
      <c r="L131" s="273"/>
      <c r="M131" s="273"/>
      <c r="N131" s="273"/>
    </row>
    <row r="132" spans="1:15" x14ac:dyDescent="0.35">
      <c r="B132" s="273"/>
      <c r="C132" s="273"/>
      <c r="D132" s="273"/>
      <c r="E132" s="273"/>
      <c r="F132" s="273"/>
      <c r="G132" s="273"/>
      <c r="H132" s="273"/>
      <c r="I132" s="273"/>
      <c r="J132" s="273"/>
      <c r="K132" s="273"/>
      <c r="L132" s="273"/>
      <c r="M132" s="273"/>
      <c r="N132" s="273"/>
    </row>
    <row r="133" spans="1:15" ht="5.15" customHeight="1" x14ac:dyDescent="0.35"/>
    <row r="134" spans="1:15" s="236" customFormat="1" x14ac:dyDescent="0.35">
      <c r="A134" s="313">
        <f>A120+0.1</f>
        <v>4.3999999999999986</v>
      </c>
      <c r="B134" s="267" t="s">
        <v>503</v>
      </c>
      <c r="C134" s="267"/>
      <c r="D134" s="267"/>
      <c r="E134" s="267"/>
      <c r="F134" s="267"/>
      <c r="G134" s="267"/>
      <c r="H134" s="267"/>
      <c r="I134" s="267"/>
      <c r="J134" s="267"/>
      <c r="K134" s="267"/>
      <c r="L134" s="267"/>
      <c r="M134" s="267"/>
      <c r="N134" s="267"/>
      <c r="O134" s="267"/>
    </row>
    <row r="135" spans="1:15" s="236" customFormat="1" ht="5.15" customHeight="1" x14ac:dyDescent="0.35">
      <c r="A135" s="313"/>
      <c r="B135" s="267"/>
      <c r="C135" s="267"/>
      <c r="D135" s="267"/>
      <c r="E135" s="267"/>
      <c r="F135" s="267"/>
      <c r="G135" s="267"/>
      <c r="H135" s="267"/>
      <c r="I135" s="267"/>
      <c r="J135" s="267"/>
      <c r="K135" s="267"/>
      <c r="L135" s="267"/>
      <c r="M135" s="267"/>
      <c r="N135" s="267"/>
      <c r="O135" s="267"/>
    </row>
    <row r="136" spans="1:15" x14ac:dyDescent="0.35">
      <c r="B136" s="273" t="s">
        <v>671</v>
      </c>
      <c r="C136" s="222"/>
      <c r="D136" s="222"/>
      <c r="E136" s="222"/>
      <c r="F136" s="222"/>
      <c r="G136" s="222"/>
      <c r="H136" s="222"/>
      <c r="I136" s="222"/>
      <c r="J136" s="222"/>
      <c r="K136" s="222"/>
      <c r="L136" s="222"/>
      <c r="M136" s="222"/>
      <c r="N136" s="222"/>
    </row>
    <row r="137" spans="1:15" x14ac:dyDescent="0.35">
      <c r="B137" s="273"/>
      <c r="C137" s="222"/>
      <c r="D137" s="222"/>
      <c r="E137" s="222"/>
      <c r="F137" s="222"/>
      <c r="G137" s="222"/>
      <c r="H137" s="222"/>
      <c r="I137" s="222"/>
      <c r="J137" s="222"/>
      <c r="K137" s="222"/>
      <c r="L137" s="222"/>
      <c r="M137" s="222"/>
      <c r="N137" s="222"/>
    </row>
    <row r="138" spans="1:15" ht="8.15" customHeight="1" x14ac:dyDescent="0.35">
      <c r="B138" s="273"/>
      <c r="C138" s="222"/>
      <c r="D138" s="222"/>
      <c r="E138" s="222"/>
      <c r="F138" s="222"/>
      <c r="G138" s="222"/>
      <c r="H138" s="222"/>
      <c r="I138" s="222"/>
      <c r="J138" s="222"/>
      <c r="K138" s="222"/>
      <c r="L138" s="222"/>
      <c r="M138" s="222"/>
      <c r="N138" s="222"/>
    </row>
    <row r="139" spans="1:15" ht="5.15" customHeight="1" x14ac:dyDescent="0.35">
      <c r="B139" s="322"/>
      <c r="C139" s="319"/>
      <c r="D139" s="319"/>
      <c r="E139" s="319"/>
      <c r="F139" s="319"/>
      <c r="G139" s="319"/>
      <c r="H139" s="319"/>
      <c r="I139" s="319"/>
      <c r="J139" s="319"/>
      <c r="K139" s="319"/>
      <c r="L139" s="319"/>
      <c r="M139" s="319"/>
      <c r="N139" s="319"/>
    </row>
    <row r="140" spans="1:15" x14ac:dyDescent="0.35">
      <c r="B140" s="273" t="s">
        <v>652</v>
      </c>
      <c r="C140" s="273"/>
      <c r="D140" s="273"/>
      <c r="E140" s="273"/>
      <c r="F140" s="273"/>
      <c r="G140" s="273"/>
      <c r="H140" s="273"/>
      <c r="I140" s="273"/>
      <c r="J140" s="273"/>
      <c r="K140" s="273"/>
      <c r="L140" s="273"/>
      <c r="M140" s="273"/>
      <c r="N140" s="273"/>
    </row>
    <row r="141" spans="1:15" x14ac:dyDescent="0.35">
      <c r="B141" s="273"/>
      <c r="C141" s="273"/>
      <c r="D141" s="273"/>
      <c r="E141" s="273"/>
      <c r="F141" s="273"/>
      <c r="G141" s="273"/>
      <c r="H141" s="273"/>
      <c r="I141" s="273"/>
      <c r="J141" s="273"/>
      <c r="K141" s="273"/>
      <c r="L141" s="273"/>
      <c r="M141" s="273"/>
      <c r="N141" s="273"/>
    </row>
    <row r="142" spans="1:15" ht="5.15" customHeight="1" x14ac:dyDescent="0.35"/>
    <row r="143" spans="1:15" s="236" customFormat="1" x14ac:dyDescent="0.35">
      <c r="A143" s="313">
        <f>A134+0.1</f>
        <v>4.4999999999999982</v>
      </c>
      <c r="B143" s="267" t="s">
        <v>504</v>
      </c>
      <c r="C143" s="267"/>
      <c r="D143" s="267"/>
      <c r="E143" s="267"/>
      <c r="F143" s="267"/>
      <c r="G143" s="267"/>
      <c r="H143" s="267"/>
      <c r="I143" s="267"/>
      <c r="J143" s="267"/>
      <c r="K143" s="267"/>
      <c r="L143" s="267"/>
      <c r="M143" s="267"/>
      <c r="N143" s="267"/>
      <c r="O143" s="267"/>
    </row>
    <row r="144" spans="1:15" ht="5.15" customHeight="1" x14ac:dyDescent="0.35"/>
    <row r="145" spans="2:17" x14ac:dyDescent="0.35">
      <c r="B145" s="233" t="s">
        <v>505</v>
      </c>
      <c r="Q145" s="314" t="s">
        <v>705</v>
      </c>
    </row>
    <row r="146" spans="2:17" ht="5.15" customHeight="1" x14ac:dyDescent="0.35">
      <c r="Q146" s="314" t="s">
        <v>706</v>
      </c>
    </row>
    <row r="147" spans="2:17" x14ac:dyDescent="0.35">
      <c r="B147" s="323" t="s">
        <v>506</v>
      </c>
      <c r="C147" s="324"/>
      <c r="D147" s="325"/>
      <c r="E147" s="323" t="s">
        <v>507</v>
      </c>
      <c r="F147" s="324"/>
      <c r="G147" s="324"/>
      <c r="H147" s="324"/>
      <c r="I147" s="324"/>
      <c r="J147" s="324"/>
      <c r="K147" s="324"/>
      <c r="L147" s="324"/>
      <c r="M147" s="324"/>
      <c r="N147" s="325"/>
      <c r="Q147" s="314" t="s">
        <v>707</v>
      </c>
    </row>
    <row r="148" spans="2:17" ht="5.15" customHeight="1" x14ac:dyDescent="0.35">
      <c r="B148" s="326"/>
      <c r="C148" s="327"/>
      <c r="D148" s="328"/>
      <c r="E148" s="326"/>
      <c r="F148" s="327"/>
      <c r="G148" s="327"/>
      <c r="H148" s="327"/>
      <c r="I148" s="327"/>
      <c r="J148" s="327"/>
      <c r="K148" s="327"/>
      <c r="L148" s="327"/>
      <c r="M148" s="327"/>
      <c r="N148" s="328"/>
      <c r="Q148" s="314" t="s">
        <v>708</v>
      </c>
    </row>
    <row r="149" spans="2:17" x14ac:dyDescent="0.35">
      <c r="B149" s="329" t="s">
        <v>508</v>
      </c>
      <c r="C149" s="255"/>
      <c r="D149" s="330"/>
      <c r="E149" s="329" t="s">
        <v>509</v>
      </c>
      <c r="F149" s="255"/>
      <c r="G149" s="255"/>
      <c r="H149" s="255"/>
      <c r="I149" s="255"/>
      <c r="J149" s="255"/>
      <c r="K149" s="255"/>
      <c r="L149" s="255"/>
      <c r="M149" s="255"/>
      <c r="N149" s="330"/>
      <c r="Q149" s="314" t="s">
        <v>709</v>
      </c>
    </row>
    <row r="150" spans="2:17" ht="5.15" customHeight="1" x14ac:dyDescent="0.35">
      <c r="B150" s="329"/>
      <c r="C150" s="255"/>
      <c r="D150" s="330"/>
      <c r="E150" s="329"/>
      <c r="F150" s="255"/>
      <c r="G150" s="255"/>
      <c r="H150" s="255"/>
      <c r="I150" s="255"/>
      <c r="J150" s="255"/>
      <c r="K150" s="255"/>
      <c r="L150" s="255"/>
      <c r="M150" s="255"/>
      <c r="N150" s="330"/>
    </row>
    <row r="151" spans="2:17" x14ac:dyDescent="0.35">
      <c r="B151" s="329" t="s">
        <v>510</v>
      </c>
      <c r="C151" s="255"/>
      <c r="D151" s="330"/>
      <c r="E151" s="329" t="s">
        <v>511</v>
      </c>
      <c r="F151" s="255"/>
      <c r="G151" s="255"/>
      <c r="H151" s="255"/>
      <c r="I151" s="255"/>
      <c r="J151" s="255"/>
      <c r="K151" s="255"/>
      <c r="L151" s="255"/>
      <c r="M151" s="255"/>
      <c r="N151" s="330"/>
    </row>
    <row r="152" spans="2:17" ht="5.15" customHeight="1" x14ac:dyDescent="0.35">
      <c r="B152" s="329"/>
      <c r="C152" s="255"/>
      <c r="D152" s="330"/>
      <c r="E152" s="329"/>
      <c r="F152" s="255"/>
      <c r="G152" s="255"/>
      <c r="H152" s="255"/>
      <c r="I152" s="255"/>
      <c r="J152" s="255"/>
      <c r="K152" s="255"/>
      <c r="L152" s="255"/>
      <c r="M152" s="255"/>
      <c r="N152" s="330"/>
    </row>
    <row r="153" spans="2:17" x14ac:dyDescent="0.35">
      <c r="B153" s="329" t="s">
        <v>512</v>
      </c>
      <c r="C153" s="255"/>
      <c r="D153" s="330"/>
      <c r="E153" s="329" t="s">
        <v>513</v>
      </c>
      <c r="F153" s="255"/>
      <c r="G153" s="255"/>
      <c r="H153" s="255"/>
      <c r="I153" s="255"/>
      <c r="J153" s="255"/>
      <c r="K153" s="255"/>
      <c r="L153" s="255"/>
      <c r="M153" s="255"/>
      <c r="N153" s="330"/>
    </row>
    <row r="154" spans="2:17" ht="5.15" customHeight="1" x14ac:dyDescent="0.35">
      <c r="B154" s="329"/>
      <c r="C154" s="255"/>
      <c r="D154" s="330"/>
      <c r="E154" s="329"/>
      <c r="F154" s="255"/>
      <c r="G154" s="255"/>
      <c r="H154" s="255"/>
      <c r="I154" s="255"/>
      <c r="J154" s="255"/>
      <c r="K154" s="255"/>
      <c r="L154" s="255"/>
      <c r="M154" s="255"/>
      <c r="N154" s="330"/>
    </row>
    <row r="155" spans="2:17" x14ac:dyDescent="0.35">
      <c r="B155" s="329" t="s">
        <v>514</v>
      </c>
      <c r="C155" s="255"/>
      <c r="D155" s="330"/>
      <c r="E155" s="329" t="s">
        <v>515</v>
      </c>
      <c r="F155" s="255"/>
      <c r="G155" s="255"/>
      <c r="H155" s="255"/>
      <c r="I155" s="255"/>
      <c r="J155" s="255"/>
      <c r="K155" s="255"/>
      <c r="L155" s="255"/>
      <c r="M155" s="255"/>
      <c r="N155" s="330"/>
    </row>
    <row r="156" spans="2:17" ht="5.15" customHeight="1" x14ac:dyDescent="0.35">
      <c r="B156" s="331"/>
      <c r="C156" s="332"/>
      <c r="D156" s="333"/>
      <c r="E156" s="331"/>
      <c r="F156" s="332"/>
      <c r="G156" s="332"/>
      <c r="H156" s="332"/>
      <c r="I156" s="332"/>
      <c r="J156" s="332"/>
      <c r="K156" s="332"/>
      <c r="L156" s="332"/>
      <c r="M156" s="332"/>
      <c r="N156" s="333"/>
    </row>
    <row r="157" spans="2:17" ht="5.15" customHeight="1" x14ac:dyDescent="0.35"/>
    <row r="158" spans="2:17" x14ac:dyDescent="0.35">
      <c r="B158" s="273" t="s">
        <v>653</v>
      </c>
      <c r="C158" s="273"/>
      <c r="D158" s="273"/>
      <c r="E158" s="273"/>
      <c r="F158" s="273"/>
      <c r="G158" s="273"/>
      <c r="H158" s="273"/>
      <c r="I158" s="273"/>
      <c r="J158" s="273"/>
      <c r="K158" s="273"/>
      <c r="L158" s="273"/>
      <c r="M158" s="273"/>
      <c r="N158" s="273"/>
    </row>
    <row r="159" spans="2:17" x14ac:dyDescent="0.35">
      <c r="B159" s="273"/>
      <c r="C159" s="273"/>
      <c r="D159" s="273"/>
      <c r="E159" s="273"/>
      <c r="F159" s="273"/>
      <c r="G159" s="273"/>
      <c r="H159" s="273"/>
      <c r="I159" s="273"/>
      <c r="J159" s="273"/>
      <c r="K159" s="273"/>
      <c r="L159" s="273"/>
      <c r="M159" s="273"/>
      <c r="N159" s="273"/>
    </row>
    <row r="160" spans="2:17" ht="5.15" customHeight="1" x14ac:dyDescent="0.35"/>
    <row r="161" spans="1:14" s="314" customFormat="1" x14ac:dyDescent="0.35">
      <c r="A161" s="4">
        <f>A143+0.1</f>
        <v>4.5999999999999979</v>
      </c>
      <c r="B161" s="236" t="s">
        <v>338</v>
      </c>
    </row>
    <row r="162" spans="1:14" s="314" customFormat="1" ht="5.15" customHeight="1" x14ac:dyDescent="0.35">
      <c r="A162" s="4"/>
    </row>
    <row r="163" spans="1:14" s="314" customFormat="1" x14ac:dyDescent="0.35">
      <c r="A163" s="4"/>
      <c r="B163" s="334" t="s">
        <v>771</v>
      </c>
      <c r="C163" s="334"/>
      <c r="D163" s="334"/>
      <c r="E163" s="334"/>
      <c r="F163" s="334"/>
      <c r="G163" s="334"/>
      <c r="H163" s="334"/>
      <c r="I163" s="334"/>
      <c r="J163" s="334"/>
      <c r="K163" s="334"/>
      <c r="L163" s="334"/>
      <c r="M163" s="334"/>
      <c r="N163" s="334"/>
    </row>
    <row r="164" spans="1:14" s="314" customFormat="1" x14ac:dyDescent="0.35">
      <c r="A164" s="4"/>
      <c r="B164" s="334"/>
      <c r="C164" s="334"/>
      <c r="D164" s="334"/>
      <c r="E164" s="334"/>
      <c r="F164" s="334"/>
      <c r="G164" s="334"/>
      <c r="H164" s="334"/>
      <c r="I164" s="334"/>
      <c r="J164" s="334"/>
      <c r="K164" s="334"/>
      <c r="L164" s="334"/>
      <c r="M164" s="334"/>
      <c r="N164" s="334"/>
    </row>
    <row r="165" spans="1:14" s="314" customFormat="1" x14ac:dyDescent="0.35">
      <c r="A165" s="4"/>
      <c r="B165" s="334"/>
      <c r="C165" s="334"/>
      <c r="D165" s="334"/>
      <c r="E165" s="334"/>
      <c r="F165" s="334"/>
      <c r="G165" s="334"/>
      <c r="H165" s="334"/>
      <c r="I165" s="334"/>
      <c r="J165" s="334"/>
      <c r="K165" s="334"/>
      <c r="L165" s="334"/>
      <c r="M165" s="334"/>
      <c r="N165" s="334"/>
    </row>
    <row r="166" spans="1:14" s="314" customFormat="1" x14ac:dyDescent="0.35">
      <c r="A166" s="4"/>
      <c r="B166" s="334"/>
      <c r="C166" s="334"/>
      <c r="D166" s="334"/>
      <c r="E166" s="334"/>
      <c r="F166" s="334"/>
      <c r="G166" s="334"/>
      <c r="H166" s="334"/>
      <c r="I166" s="334"/>
      <c r="J166" s="334"/>
      <c r="K166" s="334"/>
      <c r="L166" s="334"/>
      <c r="M166" s="334"/>
      <c r="N166" s="334"/>
    </row>
    <row r="167" spans="1:14" s="314" customFormat="1" ht="15" customHeight="1" x14ac:dyDescent="0.35">
      <c r="A167" s="4"/>
      <c r="B167" s="334"/>
      <c r="C167" s="334"/>
      <c r="D167" s="334"/>
      <c r="E167" s="334"/>
      <c r="F167" s="334"/>
      <c r="G167" s="334"/>
      <c r="H167" s="334"/>
      <c r="I167" s="334"/>
      <c r="J167" s="334"/>
      <c r="K167" s="334"/>
      <c r="L167" s="334"/>
      <c r="M167" s="334"/>
      <c r="N167" s="334"/>
    </row>
    <row r="168" spans="1:14" s="314" customFormat="1" ht="3.4" customHeight="1" x14ac:dyDescent="0.35">
      <c r="A168" s="4"/>
    </row>
    <row r="169" spans="1:14" s="314" customFormat="1" x14ac:dyDescent="0.35">
      <c r="A169" s="4"/>
      <c r="B169" s="335" t="s">
        <v>772</v>
      </c>
      <c r="C169" s="335"/>
      <c r="D169" s="335"/>
      <c r="E169" s="335"/>
      <c r="F169" s="335"/>
      <c r="G169" s="335"/>
      <c r="H169" s="335"/>
      <c r="I169" s="335"/>
      <c r="J169" s="335"/>
      <c r="K169" s="335"/>
      <c r="L169" s="335"/>
      <c r="M169" s="335"/>
      <c r="N169" s="335"/>
    </row>
    <row r="170" spans="1:14" s="314" customFormat="1" x14ac:dyDescent="0.35">
      <c r="A170" s="4"/>
      <c r="B170" s="335"/>
      <c r="C170" s="335"/>
      <c r="D170" s="335"/>
      <c r="E170" s="335"/>
      <c r="F170" s="335"/>
      <c r="G170" s="335"/>
      <c r="H170" s="335"/>
      <c r="I170" s="335"/>
      <c r="J170" s="335"/>
      <c r="K170" s="335"/>
      <c r="L170" s="335"/>
      <c r="M170" s="335"/>
      <c r="N170" s="335"/>
    </row>
    <row r="171" spans="1:14" s="314" customFormat="1" ht="13.5" customHeight="1" x14ac:dyDescent="0.35">
      <c r="A171" s="4"/>
      <c r="B171" s="335"/>
      <c r="C171" s="335"/>
      <c r="D171" s="335"/>
      <c r="E171" s="335"/>
      <c r="F171" s="335"/>
      <c r="G171" s="335"/>
      <c r="H171" s="335"/>
      <c r="I171" s="335"/>
      <c r="J171" s="335"/>
      <c r="K171" s="335"/>
      <c r="L171" s="335"/>
      <c r="M171" s="335"/>
      <c r="N171" s="335"/>
    </row>
    <row r="172" spans="1:14" s="314" customFormat="1" ht="5.15" customHeight="1" x14ac:dyDescent="0.35">
      <c r="A172" s="4"/>
    </row>
    <row r="173" spans="1:14" s="314" customFormat="1" x14ac:dyDescent="0.35">
      <c r="A173" s="4"/>
      <c r="B173" s="335" t="s">
        <v>773</v>
      </c>
      <c r="C173" s="335"/>
      <c r="D173" s="335"/>
      <c r="E173" s="335"/>
      <c r="F173" s="335"/>
      <c r="G173" s="335"/>
      <c r="H173" s="335"/>
      <c r="I173" s="335"/>
      <c r="J173" s="335"/>
      <c r="K173" s="335"/>
      <c r="L173" s="335"/>
      <c r="M173" s="335"/>
      <c r="N173" s="335"/>
    </row>
    <row r="174" spans="1:14" s="314" customFormat="1" ht="15" customHeight="1" x14ac:dyDescent="0.35">
      <c r="A174" s="4"/>
      <c r="B174" s="335"/>
      <c r="C174" s="335"/>
      <c r="D174" s="335"/>
      <c r="E174" s="335"/>
      <c r="F174" s="335"/>
      <c r="G174" s="335"/>
      <c r="H174" s="335"/>
      <c r="I174" s="335"/>
      <c r="J174" s="335"/>
      <c r="K174" s="335"/>
      <c r="L174" s="335"/>
      <c r="M174" s="335"/>
      <c r="N174" s="335"/>
    </row>
    <row r="175" spans="1:14" s="314" customFormat="1" ht="3" customHeight="1" x14ac:dyDescent="0.35">
      <c r="A175" s="4"/>
    </row>
    <row r="176" spans="1:14" s="314" customFormat="1" x14ac:dyDescent="0.35">
      <c r="A176" s="4"/>
      <c r="B176" s="335" t="s">
        <v>774</v>
      </c>
      <c r="C176" s="335"/>
      <c r="D176" s="335"/>
      <c r="E176" s="335"/>
      <c r="F176" s="335"/>
      <c r="G176" s="335"/>
      <c r="H176" s="335"/>
      <c r="I176" s="335"/>
      <c r="J176" s="335"/>
      <c r="K176" s="335"/>
      <c r="L176" s="335"/>
      <c r="M176" s="335"/>
      <c r="N176" s="335"/>
    </row>
    <row r="177" spans="1:14" s="314" customFormat="1" x14ac:dyDescent="0.35">
      <c r="A177" s="4"/>
      <c r="B177" s="335"/>
      <c r="C177" s="335"/>
      <c r="D177" s="335"/>
      <c r="E177" s="335"/>
      <c r="F177" s="335"/>
      <c r="G177" s="335"/>
      <c r="H177" s="335"/>
      <c r="I177" s="335"/>
      <c r="J177" s="335"/>
      <c r="K177" s="335"/>
      <c r="L177" s="335"/>
      <c r="M177" s="335"/>
      <c r="N177" s="335"/>
    </row>
    <row r="178" spans="1:14" s="314" customFormat="1" x14ac:dyDescent="0.35">
      <c r="A178" s="4"/>
      <c r="B178" s="335"/>
      <c r="C178" s="335"/>
      <c r="D178" s="335"/>
      <c r="E178" s="335"/>
      <c r="F178" s="335"/>
      <c r="G178" s="335"/>
      <c r="H178" s="335"/>
      <c r="I178" s="335"/>
      <c r="J178" s="335"/>
      <c r="K178" s="335"/>
      <c r="L178" s="335"/>
      <c r="M178" s="335"/>
      <c r="N178" s="335"/>
    </row>
    <row r="179" spans="1:14" s="314" customFormat="1" ht="15.4" customHeight="1" x14ac:dyDescent="0.35">
      <c r="A179" s="4"/>
      <c r="B179" s="335"/>
      <c r="C179" s="335"/>
      <c r="D179" s="335"/>
      <c r="E179" s="335"/>
      <c r="F179" s="335"/>
      <c r="G179" s="335"/>
      <c r="H179" s="335"/>
      <c r="I179" s="335"/>
      <c r="J179" s="335"/>
      <c r="K179" s="335"/>
      <c r="L179" s="335"/>
      <c r="M179" s="335"/>
      <c r="N179" s="335"/>
    </row>
    <row r="180" spans="1:14" s="314" customFormat="1" ht="3" customHeight="1" x14ac:dyDescent="0.35">
      <c r="A180" s="4"/>
      <c r="B180" s="262"/>
      <c r="C180" s="262"/>
      <c r="D180" s="262"/>
      <c r="E180" s="262"/>
      <c r="F180" s="262"/>
      <c r="G180" s="262"/>
      <c r="H180" s="262"/>
      <c r="I180" s="262"/>
      <c r="J180" s="262"/>
      <c r="K180" s="262"/>
      <c r="L180" s="262"/>
      <c r="M180" s="262"/>
      <c r="N180" s="262"/>
    </row>
    <row r="181" spans="1:14" s="314" customFormat="1" x14ac:dyDescent="0.35">
      <c r="A181" s="4">
        <f>A161+0.1</f>
        <v>4.6999999999999975</v>
      </c>
      <c r="B181" s="236" t="s">
        <v>528</v>
      </c>
    </row>
    <row r="182" spans="1:14" s="314" customFormat="1" ht="5.15" customHeight="1" x14ac:dyDescent="0.35">
      <c r="A182" s="4"/>
    </row>
    <row r="183" spans="1:14" s="314" customFormat="1" x14ac:dyDescent="0.35">
      <c r="A183" s="4"/>
      <c r="B183" s="335" t="s">
        <v>527</v>
      </c>
      <c r="C183" s="335"/>
      <c r="D183" s="335"/>
      <c r="E183" s="335"/>
      <c r="F183" s="335"/>
      <c r="G183" s="335"/>
      <c r="H183" s="335"/>
      <c r="I183" s="335"/>
      <c r="J183" s="335"/>
      <c r="K183" s="335"/>
      <c r="L183" s="335"/>
      <c r="M183" s="335"/>
      <c r="N183" s="335"/>
    </row>
    <row r="184" spans="1:14" s="314" customFormat="1" x14ac:dyDescent="0.35">
      <c r="A184" s="4"/>
      <c r="B184" s="335"/>
      <c r="C184" s="335"/>
      <c r="D184" s="335"/>
      <c r="E184" s="335"/>
      <c r="F184" s="335"/>
      <c r="G184" s="335"/>
      <c r="H184" s="335"/>
      <c r="I184" s="335"/>
      <c r="J184" s="335"/>
      <c r="K184" s="335"/>
      <c r="L184" s="335"/>
      <c r="M184" s="335"/>
      <c r="N184" s="335"/>
    </row>
    <row r="185" spans="1:14" s="314" customFormat="1" ht="13.9" customHeight="1" x14ac:dyDescent="0.35">
      <c r="A185" s="4"/>
      <c r="B185" s="335"/>
      <c r="C185" s="335"/>
      <c r="D185" s="335"/>
      <c r="E185" s="335"/>
      <c r="F185" s="335"/>
      <c r="G185" s="335"/>
      <c r="H185" s="335"/>
      <c r="I185" s="335"/>
      <c r="J185" s="335"/>
      <c r="K185" s="335"/>
      <c r="L185" s="335"/>
      <c r="M185" s="335"/>
      <c r="N185" s="335"/>
    </row>
    <row r="186" spans="1:14" s="314" customFormat="1" ht="5.15" customHeight="1" x14ac:dyDescent="0.35">
      <c r="A186" s="4"/>
      <c r="B186" s="262"/>
      <c r="C186" s="262"/>
      <c r="D186" s="262"/>
      <c r="E186" s="262"/>
      <c r="F186" s="262"/>
      <c r="G186" s="262"/>
      <c r="H186" s="262"/>
      <c r="I186" s="262"/>
      <c r="J186" s="262"/>
      <c r="K186" s="262"/>
      <c r="L186" s="262"/>
      <c r="M186" s="262"/>
      <c r="N186" s="262"/>
    </row>
    <row r="187" spans="1:14" s="314" customFormat="1" x14ac:dyDescent="0.35">
      <c r="A187" s="4">
        <f>A181+0.1</f>
        <v>4.7999999999999972</v>
      </c>
      <c r="B187" s="3" t="s">
        <v>637</v>
      </c>
      <c r="C187" s="262"/>
      <c r="D187" s="262"/>
      <c r="E187" s="262"/>
      <c r="F187" s="262"/>
      <c r="G187" s="262"/>
      <c r="H187" s="262"/>
      <c r="I187" s="262"/>
      <c r="J187" s="262"/>
      <c r="K187" s="262"/>
      <c r="L187" s="262"/>
      <c r="M187" s="262"/>
      <c r="N187" s="262"/>
    </row>
    <row r="188" spans="1:14" s="314" customFormat="1" ht="5.15" customHeight="1" x14ac:dyDescent="0.35">
      <c r="A188" s="4"/>
      <c r="B188" s="262"/>
      <c r="C188" s="262"/>
      <c r="D188" s="262"/>
      <c r="E188" s="262"/>
      <c r="F188" s="262"/>
      <c r="G188" s="262"/>
      <c r="H188" s="262"/>
      <c r="I188" s="262"/>
      <c r="J188" s="262"/>
      <c r="K188" s="262"/>
      <c r="L188" s="262"/>
      <c r="M188" s="262"/>
      <c r="N188" s="262"/>
    </row>
    <row r="189" spans="1:14" s="314" customFormat="1" ht="16.5" customHeight="1" x14ac:dyDescent="0.35">
      <c r="A189" s="4"/>
      <c r="B189" s="334" t="s">
        <v>775</v>
      </c>
      <c r="C189" s="334"/>
      <c r="D189" s="334"/>
      <c r="E189" s="334"/>
      <c r="F189" s="334"/>
      <c r="G189" s="334"/>
      <c r="H189" s="334"/>
      <c r="I189" s="334"/>
      <c r="J189" s="334"/>
      <c r="K189" s="334"/>
      <c r="L189" s="334"/>
      <c r="M189" s="334"/>
      <c r="N189" s="334"/>
    </row>
    <row r="190" spans="1:14" s="314" customFormat="1" ht="16.5" customHeight="1" x14ac:dyDescent="0.35">
      <c r="A190" s="4"/>
      <c r="B190" s="334"/>
      <c r="C190" s="334"/>
      <c r="D190" s="334"/>
      <c r="E190" s="334"/>
      <c r="F190" s="334"/>
      <c r="G190" s="334"/>
      <c r="H190" s="334"/>
      <c r="I190" s="334"/>
      <c r="J190" s="334"/>
      <c r="K190" s="334"/>
      <c r="L190" s="334"/>
      <c r="M190" s="334"/>
      <c r="N190" s="334"/>
    </row>
    <row r="191" spans="1:14" s="314" customFormat="1" ht="16.5" customHeight="1" x14ac:dyDescent="0.35">
      <c r="A191" s="4"/>
      <c r="B191" s="334"/>
      <c r="C191" s="334"/>
      <c r="D191" s="334"/>
      <c r="E191" s="334"/>
      <c r="F191" s="334"/>
      <c r="G191" s="334"/>
      <c r="H191" s="334"/>
      <c r="I191" s="334"/>
      <c r="J191" s="334"/>
      <c r="K191" s="334"/>
      <c r="L191" s="334"/>
      <c r="M191" s="334"/>
      <c r="N191" s="334"/>
    </row>
    <row r="192" spans="1:14" s="314" customFormat="1" ht="16.5" customHeight="1" x14ac:dyDescent="0.35">
      <c r="A192" s="4"/>
      <c r="B192" s="334"/>
      <c r="C192" s="334"/>
      <c r="D192" s="334"/>
      <c r="E192" s="334"/>
      <c r="F192" s="334"/>
      <c r="G192" s="334"/>
      <c r="H192" s="334"/>
      <c r="I192" s="334"/>
      <c r="J192" s="334"/>
      <c r="K192" s="334"/>
      <c r="L192" s="334"/>
      <c r="M192" s="334"/>
      <c r="N192" s="334"/>
    </row>
    <row r="193" spans="1:14" s="314" customFormat="1" ht="5.15" customHeight="1" x14ac:dyDescent="0.35">
      <c r="A193" s="4"/>
      <c r="B193" s="262"/>
      <c r="C193" s="262"/>
      <c r="D193" s="262"/>
      <c r="E193" s="262"/>
      <c r="F193" s="262"/>
      <c r="G193" s="262"/>
      <c r="H193" s="262"/>
      <c r="I193" s="262"/>
      <c r="J193" s="262"/>
      <c r="K193" s="262"/>
      <c r="L193" s="262"/>
      <c r="M193" s="262"/>
      <c r="N193" s="262"/>
    </row>
    <row r="194" spans="1:14" s="314" customFormat="1" ht="16.5" customHeight="1" x14ac:dyDescent="0.35">
      <c r="A194" s="4"/>
      <c r="B194" s="334" t="s">
        <v>776</v>
      </c>
      <c r="C194" s="334"/>
      <c r="D194" s="334"/>
      <c r="E194" s="334"/>
      <c r="F194" s="334"/>
      <c r="G194" s="334"/>
      <c r="H194" s="334"/>
      <c r="I194" s="334"/>
      <c r="J194" s="334"/>
      <c r="K194" s="334"/>
      <c r="L194" s="334"/>
      <c r="M194" s="334"/>
      <c r="N194" s="334"/>
    </row>
    <row r="195" spans="1:14" s="314" customFormat="1" ht="16.5" customHeight="1" x14ac:dyDescent="0.35">
      <c r="A195" s="4"/>
      <c r="B195" s="334"/>
      <c r="C195" s="334"/>
      <c r="D195" s="334"/>
      <c r="E195" s="334"/>
      <c r="F195" s="334"/>
      <c r="G195" s="334"/>
      <c r="H195" s="334"/>
      <c r="I195" s="334"/>
      <c r="J195" s="334"/>
      <c r="K195" s="334"/>
      <c r="L195" s="334"/>
      <c r="M195" s="334"/>
      <c r="N195" s="334"/>
    </row>
    <row r="196" spans="1:14" s="314" customFormat="1" x14ac:dyDescent="0.35">
      <c r="A196" s="4"/>
      <c r="B196" s="334"/>
      <c r="C196" s="334"/>
      <c r="D196" s="334"/>
      <c r="E196" s="334"/>
      <c r="F196" s="334"/>
      <c r="G196" s="334"/>
      <c r="H196" s="334"/>
      <c r="I196" s="334"/>
      <c r="J196" s="334"/>
      <c r="K196" s="334"/>
      <c r="L196" s="334"/>
      <c r="M196" s="334"/>
      <c r="N196" s="334"/>
    </row>
    <row r="197" spans="1:14" s="314" customFormat="1" ht="11.25" customHeight="1" x14ac:dyDescent="0.35">
      <c r="A197" s="4"/>
      <c r="B197" s="334"/>
      <c r="C197" s="334"/>
      <c r="D197" s="334"/>
      <c r="E197" s="334"/>
      <c r="F197" s="334"/>
      <c r="G197" s="334"/>
      <c r="H197" s="334"/>
      <c r="I197" s="334"/>
      <c r="J197" s="334"/>
      <c r="K197" s="334"/>
      <c r="L197" s="334"/>
      <c r="M197" s="334"/>
      <c r="N197" s="334"/>
    </row>
    <row r="198" spans="1:14" s="314" customFormat="1" ht="1.5" customHeight="1" x14ac:dyDescent="0.35">
      <c r="A198" s="4"/>
      <c r="B198" s="336"/>
      <c r="C198" s="336"/>
      <c r="D198" s="336"/>
      <c r="E198" s="336"/>
      <c r="F198" s="336"/>
      <c r="G198" s="336"/>
      <c r="H198" s="337"/>
      <c r="I198" s="337"/>
      <c r="J198" s="337"/>
      <c r="K198" s="337"/>
      <c r="L198" s="337"/>
      <c r="M198" s="337"/>
      <c r="N198" s="337"/>
    </row>
    <row r="199" spans="1:14" s="314" customFormat="1" ht="16.5" customHeight="1" x14ac:dyDescent="0.35">
      <c r="A199" s="4"/>
      <c r="B199" s="334" t="s">
        <v>777</v>
      </c>
      <c r="C199" s="334"/>
      <c r="D199" s="334"/>
      <c r="E199" s="334"/>
      <c r="F199" s="334"/>
      <c r="G199" s="334"/>
      <c r="H199" s="334"/>
      <c r="I199" s="334"/>
      <c r="J199" s="334"/>
      <c r="K199" s="334"/>
      <c r="L199" s="334"/>
      <c r="M199" s="334"/>
      <c r="N199" s="334"/>
    </row>
    <row r="200" spans="1:14" s="314" customFormat="1" ht="16.5" customHeight="1" x14ac:dyDescent="0.35">
      <c r="A200" s="4"/>
      <c r="B200" s="334"/>
      <c r="C200" s="334"/>
      <c r="D200" s="334"/>
      <c r="E200" s="334"/>
      <c r="F200" s="334"/>
      <c r="G200" s="334"/>
      <c r="H200" s="334"/>
      <c r="I200" s="334"/>
      <c r="J200" s="334"/>
      <c r="K200" s="334"/>
      <c r="L200" s="334"/>
      <c r="M200" s="334"/>
      <c r="N200" s="334"/>
    </row>
    <row r="201" spans="1:14" s="314" customFormat="1" ht="16.5" customHeight="1" x14ac:dyDescent="0.35">
      <c r="A201" s="4"/>
      <c r="B201" s="334"/>
      <c r="C201" s="334"/>
      <c r="D201" s="334"/>
      <c r="E201" s="334"/>
      <c r="F201" s="334"/>
      <c r="G201" s="334"/>
      <c r="H201" s="334"/>
      <c r="I201" s="334"/>
      <c r="J201" s="334"/>
      <c r="K201" s="334"/>
      <c r="L201" s="334"/>
      <c r="M201" s="334"/>
      <c r="N201" s="334"/>
    </row>
    <row r="202" spans="1:14" s="314" customFormat="1" ht="16.899999999999999" customHeight="1" x14ac:dyDescent="0.35">
      <c r="A202" s="4"/>
      <c r="B202" s="334"/>
      <c r="C202" s="334"/>
      <c r="D202" s="334"/>
      <c r="E202" s="334"/>
      <c r="F202" s="334"/>
      <c r="G202" s="334"/>
      <c r="H202" s="334"/>
      <c r="I202" s="334"/>
      <c r="J202" s="334"/>
      <c r="K202" s="334"/>
      <c r="L202" s="334"/>
      <c r="M202" s="334"/>
      <c r="N202" s="334"/>
    </row>
    <row r="203" spans="1:14" s="314" customFormat="1" ht="1.5" customHeight="1" x14ac:dyDescent="0.35">
      <c r="A203" s="4"/>
      <c r="B203" s="338"/>
      <c r="C203" s="338"/>
      <c r="D203" s="338"/>
      <c r="E203" s="338"/>
      <c r="F203" s="338"/>
      <c r="G203" s="338"/>
      <c r="H203" s="337"/>
      <c r="I203" s="337"/>
      <c r="J203" s="337"/>
      <c r="K203" s="337"/>
      <c r="L203" s="337"/>
      <c r="M203" s="337"/>
      <c r="N203" s="337"/>
    </row>
    <row r="204" spans="1:14" s="314" customFormat="1" ht="5.15" customHeight="1" x14ac:dyDescent="0.35">
      <c r="A204" s="4"/>
      <c r="B204" s="262"/>
      <c r="C204" s="262"/>
      <c r="D204" s="262"/>
      <c r="E204" s="262"/>
      <c r="F204" s="262"/>
      <c r="G204" s="262"/>
      <c r="H204" s="262"/>
      <c r="I204" s="262"/>
      <c r="J204" s="262"/>
      <c r="K204" s="262"/>
      <c r="L204" s="262"/>
      <c r="M204" s="262"/>
      <c r="N204" s="262"/>
    </row>
    <row r="205" spans="1:14" s="314" customFormat="1" x14ac:dyDescent="0.35">
      <c r="A205" s="4">
        <f>A187+0.1</f>
        <v>4.8999999999999968</v>
      </c>
      <c r="B205" s="236" t="s">
        <v>638</v>
      </c>
      <c r="C205" s="236"/>
      <c r="D205" s="236"/>
      <c r="E205" s="236"/>
      <c r="F205" s="236"/>
      <c r="G205" s="236"/>
      <c r="H205" s="236"/>
      <c r="I205" s="236"/>
      <c r="J205" s="236"/>
      <c r="K205" s="236"/>
      <c r="L205" s="236"/>
      <c r="M205" s="236"/>
      <c r="N205" s="236"/>
    </row>
    <row r="206" spans="1:14" s="314" customFormat="1" ht="5.15" customHeight="1" x14ac:dyDescent="0.35">
      <c r="A206" s="4"/>
    </row>
    <row r="207" spans="1:14" s="314" customFormat="1" x14ac:dyDescent="0.35">
      <c r="A207" s="4"/>
      <c r="B207" s="335" t="s">
        <v>778</v>
      </c>
      <c r="C207" s="335"/>
      <c r="D207" s="335"/>
      <c r="E207" s="335"/>
      <c r="F207" s="335"/>
      <c r="G207" s="335"/>
      <c r="H207" s="335"/>
      <c r="I207" s="335"/>
      <c r="J207" s="335"/>
      <c r="K207" s="335"/>
      <c r="L207" s="335"/>
      <c r="M207" s="335"/>
      <c r="N207" s="335"/>
    </row>
    <row r="208" spans="1:14" s="314" customFormat="1" ht="16.149999999999999" customHeight="1" x14ac:dyDescent="0.35">
      <c r="A208" s="4"/>
      <c r="B208" s="335"/>
      <c r="C208" s="335"/>
      <c r="D208" s="335"/>
      <c r="E208" s="335"/>
      <c r="F208" s="335"/>
      <c r="G208" s="335"/>
      <c r="H208" s="335"/>
      <c r="I208" s="335"/>
      <c r="J208" s="335"/>
      <c r="K208" s="335"/>
      <c r="L208" s="335"/>
      <c r="M208" s="335"/>
      <c r="N208" s="335"/>
    </row>
    <row r="209" spans="1:14" s="314" customFormat="1" ht="5.15" customHeight="1" x14ac:dyDescent="0.35">
      <c r="A209" s="4"/>
    </row>
    <row r="210" spans="1:14" s="236" customFormat="1" x14ac:dyDescent="0.35">
      <c r="A210" s="339" t="s">
        <v>781</v>
      </c>
      <c r="B210" s="236" t="s">
        <v>516</v>
      </c>
    </row>
    <row r="211" spans="1:14" s="314" customFormat="1" ht="5.15" customHeight="1" x14ac:dyDescent="0.35">
      <c r="A211" s="4"/>
    </row>
    <row r="212" spans="1:14" s="314" customFormat="1" x14ac:dyDescent="0.35">
      <c r="A212" s="4"/>
      <c r="B212" s="335" t="s">
        <v>779</v>
      </c>
      <c r="C212" s="335"/>
      <c r="D212" s="335"/>
      <c r="E212" s="335"/>
      <c r="F212" s="335"/>
      <c r="G212" s="335"/>
      <c r="H212" s="335"/>
      <c r="I212" s="335"/>
      <c r="J212" s="335"/>
      <c r="K212" s="335"/>
      <c r="L212" s="335"/>
      <c r="M212" s="335"/>
      <c r="N212" s="335"/>
    </row>
    <row r="213" spans="1:14" s="314" customFormat="1" x14ac:dyDescent="0.35">
      <c r="A213" s="4"/>
      <c r="B213" s="335"/>
      <c r="C213" s="335"/>
      <c r="D213" s="335"/>
      <c r="E213" s="335"/>
      <c r="F213" s="335"/>
      <c r="G213" s="335"/>
      <c r="H213" s="335"/>
      <c r="I213" s="335"/>
      <c r="J213" s="335"/>
      <c r="K213" s="335"/>
      <c r="L213" s="335"/>
      <c r="M213" s="335"/>
      <c r="N213" s="335"/>
    </row>
    <row r="214" spans="1:14" s="314" customFormat="1" x14ac:dyDescent="0.35">
      <c r="A214" s="4"/>
      <c r="B214" s="335"/>
      <c r="C214" s="335"/>
      <c r="D214" s="335"/>
      <c r="E214" s="335"/>
      <c r="F214" s="335"/>
      <c r="G214" s="335"/>
      <c r="H214" s="335"/>
      <c r="I214" s="335"/>
      <c r="J214" s="335"/>
      <c r="K214" s="335"/>
      <c r="L214" s="335"/>
      <c r="M214" s="335"/>
      <c r="N214" s="335"/>
    </row>
    <row r="215" spans="1:14" s="314" customFormat="1" ht="5.15" customHeight="1" x14ac:dyDescent="0.35">
      <c r="A215" s="4"/>
      <c r="B215" s="262"/>
      <c r="C215" s="262"/>
      <c r="D215" s="262"/>
      <c r="E215" s="262"/>
      <c r="F215" s="262"/>
      <c r="G215" s="262"/>
      <c r="H215" s="262"/>
      <c r="I215" s="262"/>
      <c r="J215" s="262"/>
      <c r="K215" s="262"/>
      <c r="L215" s="262"/>
      <c r="M215" s="262"/>
      <c r="N215" s="262"/>
    </row>
    <row r="216" spans="1:14" s="314" customFormat="1" x14ac:dyDescent="0.35">
      <c r="A216" s="339">
        <f>A210+0.01</f>
        <v>4.1099999999999994</v>
      </c>
      <c r="B216" s="236" t="s">
        <v>319</v>
      </c>
    </row>
    <row r="217" spans="1:14" s="314" customFormat="1" ht="5.15" customHeight="1" x14ac:dyDescent="0.35">
      <c r="A217" s="4"/>
    </row>
    <row r="218" spans="1:14" s="314" customFormat="1" x14ac:dyDescent="0.35">
      <c r="A218" s="4"/>
      <c r="B218" s="335" t="s">
        <v>780</v>
      </c>
      <c r="C218" s="335"/>
      <c r="D218" s="335"/>
      <c r="E218" s="335"/>
      <c r="F218" s="335"/>
      <c r="G218" s="335"/>
      <c r="H218" s="335"/>
      <c r="I218" s="335"/>
      <c r="J218" s="335"/>
      <c r="K218" s="335"/>
      <c r="L218" s="335"/>
      <c r="M218" s="335"/>
      <c r="N218" s="335"/>
    </row>
    <row r="219" spans="1:14" s="314" customFormat="1" x14ac:dyDescent="0.35">
      <c r="A219" s="4"/>
      <c r="B219" s="335"/>
      <c r="C219" s="335"/>
      <c r="D219" s="335"/>
      <c r="E219" s="335"/>
      <c r="F219" s="335"/>
      <c r="G219" s="335"/>
      <c r="H219" s="335"/>
      <c r="I219" s="335"/>
      <c r="J219" s="335"/>
      <c r="K219" s="335"/>
      <c r="L219" s="335"/>
      <c r="M219" s="335"/>
      <c r="N219" s="335"/>
    </row>
    <row r="220" spans="1:14" s="314" customFormat="1" ht="5.15" customHeight="1" x14ac:dyDescent="0.35">
      <c r="A220" s="4"/>
    </row>
    <row r="221" spans="1:14" s="236" customFormat="1" x14ac:dyDescent="0.35">
      <c r="A221" s="339">
        <f>A216+0.01</f>
        <v>4.1199999999999992</v>
      </c>
      <c r="B221" s="236" t="s">
        <v>517</v>
      </c>
    </row>
    <row r="222" spans="1:14" s="314" customFormat="1" ht="5.15" customHeight="1" x14ac:dyDescent="0.35">
      <c r="A222" s="4"/>
    </row>
    <row r="223" spans="1:14" s="314" customFormat="1" x14ac:dyDescent="0.35">
      <c r="A223" s="4"/>
      <c r="B223" s="335" t="s">
        <v>518</v>
      </c>
      <c r="C223" s="335"/>
      <c r="D223" s="335"/>
      <c r="E223" s="335"/>
      <c r="F223" s="335"/>
      <c r="G223" s="335"/>
      <c r="H223" s="335"/>
      <c r="I223" s="335"/>
      <c r="J223" s="335"/>
      <c r="K223" s="335"/>
      <c r="L223" s="335"/>
      <c r="M223" s="335"/>
      <c r="N223" s="335"/>
    </row>
    <row r="224" spans="1:14" s="314" customFormat="1" x14ac:dyDescent="0.35">
      <c r="A224" s="4"/>
      <c r="B224" s="335"/>
      <c r="C224" s="335"/>
      <c r="D224" s="335"/>
      <c r="E224" s="335"/>
      <c r="F224" s="335"/>
      <c r="G224" s="335"/>
      <c r="H224" s="335"/>
      <c r="I224" s="335"/>
      <c r="J224" s="335"/>
      <c r="K224" s="335"/>
      <c r="L224" s="335"/>
      <c r="M224" s="335"/>
      <c r="N224" s="335"/>
    </row>
    <row r="225" spans="1:14" s="314" customFormat="1" x14ac:dyDescent="0.35">
      <c r="A225" s="4"/>
      <c r="B225" s="335"/>
      <c r="C225" s="335"/>
      <c r="D225" s="335"/>
      <c r="E225" s="335"/>
      <c r="F225" s="335"/>
      <c r="G225" s="335"/>
      <c r="H225" s="335"/>
      <c r="I225" s="335"/>
      <c r="J225" s="335"/>
      <c r="K225" s="335"/>
      <c r="L225" s="335"/>
      <c r="M225" s="335"/>
      <c r="N225" s="335"/>
    </row>
    <row r="226" spans="1:14" s="314" customFormat="1" ht="5.15" customHeight="1" x14ac:dyDescent="0.35">
      <c r="A226" s="4"/>
    </row>
    <row r="227" spans="1:14" s="236" customFormat="1" x14ac:dyDescent="0.35">
      <c r="A227" s="339">
        <f>A221+0.01</f>
        <v>4.129999999999999</v>
      </c>
      <c r="B227" s="236" t="s">
        <v>78</v>
      </c>
    </row>
    <row r="228" spans="1:14" s="314" customFormat="1" ht="5.15" customHeight="1" x14ac:dyDescent="0.35">
      <c r="A228" s="4"/>
    </row>
    <row r="229" spans="1:14" s="314" customFormat="1" x14ac:dyDescent="0.35">
      <c r="A229" s="4"/>
      <c r="B229" s="236" t="s">
        <v>520</v>
      </c>
    </row>
    <row r="230" spans="1:14" s="314" customFormat="1" ht="5.15" customHeight="1" x14ac:dyDescent="0.35">
      <c r="A230" s="4"/>
    </row>
    <row r="231" spans="1:14" s="314" customFormat="1" x14ac:dyDescent="0.35">
      <c r="A231" s="4"/>
      <c r="B231" s="335" t="s">
        <v>521</v>
      </c>
      <c r="C231" s="335"/>
      <c r="D231" s="335"/>
      <c r="E231" s="335"/>
      <c r="F231" s="335"/>
      <c r="G231" s="335"/>
      <c r="H231" s="335"/>
      <c r="I231" s="335"/>
      <c r="J231" s="335"/>
      <c r="K231" s="335"/>
      <c r="L231" s="335"/>
      <c r="M231" s="335"/>
      <c r="N231" s="335"/>
    </row>
    <row r="232" spans="1:14" s="314" customFormat="1" x14ac:dyDescent="0.35">
      <c r="A232" s="4"/>
      <c r="B232" s="335"/>
      <c r="C232" s="335"/>
      <c r="D232" s="335"/>
      <c r="E232" s="335"/>
      <c r="F232" s="335"/>
      <c r="G232" s="335"/>
      <c r="H232" s="335"/>
      <c r="I232" s="335"/>
      <c r="J232" s="335"/>
      <c r="K232" s="335"/>
      <c r="L232" s="335"/>
      <c r="M232" s="335"/>
      <c r="N232" s="335"/>
    </row>
    <row r="233" spans="1:14" s="314" customFormat="1" ht="5.15" customHeight="1" x14ac:dyDescent="0.35">
      <c r="A233" s="4"/>
      <c r="B233" s="262"/>
      <c r="C233" s="262"/>
      <c r="D233" s="262"/>
      <c r="E233" s="262"/>
      <c r="F233" s="262"/>
      <c r="G233" s="262"/>
      <c r="H233" s="262"/>
      <c r="I233" s="262"/>
      <c r="J233" s="262"/>
      <c r="K233" s="262"/>
      <c r="L233" s="262"/>
      <c r="M233" s="262"/>
      <c r="N233" s="262"/>
    </row>
    <row r="234" spans="1:14" s="314" customFormat="1" x14ac:dyDescent="0.35">
      <c r="A234" s="4"/>
      <c r="B234" s="236" t="s">
        <v>522</v>
      </c>
    </row>
    <row r="235" spans="1:14" s="314" customFormat="1" ht="5.15" customHeight="1" x14ac:dyDescent="0.35">
      <c r="A235" s="4"/>
    </row>
    <row r="236" spans="1:14" s="314" customFormat="1" x14ac:dyDescent="0.35">
      <c r="A236" s="4"/>
      <c r="B236" s="335" t="s">
        <v>523</v>
      </c>
      <c r="C236" s="335"/>
      <c r="D236" s="335"/>
      <c r="E236" s="335"/>
      <c r="F236" s="335"/>
      <c r="G236" s="335"/>
      <c r="H236" s="335"/>
      <c r="I236" s="335"/>
      <c r="J236" s="335"/>
      <c r="K236" s="335"/>
      <c r="L236" s="335"/>
      <c r="M236" s="335"/>
      <c r="N236" s="335"/>
    </row>
    <row r="237" spans="1:14" s="314" customFormat="1" x14ac:dyDescent="0.35">
      <c r="A237" s="4"/>
      <c r="B237" s="335"/>
      <c r="C237" s="335"/>
      <c r="D237" s="335"/>
      <c r="E237" s="335"/>
      <c r="F237" s="335"/>
      <c r="G237" s="335"/>
      <c r="H237" s="335"/>
      <c r="I237" s="335"/>
      <c r="J237" s="335"/>
      <c r="K237" s="335"/>
      <c r="L237" s="335"/>
      <c r="M237" s="335"/>
      <c r="N237" s="335"/>
    </row>
    <row r="238" spans="1:14" s="314" customFormat="1" x14ac:dyDescent="0.35">
      <c r="A238" s="4"/>
      <c r="B238" s="335"/>
      <c r="C238" s="335"/>
      <c r="D238" s="335"/>
      <c r="E238" s="335"/>
      <c r="F238" s="335"/>
      <c r="G238" s="335"/>
      <c r="H238" s="335"/>
      <c r="I238" s="335"/>
      <c r="J238" s="335"/>
      <c r="K238" s="335"/>
      <c r="L238" s="335"/>
      <c r="M238" s="335"/>
      <c r="N238" s="335"/>
    </row>
    <row r="239" spans="1:14" s="314" customFormat="1" x14ac:dyDescent="0.35">
      <c r="A239" s="4"/>
      <c r="B239" s="335"/>
      <c r="C239" s="335"/>
      <c r="D239" s="335"/>
      <c r="E239" s="335"/>
      <c r="F239" s="335"/>
      <c r="G239" s="335"/>
      <c r="H239" s="335"/>
      <c r="I239" s="335"/>
      <c r="J239" s="335"/>
      <c r="K239" s="335"/>
      <c r="L239" s="335"/>
      <c r="M239" s="335"/>
      <c r="N239" s="335"/>
    </row>
    <row r="240" spans="1:14" s="314" customFormat="1" x14ac:dyDescent="0.35">
      <c r="A240" s="4"/>
      <c r="B240" s="335"/>
      <c r="C240" s="335"/>
      <c r="D240" s="335"/>
      <c r="E240" s="335"/>
      <c r="F240" s="335"/>
      <c r="G240" s="335"/>
      <c r="H240" s="335"/>
      <c r="I240" s="335"/>
      <c r="J240" s="335"/>
      <c r="K240" s="335"/>
      <c r="L240" s="335"/>
      <c r="M240" s="335"/>
      <c r="N240" s="335"/>
    </row>
    <row r="241" spans="1:14" s="314" customFormat="1" x14ac:dyDescent="0.35">
      <c r="A241" s="4"/>
      <c r="B241" s="335"/>
      <c r="C241" s="335"/>
      <c r="D241" s="335"/>
      <c r="E241" s="335"/>
      <c r="F241" s="335"/>
      <c r="G241" s="335"/>
      <c r="H241" s="335"/>
      <c r="I241" s="335"/>
      <c r="J241" s="335"/>
      <c r="K241" s="335"/>
      <c r="L241" s="335"/>
      <c r="M241" s="335"/>
      <c r="N241" s="335"/>
    </row>
    <row r="242" spans="1:14" s="314" customFormat="1" x14ac:dyDescent="0.35">
      <c r="A242" s="4"/>
      <c r="B242" s="335"/>
      <c r="C242" s="335"/>
      <c r="D242" s="335"/>
      <c r="E242" s="335"/>
      <c r="F242" s="335"/>
      <c r="G242" s="335"/>
      <c r="H242" s="335"/>
      <c r="I242" s="335"/>
      <c r="J242" s="335"/>
      <c r="K242" s="335"/>
      <c r="L242" s="335"/>
      <c r="M242" s="335"/>
      <c r="N242" s="335"/>
    </row>
    <row r="243" spans="1:14" s="314" customFormat="1" x14ac:dyDescent="0.35">
      <c r="A243" s="4"/>
      <c r="B243" s="335"/>
      <c r="C243" s="335"/>
      <c r="D243" s="335"/>
      <c r="E243" s="335"/>
      <c r="F243" s="335"/>
      <c r="G243" s="335"/>
      <c r="H243" s="335"/>
      <c r="I243" s="335"/>
      <c r="J243" s="335"/>
      <c r="K243" s="335"/>
      <c r="L243" s="335"/>
      <c r="M243" s="335"/>
      <c r="N243" s="335"/>
    </row>
    <row r="244" spans="1:14" s="314" customFormat="1" ht="15.4" customHeight="1" x14ac:dyDescent="0.35">
      <c r="A244" s="4"/>
      <c r="B244" s="335"/>
      <c r="C244" s="335"/>
      <c r="D244" s="335"/>
      <c r="E244" s="335"/>
      <c r="F244" s="335"/>
      <c r="G244" s="335"/>
      <c r="H244" s="335"/>
      <c r="I244" s="335"/>
      <c r="J244" s="335"/>
      <c r="K244" s="335"/>
      <c r="L244" s="335"/>
      <c r="M244" s="335"/>
      <c r="N244" s="335"/>
    </row>
    <row r="245" spans="1:14" s="314" customFormat="1" ht="5.15" customHeight="1" x14ac:dyDescent="0.35">
      <c r="A245" s="4"/>
      <c r="B245" s="262"/>
      <c r="C245" s="262"/>
      <c r="D245" s="262"/>
      <c r="E245" s="262"/>
      <c r="F245" s="262"/>
      <c r="G245" s="262"/>
      <c r="H245" s="262"/>
      <c r="I245" s="262"/>
      <c r="J245" s="262"/>
      <c r="K245" s="262"/>
      <c r="L245" s="262"/>
      <c r="M245" s="262"/>
      <c r="N245" s="262"/>
    </row>
    <row r="246" spans="1:14" s="314" customFormat="1" x14ac:dyDescent="0.35">
      <c r="A246" s="339">
        <f>A227+0.01</f>
        <v>4.1399999999999988</v>
      </c>
      <c r="B246" s="236" t="s">
        <v>519</v>
      </c>
    </row>
    <row r="247" spans="1:14" s="314" customFormat="1" ht="5.15" customHeight="1" x14ac:dyDescent="0.35">
      <c r="A247" s="4"/>
    </row>
    <row r="248" spans="1:14" s="314" customFormat="1" x14ac:dyDescent="0.35">
      <c r="A248" s="4"/>
      <c r="B248" s="335" t="s">
        <v>782</v>
      </c>
      <c r="C248" s="335"/>
      <c r="D248" s="335"/>
      <c r="E248" s="335"/>
      <c r="F248" s="335"/>
      <c r="G248" s="335"/>
      <c r="H248" s="335"/>
      <c r="I248" s="335"/>
      <c r="J248" s="335"/>
      <c r="K248" s="335"/>
      <c r="L248" s="335"/>
      <c r="M248" s="335"/>
      <c r="N248" s="335"/>
    </row>
    <row r="249" spans="1:14" s="314" customFormat="1" x14ac:dyDescent="0.35">
      <c r="A249" s="4"/>
      <c r="B249" s="335"/>
      <c r="C249" s="335"/>
      <c r="D249" s="335"/>
      <c r="E249" s="335"/>
      <c r="F249" s="335"/>
      <c r="G249" s="335"/>
      <c r="H249" s="335"/>
      <c r="I249" s="335"/>
      <c r="J249" s="335"/>
      <c r="K249" s="335"/>
      <c r="L249" s="335"/>
      <c r="M249" s="335"/>
      <c r="N249" s="335"/>
    </row>
    <row r="250" spans="1:14" s="314" customFormat="1" ht="5.15" customHeight="1" x14ac:dyDescent="0.35">
      <c r="A250" s="4"/>
    </row>
    <row r="251" spans="1:14" s="236" customFormat="1" x14ac:dyDescent="0.35">
      <c r="A251" s="4">
        <f>A246+0.01</f>
        <v>4.1499999999999986</v>
      </c>
      <c r="B251" s="340" t="s">
        <v>783</v>
      </c>
      <c r="C251" s="340"/>
      <c r="D251" s="340"/>
      <c r="E251" s="340"/>
      <c r="F251" s="340"/>
      <c r="G251" s="340"/>
      <c r="H251" s="340"/>
      <c r="I251" s="340"/>
      <c r="J251" s="340"/>
      <c r="K251" s="340"/>
      <c r="L251" s="340"/>
      <c r="M251" s="340"/>
      <c r="N251" s="340"/>
    </row>
    <row r="252" spans="1:14" s="314" customFormat="1" ht="5.25" customHeight="1" x14ac:dyDescent="0.35">
      <c r="A252" s="4"/>
      <c r="B252" s="262"/>
      <c r="C252" s="262"/>
      <c r="D252" s="262"/>
      <c r="E252" s="262"/>
      <c r="F252" s="262"/>
      <c r="G252" s="262"/>
      <c r="H252" s="262"/>
      <c r="I252" s="262"/>
      <c r="J252" s="262"/>
      <c r="K252" s="262"/>
      <c r="L252" s="262"/>
      <c r="M252" s="262"/>
      <c r="N252" s="262"/>
    </row>
    <row r="253" spans="1:14" s="314" customFormat="1" x14ac:dyDescent="0.35">
      <c r="A253" s="4"/>
      <c r="B253" s="335" t="s">
        <v>784</v>
      </c>
      <c r="C253" s="335"/>
      <c r="D253" s="335"/>
      <c r="E253" s="335"/>
      <c r="F253" s="335"/>
      <c r="G253" s="335"/>
      <c r="H253" s="335"/>
      <c r="I253" s="335"/>
      <c r="J253" s="335"/>
      <c r="K253" s="335"/>
      <c r="L253" s="335"/>
      <c r="M253" s="335"/>
      <c r="N253" s="335"/>
    </row>
    <row r="254" spans="1:14" s="314" customFormat="1" x14ac:dyDescent="0.35">
      <c r="A254" s="4"/>
      <c r="B254" s="335"/>
      <c r="C254" s="335"/>
      <c r="D254" s="335"/>
      <c r="E254" s="335"/>
      <c r="F254" s="335"/>
      <c r="G254" s="335"/>
      <c r="H254" s="335"/>
      <c r="I254" s="335"/>
      <c r="J254" s="335"/>
      <c r="K254" s="335"/>
      <c r="L254" s="335"/>
      <c r="M254" s="335"/>
      <c r="N254" s="335"/>
    </row>
    <row r="255" spans="1:14" s="314" customFormat="1" ht="5.25" customHeight="1" x14ac:dyDescent="0.35">
      <c r="A255" s="4"/>
      <c r="B255" s="262"/>
      <c r="C255" s="262"/>
      <c r="D255" s="262"/>
      <c r="E255" s="262"/>
      <c r="F255" s="262"/>
      <c r="G255" s="262"/>
      <c r="H255" s="262"/>
      <c r="I255" s="262"/>
      <c r="J255" s="262"/>
      <c r="K255" s="262"/>
      <c r="L255" s="262"/>
      <c r="M255" s="262"/>
      <c r="N255" s="262"/>
    </row>
    <row r="256" spans="1:14" s="236" customFormat="1" x14ac:dyDescent="0.35">
      <c r="A256" s="4"/>
      <c r="B256" s="340" t="s">
        <v>785</v>
      </c>
      <c r="C256" s="340"/>
      <c r="D256" s="340"/>
      <c r="E256" s="340"/>
      <c r="F256" s="340"/>
      <c r="G256" s="340"/>
      <c r="H256" s="340"/>
      <c r="I256" s="340"/>
      <c r="J256" s="340"/>
      <c r="K256" s="340"/>
      <c r="L256" s="340"/>
      <c r="M256" s="340"/>
      <c r="N256" s="340"/>
    </row>
    <row r="257" spans="1:15" x14ac:dyDescent="0.35">
      <c r="A257" s="4"/>
      <c r="B257" s="335" t="s">
        <v>786</v>
      </c>
      <c r="C257" s="335"/>
      <c r="D257" s="335"/>
      <c r="E257" s="335"/>
      <c r="F257" s="335"/>
      <c r="G257" s="335"/>
      <c r="H257" s="335"/>
      <c r="I257" s="335"/>
      <c r="J257" s="335"/>
      <c r="K257" s="335"/>
      <c r="L257" s="335"/>
      <c r="M257" s="335"/>
      <c r="N257" s="335"/>
      <c r="O257" s="314"/>
    </row>
    <row r="258" spans="1:15" x14ac:dyDescent="0.35">
      <c r="A258" s="4"/>
      <c r="B258" s="335"/>
      <c r="C258" s="335"/>
      <c r="D258" s="335"/>
      <c r="E258" s="335"/>
      <c r="F258" s="335"/>
      <c r="G258" s="335"/>
      <c r="H258" s="335"/>
      <c r="I258" s="335"/>
      <c r="J258" s="335"/>
      <c r="K258" s="335"/>
      <c r="L258" s="335"/>
      <c r="M258" s="335"/>
      <c r="N258" s="335"/>
      <c r="O258" s="314"/>
    </row>
    <row r="259" spans="1:15" x14ac:dyDescent="0.35">
      <c r="A259" s="4"/>
      <c r="B259" s="335"/>
      <c r="C259" s="335"/>
      <c r="D259" s="335"/>
      <c r="E259" s="335"/>
      <c r="F259" s="335"/>
      <c r="G259" s="335"/>
      <c r="H259" s="335"/>
      <c r="I259" s="335"/>
      <c r="J259" s="335"/>
      <c r="K259" s="335"/>
      <c r="L259" s="335"/>
      <c r="M259" s="335"/>
      <c r="N259" s="335"/>
      <c r="O259" s="314"/>
    </row>
    <row r="260" spans="1:15" ht="5.25" customHeight="1" x14ac:dyDescent="0.35">
      <c r="A260" s="4"/>
      <c r="B260" s="262"/>
      <c r="C260" s="262"/>
      <c r="D260" s="262"/>
      <c r="E260" s="262"/>
      <c r="F260" s="262"/>
      <c r="G260" s="262"/>
      <c r="H260" s="262"/>
      <c r="I260" s="262"/>
      <c r="J260" s="262"/>
      <c r="K260" s="262"/>
      <c r="L260" s="262"/>
      <c r="M260" s="262"/>
      <c r="N260" s="262"/>
      <c r="O260" s="314"/>
    </row>
    <row r="261" spans="1:15" x14ac:dyDescent="0.35">
      <c r="A261" s="4"/>
      <c r="B261" s="3" t="s">
        <v>787</v>
      </c>
      <c r="C261" s="262"/>
      <c r="D261" s="262"/>
      <c r="E261" s="262"/>
      <c r="F261" s="262"/>
      <c r="G261" s="262"/>
      <c r="H261" s="262"/>
      <c r="I261" s="262"/>
      <c r="J261" s="262"/>
      <c r="K261" s="262"/>
      <c r="L261" s="262"/>
      <c r="M261" s="262"/>
      <c r="N261" s="262"/>
      <c r="O261" s="314"/>
    </row>
    <row r="262" spans="1:15" ht="5.25" customHeight="1" x14ac:dyDescent="0.35">
      <c r="A262" s="4"/>
      <c r="B262" s="262"/>
      <c r="C262" s="262"/>
      <c r="D262" s="262"/>
      <c r="E262" s="262"/>
      <c r="F262" s="262"/>
      <c r="G262" s="262"/>
      <c r="H262" s="262"/>
      <c r="I262" s="262"/>
      <c r="J262" s="262"/>
      <c r="K262" s="262"/>
      <c r="L262" s="262"/>
      <c r="M262" s="262"/>
      <c r="N262" s="262"/>
      <c r="O262" s="314"/>
    </row>
    <row r="263" spans="1:15" x14ac:dyDescent="0.35">
      <c r="A263" s="4"/>
      <c r="B263" s="335" t="s">
        <v>788</v>
      </c>
      <c r="C263" s="335"/>
      <c r="D263" s="335"/>
      <c r="E263" s="335"/>
      <c r="F263" s="335"/>
      <c r="G263" s="335"/>
      <c r="H263" s="335"/>
      <c r="I263" s="335"/>
      <c r="J263" s="335"/>
      <c r="K263" s="335"/>
      <c r="L263" s="335"/>
      <c r="M263" s="335"/>
      <c r="N263" s="335"/>
      <c r="O263" s="314"/>
    </row>
    <row r="264" spans="1:15" x14ac:dyDescent="0.35">
      <c r="A264" s="4"/>
      <c r="B264" s="335"/>
      <c r="C264" s="335"/>
      <c r="D264" s="335"/>
      <c r="E264" s="335"/>
      <c r="F264" s="335"/>
      <c r="G264" s="335"/>
      <c r="H264" s="335"/>
      <c r="I264" s="335"/>
      <c r="J264" s="335"/>
      <c r="K264" s="335"/>
      <c r="L264" s="335"/>
      <c r="M264" s="335"/>
      <c r="N264" s="335"/>
      <c r="O264" s="314"/>
    </row>
    <row r="265" spans="1:15" ht="3" customHeight="1" x14ac:dyDescent="0.35">
      <c r="A265" s="4"/>
      <c r="B265" s="262"/>
      <c r="C265" s="262"/>
      <c r="D265" s="262"/>
      <c r="E265" s="262"/>
      <c r="F265" s="262"/>
      <c r="G265" s="262"/>
      <c r="H265" s="262"/>
      <c r="I265" s="262"/>
      <c r="J265" s="262"/>
      <c r="K265" s="262"/>
      <c r="L265" s="262"/>
      <c r="M265" s="262"/>
      <c r="N265" s="262"/>
      <c r="O265" s="314"/>
    </row>
    <row r="266" spans="1:15" x14ac:dyDescent="0.35">
      <c r="A266" s="313">
        <f>A251+0.01</f>
        <v>4.1599999999999984</v>
      </c>
      <c r="B266" s="267" t="s">
        <v>524</v>
      </c>
    </row>
    <row r="267" spans="1:15" ht="5.15" customHeight="1" x14ac:dyDescent="0.35"/>
    <row r="268" spans="1:15" x14ac:dyDescent="0.35">
      <c r="B268" s="273" t="s">
        <v>525</v>
      </c>
      <c r="C268" s="273"/>
      <c r="D268" s="273"/>
      <c r="E268" s="273"/>
      <c r="F268" s="273"/>
      <c r="G268" s="273"/>
      <c r="H268" s="273"/>
      <c r="I268" s="273"/>
      <c r="J268" s="273"/>
      <c r="K268" s="273"/>
      <c r="L268" s="273"/>
      <c r="M268" s="273"/>
      <c r="N268" s="273"/>
    </row>
    <row r="269" spans="1:15" x14ac:dyDescent="0.35">
      <c r="B269" s="273"/>
      <c r="C269" s="273"/>
      <c r="D269" s="273"/>
      <c r="E269" s="273"/>
      <c r="F269" s="273"/>
      <c r="G269" s="273"/>
      <c r="H269" s="273"/>
      <c r="I269" s="273"/>
      <c r="J269" s="273"/>
      <c r="K269" s="273"/>
      <c r="L269" s="273"/>
      <c r="M269" s="273"/>
      <c r="N269" s="273"/>
    </row>
    <row r="270" spans="1:15" x14ac:dyDescent="0.35">
      <c r="B270" s="273"/>
      <c r="C270" s="273"/>
      <c r="D270" s="273"/>
      <c r="E270" s="273"/>
      <c r="F270" s="273"/>
      <c r="G270" s="273"/>
      <c r="H270" s="273"/>
      <c r="I270" s="273"/>
      <c r="J270" s="273"/>
      <c r="K270" s="273"/>
      <c r="L270" s="273"/>
      <c r="M270" s="273"/>
      <c r="N270" s="273"/>
    </row>
    <row r="271" spans="1:15" ht="5.15" customHeight="1" x14ac:dyDescent="0.35"/>
    <row r="272" spans="1:15" x14ac:dyDescent="0.35">
      <c r="A272" s="313">
        <f>A266+0.01</f>
        <v>4.1699999999999982</v>
      </c>
      <c r="B272" s="267" t="s">
        <v>789</v>
      </c>
    </row>
    <row r="273" spans="1:14" ht="5.15" customHeight="1" x14ac:dyDescent="0.35"/>
    <row r="274" spans="1:14" x14ac:dyDescent="0.35">
      <c r="B274" s="273" t="s">
        <v>790</v>
      </c>
      <c r="C274" s="273"/>
      <c r="D274" s="273"/>
      <c r="E274" s="273"/>
      <c r="F274" s="273"/>
      <c r="G274" s="273"/>
      <c r="H274" s="273"/>
      <c r="I274" s="273"/>
      <c r="J274" s="273"/>
      <c r="K274" s="273"/>
      <c r="L274" s="273"/>
      <c r="M274" s="273"/>
      <c r="N274" s="273"/>
    </row>
    <row r="275" spans="1:14" x14ac:dyDescent="0.35">
      <c r="B275" s="273"/>
      <c r="C275" s="273"/>
      <c r="D275" s="273"/>
      <c r="E275" s="273"/>
      <c r="F275" s="273"/>
      <c r="G275" s="273"/>
      <c r="H275" s="273"/>
      <c r="I275" s="273"/>
      <c r="J275" s="273"/>
      <c r="K275" s="273"/>
      <c r="L275" s="273"/>
      <c r="M275" s="273"/>
      <c r="N275" s="273"/>
    </row>
    <row r="276" spans="1:14" x14ac:dyDescent="0.35">
      <c r="B276" s="273"/>
      <c r="C276" s="273"/>
      <c r="D276" s="273"/>
      <c r="E276" s="273"/>
      <c r="F276" s="273"/>
      <c r="G276" s="273"/>
      <c r="H276" s="273"/>
      <c r="I276" s="273"/>
      <c r="J276" s="273"/>
      <c r="K276" s="273"/>
      <c r="L276" s="273"/>
      <c r="M276" s="273"/>
      <c r="N276" s="273"/>
    </row>
    <row r="277" spans="1:14" ht="6" customHeight="1" x14ac:dyDescent="0.35"/>
    <row r="278" spans="1:14" ht="15" customHeight="1" x14ac:dyDescent="0.35">
      <c r="A278" s="313">
        <f>A272+0.01</f>
        <v>4.1799999999999979</v>
      </c>
      <c r="B278" s="267" t="s">
        <v>526</v>
      </c>
    </row>
    <row r="279" spans="1:14" ht="5.15" customHeight="1" x14ac:dyDescent="0.35"/>
    <row r="280" spans="1:14" x14ac:dyDescent="0.35">
      <c r="B280" s="222" t="s">
        <v>668</v>
      </c>
      <c r="C280" s="222"/>
      <c r="D280" s="222"/>
      <c r="E280" s="222"/>
      <c r="F280" s="222"/>
      <c r="G280" s="222"/>
      <c r="H280" s="222"/>
      <c r="I280" s="222"/>
      <c r="J280" s="222"/>
      <c r="K280" s="222"/>
      <c r="L280" s="222"/>
      <c r="M280" s="222"/>
      <c r="N280" s="222"/>
    </row>
    <row r="281" spans="1:14" x14ac:dyDescent="0.35">
      <c r="B281" s="222"/>
      <c r="C281" s="222"/>
      <c r="D281" s="222"/>
      <c r="E281" s="222"/>
      <c r="F281" s="222"/>
      <c r="G281" s="222"/>
      <c r="H281" s="222"/>
      <c r="I281" s="222"/>
      <c r="J281" s="222"/>
      <c r="K281" s="222"/>
      <c r="L281" s="222"/>
      <c r="M281" s="222"/>
      <c r="N281" s="222"/>
    </row>
    <row r="282" spans="1:14" ht="5.15" customHeight="1" x14ac:dyDescent="0.35"/>
    <row r="283" spans="1:14" x14ac:dyDescent="0.35">
      <c r="A283" s="315" t="s">
        <v>347</v>
      </c>
      <c r="B283" s="222" t="s">
        <v>791</v>
      </c>
      <c r="C283" s="222"/>
      <c r="D283" s="222"/>
      <c r="E283" s="222"/>
      <c r="F283" s="222"/>
      <c r="G283" s="222"/>
      <c r="H283" s="222"/>
      <c r="I283" s="222"/>
      <c r="J283" s="222"/>
      <c r="K283" s="222"/>
      <c r="L283" s="222"/>
      <c r="M283" s="222"/>
      <c r="N283" s="222"/>
    </row>
    <row r="284" spans="1:14" x14ac:dyDescent="0.35">
      <c r="A284" s="315"/>
      <c r="B284" s="222"/>
      <c r="C284" s="222"/>
      <c r="D284" s="222"/>
      <c r="E284" s="222"/>
      <c r="F284" s="222"/>
      <c r="G284" s="222"/>
      <c r="H284" s="222"/>
      <c r="I284" s="222"/>
      <c r="J284" s="222"/>
      <c r="K284" s="222"/>
      <c r="L284" s="222"/>
      <c r="M284" s="222"/>
      <c r="N284" s="222"/>
    </row>
    <row r="285" spans="1:14" ht="5.15" customHeight="1" x14ac:dyDescent="0.35"/>
    <row r="286" spans="1:14" x14ac:dyDescent="0.35">
      <c r="A286" s="315" t="s">
        <v>347</v>
      </c>
      <c r="B286" s="233" t="s">
        <v>667</v>
      </c>
    </row>
    <row r="287" spans="1:14" ht="5.15" customHeight="1" x14ac:dyDescent="0.35"/>
    <row r="288" spans="1:14" x14ac:dyDescent="0.35">
      <c r="A288" s="313">
        <f>A278+0.01</f>
        <v>4.1899999999999977</v>
      </c>
      <c r="B288" s="267" t="s">
        <v>792</v>
      </c>
      <c r="C288" s="319"/>
      <c r="D288" s="319"/>
      <c r="E288" s="319"/>
      <c r="F288" s="319"/>
      <c r="G288" s="319"/>
      <c r="H288" s="319"/>
      <c r="I288" s="319"/>
      <c r="J288" s="319"/>
      <c r="K288" s="319"/>
      <c r="L288" s="319"/>
      <c r="M288" s="319"/>
      <c r="N288" s="319"/>
    </row>
    <row r="289" spans="1:14" ht="5.15" customHeight="1" x14ac:dyDescent="0.35"/>
    <row r="290" spans="1:14" x14ac:dyDescent="0.35">
      <c r="B290" s="273" t="s">
        <v>793</v>
      </c>
      <c r="C290" s="222"/>
      <c r="D290" s="222"/>
      <c r="E290" s="222"/>
      <c r="F290" s="222"/>
      <c r="G290" s="222"/>
      <c r="H290" s="222"/>
      <c r="I290" s="222"/>
      <c r="J290" s="222"/>
      <c r="K290" s="222"/>
      <c r="L290" s="222"/>
      <c r="M290" s="222"/>
      <c r="N290" s="222"/>
    </row>
    <row r="291" spans="1:14" x14ac:dyDescent="0.35">
      <c r="B291" s="222"/>
      <c r="C291" s="222"/>
      <c r="D291" s="222"/>
      <c r="E291" s="222"/>
      <c r="F291" s="222"/>
      <c r="G291" s="222"/>
      <c r="H291" s="222"/>
      <c r="I291" s="222"/>
      <c r="J291" s="222"/>
      <c r="K291" s="222"/>
      <c r="L291" s="222"/>
      <c r="M291" s="222"/>
      <c r="N291" s="222"/>
    </row>
    <row r="292" spans="1:14" x14ac:dyDescent="0.35">
      <c r="B292" s="222"/>
      <c r="C292" s="222"/>
      <c r="D292" s="222"/>
      <c r="E292" s="222"/>
      <c r="F292" s="222"/>
      <c r="G292" s="222"/>
      <c r="H292" s="222"/>
      <c r="I292" s="222"/>
      <c r="J292" s="222"/>
      <c r="K292" s="222"/>
      <c r="L292" s="222"/>
      <c r="M292" s="222"/>
      <c r="N292" s="222"/>
    </row>
    <row r="293" spans="1:14" x14ac:dyDescent="0.35">
      <c r="B293" s="222"/>
      <c r="C293" s="222"/>
      <c r="D293" s="222"/>
      <c r="E293" s="222"/>
      <c r="F293" s="222"/>
      <c r="G293" s="222"/>
      <c r="H293" s="222"/>
      <c r="I293" s="222"/>
      <c r="J293" s="222"/>
      <c r="K293" s="222"/>
      <c r="L293" s="222"/>
      <c r="M293" s="222"/>
      <c r="N293" s="222"/>
    </row>
    <row r="294" spans="1:14" ht="9" customHeight="1" x14ac:dyDescent="0.35">
      <c r="B294" s="222"/>
      <c r="C294" s="222"/>
      <c r="D294" s="222"/>
      <c r="E294" s="222"/>
      <c r="F294" s="222"/>
      <c r="G294" s="222"/>
      <c r="H294" s="222"/>
      <c r="I294" s="222"/>
      <c r="J294" s="222"/>
      <c r="K294" s="222"/>
      <c r="L294" s="222"/>
      <c r="M294" s="222"/>
      <c r="N294" s="222"/>
    </row>
    <row r="295" spans="1:14" ht="5.15" customHeight="1" x14ac:dyDescent="0.35"/>
    <row r="296" spans="1:14" x14ac:dyDescent="0.35">
      <c r="A296" s="312" t="s">
        <v>796</v>
      </c>
      <c r="B296" s="267" t="s">
        <v>794</v>
      </c>
      <c r="C296" s="319"/>
      <c r="D296" s="319"/>
      <c r="E296" s="319"/>
      <c r="F296" s="319"/>
      <c r="G296" s="319"/>
      <c r="H296" s="319"/>
      <c r="I296" s="319"/>
      <c r="J296" s="319"/>
      <c r="K296" s="319"/>
      <c r="L296" s="319"/>
      <c r="M296" s="319"/>
      <c r="N296" s="319"/>
    </row>
    <row r="297" spans="1:14" ht="5.15" customHeight="1" x14ac:dyDescent="0.35"/>
    <row r="298" spans="1:14" x14ac:dyDescent="0.35">
      <c r="B298" s="273" t="s">
        <v>795</v>
      </c>
      <c r="C298" s="222"/>
      <c r="D298" s="222"/>
      <c r="E298" s="222"/>
      <c r="F298" s="222"/>
      <c r="G298" s="222"/>
      <c r="H298" s="222"/>
      <c r="I298" s="222"/>
      <c r="J298" s="222"/>
      <c r="K298" s="222"/>
      <c r="L298" s="222"/>
      <c r="M298" s="222"/>
      <c r="N298" s="222"/>
    </row>
    <row r="299" spans="1:14" x14ac:dyDescent="0.35">
      <c r="B299" s="222"/>
      <c r="C299" s="222"/>
      <c r="D299" s="222"/>
      <c r="E299" s="222"/>
      <c r="F299" s="222"/>
      <c r="G299" s="222"/>
      <c r="H299" s="222"/>
      <c r="I299" s="222"/>
      <c r="J299" s="222"/>
      <c r="K299" s="222"/>
      <c r="L299" s="222"/>
      <c r="M299" s="222"/>
      <c r="N299" s="222"/>
    </row>
    <row r="300" spans="1:14" x14ac:dyDescent="0.35">
      <c r="B300" s="222"/>
      <c r="C300" s="222"/>
      <c r="D300" s="222"/>
      <c r="E300" s="222"/>
      <c r="F300" s="222"/>
      <c r="G300" s="222"/>
      <c r="H300" s="222"/>
      <c r="I300" s="222"/>
      <c r="J300" s="222"/>
      <c r="K300" s="222"/>
      <c r="L300" s="222"/>
      <c r="M300" s="222"/>
      <c r="N300" s="222"/>
    </row>
    <row r="301" spans="1:14" ht="5.15" customHeight="1" x14ac:dyDescent="0.35"/>
  </sheetData>
  <mergeCells count="76">
    <mergeCell ref="B218:N219"/>
    <mergeCell ref="B223:N225"/>
    <mergeCell ref="B231:N232"/>
    <mergeCell ref="B236:N244"/>
    <mergeCell ref="B248:N249"/>
    <mergeCell ref="B163:N167"/>
    <mergeCell ref="B169:N171"/>
    <mergeCell ref="B173:N174"/>
    <mergeCell ref="B176:N179"/>
    <mergeCell ref="B183:N185"/>
    <mergeCell ref="B189:N192"/>
    <mergeCell ref="B194:N197"/>
    <mergeCell ref="B199:N202"/>
    <mergeCell ref="B207:N208"/>
    <mergeCell ref="B212:N214"/>
    <mergeCell ref="B80:N80"/>
    <mergeCell ref="B82:N84"/>
    <mergeCell ref="B96:N99"/>
    <mergeCell ref="B158:N159"/>
    <mergeCell ref="E152:N152"/>
    <mergeCell ref="E147:N147"/>
    <mergeCell ref="B148:D148"/>
    <mergeCell ref="B129:N132"/>
    <mergeCell ref="B140:N141"/>
    <mergeCell ref="B154:D154"/>
    <mergeCell ref="B155:D155"/>
    <mergeCell ref="B156:D156"/>
    <mergeCell ref="E154:N154"/>
    <mergeCell ref="E155:N155"/>
    <mergeCell ref="E156:N156"/>
    <mergeCell ref="E153:N153"/>
    <mergeCell ref="B153:D153"/>
    <mergeCell ref="B147:D147"/>
    <mergeCell ref="B110:N113"/>
    <mergeCell ref="B115:N118"/>
    <mergeCell ref="B136:N138"/>
    <mergeCell ref="E148:N148"/>
    <mergeCell ref="B122:N124"/>
    <mergeCell ref="B126:N127"/>
    <mergeCell ref="E149:N149"/>
    <mergeCell ref="E150:N150"/>
    <mergeCell ref="E151:N151"/>
    <mergeCell ref="B152:D152"/>
    <mergeCell ref="B149:D149"/>
    <mergeCell ref="B150:D150"/>
    <mergeCell ref="B151:D151"/>
    <mergeCell ref="B101:N102"/>
    <mergeCell ref="B104:N106"/>
    <mergeCell ref="B86:N87"/>
    <mergeCell ref="B89:N91"/>
    <mergeCell ref="B93:N94"/>
    <mergeCell ref="B7:N11"/>
    <mergeCell ref="B22:N23"/>
    <mergeCell ref="B38:N43"/>
    <mergeCell ref="B77:N78"/>
    <mergeCell ref="B34:N34"/>
    <mergeCell ref="B45:N46"/>
    <mergeCell ref="B24:N25"/>
    <mergeCell ref="B28:N30"/>
    <mergeCell ref="B26:N26"/>
    <mergeCell ref="B51:N52"/>
    <mergeCell ref="B57:N58"/>
    <mergeCell ref="B64:N65"/>
    <mergeCell ref="B70:N71"/>
    <mergeCell ref="B17:N18"/>
    <mergeCell ref="B54:N55"/>
    <mergeCell ref="B27:N27"/>
    <mergeCell ref="B280:N281"/>
    <mergeCell ref="B283:N284"/>
    <mergeCell ref="B290:N294"/>
    <mergeCell ref="B298:N300"/>
    <mergeCell ref="B253:N254"/>
    <mergeCell ref="B257:N259"/>
    <mergeCell ref="B263:N264"/>
    <mergeCell ref="B268:N270"/>
    <mergeCell ref="B274:N276"/>
  </mergeCells>
  <pageMargins left="0.7" right="0.7" top="0.75" bottom="0.75" header="0.3" footer="0.3"/>
  <pageSetup scale="8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Z81"/>
  <sheetViews>
    <sheetView view="pageBreakPreview" topLeftCell="A57" zoomScaleNormal="100" zoomScaleSheetLayoutView="100" workbookViewId="0">
      <selection activeCell="B70" sqref="B70:B71"/>
    </sheetView>
  </sheetViews>
  <sheetFormatPr defaultColWidth="0" defaultRowHeight="14" x14ac:dyDescent="0.3"/>
  <cols>
    <col min="1" max="1" width="6.26953125" style="28" customWidth="1"/>
    <col min="2" max="2" width="40.81640625" style="28" customWidth="1"/>
    <col min="3" max="3" width="0.7265625" style="28" customWidth="1"/>
    <col min="4" max="4" width="14.453125" style="28" customWidth="1"/>
    <col min="5" max="5" width="0.54296875" style="28" customWidth="1"/>
    <col min="6" max="6" width="14.453125" style="28" customWidth="1"/>
    <col min="7" max="7" width="0.54296875" style="28" customWidth="1"/>
    <col min="8" max="8" width="14.453125" style="28" customWidth="1"/>
    <col min="9" max="9" width="0.54296875" style="28" customWidth="1"/>
    <col min="10" max="10" width="14.453125" style="28" customWidth="1"/>
    <col min="11" max="11" width="0.54296875" style="28" customWidth="1"/>
    <col min="12" max="12" width="14.453125" style="28" customWidth="1"/>
    <col min="13" max="13" width="0.54296875" style="28" customWidth="1"/>
    <col min="14" max="14" width="14.453125" style="28" customWidth="1"/>
    <col min="15" max="15" width="0.54296875" style="28" customWidth="1"/>
    <col min="16" max="16" width="14.453125" style="28" customWidth="1"/>
    <col min="17" max="17" width="0.54296875" style="28" customWidth="1"/>
    <col min="18" max="18" width="14.453125" style="28" customWidth="1"/>
    <col min="19" max="19" width="0.54296875" style="28" customWidth="1"/>
    <col min="20" max="20" width="14.453125" style="28" customWidth="1"/>
    <col min="21" max="21" width="0.54296875" style="28" customWidth="1"/>
    <col min="22" max="22" width="14.453125" style="28" customWidth="1"/>
    <col min="23" max="23" width="0.54296875" style="28" customWidth="1"/>
    <col min="24" max="24" width="14.453125" style="28" customWidth="1"/>
    <col min="25" max="25" width="0.54296875" style="28" customWidth="1"/>
    <col min="26" max="26" width="14.453125" style="28" customWidth="1"/>
    <col min="27" max="27" width="0.54296875" style="28" customWidth="1"/>
    <col min="28" max="28" width="14.453125" style="28" customWidth="1"/>
    <col min="29" max="52" width="9.1796875" style="28" customWidth="1"/>
    <col min="53" max="16384" width="9.1796875" style="28" hidden="1"/>
  </cols>
  <sheetData>
    <row r="1" spans="1:26" s="363" customFormat="1" ht="15" x14ac:dyDescent="0.3">
      <c r="A1" s="363" t="str">
        <f>Cover!C1</f>
        <v>ABC LIMITED</v>
      </c>
    </row>
    <row r="2" spans="1:26" s="363" customFormat="1" ht="15" x14ac:dyDescent="0.3">
      <c r="A2" s="363" t="str">
        <f>Policies!A2</f>
        <v>NOTES TO THE FINANCIAL STATEMENTS</v>
      </c>
    </row>
    <row r="3" spans="1:26" s="383" customFormat="1" ht="15.5" thickBot="1" x14ac:dyDescent="0.35">
      <c r="A3" s="383" t="str">
        <f>Cover!C3</f>
        <v>FOR THE YEAR ENDED JUNE 30, 2023</v>
      </c>
    </row>
    <row r="4" spans="1:26" ht="14.5" thickTop="1" x14ac:dyDescent="0.3"/>
    <row r="5" spans="1:26" s="101" customFormat="1" x14ac:dyDescent="0.3">
      <c r="A5" s="282">
        <f>SOFP!J10</f>
        <v>5</v>
      </c>
      <c r="B5" s="283" t="str">
        <f>SOFP!B10</f>
        <v xml:space="preserve">Property, plant and equipment </v>
      </c>
      <c r="C5" s="284"/>
      <c r="H5" s="284"/>
      <c r="I5" s="284"/>
      <c r="J5" s="5" t="str">
        <f>SOFP!J5</f>
        <v>Note</v>
      </c>
      <c r="K5" s="5"/>
      <c r="L5" s="399" t="str">
        <f>SOFP!L5</f>
        <v>2023</v>
      </c>
      <c r="M5" s="28"/>
      <c r="N5" s="399" t="str">
        <f>SOFP!N5</f>
        <v>2022</v>
      </c>
      <c r="O5" s="284"/>
      <c r="Q5" s="284"/>
      <c r="S5" s="284"/>
      <c r="U5" s="284"/>
      <c r="W5" s="284"/>
    </row>
    <row r="6" spans="1:26" s="101" customFormat="1" x14ac:dyDescent="0.3">
      <c r="A6" s="284"/>
      <c r="B6" s="284"/>
      <c r="C6" s="284"/>
      <c r="H6" s="284"/>
      <c r="I6" s="284"/>
      <c r="J6" s="5"/>
      <c r="K6" s="5"/>
      <c r="L6" s="397" t="str">
        <f>SOFP!L6</f>
        <v>------------- Rupees -------------</v>
      </c>
      <c r="M6" s="397"/>
      <c r="N6" s="397"/>
      <c r="O6" s="284"/>
      <c r="Q6" s="284"/>
      <c r="S6" s="284"/>
      <c r="U6" s="284"/>
      <c r="W6" s="284"/>
    </row>
    <row r="7" spans="1:26" s="101" customFormat="1" ht="3" customHeight="1" x14ac:dyDescent="0.3">
      <c r="A7" s="284"/>
      <c r="B7" s="284"/>
      <c r="C7" s="284"/>
      <c r="H7" s="284"/>
      <c r="I7" s="284"/>
      <c r="J7" s="284"/>
      <c r="K7" s="284"/>
      <c r="L7" s="286"/>
      <c r="M7" s="286"/>
      <c r="N7" s="286"/>
      <c r="O7" s="284"/>
      <c r="Q7" s="284"/>
      <c r="S7" s="284"/>
      <c r="U7" s="284"/>
      <c r="W7" s="284"/>
    </row>
    <row r="8" spans="1:26" s="101" customFormat="1" x14ac:dyDescent="0.3">
      <c r="A8" s="284"/>
      <c r="B8" s="284" t="s">
        <v>308</v>
      </c>
      <c r="C8" s="284"/>
      <c r="H8" s="284"/>
      <c r="I8" s="284"/>
      <c r="J8" s="287">
        <f>A13</f>
        <v>5.0999999999999996</v>
      </c>
      <c r="K8" s="284"/>
      <c r="L8" s="288">
        <f>Z66</f>
        <v>0</v>
      </c>
      <c r="M8" s="286"/>
      <c r="N8" s="286">
        <f>Z64</f>
        <v>0</v>
      </c>
      <c r="O8" s="284"/>
      <c r="Q8" s="284"/>
      <c r="S8" s="284"/>
      <c r="U8" s="284"/>
      <c r="W8" s="284"/>
    </row>
    <row r="9" spans="1:26" s="101" customFormat="1" x14ac:dyDescent="0.3">
      <c r="A9" s="284"/>
      <c r="B9" s="284" t="s">
        <v>309</v>
      </c>
      <c r="C9" s="284"/>
      <c r="H9" s="284"/>
      <c r="I9" s="284"/>
      <c r="J9" s="284"/>
      <c r="K9" s="284"/>
      <c r="L9" s="288"/>
      <c r="M9" s="286"/>
      <c r="N9" s="286"/>
      <c r="O9" s="284"/>
      <c r="Q9" s="284"/>
      <c r="S9" s="284"/>
      <c r="U9" s="284"/>
      <c r="W9" s="284"/>
    </row>
    <row r="10" spans="1:26" s="101" customFormat="1" ht="3" customHeight="1" x14ac:dyDescent="0.3">
      <c r="A10" s="284"/>
      <c r="B10" s="284"/>
      <c r="C10" s="284"/>
      <c r="H10" s="284"/>
      <c r="I10" s="284"/>
      <c r="J10" s="284"/>
      <c r="K10" s="284"/>
      <c r="L10" s="288"/>
      <c r="M10" s="286"/>
      <c r="N10" s="286"/>
      <c r="O10" s="284"/>
      <c r="Q10" s="284"/>
      <c r="S10" s="284"/>
      <c r="U10" s="284"/>
      <c r="W10" s="284"/>
    </row>
    <row r="11" spans="1:26" s="101" customFormat="1" ht="14.5" thickBot="1" x14ac:dyDescent="0.35">
      <c r="A11" s="284"/>
      <c r="B11" s="284"/>
      <c r="C11" s="284"/>
      <c r="H11" s="284"/>
      <c r="I11" s="284"/>
      <c r="J11" s="284"/>
      <c r="K11" s="284"/>
      <c r="L11" s="289">
        <f>SUM(L8:L10)</f>
        <v>0</v>
      </c>
      <c r="M11" s="288"/>
      <c r="N11" s="289">
        <f>SUM(N8:N10)</f>
        <v>0</v>
      </c>
      <c r="O11" s="284"/>
      <c r="Q11" s="284"/>
      <c r="S11" s="284"/>
      <c r="U11" s="284"/>
      <c r="W11" s="284"/>
    </row>
    <row r="12" spans="1:26" s="101" customFormat="1" ht="3" customHeight="1" x14ac:dyDescent="0.3">
      <c r="C12" s="290"/>
      <c r="H12" s="290"/>
      <c r="I12" s="290"/>
      <c r="J12" s="288"/>
      <c r="K12" s="288"/>
      <c r="L12" s="288"/>
      <c r="M12" s="288"/>
      <c r="N12" s="288"/>
      <c r="O12" s="288"/>
      <c r="Q12" s="288"/>
      <c r="S12" s="288"/>
      <c r="U12" s="288"/>
      <c r="W12" s="288"/>
    </row>
    <row r="13" spans="1:26" s="101" customFormat="1" x14ac:dyDescent="0.3">
      <c r="A13" s="291">
        <f>A5+0.1</f>
        <v>5.0999999999999996</v>
      </c>
      <c r="B13" s="283" t="str">
        <f>B8</f>
        <v>Operating fixed assets</v>
      </c>
      <c r="C13" s="292"/>
      <c r="H13" s="292"/>
      <c r="I13" s="292"/>
      <c r="J13" s="292"/>
      <c r="K13" s="292"/>
      <c r="L13" s="292"/>
      <c r="M13" s="292"/>
      <c r="N13" s="293"/>
      <c r="O13" s="292"/>
      <c r="P13" s="292"/>
      <c r="Q13" s="292"/>
      <c r="R13" s="292"/>
      <c r="S13" s="292"/>
      <c r="T13" s="292"/>
      <c r="U13" s="292"/>
      <c r="V13" s="292"/>
      <c r="W13" s="292"/>
      <c r="X13" s="292"/>
      <c r="Y13" s="292"/>
      <c r="Z13" s="292"/>
    </row>
    <row r="14" spans="1:26" s="101" customFormat="1" x14ac:dyDescent="0.3">
      <c r="A14" s="292"/>
      <c r="B14" s="292"/>
      <c r="C14" s="292"/>
      <c r="H14" s="403" t="s">
        <v>310</v>
      </c>
      <c r="I14" s="404"/>
      <c r="J14" s="404"/>
      <c r="K14" s="404"/>
      <c r="L14" s="404"/>
      <c r="M14" s="404"/>
      <c r="N14" s="404"/>
      <c r="O14" s="404"/>
      <c r="P14" s="404"/>
      <c r="Q14" s="404"/>
      <c r="R14" s="404"/>
      <c r="S14" s="404"/>
      <c r="T14" s="404"/>
      <c r="U14" s="404"/>
      <c r="V14" s="404"/>
      <c r="W14" s="404"/>
      <c r="X14" s="404"/>
      <c r="Y14" s="292"/>
      <c r="Z14" s="405" t="s">
        <v>28</v>
      </c>
    </row>
    <row r="15" spans="1:26" s="295" customFormat="1" ht="42" x14ac:dyDescent="0.3">
      <c r="A15" s="294"/>
      <c r="B15" s="294"/>
      <c r="C15" s="294"/>
      <c r="H15" s="406" t="s">
        <v>311</v>
      </c>
      <c r="I15" s="407"/>
      <c r="J15" s="406" t="s">
        <v>312</v>
      </c>
      <c r="K15" s="407"/>
      <c r="L15" s="406" t="s">
        <v>313</v>
      </c>
      <c r="M15" s="407"/>
      <c r="N15" s="406" t="s">
        <v>314</v>
      </c>
      <c r="O15" s="407"/>
      <c r="P15" s="406" t="s">
        <v>315</v>
      </c>
      <c r="Q15" s="407"/>
      <c r="R15" s="406" t="s">
        <v>280</v>
      </c>
      <c r="S15" s="407"/>
      <c r="T15" s="406" t="s">
        <v>316</v>
      </c>
      <c r="U15" s="407"/>
      <c r="V15" s="406" t="s">
        <v>317</v>
      </c>
      <c r="W15" s="407"/>
      <c r="X15" s="406" t="s">
        <v>318</v>
      </c>
      <c r="Y15" s="292"/>
      <c r="Z15" s="408"/>
    </row>
    <row r="16" spans="1:26" s="295" customFormat="1" ht="15" customHeight="1" x14ac:dyDescent="0.3">
      <c r="A16" s="294"/>
      <c r="B16" s="294"/>
      <c r="C16" s="294"/>
      <c r="H16" s="409" t="str">
        <f>SOCIE!H6</f>
        <v>------------------------------------- Rupees -------------------------------------</v>
      </c>
      <c r="I16" s="410"/>
      <c r="J16" s="410"/>
      <c r="K16" s="410"/>
      <c r="L16" s="410"/>
      <c r="M16" s="410"/>
      <c r="N16" s="410"/>
      <c r="O16" s="410"/>
      <c r="P16" s="410"/>
      <c r="Q16" s="410"/>
      <c r="R16" s="410"/>
      <c r="S16" s="410"/>
      <c r="T16" s="410"/>
      <c r="U16" s="410"/>
      <c r="V16" s="410"/>
      <c r="W16" s="410"/>
      <c r="X16" s="410"/>
      <c r="Y16" s="410"/>
      <c r="Z16" s="410"/>
    </row>
    <row r="17" spans="1:26" s="101" customFormat="1" ht="3" customHeight="1" x14ac:dyDescent="0.3">
      <c r="A17" s="292"/>
      <c r="B17" s="292"/>
      <c r="C17" s="292"/>
      <c r="H17" s="296"/>
      <c r="I17" s="297"/>
      <c r="J17" s="297"/>
      <c r="K17" s="297"/>
      <c r="L17" s="297"/>
      <c r="M17" s="297"/>
      <c r="N17" s="297"/>
      <c r="O17" s="297"/>
      <c r="P17" s="297"/>
      <c r="Q17" s="297"/>
      <c r="R17" s="297"/>
      <c r="S17" s="297"/>
      <c r="T17" s="297"/>
      <c r="U17" s="297"/>
      <c r="V17" s="297"/>
      <c r="W17" s="297"/>
      <c r="X17" s="297"/>
      <c r="Y17" s="297"/>
      <c r="Z17" s="297"/>
    </row>
    <row r="18" spans="1:26" s="101" customFormat="1" x14ac:dyDescent="0.3">
      <c r="A18" s="298" t="s">
        <v>302</v>
      </c>
      <c r="B18" s="298"/>
      <c r="C18" s="298"/>
      <c r="H18" s="299"/>
      <c r="I18" s="299"/>
      <c r="J18" s="299"/>
      <c r="K18" s="299"/>
      <c r="L18" s="299"/>
      <c r="M18" s="299"/>
      <c r="N18" s="299"/>
      <c r="O18" s="299"/>
      <c r="P18" s="299"/>
      <c r="Q18" s="299"/>
      <c r="R18" s="299"/>
      <c r="S18" s="299"/>
      <c r="T18" s="299"/>
      <c r="U18" s="299"/>
      <c r="V18" s="299"/>
      <c r="W18" s="299"/>
      <c r="X18" s="299"/>
      <c r="Y18" s="62"/>
      <c r="Z18" s="299"/>
    </row>
    <row r="19" spans="1:26" s="101" customFormat="1" ht="3" customHeight="1" x14ac:dyDescent="0.3">
      <c r="A19" s="284"/>
      <c r="B19" s="284"/>
      <c r="C19" s="284"/>
      <c r="H19" s="79"/>
      <c r="I19" s="79"/>
      <c r="J19" s="79"/>
      <c r="K19" s="79"/>
      <c r="L19" s="79"/>
      <c r="M19" s="79"/>
      <c r="N19" s="79"/>
      <c r="O19" s="79"/>
      <c r="P19" s="79"/>
      <c r="Q19" s="79"/>
      <c r="R19" s="79"/>
      <c r="S19" s="79"/>
      <c r="T19" s="79"/>
      <c r="U19" s="79"/>
      <c r="V19" s="79"/>
      <c r="W19" s="79"/>
      <c r="X19" s="79"/>
      <c r="Y19" s="88"/>
      <c r="Z19" s="79"/>
    </row>
    <row r="20" spans="1:26" s="101" customFormat="1" x14ac:dyDescent="0.3">
      <c r="A20" s="284"/>
      <c r="B20" s="284" t="str">
        <f>("Balance as at " &amp;Cover!E7 &amp;" - Cost")</f>
        <v>Balance as at July 01, 2021 - Cost</v>
      </c>
      <c r="C20" s="284"/>
      <c r="H20" s="79"/>
      <c r="I20" s="284"/>
      <c r="J20" s="79"/>
      <c r="K20" s="284"/>
      <c r="L20" s="79">
        <v>0</v>
      </c>
      <c r="M20" s="284"/>
      <c r="N20" s="79"/>
      <c r="O20" s="284"/>
      <c r="P20" s="79"/>
      <c r="Q20" s="284"/>
      <c r="R20" s="79">
        <v>0</v>
      </c>
      <c r="S20" s="284"/>
      <c r="T20" s="79"/>
      <c r="U20" s="284"/>
      <c r="V20" s="79">
        <v>0</v>
      </c>
      <c r="W20" s="284"/>
      <c r="X20" s="79"/>
      <c r="Y20" s="284"/>
      <c r="Z20" s="79">
        <f>SUM(H20:X20)</f>
        <v>0</v>
      </c>
    </row>
    <row r="21" spans="1:26" s="101" customFormat="1" ht="15.5" x14ac:dyDescent="0.3">
      <c r="A21" s="284"/>
      <c r="B21" s="284" t="str">
        <f>("Balance as at " &amp;Cover!E7 &amp;" - Revaluation")</f>
        <v>Balance as at July 01, 2021 - Revaluation</v>
      </c>
      <c r="C21" s="284"/>
      <c r="H21" s="79">
        <v>0</v>
      </c>
      <c r="I21" s="284"/>
      <c r="J21" s="79"/>
      <c r="K21" s="284"/>
      <c r="L21" s="79"/>
      <c r="M21" s="284"/>
      <c r="N21" s="79"/>
      <c r="O21" s="284"/>
      <c r="P21" s="79"/>
      <c r="Q21" s="284"/>
      <c r="R21" s="300"/>
      <c r="S21" s="284"/>
      <c r="T21" s="79"/>
      <c r="U21" s="284"/>
      <c r="V21" s="79"/>
      <c r="W21" s="284"/>
      <c r="X21" s="79"/>
      <c r="Y21" s="284"/>
      <c r="Z21" s="79">
        <f>SUM(H21:X21)</f>
        <v>0</v>
      </c>
    </row>
    <row r="22" spans="1:26" s="101" customFormat="1" x14ac:dyDescent="0.3">
      <c r="A22" s="284"/>
      <c r="B22" s="284"/>
      <c r="C22" s="284"/>
      <c r="H22" s="301">
        <f>SUM(H20:H21)</f>
        <v>0</v>
      </c>
      <c r="I22" s="284"/>
      <c r="J22" s="301">
        <f>SUM(J20:J21)</f>
        <v>0</v>
      </c>
      <c r="K22" s="284"/>
      <c r="L22" s="301">
        <f>SUM(L20:L21)</f>
        <v>0</v>
      </c>
      <c r="M22" s="284"/>
      <c r="N22" s="301">
        <f>SUM(N20:N21)</f>
        <v>0</v>
      </c>
      <c r="O22" s="284"/>
      <c r="P22" s="301">
        <f>SUM(P20:P21)</f>
        <v>0</v>
      </c>
      <c r="Q22" s="284"/>
      <c r="R22" s="301">
        <f>SUM(R20:R21)</f>
        <v>0</v>
      </c>
      <c r="S22" s="284"/>
      <c r="T22" s="301">
        <f>SUM(T20:T21)</f>
        <v>0</v>
      </c>
      <c r="U22" s="284"/>
      <c r="V22" s="301">
        <f>SUM(V20:V21)</f>
        <v>0</v>
      </c>
      <c r="W22" s="284"/>
      <c r="X22" s="301">
        <f>SUM(X20:X21)</f>
        <v>0</v>
      </c>
      <c r="Y22" s="284"/>
      <c r="Z22" s="301">
        <f>SUM(H22:X22)</f>
        <v>0</v>
      </c>
    </row>
    <row r="23" spans="1:26" s="101" customFormat="1" ht="3" customHeight="1" x14ac:dyDescent="0.3">
      <c r="A23" s="284"/>
      <c r="B23" s="284"/>
      <c r="C23" s="284"/>
      <c r="H23" s="79"/>
      <c r="I23" s="79"/>
      <c r="J23" s="79"/>
      <c r="K23" s="79"/>
      <c r="L23" s="79"/>
      <c r="M23" s="79"/>
      <c r="N23" s="79"/>
      <c r="O23" s="79"/>
      <c r="P23" s="79"/>
      <c r="Q23" s="79"/>
      <c r="R23" s="79"/>
      <c r="S23" s="79"/>
      <c r="T23" s="79"/>
      <c r="U23" s="79"/>
      <c r="V23" s="79"/>
      <c r="W23" s="79"/>
      <c r="X23" s="79"/>
      <c r="Y23" s="88"/>
      <c r="Z23" s="79"/>
    </row>
    <row r="24" spans="1:26" s="101" customFormat="1" x14ac:dyDescent="0.3">
      <c r="A24" s="284"/>
      <c r="B24" s="284" t="s">
        <v>303</v>
      </c>
      <c r="C24" s="284"/>
      <c r="H24" s="79"/>
      <c r="I24" s="79"/>
      <c r="J24" s="79"/>
      <c r="K24" s="79"/>
      <c r="L24" s="79"/>
      <c r="M24" s="79"/>
      <c r="N24" s="79"/>
      <c r="O24" s="79"/>
      <c r="P24" s="79"/>
      <c r="Q24" s="79"/>
      <c r="R24" s="79"/>
      <c r="S24" s="79"/>
      <c r="T24" s="79"/>
      <c r="U24" s="79"/>
      <c r="V24" s="79"/>
      <c r="W24" s="79"/>
      <c r="X24" s="79"/>
      <c r="Y24" s="88"/>
      <c r="Z24" s="79">
        <f>SUM(H24:X24)</f>
        <v>0</v>
      </c>
    </row>
    <row r="25" spans="1:26" s="101" customFormat="1" ht="3" customHeight="1" x14ac:dyDescent="0.3">
      <c r="A25" s="284"/>
      <c r="B25" s="284"/>
      <c r="C25" s="284"/>
      <c r="H25" s="79"/>
      <c r="I25" s="79"/>
      <c r="J25" s="79"/>
      <c r="K25" s="79"/>
      <c r="L25" s="79"/>
      <c r="M25" s="79"/>
      <c r="N25" s="79"/>
      <c r="O25" s="79"/>
      <c r="P25" s="79"/>
      <c r="Q25" s="79"/>
      <c r="R25" s="79"/>
      <c r="S25" s="79"/>
      <c r="T25" s="79"/>
      <c r="U25" s="79"/>
      <c r="V25" s="79"/>
      <c r="W25" s="79"/>
      <c r="X25" s="79"/>
      <c r="Y25" s="88"/>
      <c r="Z25" s="79"/>
    </row>
    <row r="26" spans="1:26" s="101" customFormat="1" x14ac:dyDescent="0.3">
      <c r="A26" s="284"/>
      <c r="B26" s="284" t="s">
        <v>304</v>
      </c>
      <c r="C26" s="284"/>
      <c r="H26" s="79"/>
      <c r="I26" s="79"/>
      <c r="J26" s="79"/>
      <c r="K26" s="79"/>
      <c r="L26" s="79"/>
      <c r="M26" s="79"/>
      <c r="N26" s="79"/>
      <c r="O26" s="79"/>
      <c r="P26" s="79"/>
      <c r="Q26" s="79"/>
      <c r="R26" s="79"/>
      <c r="S26" s="79"/>
      <c r="T26" s="79"/>
      <c r="U26" s="79"/>
      <c r="V26" s="79"/>
      <c r="W26" s="79"/>
      <c r="X26" s="79"/>
      <c r="Y26" s="88"/>
      <c r="Z26" s="79">
        <f>SUM(H26:X26)</f>
        <v>0</v>
      </c>
    </row>
    <row r="27" spans="1:26" s="101" customFormat="1" ht="3" customHeight="1" x14ac:dyDescent="0.3">
      <c r="A27" s="284"/>
      <c r="B27" s="302"/>
      <c r="C27" s="284"/>
      <c r="H27" s="79"/>
      <c r="I27" s="79"/>
      <c r="J27" s="79"/>
      <c r="K27" s="79"/>
      <c r="L27" s="79"/>
      <c r="M27" s="79"/>
      <c r="N27" s="79"/>
      <c r="O27" s="79"/>
      <c r="P27" s="79"/>
      <c r="Q27" s="79"/>
      <c r="R27" s="79"/>
      <c r="S27" s="79"/>
      <c r="T27" s="79"/>
      <c r="U27" s="79"/>
      <c r="V27" s="79"/>
      <c r="W27" s="79"/>
      <c r="X27" s="79"/>
      <c r="Y27" s="88"/>
      <c r="Z27" s="79"/>
    </row>
    <row r="28" spans="1:26" s="101" customFormat="1" ht="14.5" thickBot="1" x14ac:dyDescent="0.35">
      <c r="A28" s="298"/>
      <c r="B28" s="298" t="str">
        <f>("Balance as at " &amp;Cover!G7)</f>
        <v>Balance as at June 30, 2022</v>
      </c>
      <c r="C28" s="298"/>
      <c r="H28" s="303">
        <f>SUM(H22:H27)</f>
        <v>0</v>
      </c>
      <c r="I28" s="298"/>
      <c r="J28" s="303">
        <f>SUM(J22:J27)</f>
        <v>0</v>
      </c>
      <c r="K28" s="298"/>
      <c r="L28" s="303">
        <f>SUM(L22:L27)</f>
        <v>0</v>
      </c>
      <c r="M28" s="298"/>
      <c r="N28" s="303">
        <f>SUM(N22:N27)</f>
        <v>0</v>
      </c>
      <c r="O28" s="298"/>
      <c r="P28" s="303">
        <f>SUM(P22:P27)</f>
        <v>0</v>
      </c>
      <c r="Q28" s="298"/>
      <c r="R28" s="303">
        <f>SUM(R22:R27)</f>
        <v>0</v>
      </c>
      <c r="S28" s="298"/>
      <c r="T28" s="303">
        <f>SUM(T22:T27)</f>
        <v>0</v>
      </c>
      <c r="U28" s="298"/>
      <c r="V28" s="303">
        <f>SUM(V22:V27)</f>
        <v>0</v>
      </c>
      <c r="W28" s="298"/>
      <c r="X28" s="303">
        <f>SUM(X22:X27)</f>
        <v>0</v>
      </c>
      <c r="Y28" s="298"/>
      <c r="Z28" s="303">
        <f>SUM(H28:X28)</f>
        <v>0</v>
      </c>
    </row>
    <row r="29" spans="1:26" s="101" customFormat="1" ht="3" customHeight="1" thickTop="1" x14ac:dyDescent="0.3">
      <c r="A29" s="284"/>
      <c r="B29" s="284"/>
      <c r="C29" s="284"/>
      <c r="H29" s="79"/>
      <c r="I29" s="79"/>
      <c r="J29" s="79"/>
      <c r="K29" s="79"/>
      <c r="L29" s="79"/>
      <c r="M29" s="79"/>
      <c r="N29" s="79"/>
      <c r="O29" s="79"/>
      <c r="P29" s="79"/>
      <c r="Q29" s="79"/>
      <c r="R29" s="79"/>
      <c r="S29" s="79"/>
      <c r="T29" s="79"/>
      <c r="U29" s="79"/>
      <c r="V29" s="79"/>
      <c r="W29" s="79"/>
      <c r="X29" s="79"/>
      <c r="Y29" s="88"/>
      <c r="Z29" s="79"/>
    </row>
    <row r="30" spans="1:26" s="101" customFormat="1" x14ac:dyDescent="0.3">
      <c r="A30" s="284"/>
      <c r="B30" s="284" t="str">
        <f>("Balance as at " &amp;Cover!E6 &amp;" - Cost")</f>
        <v>Balance as at July 01, 2022 - Cost</v>
      </c>
      <c r="C30" s="284"/>
      <c r="H30" s="79">
        <f>H28-H31</f>
        <v>0</v>
      </c>
      <c r="I30" s="79"/>
      <c r="J30" s="79">
        <f>J28-J31</f>
        <v>0</v>
      </c>
      <c r="K30" s="79"/>
      <c r="L30" s="79">
        <f>L28-L31</f>
        <v>0</v>
      </c>
      <c r="M30" s="79"/>
      <c r="N30" s="79">
        <f>N28-N31</f>
        <v>0</v>
      </c>
      <c r="O30" s="79"/>
      <c r="P30" s="79">
        <f>P28-P31</f>
        <v>0</v>
      </c>
      <c r="Q30" s="79"/>
      <c r="R30" s="79">
        <f>R28-R31</f>
        <v>0</v>
      </c>
      <c r="S30" s="79"/>
      <c r="T30" s="79">
        <f>T28-T31</f>
        <v>0</v>
      </c>
      <c r="U30" s="79"/>
      <c r="V30" s="79">
        <f>V28-V31</f>
        <v>0</v>
      </c>
      <c r="W30" s="79"/>
      <c r="X30" s="79">
        <f>X28-X31</f>
        <v>0</v>
      </c>
      <c r="Y30" s="88"/>
      <c r="Z30" s="79">
        <f>SUM(H30:X30)</f>
        <v>0</v>
      </c>
    </row>
    <row r="31" spans="1:26" s="101" customFormat="1" x14ac:dyDescent="0.3">
      <c r="A31" s="284"/>
      <c r="B31" s="284" t="str">
        <f>("Balance as at " &amp;Cover!E6 &amp;" - Revaluation")</f>
        <v>Balance as at July 01, 2022 - Revaluation</v>
      </c>
      <c r="C31" s="284"/>
      <c r="H31" s="79"/>
      <c r="I31" s="79"/>
      <c r="J31" s="79"/>
      <c r="K31" s="79"/>
      <c r="L31" s="79"/>
      <c r="M31" s="79"/>
      <c r="N31" s="79"/>
      <c r="O31" s="79"/>
      <c r="P31" s="79"/>
      <c r="Q31" s="79"/>
      <c r="R31" s="79"/>
      <c r="S31" s="79"/>
      <c r="T31" s="79"/>
      <c r="U31" s="79"/>
      <c r="V31" s="79"/>
      <c r="W31" s="79"/>
      <c r="X31" s="79"/>
      <c r="Y31" s="88"/>
      <c r="Z31" s="79">
        <f>SUM(H31:X31)</f>
        <v>0</v>
      </c>
    </row>
    <row r="32" spans="1:26" s="101" customFormat="1" x14ac:dyDescent="0.3">
      <c r="A32" s="284"/>
      <c r="B32" s="284"/>
      <c r="C32" s="284"/>
      <c r="H32" s="301">
        <f>SUM(H30:H31)</f>
        <v>0</v>
      </c>
      <c r="I32" s="284"/>
      <c r="J32" s="301">
        <f>SUM(J30:J31)</f>
        <v>0</v>
      </c>
      <c r="K32" s="284"/>
      <c r="L32" s="301">
        <f>SUM(L30:L31)</f>
        <v>0</v>
      </c>
      <c r="M32" s="284"/>
      <c r="N32" s="301">
        <f>SUM(N30:N31)</f>
        <v>0</v>
      </c>
      <c r="O32" s="284"/>
      <c r="P32" s="301">
        <f>SUM(P30:P31)</f>
        <v>0</v>
      </c>
      <c r="Q32" s="284"/>
      <c r="R32" s="301">
        <f>SUM(R30:R31)</f>
        <v>0</v>
      </c>
      <c r="S32" s="284"/>
      <c r="T32" s="301">
        <f>SUM(T30:T31)</f>
        <v>0</v>
      </c>
      <c r="U32" s="284"/>
      <c r="V32" s="301">
        <f>SUM(V30:V31)</f>
        <v>0</v>
      </c>
      <c r="W32" s="284"/>
      <c r="X32" s="301">
        <f>SUM(X30:X31)</f>
        <v>0</v>
      </c>
      <c r="Y32" s="284"/>
      <c r="Z32" s="301">
        <f>SUM(H32:X32)</f>
        <v>0</v>
      </c>
    </row>
    <row r="33" spans="1:26" s="101" customFormat="1" ht="3" customHeight="1" x14ac:dyDescent="0.3">
      <c r="A33" s="284"/>
      <c r="B33" s="284"/>
      <c r="C33" s="284"/>
      <c r="H33" s="79"/>
      <c r="I33" s="79"/>
      <c r="J33" s="79"/>
      <c r="K33" s="79"/>
      <c r="L33" s="79"/>
      <c r="M33" s="79"/>
      <c r="N33" s="79"/>
      <c r="O33" s="79"/>
      <c r="P33" s="79"/>
      <c r="Q33" s="79"/>
      <c r="R33" s="79"/>
      <c r="S33" s="79"/>
      <c r="T33" s="79"/>
      <c r="U33" s="79"/>
      <c r="V33" s="79"/>
      <c r="W33" s="79"/>
      <c r="X33" s="79"/>
      <c r="Y33" s="88"/>
      <c r="Z33" s="79"/>
    </row>
    <row r="34" spans="1:26" s="101" customFormat="1" x14ac:dyDescent="0.3">
      <c r="A34" s="284"/>
      <c r="B34" s="284" t="s">
        <v>303</v>
      </c>
      <c r="C34" s="284"/>
      <c r="H34" s="79"/>
      <c r="I34" s="79"/>
      <c r="J34" s="79"/>
      <c r="K34" s="79"/>
      <c r="L34" s="79"/>
      <c r="M34" s="79"/>
      <c r="N34" s="79"/>
      <c r="O34" s="79"/>
      <c r="P34" s="79"/>
      <c r="Q34" s="79"/>
      <c r="R34" s="79"/>
      <c r="S34" s="79"/>
      <c r="T34" s="79"/>
      <c r="U34" s="79"/>
      <c r="V34" s="79"/>
      <c r="W34" s="79"/>
      <c r="X34" s="79"/>
      <c r="Y34" s="88"/>
      <c r="Z34" s="79">
        <f>SUM(H34:X34)</f>
        <v>0</v>
      </c>
    </row>
    <row r="35" spans="1:26" s="101" customFormat="1" ht="3" customHeight="1" x14ac:dyDescent="0.3">
      <c r="A35" s="284"/>
      <c r="B35" s="284"/>
      <c r="C35" s="284"/>
      <c r="H35" s="79"/>
      <c r="I35" s="79"/>
      <c r="J35" s="79"/>
      <c r="K35" s="79"/>
      <c r="L35" s="79"/>
      <c r="M35" s="79"/>
      <c r="N35" s="79"/>
      <c r="O35" s="79"/>
      <c r="P35" s="79"/>
      <c r="Q35" s="79"/>
      <c r="R35" s="79"/>
      <c r="S35" s="79"/>
      <c r="T35" s="79"/>
      <c r="U35" s="79"/>
      <c r="V35" s="79"/>
      <c r="W35" s="79"/>
      <c r="X35" s="79"/>
      <c r="Y35" s="88"/>
      <c r="Z35" s="79"/>
    </row>
    <row r="36" spans="1:26" s="101" customFormat="1" x14ac:dyDescent="0.3">
      <c r="A36" s="284"/>
      <c r="B36" s="284" t="s">
        <v>304</v>
      </c>
      <c r="C36" s="284"/>
      <c r="H36" s="79"/>
      <c r="I36" s="79"/>
      <c r="J36" s="79"/>
      <c r="K36" s="79"/>
      <c r="L36" s="79">
        <f>-L32*0.1</f>
        <v>0</v>
      </c>
      <c r="M36" s="79"/>
      <c r="N36" s="79"/>
      <c r="O36" s="79"/>
      <c r="P36" s="79"/>
      <c r="Q36" s="79"/>
      <c r="R36" s="79"/>
      <c r="S36" s="79"/>
      <c r="T36" s="79"/>
      <c r="U36" s="79"/>
      <c r="V36" s="79"/>
      <c r="W36" s="79"/>
      <c r="X36" s="79"/>
      <c r="Y36" s="88"/>
      <c r="Z36" s="79">
        <f>SUM(H36:X36)</f>
        <v>0</v>
      </c>
    </row>
    <row r="37" spans="1:26" s="101" customFormat="1" ht="3" customHeight="1" x14ac:dyDescent="0.3">
      <c r="A37" s="284"/>
      <c r="B37" s="284"/>
      <c r="C37" s="284"/>
      <c r="H37" s="79"/>
      <c r="I37" s="79"/>
      <c r="J37" s="79"/>
      <c r="K37" s="79"/>
      <c r="L37" s="79"/>
      <c r="M37" s="79"/>
      <c r="N37" s="79"/>
      <c r="O37" s="79"/>
      <c r="P37" s="79"/>
      <c r="Q37" s="79"/>
      <c r="R37" s="79"/>
      <c r="S37" s="79"/>
      <c r="T37" s="79"/>
      <c r="U37" s="79"/>
      <c r="V37" s="79"/>
      <c r="W37" s="79"/>
      <c r="X37" s="79"/>
      <c r="Y37" s="88"/>
      <c r="Z37" s="79"/>
    </row>
    <row r="38" spans="1:26" s="101" customFormat="1" ht="14.5" thickBot="1" x14ac:dyDescent="0.35">
      <c r="A38" s="298"/>
      <c r="B38" s="298" t="str">
        <f>("Balance as at " &amp;Cover!G6)</f>
        <v>Balance as at June 30, 2023</v>
      </c>
      <c r="C38" s="298"/>
      <c r="H38" s="303">
        <f>SUM(H32:H37)</f>
        <v>0</v>
      </c>
      <c r="I38" s="298"/>
      <c r="J38" s="303">
        <f>SUM(J32:J37)</f>
        <v>0</v>
      </c>
      <c r="K38" s="298"/>
      <c r="L38" s="303">
        <f>SUM(L32:L37)</f>
        <v>0</v>
      </c>
      <c r="M38" s="298"/>
      <c r="N38" s="303">
        <f>SUM(N32:N37)</f>
        <v>0</v>
      </c>
      <c r="O38" s="298"/>
      <c r="P38" s="303">
        <f>SUM(P32:P37)</f>
        <v>0</v>
      </c>
      <c r="Q38" s="298"/>
      <c r="R38" s="303">
        <f>SUM(R32:R37)</f>
        <v>0</v>
      </c>
      <c r="S38" s="298"/>
      <c r="T38" s="303">
        <f>SUM(T32:T37)</f>
        <v>0</v>
      </c>
      <c r="U38" s="298"/>
      <c r="V38" s="303">
        <f>SUM(V32:V37)</f>
        <v>0</v>
      </c>
      <c r="W38" s="298"/>
      <c r="X38" s="303">
        <f>SUM(X32:X37)</f>
        <v>0</v>
      </c>
      <c r="Y38" s="298"/>
      <c r="Z38" s="303">
        <f>SUM(H38:X38)</f>
        <v>0</v>
      </c>
    </row>
    <row r="39" spans="1:26" s="101" customFormat="1" ht="3" customHeight="1" thickTop="1" x14ac:dyDescent="0.3">
      <c r="A39" s="284"/>
      <c r="B39" s="284"/>
      <c r="C39" s="284"/>
      <c r="H39" s="79"/>
      <c r="I39" s="79"/>
      <c r="J39" s="79"/>
      <c r="K39" s="79"/>
      <c r="L39" s="79"/>
      <c r="M39" s="79"/>
      <c r="N39" s="79"/>
      <c r="O39" s="79"/>
      <c r="P39" s="79"/>
      <c r="Q39" s="79"/>
      <c r="R39" s="79"/>
      <c r="S39" s="79"/>
      <c r="T39" s="79"/>
      <c r="U39" s="79"/>
      <c r="V39" s="79"/>
      <c r="W39" s="79"/>
      <c r="X39" s="79"/>
      <c r="Y39" s="88"/>
      <c r="Z39" s="79"/>
    </row>
    <row r="40" spans="1:26" s="101" customFormat="1" x14ac:dyDescent="0.3">
      <c r="A40" s="298" t="s">
        <v>112</v>
      </c>
      <c r="B40" s="298"/>
      <c r="C40" s="298"/>
      <c r="H40" s="299"/>
      <c r="I40" s="299"/>
      <c r="J40" s="299"/>
      <c r="K40" s="299"/>
      <c r="L40" s="299"/>
      <c r="M40" s="299"/>
      <c r="N40" s="299"/>
      <c r="O40" s="299"/>
      <c r="P40" s="299"/>
      <c r="Q40" s="299"/>
      <c r="R40" s="299"/>
      <c r="S40" s="299"/>
      <c r="T40" s="299"/>
      <c r="U40" s="299"/>
      <c r="V40" s="299"/>
      <c r="W40" s="299"/>
      <c r="X40" s="299"/>
      <c r="Y40" s="62"/>
      <c r="Z40" s="299"/>
    </row>
    <row r="41" spans="1:26" s="101" customFormat="1" ht="3" customHeight="1" x14ac:dyDescent="0.3">
      <c r="A41" s="284"/>
      <c r="B41" s="284"/>
      <c r="C41" s="284"/>
      <c r="H41" s="79"/>
      <c r="I41" s="79"/>
      <c r="J41" s="79"/>
      <c r="K41" s="79"/>
      <c r="L41" s="79"/>
      <c r="M41" s="79"/>
      <c r="N41" s="79"/>
      <c r="O41" s="79"/>
      <c r="P41" s="79"/>
      <c r="Q41" s="79"/>
      <c r="R41" s="79"/>
      <c r="S41" s="79"/>
      <c r="T41" s="79"/>
      <c r="U41" s="79"/>
      <c r="V41" s="79"/>
      <c r="W41" s="79"/>
      <c r="X41" s="79"/>
      <c r="Y41" s="88"/>
      <c r="Z41" s="79"/>
    </row>
    <row r="42" spans="1:26" s="101" customFormat="1" x14ac:dyDescent="0.3">
      <c r="A42" s="284"/>
      <c r="B42" s="284" t="str">
        <f>B20</f>
        <v>Balance as at July 01, 2021 - Cost</v>
      </c>
      <c r="C42" s="284"/>
      <c r="H42" s="79"/>
      <c r="I42" s="284"/>
      <c r="J42" s="79"/>
      <c r="K42" s="284"/>
      <c r="L42" s="79"/>
      <c r="M42" s="79"/>
      <c r="N42" s="79"/>
      <c r="O42" s="284"/>
      <c r="P42" s="79"/>
      <c r="Q42" s="284"/>
      <c r="R42" s="79"/>
      <c r="S42" s="284"/>
      <c r="T42" s="79"/>
      <c r="U42" s="284"/>
      <c r="V42" s="79"/>
      <c r="W42" s="284"/>
      <c r="X42" s="79"/>
      <c r="Y42" s="284"/>
      <c r="Z42" s="79">
        <f>SUM(H42:X42)</f>
        <v>0</v>
      </c>
    </row>
    <row r="43" spans="1:26" s="101" customFormat="1" x14ac:dyDescent="0.3">
      <c r="A43" s="284"/>
      <c r="B43" s="284" t="str">
        <f>B21</f>
        <v>Balance as at July 01, 2021 - Revaluation</v>
      </c>
      <c r="C43" s="284"/>
      <c r="H43" s="79"/>
      <c r="I43" s="284"/>
      <c r="J43" s="79"/>
      <c r="K43" s="284"/>
      <c r="L43" s="79"/>
      <c r="M43" s="284"/>
      <c r="N43" s="79"/>
      <c r="O43" s="284"/>
      <c r="P43" s="79"/>
      <c r="Q43" s="284"/>
      <c r="R43" s="79"/>
      <c r="S43" s="284"/>
      <c r="T43" s="79"/>
      <c r="U43" s="284"/>
      <c r="V43" s="79"/>
      <c r="W43" s="284"/>
      <c r="X43" s="79"/>
      <c r="Y43" s="284"/>
      <c r="Z43" s="79">
        <f>SUM(H43:X43)</f>
        <v>0</v>
      </c>
    </row>
    <row r="44" spans="1:26" s="101" customFormat="1" x14ac:dyDescent="0.3">
      <c r="A44" s="284"/>
      <c r="B44" s="284"/>
      <c r="C44" s="284"/>
      <c r="H44" s="301">
        <f>SUM(H42:H43)</f>
        <v>0</v>
      </c>
      <c r="I44" s="284"/>
      <c r="J44" s="301">
        <f>SUM(J42:J43)</f>
        <v>0</v>
      </c>
      <c r="K44" s="284"/>
      <c r="L44" s="301">
        <f>SUM(L42:L43)</f>
        <v>0</v>
      </c>
      <c r="M44" s="284"/>
      <c r="N44" s="301">
        <f>SUM(N42:N43)</f>
        <v>0</v>
      </c>
      <c r="O44" s="284"/>
      <c r="P44" s="301">
        <f>SUM(P42:P43)</f>
        <v>0</v>
      </c>
      <c r="Q44" s="284"/>
      <c r="R44" s="301">
        <f>SUM(R42:R43)</f>
        <v>0</v>
      </c>
      <c r="S44" s="284"/>
      <c r="T44" s="301">
        <f>SUM(T42:T43)</f>
        <v>0</v>
      </c>
      <c r="U44" s="284"/>
      <c r="V44" s="301">
        <f>SUM(V42:V43)</f>
        <v>0</v>
      </c>
      <c r="W44" s="284"/>
      <c r="X44" s="301">
        <f>SUM(X42:X43)</f>
        <v>0</v>
      </c>
      <c r="Y44" s="284"/>
      <c r="Z44" s="301">
        <f>SUM(H44:X44)</f>
        <v>0</v>
      </c>
    </row>
    <row r="45" spans="1:26" s="101" customFormat="1" ht="3" customHeight="1" x14ac:dyDescent="0.3">
      <c r="A45" s="284"/>
      <c r="B45" s="284"/>
      <c r="C45" s="284"/>
      <c r="H45" s="79"/>
      <c r="I45" s="79"/>
      <c r="J45" s="79"/>
      <c r="K45" s="79"/>
      <c r="L45" s="79"/>
      <c r="M45" s="79"/>
      <c r="N45" s="79"/>
      <c r="O45" s="79"/>
      <c r="P45" s="79"/>
      <c r="Q45" s="79"/>
      <c r="R45" s="79"/>
      <c r="S45" s="79"/>
      <c r="T45" s="79"/>
      <c r="U45" s="79"/>
      <c r="V45" s="79"/>
      <c r="W45" s="79"/>
      <c r="X45" s="79"/>
      <c r="Y45" s="88"/>
      <c r="Z45" s="79"/>
    </row>
    <row r="46" spans="1:26" s="101" customFormat="1" x14ac:dyDescent="0.3">
      <c r="A46" s="284"/>
      <c r="B46" s="284" t="s">
        <v>305</v>
      </c>
      <c r="C46" s="284"/>
      <c r="H46" s="79"/>
      <c r="I46" s="79"/>
      <c r="J46" s="79"/>
      <c r="K46" s="79"/>
      <c r="L46" s="79"/>
      <c r="M46" s="79"/>
      <c r="N46" s="79"/>
      <c r="O46" s="79"/>
      <c r="P46" s="79"/>
      <c r="Q46" s="79"/>
      <c r="R46" s="79"/>
      <c r="S46" s="79"/>
      <c r="T46" s="79"/>
      <c r="U46" s="79"/>
      <c r="V46" s="79"/>
      <c r="W46" s="79"/>
      <c r="X46" s="79"/>
      <c r="Y46" s="88"/>
      <c r="Z46" s="79">
        <f>SUM(H46:X46)</f>
        <v>0</v>
      </c>
    </row>
    <row r="47" spans="1:26" s="101" customFormat="1" ht="3" customHeight="1" x14ac:dyDescent="0.3">
      <c r="A47" s="284"/>
      <c r="B47" s="284"/>
      <c r="C47" s="284"/>
      <c r="H47" s="79"/>
      <c r="I47" s="79"/>
      <c r="J47" s="79"/>
      <c r="K47" s="79"/>
      <c r="L47" s="79"/>
      <c r="M47" s="79"/>
      <c r="N47" s="79"/>
      <c r="O47" s="79"/>
      <c r="P47" s="79"/>
      <c r="Q47" s="79"/>
      <c r="R47" s="79"/>
      <c r="S47" s="79"/>
      <c r="T47" s="79"/>
      <c r="U47" s="79"/>
      <c r="V47" s="79"/>
      <c r="W47" s="79"/>
      <c r="X47" s="79"/>
      <c r="Y47" s="88"/>
      <c r="Z47" s="79"/>
    </row>
    <row r="48" spans="1:26" s="101" customFormat="1" x14ac:dyDescent="0.3">
      <c r="A48" s="284"/>
      <c r="B48" s="284" t="s">
        <v>306</v>
      </c>
      <c r="C48" s="284"/>
      <c r="H48" s="79"/>
      <c r="I48" s="79"/>
      <c r="J48" s="79"/>
      <c r="K48" s="79"/>
      <c r="L48" s="79"/>
      <c r="M48" s="79"/>
      <c r="N48" s="79"/>
      <c r="O48" s="79"/>
      <c r="P48" s="79"/>
      <c r="Q48" s="79"/>
      <c r="R48" s="79"/>
      <c r="S48" s="79"/>
      <c r="T48" s="79"/>
      <c r="U48" s="79"/>
      <c r="V48" s="79"/>
      <c r="W48" s="79"/>
      <c r="X48" s="79"/>
      <c r="Y48" s="88"/>
      <c r="Z48" s="79">
        <f>SUM(H48:X48)</f>
        <v>0</v>
      </c>
    </row>
    <row r="49" spans="1:26" s="101" customFormat="1" ht="3" customHeight="1" x14ac:dyDescent="0.3">
      <c r="A49" s="284"/>
      <c r="B49" s="284"/>
      <c r="C49" s="284"/>
      <c r="H49" s="79"/>
      <c r="I49" s="79"/>
      <c r="J49" s="79"/>
      <c r="K49" s="79"/>
      <c r="L49" s="79"/>
      <c r="M49" s="79"/>
      <c r="N49" s="79"/>
      <c r="O49" s="79"/>
      <c r="P49" s="79"/>
      <c r="Q49" s="79"/>
      <c r="R49" s="79"/>
      <c r="S49" s="79"/>
      <c r="T49" s="79"/>
      <c r="U49" s="79"/>
      <c r="V49" s="79"/>
      <c r="W49" s="79"/>
      <c r="X49" s="79"/>
      <c r="Y49" s="88"/>
      <c r="Z49" s="79"/>
    </row>
    <row r="50" spans="1:26" s="101" customFormat="1" ht="14.5" thickBot="1" x14ac:dyDescent="0.35">
      <c r="A50" s="298"/>
      <c r="B50" s="298" t="str">
        <f>B28</f>
        <v>Balance as at June 30, 2022</v>
      </c>
      <c r="C50" s="298"/>
      <c r="H50" s="303">
        <f>SUM(H44:H49)</f>
        <v>0</v>
      </c>
      <c r="I50" s="298"/>
      <c r="J50" s="303">
        <f>SUM(J44:J49)</f>
        <v>0</v>
      </c>
      <c r="K50" s="298"/>
      <c r="L50" s="303">
        <f>SUM(L44:L49)</f>
        <v>0</v>
      </c>
      <c r="M50" s="298"/>
      <c r="N50" s="303">
        <f>SUM(N44:N49)</f>
        <v>0</v>
      </c>
      <c r="O50" s="298"/>
      <c r="P50" s="303">
        <f>SUM(P44:P49)</f>
        <v>0</v>
      </c>
      <c r="Q50" s="298"/>
      <c r="R50" s="303">
        <f>SUM(R44:R49)</f>
        <v>0</v>
      </c>
      <c r="S50" s="298"/>
      <c r="T50" s="303">
        <f>SUM(T44:T49)</f>
        <v>0</v>
      </c>
      <c r="U50" s="298"/>
      <c r="V50" s="303">
        <f>SUM(V44:V49)</f>
        <v>0</v>
      </c>
      <c r="W50" s="298"/>
      <c r="X50" s="303">
        <f>SUM(X44:X49)</f>
        <v>0</v>
      </c>
      <c r="Y50" s="298"/>
      <c r="Z50" s="303">
        <f>SUM(H50:X50)</f>
        <v>0</v>
      </c>
    </row>
    <row r="51" spans="1:26" s="101" customFormat="1" ht="3" customHeight="1" thickTop="1" x14ac:dyDescent="0.3">
      <c r="A51" s="284"/>
      <c r="B51" s="284"/>
      <c r="C51" s="284"/>
      <c r="H51" s="79"/>
      <c r="I51" s="79"/>
      <c r="J51" s="79"/>
      <c r="K51" s="79"/>
      <c r="L51" s="79"/>
      <c r="M51" s="79"/>
      <c r="N51" s="79"/>
      <c r="O51" s="79"/>
      <c r="P51" s="79"/>
      <c r="Q51" s="79"/>
      <c r="R51" s="79"/>
      <c r="S51" s="79"/>
      <c r="T51" s="79"/>
      <c r="U51" s="79"/>
      <c r="V51" s="79"/>
      <c r="W51" s="79"/>
      <c r="X51" s="79"/>
      <c r="Y51" s="88"/>
      <c r="Z51" s="79"/>
    </row>
    <row r="52" spans="1:26" s="101" customFormat="1" x14ac:dyDescent="0.3">
      <c r="A52" s="284"/>
      <c r="B52" s="284" t="str">
        <f>B30</f>
        <v>Balance as at July 01, 2022 - Cost</v>
      </c>
      <c r="C52" s="284"/>
      <c r="H52" s="79">
        <f>H50</f>
        <v>0</v>
      </c>
      <c r="I52" s="79"/>
      <c r="J52" s="79">
        <f>J50</f>
        <v>0</v>
      </c>
      <c r="K52" s="79"/>
      <c r="L52" s="79">
        <f>L50</f>
        <v>0</v>
      </c>
      <c r="M52" s="79"/>
      <c r="N52" s="79">
        <f>N50</f>
        <v>0</v>
      </c>
      <c r="O52" s="79"/>
      <c r="P52" s="79">
        <f>P50</f>
        <v>0</v>
      </c>
      <c r="Q52" s="79"/>
      <c r="R52" s="79">
        <f>R50</f>
        <v>0</v>
      </c>
      <c r="S52" s="79"/>
      <c r="T52" s="79">
        <f>T50</f>
        <v>0</v>
      </c>
      <c r="U52" s="79"/>
      <c r="V52" s="79">
        <f>V50</f>
        <v>0</v>
      </c>
      <c r="W52" s="79"/>
      <c r="X52" s="79">
        <f>X50</f>
        <v>0</v>
      </c>
      <c r="Y52" s="88"/>
      <c r="Z52" s="79">
        <f>SUM(H52:X52)</f>
        <v>0</v>
      </c>
    </row>
    <row r="53" spans="1:26" s="101" customFormat="1" x14ac:dyDescent="0.3">
      <c r="A53" s="284"/>
      <c r="B53" s="284" t="str">
        <f>B31</f>
        <v>Balance as at July 01, 2022 - Revaluation</v>
      </c>
      <c r="C53" s="284"/>
      <c r="H53" s="79"/>
      <c r="I53" s="79"/>
      <c r="J53" s="79"/>
      <c r="K53" s="79"/>
      <c r="L53" s="79"/>
      <c r="M53" s="79"/>
      <c r="N53" s="79"/>
      <c r="O53" s="79"/>
      <c r="P53" s="79"/>
      <c r="Q53" s="79"/>
      <c r="R53" s="79"/>
      <c r="S53" s="79"/>
      <c r="T53" s="79"/>
      <c r="U53" s="79"/>
      <c r="V53" s="79"/>
      <c r="W53" s="79"/>
      <c r="X53" s="79"/>
      <c r="Y53" s="88"/>
      <c r="Z53" s="79">
        <f>SUM(H53:X53)</f>
        <v>0</v>
      </c>
    </row>
    <row r="54" spans="1:26" s="101" customFormat="1" x14ac:dyDescent="0.3">
      <c r="A54" s="284"/>
      <c r="B54" s="284"/>
      <c r="C54" s="284"/>
      <c r="H54" s="301">
        <f>SUM(H52:H53)</f>
        <v>0</v>
      </c>
      <c r="I54" s="284"/>
      <c r="J54" s="301">
        <f>SUM(J52:J53)</f>
        <v>0</v>
      </c>
      <c r="K54" s="284"/>
      <c r="L54" s="301">
        <f>SUM(L52:L53)</f>
        <v>0</v>
      </c>
      <c r="M54" s="284"/>
      <c r="N54" s="301">
        <f>SUM(N52:N53)</f>
        <v>0</v>
      </c>
      <c r="O54" s="284"/>
      <c r="P54" s="301">
        <f>SUM(P52:P53)</f>
        <v>0</v>
      </c>
      <c r="Q54" s="284"/>
      <c r="R54" s="301">
        <f>SUM(R52:R53)</f>
        <v>0</v>
      </c>
      <c r="S54" s="284"/>
      <c r="T54" s="301">
        <f>SUM(T52:T53)</f>
        <v>0</v>
      </c>
      <c r="U54" s="284"/>
      <c r="V54" s="301">
        <f>SUM(V52:V53)</f>
        <v>0</v>
      </c>
      <c r="W54" s="284"/>
      <c r="X54" s="301">
        <f>SUM(X52:X53)</f>
        <v>0</v>
      </c>
      <c r="Y54" s="284"/>
      <c r="Z54" s="301">
        <f>SUM(H54:X54)</f>
        <v>0</v>
      </c>
    </row>
    <row r="55" spans="1:26" s="101" customFormat="1" ht="3" customHeight="1" x14ac:dyDescent="0.3">
      <c r="A55" s="284"/>
      <c r="B55" s="284"/>
      <c r="C55" s="284"/>
      <c r="H55" s="79"/>
      <c r="I55" s="79"/>
      <c r="J55" s="79"/>
      <c r="K55" s="79"/>
      <c r="L55" s="79"/>
      <c r="M55" s="79"/>
      <c r="N55" s="79"/>
      <c r="O55" s="79"/>
      <c r="P55" s="79"/>
      <c r="Q55" s="79"/>
      <c r="R55" s="79"/>
      <c r="S55" s="79"/>
      <c r="T55" s="79"/>
      <c r="U55" s="79"/>
      <c r="V55" s="79"/>
      <c r="W55" s="79"/>
      <c r="X55" s="79"/>
      <c r="Y55" s="88"/>
      <c r="Z55" s="79"/>
    </row>
    <row r="56" spans="1:26" s="101" customFormat="1" x14ac:dyDescent="0.3">
      <c r="A56" s="284"/>
      <c r="B56" s="284" t="s">
        <v>305</v>
      </c>
      <c r="C56" s="284"/>
      <c r="H56" s="79">
        <f>-AD!K14</f>
        <v>0</v>
      </c>
      <c r="I56" s="79"/>
      <c r="J56" s="79">
        <f>-AD!K19</f>
        <v>0</v>
      </c>
      <c r="K56" s="79"/>
      <c r="L56" s="79">
        <f>-AD!K24</f>
        <v>0</v>
      </c>
      <c r="M56" s="79"/>
      <c r="N56" s="79">
        <f>-AD!K29</f>
        <v>0</v>
      </c>
      <c r="O56" s="79"/>
      <c r="P56" s="79">
        <f>-AD!K34</f>
        <v>0</v>
      </c>
      <c r="Q56" s="79"/>
      <c r="R56" s="79">
        <f>-AD!K39</f>
        <v>0</v>
      </c>
      <c r="S56" s="79"/>
      <c r="T56" s="79">
        <f>-AD!K44</f>
        <v>0</v>
      </c>
      <c r="U56" s="79"/>
      <c r="V56" s="79">
        <f>-AD!K49</f>
        <v>0</v>
      </c>
      <c r="W56" s="79"/>
      <c r="X56" s="79">
        <f>-AD!K54</f>
        <v>0</v>
      </c>
      <c r="Y56" s="88"/>
      <c r="Z56" s="79">
        <f>SUM(H56:X56)</f>
        <v>0</v>
      </c>
    </row>
    <row r="57" spans="1:26" s="101" customFormat="1" ht="3" customHeight="1" x14ac:dyDescent="0.3">
      <c r="A57" s="284"/>
      <c r="B57" s="284"/>
      <c r="C57" s="284"/>
      <c r="H57" s="79"/>
      <c r="I57" s="79"/>
      <c r="J57" s="79"/>
      <c r="K57" s="79"/>
      <c r="L57" s="79"/>
      <c r="M57" s="79"/>
      <c r="N57" s="79"/>
      <c r="O57" s="79"/>
      <c r="P57" s="79"/>
      <c r="Q57" s="79"/>
      <c r="R57" s="79"/>
      <c r="S57" s="79"/>
      <c r="T57" s="79"/>
      <c r="U57" s="79"/>
      <c r="V57" s="79"/>
      <c r="W57" s="79"/>
      <c r="X57" s="79"/>
      <c r="Y57" s="88"/>
      <c r="Z57" s="79"/>
    </row>
    <row r="58" spans="1:26" s="101" customFormat="1" x14ac:dyDescent="0.3">
      <c r="A58" s="284"/>
      <c r="B58" s="284" t="s">
        <v>306</v>
      </c>
      <c r="C58" s="284"/>
      <c r="H58" s="79">
        <f>-AD!N69</f>
        <v>0</v>
      </c>
      <c r="I58" s="284"/>
      <c r="J58" s="79">
        <f>-AD!N73</f>
        <v>0</v>
      </c>
      <c r="K58" s="284"/>
      <c r="L58" s="79">
        <f>-AD!N77</f>
        <v>0</v>
      </c>
      <c r="M58" s="284"/>
      <c r="N58" s="79">
        <f>-AD!N81</f>
        <v>0</v>
      </c>
      <c r="O58" s="284"/>
      <c r="P58" s="79">
        <f>-AD!N85</f>
        <v>0</v>
      </c>
      <c r="Q58" s="284"/>
      <c r="R58" s="79">
        <f>-AD!N89</f>
        <v>0</v>
      </c>
      <c r="S58" s="284"/>
      <c r="T58" s="79">
        <f>-AD!N93</f>
        <v>0</v>
      </c>
      <c r="U58" s="284"/>
      <c r="V58" s="79">
        <f>-AD!N97</f>
        <v>0</v>
      </c>
      <c r="W58" s="284"/>
      <c r="X58" s="79">
        <f>-AD!N101</f>
        <v>0</v>
      </c>
      <c r="Y58" s="284"/>
      <c r="Z58" s="79">
        <f>SUM(H58:X58)</f>
        <v>0</v>
      </c>
    </row>
    <row r="59" spans="1:26" s="101" customFormat="1" ht="3" customHeight="1" x14ac:dyDescent="0.3">
      <c r="A59" s="284"/>
      <c r="B59" s="284"/>
      <c r="C59" s="284"/>
      <c r="H59" s="79"/>
      <c r="I59" s="79"/>
      <c r="J59" s="79"/>
      <c r="K59" s="79"/>
      <c r="L59" s="79"/>
      <c r="M59" s="79"/>
      <c r="N59" s="79"/>
      <c r="O59" s="79"/>
      <c r="P59" s="79"/>
      <c r="Q59" s="79"/>
      <c r="R59" s="79"/>
      <c r="S59" s="79"/>
      <c r="T59" s="79"/>
      <c r="U59" s="79"/>
      <c r="V59" s="79"/>
      <c r="W59" s="79"/>
      <c r="X59" s="79"/>
      <c r="Y59" s="88"/>
      <c r="Z59" s="79"/>
    </row>
    <row r="60" spans="1:26" s="101" customFormat="1" ht="14.5" thickBot="1" x14ac:dyDescent="0.35">
      <c r="A60" s="298"/>
      <c r="B60" s="298" t="str">
        <f>B38</f>
        <v>Balance as at June 30, 2023</v>
      </c>
      <c r="C60" s="298"/>
      <c r="H60" s="303">
        <f>SUM(H54:H59)</f>
        <v>0</v>
      </c>
      <c r="I60" s="298"/>
      <c r="J60" s="303">
        <f>SUM(J54:J59)</f>
        <v>0</v>
      </c>
      <c r="K60" s="298"/>
      <c r="L60" s="303">
        <f>SUM(L54:L59)</f>
        <v>0</v>
      </c>
      <c r="M60" s="298"/>
      <c r="N60" s="303">
        <f>SUM(N54:N59)</f>
        <v>0</v>
      </c>
      <c r="O60" s="298"/>
      <c r="P60" s="303">
        <f>SUM(P54:P59)</f>
        <v>0</v>
      </c>
      <c r="Q60" s="298"/>
      <c r="R60" s="303">
        <f>SUM(R54:R59)</f>
        <v>0</v>
      </c>
      <c r="S60" s="298"/>
      <c r="T60" s="303">
        <f>SUM(T54:T59)</f>
        <v>0</v>
      </c>
      <c r="U60" s="298"/>
      <c r="V60" s="303">
        <f>SUM(V54:V59)</f>
        <v>0</v>
      </c>
      <c r="W60" s="298"/>
      <c r="X60" s="303">
        <f>SUM(X54:X59)</f>
        <v>0</v>
      </c>
      <c r="Y60" s="298"/>
      <c r="Z60" s="303">
        <f>SUM(H60:X60)</f>
        <v>0</v>
      </c>
    </row>
    <row r="61" spans="1:26" s="101" customFormat="1" ht="3" customHeight="1" thickTop="1" x14ac:dyDescent="0.3">
      <c r="A61" s="284"/>
      <c r="B61" s="284"/>
      <c r="C61" s="284"/>
      <c r="H61" s="284"/>
      <c r="I61" s="284"/>
      <c r="J61" s="284"/>
      <c r="K61" s="284"/>
      <c r="L61" s="284"/>
      <c r="M61" s="284"/>
      <c r="N61" s="284"/>
      <c r="O61" s="284"/>
      <c r="P61" s="284"/>
      <c r="Q61" s="284"/>
      <c r="R61" s="284"/>
      <c r="S61" s="284"/>
      <c r="T61" s="284"/>
      <c r="U61" s="284"/>
      <c r="V61" s="284"/>
      <c r="W61" s="284"/>
      <c r="X61" s="284"/>
      <c r="Y61" s="284"/>
      <c r="Z61" s="284"/>
    </row>
    <row r="62" spans="1:26" s="101" customFormat="1" ht="14.5" thickBot="1" x14ac:dyDescent="0.35">
      <c r="A62" s="298" t="s">
        <v>307</v>
      </c>
      <c r="B62" s="284"/>
      <c r="C62" s="284"/>
      <c r="H62" s="304"/>
      <c r="I62" s="305"/>
      <c r="J62" s="304"/>
      <c r="K62" s="305"/>
      <c r="L62" s="304"/>
      <c r="M62" s="305"/>
      <c r="N62" s="304"/>
      <c r="O62" s="305"/>
      <c r="P62" s="304"/>
      <c r="Q62" s="305"/>
      <c r="R62" s="304"/>
      <c r="S62" s="305"/>
      <c r="T62" s="304"/>
      <c r="U62" s="305"/>
      <c r="V62" s="304"/>
      <c r="W62" s="305"/>
      <c r="X62" s="304"/>
      <c r="Y62" s="305"/>
      <c r="Z62" s="305"/>
    </row>
    <row r="63" spans="1:26" s="101" customFormat="1" ht="3" customHeight="1" thickTop="1" x14ac:dyDescent="0.3">
      <c r="A63" s="284"/>
      <c r="B63" s="284"/>
      <c r="C63" s="284"/>
      <c r="H63" s="284"/>
      <c r="I63" s="284"/>
      <c r="J63" s="284"/>
      <c r="K63" s="284"/>
      <c r="L63" s="284"/>
      <c r="M63" s="284"/>
      <c r="N63" s="284"/>
      <c r="O63" s="284"/>
      <c r="P63" s="284"/>
      <c r="Q63" s="284"/>
      <c r="R63" s="284"/>
      <c r="S63" s="284"/>
      <c r="T63" s="284"/>
      <c r="U63" s="284"/>
      <c r="V63" s="284"/>
      <c r="W63" s="284"/>
      <c r="X63" s="284"/>
      <c r="Y63" s="284"/>
      <c r="Z63" s="284"/>
    </row>
    <row r="64" spans="1:26" s="101" customFormat="1" ht="14.5" thickBot="1" x14ac:dyDescent="0.35">
      <c r="A64" s="298" t="str">
        <f>("Written down value as at " &amp;Cover!G7)</f>
        <v>Written down value as at June 30, 2022</v>
      </c>
      <c r="B64" s="2"/>
      <c r="C64" s="298"/>
      <c r="H64" s="306">
        <f>H28-H50</f>
        <v>0</v>
      </c>
      <c r="I64" s="298"/>
      <c r="J64" s="306">
        <f>J28-J50</f>
        <v>0</v>
      </c>
      <c r="K64" s="298"/>
      <c r="L64" s="306">
        <f>L28-L50</f>
        <v>0</v>
      </c>
      <c r="M64" s="298"/>
      <c r="N64" s="306">
        <f>N28-N50</f>
        <v>0</v>
      </c>
      <c r="O64" s="298"/>
      <c r="P64" s="306">
        <f>P28-P50</f>
        <v>0</v>
      </c>
      <c r="Q64" s="298"/>
      <c r="R64" s="306">
        <f>R28-R50</f>
        <v>0</v>
      </c>
      <c r="S64" s="298"/>
      <c r="T64" s="306">
        <f>T28-T50</f>
        <v>0</v>
      </c>
      <c r="U64" s="298"/>
      <c r="V64" s="306">
        <f>V28-V50</f>
        <v>0</v>
      </c>
      <c r="W64" s="298"/>
      <c r="X64" s="306">
        <f>X28-X50</f>
        <v>0</v>
      </c>
      <c r="Y64" s="298"/>
      <c r="Z64" s="306">
        <f>SUM(H64:X64)</f>
        <v>0</v>
      </c>
    </row>
    <row r="65" spans="1:26" s="101" customFormat="1" ht="3" customHeight="1" thickTop="1" x14ac:dyDescent="0.3">
      <c r="A65" s="284"/>
      <c r="B65" s="284"/>
      <c r="C65" s="284"/>
      <c r="H65" s="284"/>
      <c r="I65" s="284"/>
      <c r="J65" s="284"/>
      <c r="K65" s="284"/>
      <c r="L65" s="284"/>
      <c r="M65" s="284"/>
      <c r="N65" s="284"/>
      <c r="O65" s="284"/>
      <c r="P65" s="284"/>
      <c r="Q65" s="284"/>
      <c r="R65" s="284"/>
      <c r="S65" s="284"/>
      <c r="T65" s="284"/>
      <c r="U65" s="284"/>
      <c r="V65" s="284"/>
      <c r="W65" s="284"/>
      <c r="X65" s="284"/>
      <c r="Y65" s="284"/>
      <c r="Z65" s="284"/>
    </row>
    <row r="66" spans="1:26" s="101" customFormat="1" ht="14.5" thickBot="1" x14ac:dyDescent="0.35">
      <c r="A66" s="298" t="str">
        <f>("Written down value as at " &amp;Cover!G6)</f>
        <v>Written down value as at June 30, 2023</v>
      </c>
      <c r="B66" s="2"/>
      <c r="C66" s="298"/>
      <c r="H66" s="306">
        <f>H38-H60</f>
        <v>0</v>
      </c>
      <c r="I66" s="298"/>
      <c r="J66" s="306">
        <f>J38-J60</f>
        <v>0</v>
      </c>
      <c r="K66" s="298"/>
      <c r="L66" s="306">
        <f>L38-L60</f>
        <v>0</v>
      </c>
      <c r="M66" s="298"/>
      <c r="N66" s="306">
        <f>N38-N60</f>
        <v>0</v>
      </c>
      <c r="O66" s="298"/>
      <c r="P66" s="306">
        <f>P38-P60</f>
        <v>0</v>
      </c>
      <c r="Q66" s="298"/>
      <c r="R66" s="306">
        <f>R38-R60</f>
        <v>0</v>
      </c>
      <c r="S66" s="298"/>
      <c r="T66" s="306">
        <f>T38-T60</f>
        <v>0</v>
      </c>
      <c r="U66" s="298"/>
      <c r="V66" s="306">
        <f>V38-V60</f>
        <v>0</v>
      </c>
      <c r="W66" s="298"/>
      <c r="X66" s="306">
        <f>X38-X60</f>
        <v>0</v>
      </c>
      <c r="Y66" s="298"/>
      <c r="Z66" s="306">
        <f>SUM(H66:X66)</f>
        <v>0</v>
      </c>
    </row>
    <row r="67" spans="1:26" ht="14.5" thickTop="1" x14ac:dyDescent="0.3"/>
    <row r="68" spans="1:26" x14ac:dyDescent="0.3">
      <c r="A68" s="291">
        <f>A13+0.1</f>
        <v>5.1999999999999993</v>
      </c>
      <c r="B68" s="58" t="str">
        <f>"Disposal of "&amp;B5</f>
        <v xml:space="preserve">Disposal of Property, plant and equipment </v>
      </c>
      <c r="F68" s="270" t="s">
        <v>583</v>
      </c>
    </row>
    <row r="69" spans="1:26" ht="3" customHeight="1" x14ac:dyDescent="0.3"/>
    <row r="70" spans="1:26" ht="28" x14ac:dyDescent="0.3">
      <c r="B70" s="307" t="s">
        <v>560</v>
      </c>
      <c r="D70" s="308" t="s">
        <v>561</v>
      </c>
      <c r="E70" s="309"/>
      <c r="F70" s="309"/>
      <c r="H70" s="416" t="s">
        <v>584</v>
      </c>
      <c r="I70" s="267"/>
      <c r="J70" s="416" t="s">
        <v>562</v>
      </c>
      <c r="K70" s="267"/>
      <c r="L70" s="417" t="s">
        <v>563</v>
      </c>
      <c r="M70" s="267"/>
      <c r="N70" s="417" t="s">
        <v>564</v>
      </c>
      <c r="O70" s="310"/>
      <c r="P70" s="417" t="s">
        <v>585</v>
      </c>
      <c r="R70" s="414" t="s">
        <v>565</v>
      </c>
      <c r="S70" s="311"/>
      <c r="T70" s="414" t="s">
        <v>566</v>
      </c>
      <c r="U70" s="415"/>
      <c r="V70" s="415"/>
      <c r="X70" s="414" t="s">
        <v>586</v>
      </c>
      <c r="Y70" s="415"/>
      <c r="Z70" s="415"/>
    </row>
    <row r="71" spans="1:26" x14ac:dyDescent="0.3">
      <c r="B71" s="309"/>
      <c r="D71" s="309"/>
      <c r="E71" s="309"/>
      <c r="F71" s="309"/>
      <c r="H71" s="418" t="str">
        <f>L6</f>
        <v>------------- Rupees -------------</v>
      </c>
      <c r="I71" s="419"/>
      <c r="J71" s="419"/>
      <c r="K71" s="419"/>
      <c r="L71" s="419"/>
      <c r="M71" s="419"/>
      <c r="N71" s="419"/>
      <c r="O71" s="419"/>
      <c r="P71" s="419"/>
      <c r="R71" s="415"/>
      <c r="S71" s="311"/>
      <c r="T71" s="415"/>
      <c r="U71" s="415"/>
      <c r="V71" s="415"/>
      <c r="X71" s="415"/>
      <c r="Y71" s="415"/>
      <c r="Z71" s="415"/>
    </row>
    <row r="72" spans="1:26" ht="3" customHeight="1" x14ac:dyDescent="0.3"/>
    <row r="73" spans="1:26" x14ac:dyDescent="0.3">
      <c r="D73" s="28" t="str">
        <f>H15</f>
        <v xml:space="preserve">Freehold Land </v>
      </c>
      <c r="H73" s="100"/>
      <c r="I73" s="100"/>
      <c r="J73" s="100"/>
      <c r="K73" s="100"/>
      <c r="L73" s="100">
        <f>H73-J73</f>
        <v>0</v>
      </c>
      <c r="M73" s="100"/>
      <c r="N73" s="100"/>
      <c r="P73" s="253">
        <f>N73-L73</f>
        <v>0</v>
      </c>
      <c r="R73" s="28" t="s">
        <v>570</v>
      </c>
    </row>
    <row r="74" spans="1:26" x14ac:dyDescent="0.3">
      <c r="D74" s="28" t="str">
        <f>J15</f>
        <v>Building on Freehold Land</v>
      </c>
      <c r="H74" s="100"/>
      <c r="I74" s="100"/>
      <c r="J74" s="100"/>
      <c r="K74" s="100"/>
      <c r="L74" s="100">
        <f t="shared" ref="L74:L81" si="0">H74-J74</f>
        <v>0</v>
      </c>
      <c r="M74" s="100"/>
      <c r="N74" s="100"/>
      <c r="P74" s="253">
        <f t="shared" ref="P74:P81" si="1">N74-L74</f>
        <v>0</v>
      </c>
      <c r="R74" s="28" t="s">
        <v>571</v>
      </c>
    </row>
    <row r="75" spans="1:26" x14ac:dyDescent="0.3">
      <c r="D75" s="28" t="str">
        <f>L15</f>
        <v>Plant and Machinery</v>
      </c>
      <c r="H75" s="100"/>
      <c r="I75" s="100"/>
      <c r="J75" s="100"/>
      <c r="K75" s="100"/>
      <c r="L75" s="100">
        <f t="shared" si="0"/>
        <v>0</v>
      </c>
      <c r="M75" s="100"/>
      <c r="N75" s="100"/>
      <c r="P75" s="253">
        <f t="shared" si="1"/>
        <v>0</v>
      </c>
      <c r="R75" s="28" t="s">
        <v>572</v>
      </c>
    </row>
    <row r="76" spans="1:26" x14ac:dyDescent="0.3">
      <c r="D76" s="28" t="str">
        <f>N15</f>
        <v>Generator</v>
      </c>
      <c r="H76" s="100"/>
      <c r="I76" s="100"/>
      <c r="J76" s="100"/>
      <c r="K76" s="100"/>
      <c r="L76" s="100">
        <f t="shared" si="0"/>
        <v>0</v>
      </c>
      <c r="M76" s="100"/>
      <c r="N76" s="100"/>
      <c r="P76" s="253">
        <f t="shared" si="1"/>
        <v>0</v>
      </c>
      <c r="R76" s="28" t="s">
        <v>574</v>
      </c>
    </row>
    <row r="77" spans="1:26" x14ac:dyDescent="0.3">
      <c r="D77" s="28" t="str">
        <f>P15</f>
        <v>Office Equipment</v>
      </c>
      <c r="H77" s="100"/>
      <c r="I77" s="100"/>
      <c r="J77" s="100"/>
      <c r="K77" s="100"/>
      <c r="L77" s="100">
        <f t="shared" si="0"/>
        <v>0</v>
      </c>
      <c r="M77" s="100"/>
      <c r="N77" s="100"/>
      <c r="P77" s="253">
        <f t="shared" si="1"/>
        <v>0</v>
      </c>
      <c r="R77" s="28" t="s">
        <v>575</v>
      </c>
    </row>
    <row r="78" spans="1:26" x14ac:dyDescent="0.3">
      <c r="D78" s="28" t="str">
        <f>R15</f>
        <v>Computers</v>
      </c>
      <c r="H78" s="100"/>
      <c r="I78" s="100"/>
      <c r="J78" s="100"/>
      <c r="K78" s="100"/>
      <c r="L78" s="100">
        <f t="shared" si="0"/>
        <v>0</v>
      </c>
      <c r="M78" s="100"/>
      <c r="N78" s="100"/>
      <c r="P78" s="253">
        <f t="shared" si="1"/>
        <v>0</v>
      </c>
      <c r="R78" s="28" t="s">
        <v>573</v>
      </c>
    </row>
    <row r="79" spans="1:26" x14ac:dyDescent="0.3">
      <c r="D79" s="28" t="str">
        <f>T15</f>
        <v>Electric Equipment &amp; Installations</v>
      </c>
      <c r="H79" s="100"/>
      <c r="I79" s="100"/>
      <c r="J79" s="100"/>
      <c r="K79" s="100"/>
      <c r="L79" s="100">
        <f t="shared" si="0"/>
        <v>0</v>
      </c>
      <c r="M79" s="100"/>
      <c r="N79" s="100"/>
      <c r="P79" s="253">
        <f t="shared" si="1"/>
        <v>0</v>
      </c>
    </row>
    <row r="80" spans="1:26" x14ac:dyDescent="0.3">
      <c r="D80" s="28" t="str">
        <f>V15</f>
        <v>Furniture and Fixture</v>
      </c>
      <c r="H80" s="100"/>
      <c r="I80" s="100"/>
      <c r="J80" s="100"/>
      <c r="K80" s="100"/>
      <c r="L80" s="100">
        <f t="shared" si="0"/>
        <v>0</v>
      </c>
      <c r="M80" s="100"/>
      <c r="N80" s="100"/>
      <c r="P80" s="253">
        <f t="shared" si="1"/>
        <v>0</v>
      </c>
    </row>
    <row r="81" spans="4:16" x14ac:dyDescent="0.3">
      <c r="D81" s="28" t="str">
        <f>X15</f>
        <v>Vehicles</v>
      </c>
      <c r="H81" s="100"/>
      <c r="I81" s="100"/>
      <c r="J81" s="100"/>
      <c r="K81" s="100"/>
      <c r="L81" s="100">
        <f t="shared" si="0"/>
        <v>0</v>
      </c>
      <c r="M81" s="100"/>
      <c r="N81" s="100"/>
      <c r="P81" s="253">
        <f t="shared" si="1"/>
        <v>0</v>
      </c>
    </row>
  </sheetData>
  <mergeCells count="10">
    <mergeCell ref="L6:N6"/>
    <mergeCell ref="H16:Z16"/>
    <mergeCell ref="H14:X14"/>
    <mergeCell ref="Z14:Z15"/>
    <mergeCell ref="X70:Z71"/>
    <mergeCell ref="B70:B71"/>
    <mergeCell ref="D70:F71"/>
    <mergeCell ref="H71:P71"/>
    <mergeCell ref="R70:R71"/>
    <mergeCell ref="T70:V71"/>
  </mergeCells>
  <conditionalFormatting sqref="H30">
    <cfRule type="expression" dxfId="23" priority="36">
      <formula>AND(H28=H30,H21&gt;0,H28&gt;0)</formula>
    </cfRule>
  </conditionalFormatting>
  <conditionalFormatting sqref="J30">
    <cfRule type="expression" dxfId="22" priority="19">
      <formula>AND(J28=J30,J21&gt;0,J28&gt;0)</formula>
    </cfRule>
  </conditionalFormatting>
  <conditionalFormatting sqref="L30">
    <cfRule type="expression" dxfId="21" priority="18">
      <formula>AND(L28=L30,L21&gt;0,L28&gt;0)</formula>
    </cfRule>
  </conditionalFormatting>
  <conditionalFormatting sqref="N30">
    <cfRule type="expression" dxfId="20" priority="17">
      <formula>AND(N28=N30,N21&gt;0,N28&gt;0)</formula>
    </cfRule>
  </conditionalFormatting>
  <conditionalFormatting sqref="P30">
    <cfRule type="expression" dxfId="19" priority="16">
      <formula>AND(P28=P30,P21&gt;0,P28&gt;0)</formula>
    </cfRule>
  </conditionalFormatting>
  <conditionalFormatting sqref="R30">
    <cfRule type="expression" dxfId="18" priority="15">
      <formula>AND(R28=R30,R21&gt;0,R28&gt;0)</formula>
    </cfRule>
  </conditionalFormatting>
  <conditionalFormatting sqref="T30">
    <cfRule type="expression" dxfId="17" priority="14">
      <formula>AND(T28=T30,T21&gt;0,T28&gt;0)</formula>
    </cfRule>
  </conditionalFormatting>
  <conditionalFormatting sqref="V30">
    <cfRule type="expression" dxfId="16" priority="13">
      <formula>AND(V28=V30,V21&gt;0,V28&gt;0)</formula>
    </cfRule>
  </conditionalFormatting>
  <conditionalFormatting sqref="X30">
    <cfRule type="expression" dxfId="15" priority="12">
      <formula>AND(X28=X30,X21&gt;0,X28&gt;0)</formula>
    </cfRule>
  </conditionalFormatting>
  <pageMargins left="0.7" right="0.7" top="0.75" bottom="0.75" header="0.3" footer="0.3"/>
  <pageSetup scale="53" orientation="landscape" r:id="rId1"/>
  <extLst>
    <ext xmlns:x14="http://schemas.microsoft.com/office/spreadsheetml/2009/9/main" uri="{78C0D931-6437-407d-A8EE-F0AAD7539E65}">
      <x14:conditionalFormattings>
        <x14:conditionalFormatting xmlns:xm="http://schemas.microsoft.com/office/excel/2006/main">
          <x14:cfRule type="expression" priority="37" id="{C231F1EE-A6B6-4B90-8C10-A62D01232D3A}">
            <xm:f>$H$34&lt;&gt;SUM(AD!$F$10:$F$14)</xm:f>
            <x14:dxf>
              <font>
                <color rgb="FFFF0000"/>
              </font>
            </x14:dxf>
          </x14:cfRule>
          <xm:sqref>H34</xm:sqref>
        </x14:conditionalFormatting>
        <x14:conditionalFormatting xmlns:xm="http://schemas.microsoft.com/office/excel/2006/main">
          <x14:cfRule type="expression" priority="10" id="{4F14C14A-3940-4A06-B75E-D0F2CB824268}">
            <xm:f>$J$34&lt;&gt;SUM(AD!$F$15:$F$19)</xm:f>
            <x14:dxf>
              <font>
                <color rgb="FFFF0000"/>
              </font>
            </x14:dxf>
          </x14:cfRule>
          <xm:sqref>J34</xm:sqref>
        </x14:conditionalFormatting>
        <x14:conditionalFormatting xmlns:xm="http://schemas.microsoft.com/office/excel/2006/main">
          <x14:cfRule type="expression" priority="9" id="{97BC7060-A515-4983-BF63-825EBC158D00}">
            <xm:f>$L$34&lt;&gt;SUM(AD!$F$20:$F$24)</xm:f>
            <x14:dxf>
              <font>
                <color rgb="FFFF0000"/>
              </font>
            </x14:dxf>
          </x14:cfRule>
          <xm:sqref>L34</xm:sqref>
        </x14:conditionalFormatting>
        <x14:conditionalFormatting xmlns:xm="http://schemas.microsoft.com/office/excel/2006/main">
          <x14:cfRule type="expression" priority="2" id="{9ED95356-FC06-48E6-82E8-2E77DED94336}">
            <xm:f>$N$34&lt;&gt;SUM(AD!$F$25:$F$29)</xm:f>
            <x14:dxf>
              <font>
                <color rgb="FFFF0000"/>
              </font>
              <fill>
                <patternFill patternType="none">
                  <bgColor auto="1"/>
                </patternFill>
              </fill>
            </x14:dxf>
          </x14:cfRule>
          <xm:sqref>N34</xm:sqref>
        </x14:conditionalFormatting>
        <x14:conditionalFormatting xmlns:xm="http://schemas.microsoft.com/office/excel/2006/main">
          <x14:cfRule type="expression" priority="1" id="{4093F6EE-4345-412A-8BFF-2BC15F88843D}">
            <xm:f>$P$34&lt;&gt;SUM(AD!$F$30:$F$34)</xm:f>
            <x14:dxf>
              <font>
                <color rgb="FFFF0000"/>
              </font>
            </x14:dxf>
          </x14:cfRule>
          <xm:sqref>P34</xm:sqref>
        </x14:conditionalFormatting>
        <x14:conditionalFormatting xmlns:xm="http://schemas.microsoft.com/office/excel/2006/main">
          <x14:cfRule type="expression" priority="6" id="{77273C44-3E42-46CE-BD34-54F7652DC583}">
            <xm:f>$R$34&lt;&gt;SUM(AD!$F$35:$F$39)</xm:f>
            <x14:dxf>
              <font>
                <color rgb="FFFF0000"/>
              </font>
            </x14:dxf>
          </x14:cfRule>
          <xm:sqref>R34</xm:sqref>
        </x14:conditionalFormatting>
        <x14:conditionalFormatting xmlns:xm="http://schemas.microsoft.com/office/excel/2006/main">
          <x14:cfRule type="expression" priority="5" id="{B2D12A06-ABF6-4F1B-B3B4-F12085FBC50A}">
            <xm:f>$T$34&lt;&gt;SUM(AD!$F$40:$F$44)</xm:f>
            <x14:dxf>
              <font>
                <color rgb="FFFF0000"/>
              </font>
            </x14:dxf>
          </x14:cfRule>
          <xm:sqref>T34</xm:sqref>
        </x14:conditionalFormatting>
        <x14:conditionalFormatting xmlns:xm="http://schemas.microsoft.com/office/excel/2006/main">
          <x14:cfRule type="expression" priority="4" id="{21BD3BE1-97EE-4344-A6F1-DD97A7314D63}">
            <xm:f>$V$34&lt;&gt;SUM(AD!$F$45:$F$49)</xm:f>
            <x14:dxf>
              <font>
                <color rgb="FFFF0000"/>
              </font>
            </x14:dxf>
          </x14:cfRule>
          <xm:sqref>V34</xm:sqref>
        </x14:conditionalFormatting>
        <x14:conditionalFormatting xmlns:xm="http://schemas.microsoft.com/office/excel/2006/main">
          <x14:cfRule type="expression" priority="3" id="{C650E669-CC53-48F8-BF89-38CB03184C51}">
            <xm:f>$X$34&lt;&gt;SUM(AD!$F$50:$F$54)</xm:f>
            <x14:dxf>
              <font>
                <color rgb="FFFF0000"/>
              </font>
            </x14:dxf>
          </x14:cfRule>
          <xm:sqref>X34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764"/>
  <sheetViews>
    <sheetView view="pageBreakPreview" topLeftCell="A745" zoomScale="65" zoomScaleNormal="100" zoomScaleSheetLayoutView="100" workbookViewId="0">
      <selection activeCell="L764" sqref="A764:XFD764"/>
    </sheetView>
  </sheetViews>
  <sheetFormatPr defaultColWidth="0" defaultRowHeight="14" x14ac:dyDescent="0.3"/>
  <cols>
    <col min="1" max="1" width="5.54296875" style="221" customWidth="1"/>
    <col min="2" max="2" width="14.453125" style="28" customWidth="1"/>
    <col min="3" max="3" width="0.81640625" style="28" customWidth="1"/>
    <col min="4" max="4" width="14.453125" style="28" customWidth="1"/>
    <col min="5" max="5" width="0.54296875" style="28" customWidth="1"/>
    <col min="6" max="6" width="14.453125" style="28" customWidth="1"/>
    <col min="7" max="7" width="0.54296875" style="28" customWidth="1"/>
    <col min="8" max="8" width="14.7265625" style="28" customWidth="1"/>
    <col min="9" max="9" width="0.54296875" style="28" customWidth="1"/>
    <col min="10" max="10" width="14.453125" style="226" customWidth="1"/>
    <col min="11" max="11" width="0.54296875" style="28" customWidth="1"/>
    <col min="12" max="12" width="14.453125" style="100" customWidth="1"/>
    <col min="13" max="13" width="0.81640625" style="100" customWidth="1"/>
    <col min="14" max="14" width="14.453125" style="100" customWidth="1"/>
    <col min="15" max="15" width="0.54296875" style="28" customWidth="1"/>
    <col min="16" max="26" width="9.1796875" style="28" customWidth="1"/>
    <col min="27" max="16384" width="0" style="28" hidden="1"/>
  </cols>
  <sheetData>
    <row r="1" spans="1:17" s="363" customFormat="1" ht="15" x14ac:dyDescent="0.3">
      <c r="A1" s="363" t="str">
        <f>Cover!C1</f>
        <v>ABC LIMITED</v>
      </c>
      <c r="J1" s="372"/>
      <c r="L1" s="365"/>
      <c r="M1" s="365"/>
      <c r="N1" s="365"/>
    </row>
    <row r="2" spans="1:17" s="363" customFormat="1" ht="15" x14ac:dyDescent="0.3">
      <c r="A2" s="363" t="str">
        <f>Policies!A2</f>
        <v>NOTES TO THE FINANCIAL STATEMENTS</v>
      </c>
      <c r="J2" s="372"/>
      <c r="L2" s="365"/>
      <c r="M2" s="365"/>
      <c r="N2" s="365"/>
    </row>
    <row r="3" spans="1:17" s="383" customFormat="1" ht="15.5" thickBot="1" x14ac:dyDescent="0.35">
      <c r="A3" s="383" t="str">
        <f>Cover!C3</f>
        <v>FOR THE YEAR ENDED JUNE 30, 2023</v>
      </c>
      <c r="J3" s="392"/>
      <c r="L3" s="385"/>
      <c r="M3" s="385"/>
      <c r="N3" s="385"/>
    </row>
    <row r="4" spans="1:17" ht="14.5" thickTop="1" x14ac:dyDescent="0.3"/>
    <row r="5" spans="1:17" x14ac:dyDescent="0.3">
      <c r="A5" s="221">
        <f>FAS!A68+0.1</f>
        <v>5.2999999999999989</v>
      </c>
      <c r="B5" s="222" t="s">
        <v>802</v>
      </c>
      <c r="C5" s="222"/>
      <c r="D5" s="222"/>
      <c r="E5" s="222"/>
      <c r="F5" s="222"/>
      <c r="G5" s="222"/>
      <c r="H5" s="222"/>
      <c r="I5" s="222"/>
      <c r="J5" s="222"/>
      <c r="K5" s="222"/>
      <c r="L5" s="222"/>
      <c r="M5" s="222"/>
      <c r="N5" s="222"/>
    </row>
    <row r="6" spans="1:17" x14ac:dyDescent="0.3">
      <c r="B6" s="222"/>
      <c r="C6" s="222"/>
      <c r="D6" s="222"/>
      <c r="E6" s="222"/>
      <c r="F6" s="222"/>
      <c r="G6" s="222"/>
      <c r="H6" s="222"/>
      <c r="I6" s="222"/>
      <c r="J6" s="222"/>
      <c r="K6" s="222"/>
      <c r="L6" s="222"/>
      <c r="M6" s="222"/>
      <c r="N6" s="222"/>
    </row>
    <row r="7" spans="1:17" x14ac:dyDescent="0.3">
      <c r="J7" s="223"/>
      <c r="L7" s="224"/>
      <c r="M7" s="224"/>
      <c r="N7" s="224"/>
      <c r="Q7" s="28" t="s">
        <v>710</v>
      </c>
    </row>
    <row r="8" spans="1:17" ht="16.5" customHeight="1" x14ac:dyDescent="0.3">
      <c r="B8" s="412" t="s">
        <v>578</v>
      </c>
      <c r="C8" s="413"/>
      <c r="D8" s="413"/>
      <c r="E8" s="225"/>
      <c r="F8" s="412" t="s">
        <v>561</v>
      </c>
      <c r="H8" s="414" t="s">
        <v>576</v>
      </c>
      <c r="I8" s="415"/>
      <c r="J8" s="415"/>
      <c r="L8" s="412" t="str">
        <f>SOFP!$J$5</f>
        <v>Note</v>
      </c>
      <c r="M8" s="28"/>
      <c r="N8" s="414" t="s">
        <v>577</v>
      </c>
      <c r="Q8" s="28" t="s">
        <v>711</v>
      </c>
    </row>
    <row r="9" spans="1:17" x14ac:dyDescent="0.3">
      <c r="B9" s="413"/>
      <c r="C9" s="413"/>
      <c r="D9" s="413"/>
      <c r="E9" s="225"/>
      <c r="F9" s="413"/>
      <c r="H9" s="415"/>
      <c r="I9" s="415"/>
      <c r="J9" s="415"/>
      <c r="L9" s="413"/>
      <c r="M9" s="28"/>
      <c r="N9" s="415"/>
      <c r="Q9" s="28" t="s">
        <v>712</v>
      </c>
    </row>
    <row r="10" spans="1:17" x14ac:dyDescent="0.3">
      <c r="L10" s="227"/>
      <c r="M10" s="28"/>
      <c r="N10" s="420" t="s">
        <v>487</v>
      </c>
      <c r="Q10" s="28" t="s">
        <v>713</v>
      </c>
    </row>
    <row r="11" spans="1:17" ht="15" customHeight="1" x14ac:dyDescent="0.3">
      <c r="Q11" s="28" t="s">
        <v>714</v>
      </c>
    </row>
    <row r="12" spans="1:17" x14ac:dyDescent="0.3">
      <c r="F12" s="28" t="str">
        <f>FAS!H15</f>
        <v xml:space="preserve">Freehold Land </v>
      </c>
      <c r="L12" s="9" t="str">
        <f>A22</f>
        <v>5.3.1</v>
      </c>
      <c r="M12" s="28"/>
      <c r="N12" s="228"/>
      <c r="Q12" s="28" t="s">
        <v>715</v>
      </c>
    </row>
    <row r="13" spans="1:17" x14ac:dyDescent="0.3">
      <c r="F13" s="28" t="str">
        <f>FAS!J15</f>
        <v>Building on Freehold Land</v>
      </c>
      <c r="L13" s="227"/>
      <c r="M13" s="28"/>
      <c r="N13" s="228"/>
      <c r="Q13" s="28" t="s">
        <v>716</v>
      </c>
    </row>
    <row r="14" spans="1:17" x14ac:dyDescent="0.3">
      <c r="F14" s="28" t="str">
        <f>FAS!L15</f>
        <v>Plant and Machinery</v>
      </c>
      <c r="L14" s="227"/>
      <c r="M14" s="28"/>
      <c r="N14" s="228"/>
      <c r="Q14" s="28" t="s">
        <v>717</v>
      </c>
    </row>
    <row r="15" spans="1:17" x14ac:dyDescent="0.3">
      <c r="F15" s="28" t="str">
        <f>FAS!N15</f>
        <v>Generator</v>
      </c>
      <c r="L15" s="227"/>
      <c r="M15" s="28"/>
      <c r="N15" s="228"/>
      <c r="Q15" s="28" t="s">
        <v>718</v>
      </c>
    </row>
    <row r="16" spans="1:17" x14ac:dyDescent="0.3">
      <c r="F16" s="28" t="str">
        <f>FAS!P15</f>
        <v>Office Equipment</v>
      </c>
      <c r="L16" s="227"/>
      <c r="M16" s="28"/>
      <c r="N16" s="228"/>
      <c r="Q16" s="28" t="s">
        <v>719</v>
      </c>
    </row>
    <row r="17" spans="1:17" x14ac:dyDescent="0.3">
      <c r="F17" s="28" t="str">
        <f>FAS!R15</f>
        <v>Computers</v>
      </c>
      <c r="L17" s="227"/>
      <c r="M17" s="28"/>
      <c r="N17" s="228"/>
      <c r="Q17" s="28" t="s">
        <v>720</v>
      </c>
    </row>
    <row r="18" spans="1:17" x14ac:dyDescent="0.3">
      <c r="F18" s="28" t="str">
        <f>FAS!T15</f>
        <v>Electric Equipment &amp; Installations</v>
      </c>
      <c r="L18" s="227"/>
      <c r="M18" s="28"/>
      <c r="N18" s="228"/>
      <c r="Q18" s="28" t="s">
        <v>721</v>
      </c>
    </row>
    <row r="19" spans="1:17" x14ac:dyDescent="0.3">
      <c r="F19" s="28" t="str">
        <f>FAS!V15</f>
        <v>Furniture and Fixture</v>
      </c>
      <c r="L19" s="227"/>
      <c r="M19" s="28"/>
      <c r="N19" s="228"/>
    </row>
    <row r="20" spans="1:17" x14ac:dyDescent="0.3">
      <c r="F20" s="28" t="str">
        <f>FAS!X15</f>
        <v>Vehicles</v>
      </c>
      <c r="L20" s="227"/>
      <c r="M20" s="28"/>
      <c r="N20" s="228"/>
    </row>
    <row r="21" spans="1:17" x14ac:dyDescent="0.3">
      <c r="L21" s="227"/>
      <c r="M21" s="28"/>
      <c r="N21" s="228"/>
    </row>
    <row r="22" spans="1:17" x14ac:dyDescent="0.3">
      <c r="A22" s="221" t="str">
        <f>A5&amp;".1"</f>
        <v>5.3.1</v>
      </c>
      <c r="B22" s="222" t="s">
        <v>579</v>
      </c>
      <c r="C22" s="222"/>
      <c r="D22" s="222"/>
      <c r="E22" s="222"/>
      <c r="F22" s="222"/>
      <c r="G22" s="222"/>
      <c r="H22" s="222"/>
      <c r="I22" s="222"/>
      <c r="J22" s="222"/>
      <c r="K22" s="222"/>
      <c r="L22" s="222"/>
      <c r="M22" s="222"/>
      <c r="N22" s="222"/>
    </row>
    <row r="23" spans="1:17" x14ac:dyDescent="0.3">
      <c r="B23" s="222"/>
      <c r="C23" s="222"/>
      <c r="D23" s="222"/>
      <c r="E23" s="222"/>
      <c r="F23" s="222"/>
      <c r="G23" s="222"/>
      <c r="H23" s="222"/>
      <c r="I23" s="222"/>
      <c r="J23" s="222"/>
      <c r="K23" s="222"/>
      <c r="L23" s="222"/>
      <c r="M23" s="222"/>
      <c r="N23" s="222"/>
    </row>
    <row r="24" spans="1:17" x14ac:dyDescent="0.3">
      <c r="B24" s="222"/>
      <c r="C24" s="222"/>
      <c r="D24" s="222"/>
      <c r="E24" s="222"/>
      <c r="F24" s="222"/>
      <c r="G24" s="222"/>
      <c r="H24" s="222"/>
      <c r="I24" s="222"/>
      <c r="J24" s="222"/>
      <c r="K24" s="222"/>
      <c r="L24" s="222"/>
      <c r="M24" s="222"/>
      <c r="N24" s="222"/>
    </row>
    <row r="25" spans="1:17" x14ac:dyDescent="0.3">
      <c r="B25" s="222"/>
      <c r="C25" s="222"/>
      <c r="D25" s="222"/>
      <c r="E25" s="222"/>
      <c r="F25" s="222"/>
      <c r="G25" s="222"/>
      <c r="H25" s="222"/>
      <c r="I25" s="222"/>
      <c r="J25" s="222"/>
      <c r="K25" s="222"/>
      <c r="L25" s="222"/>
      <c r="M25" s="222"/>
      <c r="N25" s="222"/>
    </row>
    <row r="27" spans="1:17" x14ac:dyDescent="0.3">
      <c r="J27" s="229" t="s">
        <v>68</v>
      </c>
      <c r="L27" s="421" t="str">
        <f>SOFP!$L$5</f>
        <v>2023</v>
      </c>
      <c r="N27" s="421" t="str">
        <f>SOFP!$N$5</f>
        <v>2022</v>
      </c>
    </row>
    <row r="28" spans="1:17" x14ac:dyDescent="0.3">
      <c r="J28" s="229"/>
      <c r="L28" s="423" t="str">
        <f>SOFP!$L$6</f>
        <v>------------- Rupees -------------</v>
      </c>
      <c r="M28" s="424"/>
      <c r="N28" s="424"/>
    </row>
    <row r="29" spans="1:17" x14ac:dyDescent="0.3">
      <c r="B29" s="58"/>
    </row>
    <row r="30" spans="1:17" x14ac:dyDescent="0.3">
      <c r="A30" s="221">
        <f>A5+0.1</f>
        <v>5.3999999999999986</v>
      </c>
      <c r="B30" s="58" t="s">
        <v>580</v>
      </c>
    </row>
    <row r="31" spans="1:17" x14ac:dyDescent="0.3">
      <c r="B31" s="28" t="str">
        <f>SOPL!B10</f>
        <v>Cost of revenue</v>
      </c>
    </row>
    <row r="32" spans="1:17" x14ac:dyDescent="0.3">
      <c r="B32" s="28" t="str">
        <f>SOPL!B14</f>
        <v>Distribution costs</v>
      </c>
    </row>
    <row r="33" spans="1:14" x14ac:dyDescent="0.3">
      <c r="B33" s="28" t="str">
        <f>SOPL!B15</f>
        <v>Administrative expenses</v>
      </c>
    </row>
    <row r="34" spans="1:14" ht="5.15" customHeight="1" x14ac:dyDescent="0.3">
      <c r="B34" s="58"/>
    </row>
    <row r="35" spans="1:14" ht="14.5" thickBot="1" x14ac:dyDescent="0.35">
      <c r="B35" s="58"/>
      <c r="L35" s="230">
        <f>SUM(L31:L34)</f>
        <v>0</v>
      </c>
      <c r="N35" s="230">
        <f>SUM(N31:N34)</f>
        <v>0</v>
      </c>
    </row>
    <row r="36" spans="1:14" ht="14.5" thickTop="1" x14ac:dyDescent="0.3">
      <c r="B36" s="58"/>
      <c r="L36" s="224"/>
      <c r="N36" s="224"/>
    </row>
    <row r="37" spans="1:14" x14ac:dyDescent="0.3">
      <c r="A37" s="221">
        <f>A30+0.1</f>
        <v>5.4999999999999982</v>
      </c>
      <c r="B37" s="231" t="s">
        <v>803</v>
      </c>
      <c r="C37" s="231"/>
      <c r="D37" s="231"/>
      <c r="E37" s="231"/>
      <c r="F37" s="231"/>
      <c r="G37" s="231"/>
      <c r="H37" s="231"/>
      <c r="I37" s="231"/>
      <c r="J37" s="231"/>
      <c r="K37" s="231"/>
      <c r="L37" s="231"/>
      <c r="M37" s="231"/>
      <c r="N37" s="231"/>
    </row>
    <row r="38" spans="1:14" x14ac:dyDescent="0.3">
      <c r="B38" s="231"/>
      <c r="C38" s="231"/>
      <c r="D38" s="231"/>
      <c r="E38" s="231"/>
      <c r="F38" s="231"/>
      <c r="G38" s="231"/>
      <c r="H38" s="231"/>
      <c r="I38" s="231"/>
      <c r="J38" s="231"/>
      <c r="K38" s="231"/>
      <c r="L38" s="231"/>
      <c r="M38" s="231"/>
      <c r="N38" s="231"/>
    </row>
    <row r="40" spans="1:14" x14ac:dyDescent="0.3">
      <c r="A40" s="221">
        <f>A37+0.1</f>
        <v>5.5999999999999979</v>
      </c>
      <c r="B40" s="231" t="s">
        <v>804</v>
      </c>
      <c r="C40" s="231"/>
      <c r="D40" s="231"/>
      <c r="E40" s="231"/>
      <c r="F40" s="231"/>
      <c r="G40" s="231"/>
      <c r="H40" s="231"/>
      <c r="I40" s="231"/>
      <c r="J40" s="231"/>
      <c r="K40" s="231"/>
      <c r="L40" s="231"/>
      <c r="M40" s="231"/>
      <c r="N40" s="231"/>
    </row>
    <row r="41" spans="1:14" x14ac:dyDescent="0.3">
      <c r="B41" s="231"/>
      <c r="C41" s="231"/>
      <c r="D41" s="231"/>
      <c r="E41" s="231"/>
      <c r="F41" s="231"/>
      <c r="G41" s="231"/>
      <c r="H41" s="231"/>
      <c r="I41" s="231"/>
      <c r="J41" s="231"/>
      <c r="K41" s="231"/>
      <c r="L41" s="231"/>
      <c r="M41" s="231"/>
      <c r="N41" s="231"/>
    </row>
    <row r="42" spans="1:14" x14ac:dyDescent="0.3">
      <c r="B42" s="232"/>
      <c r="C42" s="232"/>
      <c r="D42" s="232"/>
      <c r="E42" s="232"/>
      <c r="F42" s="232"/>
      <c r="G42" s="232"/>
      <c r="H42" s="232"/>
      <c r="I42" s="232"/>
      <c r="J42" s="232"/>
      <c r="K42" s="232"/>
      <c r="L42" s="232"/>
      <c r="M42" s="232"/>
      <c r="N42" s="232"/>
    </row>
    <row r="43" spans="1:14" x14ac:dyDescent="0.3">
      <c r="A43" s="221">
        <f>A40+0.1</f>
        <v>5.6999999999999975</v>
      </c>
      <c r="B43" s="222" t="str">
        <f>"Had there been no revaluation, the cost, accumulated depreciation and book value of revalued assets as at "&amp;Cover!G6&amp;" would have been as under:"</f>
        <v>Had there been no revaluation, the cost, accumulated depreciation and book value of revalued assets as at June 30, 2023 would have been as under:</v>
      </c>
      <c r="C43" s="222"/>
      <c r="D43" s="222"/>
      <c r="E43" s="222"/>
      <c r="F43" s="222"/>
      <c r="G43" s="222"/>
      <c r="H43" s="222"/>
      <c r="I43" s="222"/>
      <c r="J43" s="222"/>
      <c r="K43" s="222"/>
      <c r="L43" s="222"/>
      <c r="M43" s="222"/>
      <c r="N43" s="222"/>
    </row>
    <row r="44" spans="1:14" x14ac:dyDescent="0.3">
      <c r="B44" s="222"/>
      <c r="C44" s="222"/>
      <c r="D44" s="222"/>
      <c r="E44" s="222"/>
      <c r="F44" s="222"/>
      <c r="G44" s="222"/>
      <c r="H44" s="222"/>
      <c r="I44" s="222"/>
      <c r="J44" s="222"/>
      <c r="K44" s="222"/>
      <c r="L44" s="222"/>
      <c r="M44" s="222"/>
      <c r="N44" s="222"/>
    </row>
    <row r="45" spans="1:14" x14ac:dyDescent="0.3">
      <c r="B45" s="58"/>
    </row>
    <row r="46" spans="1:14" ht="28" x14ac:dyDescent="0.3">
      <c r="B46" s="58"/>
      <c r="J46" s="411" t="s">
        <v>472</v>
      </c>
      <c r="L46" s="411" t="s">
        <v>581</v>
      </c>
      <c r="N46" s="411" t="s">
        <v>582</v>
      </c>
    </row>
    <row r="47" spans="1:14" x14ac:dyDescent="0.3">
      <c r="B47" s="58"/>
      <c r="J47" s="425" t="str">
        <f>SOFP!$L$6</f>
        <v>------------- Rupees -------------</v>
      </c>
      <c r="K47" s="426"/>
      <c r="L47" s="426"/>
      <c r="M47" s="426"/>
      <c r="N47" s="426"/>
    </row>
    <row r="48" spans="1:14" x14ac:dyDescent="0.3">
      <c r="B48" s="58"/>
    </row>
    <row r="49" spans="1:17" x14ac:dyDescent="0.3">
      <c r="B49" s="28" t="str">
        <f>FAS!H15</f>
        <v xml:space="preserve">Freehold Land </v>
      </c>
      <c r="J49" s="226">
        <f>FAS!H30+FAS!H34-FAS!H36</f>
        <v>0</v>
      </c>
      <c r="L49" s="100">
        <f>FAS!H52+FAS!H56</f>
        <v>0</v>
      </c>
      <c r="N49" s="100">
        <f>J49-L49</f>
        <v>0</v>
      </c>
    </row>
    <row r="50" spans="1:17" x14ac:dyDescent="0.3">
      <c r="B50" s="28" t="str">
        <f>FAS!J15</f>
        <v>Building on Freehold Land</v>
      </c>
      <c r="J50" s="226">
        <f>FAS!J30+FAS!J34-FAS!J36</f>
        <v>0</v>
      </c>
      <c r="L50" s="100" t="e">
        <f>FAS!J52+FAS!J56-#REF!</f>
        <v>#REF!</v>
      </c>
      <c r="N50" s="100" t="e">
        <f>J50-L50</f>
        <v>#REF!</v>
      </c>
    </row>
    <row r="51" spans="1:17" x14ac:dyDescent="0.3">
      <c r="B51" s="28" t="str">
        <f>FAS!V15</f>
        <v>Furniture and Fixture</v>
      </c>
      <c r="J51" s="226">
        <f>FAS!V30+FAS!V34-FAS!V36</f>
        <v>0</v>
      </c>
      <c r="L51" s="100" t="e">
        <f>FAS!V52+FAS!V56-#REF!</f>
        <v>#REF!</v>
      </c>
      <c r="N51" s="100" t="e">
        <f>J51-L51</f>
        <v>#REF!</v>
      </c>
    </row>
    <row r="52" spans="1:17" x14ac:dyDescent="0.3">
      <c r="B52" s="28" t="str">
        <f>FAS!L15</f>
        <v>Plant and Machinery</v>
      </c>
      <c r="J52" s="226">
        <f>FAS!L30+FAS!L34-FAS!L36</f>
        <v>0</v>
      </c>
      <c r="L52" s="100" t="e">
        <f>FAS!L52+FAS!L56-#REF!</f>
        <v>#REF!</v>
      </c>
      <c r="N52" s="100" t="e">
        <f>J52-L52</f>
        <v>#REF!</v>
      </c>
    </row>
    <row r="53" spans="1:17" ht="5.15" customHeight="1" x14ac:dyDescent="0.3">
      <c r="D53" s="235"/>
    </row>
    <row r="54" spans="1:17" ht="14.5" thickBot="1" x14ac:dyDescent="0.35">
      <c r="B54" s="236" t="str">
        <f>FAS!B60</f>
        <v>Balance as at June 30, 2023</v>
      </c>
      <c r="J54" s="237">
        <f>SUM(J49:J53)</f>
        <v>0</v>
      </c>
      <c r="L54" s="237" t="e">
        <f>SUM(L49:L53)</f>
        <v>#REF!</v>
      </c>
      <c r="N54" s="237" t="e">
        <f>SUM(N49:N53)</f>
        <v>#REF!</v>
      </c>
    </row>
    <row r="55" spans="1:17" ht="5.15" customHeight="1" thickTop="1" x14ac:dyDescent="0.3"/>
    <row r="56" spans="1:17" ht="14.5" thickBot="1" x14ac:dyDescent="0.35">
      <c r="B56" s="58" t="str">
        <f>FAS!B50</f>
        <v>Balance as at June 30, 2022</v>
      </c>
      <c r="J56" s="237">
        <f>FAS!H30+FAS!J30+FAS!V30+FAS!L30</f>
        <v>0</v>
      </c>
      <c r="L56" s="230">
        <f>FAS!H52+FAS!J52+FAS!V52+FAS!L52</f>
        <v>0</v>
      </c>
      <c r="N56" s="230">
        <f>J56-L56</f>
        <v>0</v>
      </c>
    </row>
    <row r="57" spans="1:17" ht="14.5" thickTop="1" x14ac:dyDescent="0.3">
      <c r="B57" s="58"/>
    </row>
    <row r="58" spans="1:17" x14ac:dyDescent="0.3">
      <c r="B58" s="58"/>
    </row>
    <row r="59" spans="1:17" x14ac:dyDescent="0.3">
      <c r="B59" s="238"/>
      <c r="F59" s="100"/>
      <c r="G59" s="100"/>
      <c r="H59" s="100"/>
      <c r="I59" s="100"/>
      <c r="K59" s="100"/>
    </row>
    <row r="60" spans="1:17" x14ac:dyDescent="0.3">
      <c r="J60" s="229" t="s">
        <v>68</v>
      </c>
      <c r="L60" s="421" t="str">
        <f>SOFP!$L$5</f>
        <v>2023</v>
      </c>
      <c r="N60" s="421" t="str">
        <f>SOFP!$N$5</f>
        <v>2022</v>
      </c>
    </row>
    <row r="61" spans="1:17" x14ac:dyDescent="0.3">
      <c r="J61" s="229"/>
      <c r="L61" s="423" t="str">
        <f>SOFP!$L$6</f>
        <v>------------- Rupees -------------</v>
      </c>
      <c r="M61" s="424"/>
      <c r="N61" s="424"/>
    </row>
    <row r="62" spans="1:17" x14ac:dyDescent="0.3">
      <c r="B62" s="58"/>
    </row>
    <row r="63" spans="1:17" x14ac:dyDescent="0.3">
      <c r="A63" s="221">
        <f>SOFP!J11</f>
        <v>6</v>
      </c>
      <c r="B63" s="58" t="str">
        <f>SOFP!B11</f>
        <v xml:space="preserve">Investment properties </v>
      </c>
    </row>
    <row r="64" spans="1:17" x14ac:dyDescent="0.3">
      <c r="B64" s="28" t="s">
        <v>119</v>
      </c>
      <c r="Q64" s="28" t="s">
        <v>722</v>
      </c>
    </row>
    <row r="65" spans="1:17" x14ac:dyDescent="0.3">
      <c r="B65" s="28" t="s">
        <v>154</v>
      </c>
      <c r="Q65" s="28" t="s">
        <v>723</v>
      </c>
    </row>
    <row r="66" spans="1:17" x14ac:dyDescent="0.3">
      <c r="B66" s="28" t="s">
        <v>113</v>
      </c>
      <c r="Q66" s="28" t="s">
        <v>724</v>
      </c>
    </row>
    <row r="67" spans="1:17" x14ac:dyDescent="0.3">
      <c r="B67" s="28" t="s">
        <v>114</v>
      </c>
      <c r="Q67" s="28" t="s">
        <v>725</v>
      </c>
    </row>
    <row r="68" spans="1:17" x14ac:dyDescent="0.3">
      <c r="B68" s="28" t="s">
        <v>115</v>
      </c>
      <c r="Q68" s="28" t="s">
        <v>726</v>
      </c>
    </row>
    <row r="69" spans="1:17" x14ac:dyDescent="0.3">
      <c r="B69" s="28" t="s">
        <v>116</v>
      </c>
      <c r="Q69" s="28" t="s">
        <v>727</v>
      </c>
    </row>
    <row r="70" spans="1:17" ht="5.15" customHeight="1" x14ac:dyDescent="0.3">
      <c r="Q70" s="28" t="s">
        <v>728</v>
      </c>
    </row>
    <row r="71" spans="1:17" ht="14.5" thickBot="1" x14ac:dyDescent="0.35">
      <c r="L71" s="239">
        <f>SUM(L64:L70)</f>
        <v>0</v>
      </c>
      <c r="M71" s="240"/>
      <c r="N71" s="239">
        <f>SUM(N64:N70)</f>
        <v>0</v>
      </c>
      <c r="Q71" s="28" t="s">
        <v>729</v>
      </c>
    </row>
    <row r="72" spans="1:17" ht="14.5" thickTop="1" x14ac:dyDescent="0.3"/>
    <row r="73" spans="1:17" x14ac:dyDescent="0.3">
      <c r="A73" s="221">
        <f>A63+0.1</f>
        <v>6.1</v>
      </c>
      <c r="B73" s="58" t="s">
        <v>120</v>
      </c>
    </row>
    <row r="74" spans="1:17" x14ac:dyDescent="0.3">
      <c r="B74" s="28" t="s">
        <v>117</v>
      </c>
    </row>
    <row r="75" spans="1:17" x14ac:dyDescent="0.3">
      <c r="B75" s="28" t="s">
        <v>155</v>
      </c>
    </row>
    <row r="76" spans="1:17" x14ac:dyDescent="0.3">
      <c r="B76" s="28" t="s">
        <v>156</v>
      </c>
    </row>
    <row r="77" spans="1:17" x14ac:dyDescent="0.3">
      <c r="B77" s="28" t="s">
        <v>118</v>
      </c>
    </row>
    <row r="78" spans="1:17" ht="5.15" customHeight="1" x14ac:dyDescent="0.3"/>
    <row r="79" spans="1:17" ht="14.5" thickBot="1" x14ac:dyDescent="0.35">
      <c r="L79" s="239">
        <f>SUM(L74:L78)</f>
        <v>0</v>
      </c>
      <c r="M79" s="240"/>
      <c r="N79" s="239">
        <f>SUM(N74:N78)</f>
        <v>0</v>
      </c>
    </row>
    <row r="80" spans="1:17" ht="5.15" customHeight="1" thickTop="1" x14ac:dyDescent="0.3"/>
    <row r="81" spans="1:14" ht="15" customHeight="1" x14ac:dyDescent="0.3"/>
    <row r="82" spans="1:14" x14ac:dyDescent="0.3">
      <c r="J82" s="229" t="s">
        <v>68</v>
      </c>
      <c r="L82" s="421" t="str">
        <f>SOFP!$L$5</f>
        <v>2023</v>
      </c>
      <c r="M82" s="422"/>
      <c r="N82" s="421" t="str">
        <f>SOFP!$N$5</f>
        <v>2022</v>
      </c>
    </row>
    <row r="83" spans="1:14" x14ac:dyDescent="0.3">
      <c r="J83" s="229"/>
      <c r="L83" s="423" t="str">
        <f>SOFP!$L$6</f>
        <v>------------- Rupees -------------</v>
      </c>
      <c r="M83" s="424"/>
      <c r="N83" s="424"/>
    </row>
    <row r="84" spans="1:14" x14ac:dyDescent="0.3">
      <c r="B84" s="58"/>
    </row>
    <row r="85" spans="1:14" x14ac:dyDescent="0.3">
      <c r="A85" s="221">
        <f>SOFP!J12</f>
        <v>7</v>
      </c>
      <c r="B85" s="58" t="str">
        <f>SOFP!B12</f>
        <v xml:space="preserve">Intangible assets </v>
      </c>
    </row>
    <row r="86" spans="1:14" x14ac:dyDescent="0.3">
      <c r="B86" s="58" t="s">
        <v>491</v>
      </c>
    </row>
    <row r="87" spans="1:14" x14ac:dyDescent="0.3">
      <c r="B87" s="58" t="s">
        <v>492</v>
      </c>
    </row>
    <row r="88" spans="1:14" x14ac:dyDescent="0.3">
      <c r="B88" s="28" t="s">
        <v>493</v>
      </c>
    </row>
    <row r="89" spans="1:14" x14ac:dyDescent="0.3">
      <c r="B89" s="28" t="s">
        <v>494</v>
      </c>
    </row>
    <row r="90" spans="1:14" ht="5.15" customHeight="1" x14ac:dyDescent="0.3"/>
    <row r="91" spans="1:14" ht="14.5" thickBot="1" x14ac:dyDescent="0.35">
      <c r="B91" s="28" t="s">
        <v>495</v>
      </c>
      <c r="L91" s="230">
        <f>SUM(L88:L90)</f>
        <v>0</v>
      </c>
      <c r="N91" s="230">
        <f>SUM(N88:N90)</f>
        <v>0</v>
      </c>
    </row>
    <row r="92" spans="1:14" ht="14.5" thickTop="1" x14ac:dyDescent="0.3"/>
    <row r="93" spans="1:14" x14ac:dyDescent="0.3">
      <c r="B93" s="58" t="s">
        <v>496</v>
      </c>
    </row>
    <row r="94" spans="1:14" x14ac:dyDescent="0.3">
      <c r="B94" s="28" t="s">
        <v>472</v>
      </c>
    </row>
    <row r="95" spans="1:14" x14ac:dyDescent="0.3">
      <c r="B95" s="28" t="s">
        <v>497</v>
      </c>
    </row>
    <row r="96" spans="1:14" ht="5.15" customHeight="1" x14ac:dyDescent="0.3"/>
    <row r="97" spans="1:14" ht="14.5" thickBot="1" x14ac:dyDescent="0.35">
      <c r="B97" s="58"/>
      <c r="L97" s="230">
        <f>SUM(L94:L96)</f>
        <v>0</v>
      </c>
      <c r="N97" s="230">
        <f>SUM(N94:N96)</f>
        <v>0</v>
      </c>
    </row>
    <row r="98" spans="1:14" ht="5.15" customHeight="1" thickTop="1" x14ac:dyDescent="0.3"/>
    <row r="99" spans="1:14" ht="14.5" thickBot="1" x14ac:dyDescent="0.35">
      <c r="B99" s="58" t="s">
        <v>498</v>
      </c>
      <c r="L99" s="241"/>
      <c r="N99" s="241"/>
    </row>
    <row r="100" spans="1:14" ht="14.5" thickTop="1" x14ac:dyDescent="0.3"/>
    <row r="101" spans="1:14" x14ac:dyDescent="0.3">
      <c r="A101" s="221">
        <f>SOFP!J13</f>
        <v>8</v>
      </c>
      <c r="B101" s="58" t="str">
        <f>SOFP!B13</f>
        <v>Long-term loans and advances</v>
      </c>
    </row>
    <row r="102" spans="1:14" x14ac:dyDescent="0.3">
      <c r="B102" s="28" t="s">
        <v>748</v>
      </c>
      <c r="J102" s="242">
        <f>A107</f>
        <v>8.1</v>
      </c>
    </row>
    <row r="103" spans="1:14" x14ac:dyDescent="0.3">
      <c r="B103" s="28" t="s">
        <v>749</v>
      </c>
    </row>
    <row r="104" spans="1:14" ht="5.15" customHeight="1" x14ac:dyDescent="0.3"/>
    <row r="105" spans="1:14" ht="14.5" thickBot="1" x14ac:dyDescent="0.35">
      <c r="L105" s="230">
        <f>SUM(L102:L103)</f>
        <v>0</v>
      </c>
      <c r="N105" s="230">
        <f>SUM(N102:N103)</f>
        <v>0</v>
      </c>
    </row>
    <row r="106" spans="1:14" ht="14.5" thickTop="1" x14ac:dyDescent="0.3"/>
    <row r="107" spans="1:14" x14ac:dyDescent="0.3">
      <c r="A107" s="221">
        <f>A101+0.1</f>
        <v>8.1</v>
      </c>
      <c r="B107" s="58" t="s">
        <v>750</v>
      </c>
    </row>
    <row r="108" spans="1:14" x14ac:dyDescent="0.3">
      <c r="B108" s="28" t="s">
        <v>323</v>
      </c>
      <c r="J108" s="242">
        <f>A115</f>
        <v>8.1999999999999993</v>
      </c>
    </row>
    <row r="109" spans="1:14" x14ac:dyDescent="0.3">
      <c r="B109" s="28" t="s">
        <v>751</v>
      </c>
    </row>
    <row r="110" spans="1:14" x14ac:dyDescent="0.3">
      <c r="B110" s="28" t="s">
        <v>752</v>
      </c>
    </row>
    <row r="111" spans="1:14" x14ac:dyDescent="0.3">
      <c r="B111" s="28" t="s">
        <v>753</v>
      </c>
    </row>
    <row r="112" spans="1:14" ht="5.15" customHeight="1" x14ac:dyDescent="0.3"/>
    <row r="113" spans="1:14" ht="14.5" thickBot="1" x14ac:dyDescent="0.35">
      <c r="L113" s="230">
        <f>SUM(L108:L111)</f>
        <v>0</v>
      </c>
      <c r="N113" s="230">
        <f>SUM(N108:N111)</f>
        <v>0</v>
      </c>
    </row>
    <row r="114" spans="1:14" ht="14.5" thickTop="1" x14ac:dyDescent="0.3"/>
    <row r="115" spans="1:14" x14ac:dyDescent="0.3">
      <c r="A115" s="221">
        <f>A107+0.1</f>
        <v>8.1999999999999993</v>
      </c>
      <c r="B115" s="58" t="s">
        <v>754</v>
      </c>
    </row>
    <row r="116" spans="1:14" x14ac:dyDescent="0.3">
      <c r="B116" s="243" t="s">
        <v>755</v>
      </c>
      <c r="C116" s="243"/>
      <c r="D116" s="243"/>
      <c r="E116" s="243"/>
      <c r="F116" s="243"/>
      <c r="G116" s="243"/>
      <c r="H116" s="243"/>
      <c r="I116" s="243"/>
      <c r="J116" s="243"/>
      <c r="K116" s="243"/>
      <c r="L116" s="243"/>
      <c r="M116" s="243"/>
      <c r="N116" s="243"/>
    </row>
    <row r="117" spans="1:14" x14ac:dyDescent="0.3">
      <c r="B117" s="243"/>
      <c r="C117" s="243"/>
      <c r="D117" s="243"/>
      <c r="E117" s="243"/>
      <c r="F117" s="243"/>
      <c r="G117" s="243"/>
      <c r="H117" s="243"/>
      <c r="I117" s="243"/>
      <c r="J117" s="243"/>
      <c r="K117" s="243"/>
      <c r="L117" s="243"/>
      <c r="M117" s="243"/>
      <c r="N117" s="243"/>
    </row>
    <row r="118" spans="1:14" x14ac:dyDescent="0.3">
      <c r="B118" s="243"/>
      <c r="C118" s="243"/>
      <c r="D118" s="243"/>
      <c r="E118" s="243"/>
      <c r="F118" s="243"/>
      <c r="G118" s="243"/>
      <c r="H118" s="243"/>
      <c r="I118" s="243"/>
      <c r="J118" s="243"/>
      <c r="K118" s="243"/>
      <c r="L118" s="243"/>
      <c r="M118" s="243"/>
      <c r="N118" s="243"/>
    </row>
    <row r="119" spans="1:14" x14ac:dyDescent="0.3">
      <c r="B119" s="243"/>
      <c r="C119" s="243"/>
      <c r="D119" s="243"/>
      <c r="E119" s="243"/>
      <c r="F119" s="243"/>
      <c r="G119" s="243"/>
      <c r="H119" s="243"/>
      <c r="I119" s="243"/>
      <c r="J119" s="243"/>
      <c r="K119" s="243"/>
      <c r="L119" s="243"/>
      <c r="M119" s="243"/>
      <c r="N119" s="243"/>
    </row>
    <row r="120" spans="1:14" x14ac:dyDescent="0.3">
      <c r="B120" s="243"/>
      <c r="C120" s="243"/>
      <c r="D120" s="243"/>
      <c r="E120" s="243"/>
      <c r="F120" s="243"/>
      <c r="G120" s="243"/>
      <c r="H120" s="243"/>
      <c r="I120" s="243"/>
      <c r="J120" s="243"/>
      <c r="K120" s="243"/>
      <c r="L120" s="243"/>
      <c r="M120" s="243"/>
      <c r="N120" s="243"/>
    </row>
    <row r="121" spans="1:14" x14ac:dyDescent="0.3">
      <c r="B121" s="427"/>
      <c r="C121" s="427"/>
      <c r="D121" s="427"/>
      <c r="E121" s="427"/>
      <c r="F121" s="427"/>
      <c r="G121" s="427"/>
      <c r="H121" s="427"/>
      <c r="I121" s="427"/>
      <c r="J121" s="427"/>
      <c r="K121" s="427"/>
      <c r="L121" s="427"/>
      <c r="M121" s="427"/>
      <c r="N121" s="427"/>
    </row>
    <row r="122" spans="1:14" x14ac:dyDescent="0.3">
      <c r="J122" s="229" t="s">
        <v>68</v>
      </c>
      <c r="L122" s="421" t="str">
        <f>SOFP!$L$5</f>
        <v>2023</v>
      </c>
      <c r="M122" s="422"/>
      <c r="N122" s="421" t="str">
        <f>SOFP!$N$5</f>
        <v>2022</v>
      </c>
    </row>
    <row r="123" spans="1:14" x14ac:dyDescent="0.3">
      <c r="J123" s="229"/>
      <c r="L123" s="423" t="str">
        <f>SOFP!$L$6</f>
        <v>------------- Rupees -------------</v>
      </c>
      <c r="M123" s="424"/>
      <c r="N123" s="424"/>
    </row>
    <row r="124" spans="1:14" x14ac:dyDescent="0.3">
      <c r="B124" s="58"/>
    </row>
    <row r="125" spans="1:14" x14ac:dyDescent="0.3">
      <c r="B125" s="28" t="s">
        <v>756</v>
      </c>
    </row>
    <row r="126" spans="1:14" x14ac:dyDescent="0.3">
      <c r="B126" s="28" t="s">
        <v>757</v>
      </c>
    </row>
    <row r="127" spans="1:14" x14ac:dyDescent="0.3">
      <c r="B127" s="28" t="s">
        <v>758</v>
      </c>
    </row>
    <row r="128" spans="1:14" x14ac:dyDescent="0.3">
      <c r="B128" s="28" t="s">
        <v>759</v>
      </c>
    </row>
    <row r="129" spans="1:14" ht="14.5" thickBot="1" x14ac:dyDescent="0.35">
      <c r="L129" s="230">
        <f>SUM(L125:L128)</f>
        <v>0</v>
      </c>
    </row>
    <row r="130" spans="1:14" thickTop="1" x14ac:dyDescent="0.3">
      <c r="B130" s="28" t="s">
        <v>760</v>
      </c>
    </row>
    <row r="133" spans="1:14" x14ac:dyDescent="0.3">
      <c r="A133" s="221">
        <f>SOFP!J14</f>
        <v>9</v>
      </c>
      <c r="B133" s="58" t="str">
        <f>SOFP!B14</f>
        <v xml:space="preserve">Deferred tax assets </v>
      </c>
    </row>
    <row r="134" spans="1:14" x14ac:dyDescent="0.3">
      <c r="B134" s="58" t="s">
        <v>134</v>
      </c>
    </row>
    <row r="135" spans="1:14" x14ac:dyDescent="0.3">
      <c r="B135" s="28" t="s">
        <v>119</v>
      </c>
    </row>
    <row r="137" spans="1:14" x14ac:dyDescent="0.3">
      <c r="B137" s="28" t="s">
        <v>135</v>
      </c>
    </row>
    <row r="138" spans="1:14" x14ac:dyDescent="0.3">
      <c r="B138" s="244" t="s">
        <v>136</v>
      </c>
      <c r="L138" s="245"/>
      <c r="N138" s="245"/>
    </row>
    <row r="139" spans="1:14" x14ac:dyDescent="0.3">
      <c r="B139" s="244" t="s">
        <v>137</v>
      </c>
      <c r="L139" s="246"/>
      <c r="N139" s="246"/>
    </row>
    <row r="140" spans="1:14" x14ac:dyDescent="0.3">
      <c r="B140" s="244" t="s">
        <v>138</v>
      </c>
      <c r="L140" s="247"/>
      <c r="N140" s="247"/>
    </row>
    <row r="141" spans="1:14" x14ac:dyDescent="0.3">
      <c r="L141" s="100">
        <f>SUM(L138:L140)</f>
        <v>0</v>
      </c>
      <c r="N141" s="100">
        <f>SUM(N138:N140)</f>
        <v>0</v>
      </c>
    </row>
    <row r="143" spans="1:14" ht="14.5" thickBot="1" x14ac:dyDescent="0.35">
      <c r="L143" s="239">
        <f>L135+L141</f>
        <v>0</v>
      </c>
      <c r="M143" s="240"/>
      <c r="N143" s="239">
        <f>N135+N141</f>
        <v>0</v>
      </c>
    </row>
    <row r="144" spans="1:14" ht="14.5" thickTop="1" x14ac:dyDescent="0.3"/>
    <row r="145" spans="1:14" x14ac:dyDescent="0.3">
      <c r="A145" s="221">
        <f>A133+0.1</f>
        <v>9.1</v>
      </c>
      <c r="B145" s="58" t="s">
        <v>139</v>
      </c>
    </row>
    <row r="146" spans="1:14" x14ac:dyDescent="0.3">
      <c r="B146" s="58" t="s">
        <v>140</v>
      </c>
    </row>
    <row r="147" spans="1:14" x14ac:dyDescent="0.3">
      <c r="L147" s="245"/>
      <c r="N147" s="245"/>
    </row>
    <row r="148" spans="1:14" x14ac:dyDescent="0.3">
      <c r="L148" s="246"/>
      <c r="N148" s="246"/>
    </row>
    <row r="149" spans="1:14" x14ac:dyDescent="0.3">
      <c r="L149" s="246"/>
      <c r="N149" s="246"/>
    </row>
    <row r="150" spans="1:14" x14ac:dyDescent="0.3">
      <c r="L150" s="247"/>
      <c r="N150" s="247"/>
    </row>
    <row r="151" spans="1:14" x14ac:dyDescent="0.3">
      <c r="L151" s="100">
        <f>SUM(L147:L150)</f>
        <v>0</v>
      </c>
      <c r="N151" s="100">
        <f>SUM(N147:N150)</f>
        <v>0</v>
      </c>
    </row>
    <row r="153" spans="1:14" x14ac:dyDescent="0.3">
      <c r="B153" s="58" t="s">
        <v>141</v>
      </c>
    </row>
    <row r="154" spans="1:14" x14ac:dyDescent="0.3">
      <c r="B154" s="58"/>
      <c r="L154" s="245"/>
      <c r="N154" s="245"/>
    </row>
    <row r="155" spans="1:14" x14ac:dyDescent="0.3">
      <c r="B155" s="58"/>
      <c r="L155" s="246"/>
      <c r="N155" s="246"/>
    </row>
    <row r="156" spans="1:14" x14ac:dyDescent="0.3">
      <c r="B156" s="58"/>
      <c r="L156" s="246"/>
      <c r="N156" s="246"/>
    </row>
    <row r="157" spans="1:14" x14ac:dyDescent="0.3">
      <c r="L157" s="247"/>
      <c r="N157" s="247"/>
    </row>
    <row r="158" spans="1:14" x14ac:dyDescent="0.3">
      <c r="L158" s="100">
        <f>SUM(L154:L157)</f>
        <v>0</v>
      </c>
      <c r="N158" s="100">
        <f>SUM(N154:N157)</f>
        <v>0</v>
      </c>
    </row>
    <row r="159" spans="1:14" ht="5.15" customHeight="1" x14ac:dyDescent="0.3"/>
    <row r="160" spans="1:14" ht="14.5" thickBot="1" x14ac:dyDescent="0.35">
      <c r="L160" s="239">
        <f>L151+L158</f>
        <v>0</v>
      </c>
      <c r="M160" s="240"/>
      <c r="N160" s="239">
        <f>N151+N158</f>
        <v>0</v>
      </c>
    </row>
    <row r="161" spans="1:17" ht="14.5" thickTop="1" x14ac:dyDescent="0.3"/>
    <row r="162" spans="1:17" x14ac:dyDescent="0.3">
      <c r="B162" s="58"/>
      <c r="D162" s="58"/>
      <c r="E162" s="58"/>
      <c r="F162" s="58"/>
    </row>
    <row r="163" spans="1:17" x14ac:dyDescent="0.3">
      <c r="A163" s="221">
        <f>SOFP!J19</f>
        <v>10</v>
      </c>
      <c r="B163" s="58" t="str">
        <f>SOFP!B19</f>
        <v xml:space="preserve">Stores, spares and loose tools </v>
      </c>
      <c r="D163" s="58"/>
      <c r="E163" s="58"/>
      <c r="F163" s="58"/>
    </row>
    <row r="164" spans="1:17" x14ac:dyDescent="0.3">
      <c r="B164" s="28" t="s">
        <v>641</v>
      </c>
      <c r="D164" s="58"/>
      <c r="E164" s="58"/>
      <c r="F164" s="58"/>
    </row>
    <row r="165" spans="1:17" x14ac:dyDescent="0.3">
      <c r="B165" s="28" t="s">
        <v>642</v>
      </c>
      <c r="D165" s="58"/>
      <c r="E165" s="58"/>
      <c r="F165" s="58"/>
    </row>
    <row r="166" spans="1:17" x14ac:dyDescent="0.3">
      <c r="B166" s="28" t="s">
        <v>643</v>
      </c>
      <c r="D166" s="58"/>
      <c r="E166" s="58"/>
      <c r="F166" s="58"/>
    </row>
    <row r="167" spans="1:17" ht="5.15" customHeight="1" x14ac:dyDescent="0.3">
      <c r="B167" s="58"/>
      <c r="D167" s="58"/>
      <c r="E167" s="58"/>
      <c r="F167" s="58"/>
    </row>
    <row r="168" spans="1:17" ht="14.5" thickBot="1" x14ac:dyDescent="0.35">
      <c r="B168" s="58"/>
      <c r="D168" s="58"/>
      <c r="E168" s="58"/>
      <c r="F168" s="58"/>
      <c r="L168" s="230">
        <f>SUM(L164:L167)</f>
        <v>0</v>
      </c>
      <c r="N168" s="230">
        <f>SUM(N164:N167)</f>
        <v>0</v>
      </c>
    </row>
    <row r="169" spans="1:17" ht="14.5" thickTop="1" x14ac:dyDescent="0.3">
      <c r="B169" s="58"/>
      <c r="D169" s="58"/>
      <c r="E169" s="58"/>
      <c r="F169" s="58"/>
    </row>
    <row r="170" spans="1:17" x14ac:dyDescent="0.3">
      <c r="A170" s="221">
        <f>SOFP!J20</f>
        <v>11</v>
      </c>
      <c r="B170" s="58" t="str">
        <f>SOFP!B20</f>
        <v xml:space="preserve">Inventories </v>
      </c>
      <c r="D170" s="58"/>
      <c r="E170" s="58"/>
      <c r="F170" s="58"/>
    </row>
    <row r="171" spans="1:17" x14ac:dyDescent="0.3">
      <c r="B171" s="28" t="s">
        <v>157</v>
      </c>
      <c r="D171" s="58"/>
      <c r="E171" s="58"/>
      <c r="F171" s="58"/>
    </row>
    <row r="172" spans="1:17" x14ac:dyDescent="0.3">
      <c r="B172" s="28" t="s">
        <v>108</v>
      </c>
      <c r="D172" s="58"/>
      <c r="E172" s="58"/>
      <c r="F172" s="58"/>
    </row>
    <row r="173" spans="1:17" x14ac:dyDescent="0.3">
      <c r="B173" s="28" t="s">
        <v>109</v>
      </c>
      <c r="D173" s="58"/>
      <c r="E173" s="58"/>
      <c r="F173" s="58"/>
    </row>
    <row r="174" spans="1:17" x14ac:dyDescent="0.3">
      <c r="B174" s="28" t="s">
        <v>110</v>
      </c>
      <c r="D174" s="58"/>
      <c r="E174" s="58"/>
      <c r="F174" s="58"/>
    </row>
    <row r="175" spans="1:17" x14ac:dyDescent="0.3">
      <c r="B175" s="28" t="s">
        <v>159</v>
      </c>
      <c r="D175" s="58"/>
      <c r="E175" s="58"/>
      <c r="F175" s="58"/>
    </row>
    <row r="176" spans="1:17" x14ac:dyDescent="0.3">
      <c r="B176" s="28" t="s">
        <v>160</v>
      </c>
      <c r="D176" s="58"/>
      <c r="E176" s="58"/>
      <c r="F176" s="58"/>
      <c r="Q176" s="101" t="s">
        <v>697</v>
      </c>
    </row>
    <row r="177" spans="1:17" ht="5.15" customHeight="1" x14ac:dyDescent="0.3">
      <c r="D177" s="58"/>
      <c r="E177" s="58"/>
      <c r="F177" s="58"/>
      <c r="Q177" s="101" t="s">
        <v>698</v>
      </c>
    </row>
    <row r="178" spans="1:17" ht="14.5" thickBot="1" x14ac:dyDescent="0.35">
      <c r="B178" s="58"/>
      <c r="D178" s="58"/>
      <c r="E178" s="58"/>
      <c r="F178" s="58"/>
      <c r="L178" s="239">
        <f>SUM(L171:L177)</f>
        <v>0</v>
      </c>
      <c r="M178" s="240"/>
      <c r="N178" s="239">
        <f>SUM(N171:N177)</f>
        <v>0</v>
      </c>
      <c r="Q178" s="101" t="s">
        <v>699</v>
      </c>
    </row>
    <row r="179" spans="1:17" ht="14.5" thickTop="1" x14ac:dyDescent="0.3">
      <c r="B179" s="58"/>
      <c r="D179" s="58"/>
      <c r="E179" s="58"/>
      <c r="F179" s="58"/>
      <c r="Q179" s="101" t="s">
        <v>700</v>
      </c>
    </row>
    <row r="180" spans="1:17" x14ac:dyDescent="0.3">
      <c r="A180" s="221">
        <f>SOFP!J21</f>
        <v>12</v>
      </c>
      <c r="B180" s="58" t="str">
        <f>SOFP!B21</f>
        <v xml:space="preserve">Trade receivables - net </v>
      </c>
      <c r="J180" s="53"/>
      <c r="Q180" s="101" t="s">
        <v>701</v>
      </c>
    </row>
    <row r="181" spans="1:17" x14ac:dyDescent="0.3">
      <c r="B181" s="28" t="s">
        <v>92</v>
      </c>
      <c r="J181" s="53"/>
      <c r="Q181" s="101" t="s">
        <v>702</v>
      </c>
    </row>
    <row r="182" spans="1:17" x14ac:dyDescent="0.3">
      <c r="B182" s="28" t="s">
        <v>95</v>
      </c>
      <c r="J182" s="53"/>
      <c r="Q182" s="101" t="s">
        <v>703</v>
      </c>
    </row>
    <row r="183" spans="1:17" ht="5.15" customHeight="1" x14ac:dyDescent="0.3">
      <c r="J183" s="53"/>
      <c r="Q183" s="28" t="s">
        <v>704</v>
      </c>
    </row>
    <row r="184" spans="1:17" ht="14.5" thickBot="1" x14ac:dyDescent="0.35">
      <c r="B184" s="58"/>
      <c r="J184" s="53"/>
      <c r="L184" s="239">
        <f>SUM(L181:L183)</f>
        <v>0</v>
      </c>
      <c r="M184" s="240"/>
      <c r="N184" s="239">
        <f>SUM(N181:N183)</f>
        <v>0</v>
      </c>
    </row>
    <row r="185" spans="1:17" ht="14.5" thickTop="1" x14ac:dyDescent="0.3">
      <c r="J185" s="53"/>
    </row>
    <row r="186" spans="1:17" x14ac:dyDescent="0.3">
      <c r="A186" s="221">
        <f>SOFP!J22</f>
        <v>13</v>
      </c>
      <c r="B186" s="58" t="str">
        <f>SOFP!B22</f>
        <v xml:space="preserve">Advances, deposits and prepayments </v>
      </c>
      <c r="J186" s="53"/>
    </row>
    <row r="187" spans="1:17" x14ac:dyDescent="0.3">
      <c r="B187" s="28" t="s">
        <v>125</v>
      </c>
      <c r="J187" s="53"/>
      <c r="N187" s="100">
        <f>CS!D75</f>
        <v>0</v>
      </c>
      <c r="O187" s="28">
        <v>123</v>
      </c>
    </row>
    <row r="188" spans="1:17" x14ac:dyDescent="0.3">
      <c r="B188" s="244" t="s">
        <v>126</v>
      </c>
      <c r="J188" s="53"/>
    </row>
    <row r="189" spans="1:17" x14ac:dyDescent="0.3">
      <c r="B189" s="244" t="s">
        <v>127</v>
      </c>
      <c r="J189" s="53"/>
    </row>
    <row r="190" spans="1:17" x14ac:dyDescent="0.3">
      <c r="B190" s="244" t="s">
        <v>128</v>
      </c>
      <c r="J190" s="53"/>
    </row>
    <row r="191" spans="1:17" x14ac:dyDescent="0.3">
      <c r="B191" s="244" t="s">
        <v>131</v>
      </c>
      <c r="J191" s="53"/>
    </row>
    <row r="192" spans="1:17" x14ac:dyDescent="0.3">
      <c r="B192" s="244" t="s">
        <v>129</v>
      </c>
      <c r="J192" s="53"/>
    </row>
    <row r="193" spans="1:14" x14ac:dyDescent="0.3">
      <c r="B193" s="244" t="s">
        <v>130</v>
      </c>
      <c r="J193" s="53"/>
    </row>
    <row r="194" spans="1:14" x14ac:dyDescent="0.3">
      <c r="B194" s="244" t="s">
        <v>132</v>
      </c>
      <c r="J194" s="53"/>
    </row>
    <row r="195" spans="1:14" x14ac:dyDescent="0.3">
      <c r="B195" s="28" t="s">
        <v>133</v>
      </c>
      <c r="J195" s="53"/>
    </row>
    <row r="196" spans="1:14" ht="5.15" customHeight="1" x14ac:dyDescent="0.3">
      <c r="J196" s="53"/>
    </row>
    <row r="197" spans="1:14" ht="14.5" thickBot="1" x14ac:dyDescent="0.35">
      <c r="B197" s="58"/>
      <c r="J197" s="53"/>
      <c r="L197" s="239">
        <f>SUM(L187:L196)</f>
        <v>0</v>
      </c>
      <c r="M197" s="240"/>
      <c r="N197" s="239">
        <f>SUM(N187:N196)</f>
        <v>0</v>
      </c>
    </row>
    <row r="198" spans="1:14" ht="14.5" thickTop="1" x14ac:dyDescent="0.3">
      <c r="J198" s="53"/>
    </row>
    <row r="199" spans="1:14" x14ac:dyDescent="0.3">
      <c r="A199" s="221">
        <f>SOFP!J24</f>
        <v>14</v>
      </c>
      <c r="B199" s="58" t="str">
        <f>SOFP!B24</f>
        <v xml:space="preserve">Cash and cash equivalents (excluding bank overdrafts) </v>
      </c>
    </row>
    <row r="200" spans="1:14" x14ac:dyDescent="0.3">
      <c r="B200" s="28" t="s">
        <v>99</v>
      </c>
    </row>
    <row r="201" spans="1:14" x14ac:dyDescent="0.3">
      <c r="B201" s="28" t="s">
        <v>144</v>
      </c>
    </row>
    <row r="202" spans="1:14" x14ac:dyDescent="0.3">
      <c r="B202" s="244" t="s">
        <v>145</v>
      </c>
      <c r="L202" s="245"/>
      <c r="N202" s="245"/>
    </row>
    <row r="203" spans="1:14" x14ac:dyDescent="0.3">
      <c r="B203" s="244" t="s">
        <v>146</v>
      </c>
      <c r="J203" s="242">
        <f>A210</f>
        <v>14.1</v>
      </c>
      <c r="L203" s="246"/>
      <c r="N203" s="246"/>
    </row>
    <row r="204" spans="1:14" x14ac:dyDescent="0.3">
      <c r="B204" s="244" t="s">
        <v>147</v>
      </c>
      <c r="J204" s="242">
        <f>A212</f>
        <v>14.2</v>
      </c>
      <c r="L204" s="246"/>
      <c r="N204" s="246"/>
    </row>
    <row r="205" spans="1:14" ht="5.15" customHeight="1" x14ac:dyDescent="0.3">
      <c r="L205" s="247"/>
      <c r="N205" s="247"/>
    </row>
    <row r="206" spans="1:14" x14ac:dyDescent="0.3">
      <c r="B206" s="244"/>
      <c r="L206" s="100">
        <f>SUM(L202:L205)</f>
        <v>0</v>
      </c>
      <c r="N206" s="100">
        <f>SUM(N202:N205)</f>
        <v>0</v>
      </c>
    </row>
    <row r="207" spans="1:14" ht="5.15" customHeight="1" x14ac:dyDescent="0.3">
      <c r="B207" s="244"/>
    </row>
    <row r="208" spans="1:14" ht="14.5" thickBot="1" x14ac:dyDescent="0.35">
      <c r="B208" s="58"/>
      <c r="L208" s="230">
        <f>L200+L206</f>
        <v>0</v>
      </c>
      <c r="N208" s="230">
        <f>N200+N206</f>
        <v>0</v>
      </c>
    </row>
    <row r="209" spans="1:14" ht="14.5" thickTop="1" x14ac:dyDescent="0.3"/>
    <row r="210" spans="1:14" x14ac:dyDescent="0.3">
      <c r="A210" s="221">
        <f>A199+0.1</f>
        <v>14.1</v>
      </c>
      <c r="B210" s="101" t="str">
        <f>"These, during the year, carry mark-up ranging from ____% to _____% per annum. ("&amp;Cover!H7&amp;" : _____% to _____%)"</f>
        <v>These, during the year, carry mark-up ranging from ____% to _____% per annum. (2022 : _____% to _____%)</v>
      </c>
    </row>
    <row r="212" spans="1:14" x14ac:dyDescent="0.3">
      <c r="A212" s="221">
        <f>A210+0.1</f>
        <v>14.2</v>
      </c>
      <c r="B212" s="28" t="str">
        <f>"This represents a foreign currency balance of FCU______ translated @ Rs. ____ ("&amp;Cover!H7&amp;" : FCU____ translated @ Rs. _____) per FCU."</f>
        <v>This represents a foreign currency balance of FCU______ translated @ Rs. ____ (2022 : FCU____ translated @ Rs. _____) per FCU.</v>
      </c>
    </row>
    <row r="215" spans="1:14" x14ac:dyDescent="0.3">
      <c r="A215" s="221">
        <f>SOFP!J35</f>
        <v>15</v>
      </c>
      <c r="B215" s="58" t="str">
        <f>SOFP!B35</f>
        <v>Issued, subscribed and paid up share capital</v>
      </c>
    </row>
    <row r="216" spans="1:14" x14ac:dyDescent="0.3">
      <c r="B216" s="58"/>
    </row>
    <row r="217" spans="1:14" x14ac:dyDescent="0.3">
      <c r="F217" s="248" t="str">
        <f>SOFP!J5</f>
        <v>Note</v>
      </c>
      <c r="H217" s="421" t="str">
        <f>SOFP!$L$5</f>
        <v>2023</v>
      </c>
      <c r="I217" s="422"/>
      <c r="J217" s="421" t="str">
        <f>SOFP!$N$5</f>
        <v>2022</v>
      </c>
      <c r="K217" s="249"/>
      <c r="L217" s="421" t="str">
        <f>SOFP!$L$5</f>
        <v>2023</v>
      </c>
      <c r="M217" s="422"/>
      <c r="N217" s="421" t="str">
        <f>SOFP!$N$5</f>
        <v>2022</v>
      </c>
    </row>
    <row r="218" spans="1:14" x14ac:dyDescent="0.3">
      <c r="F218" s="248"/>
      <c r="H218" s="428" t="s">
        <v>148</v>
      </c>
      <c r="I218" s="424"/>
      <c r="J218" s="424"/>
      <c r="K218" s="249"/>
      <c r="L218" s="423" t="str">
        <f>SOFP!$L$6</f>
        <v>------------- Rupees -------------</v>
      </c>
      <c r="M218" s="424"/>
      <c r="N218" s="424"/>
    </row>
    <row r="219" spans="1:14" ht="5.15" customHeight="1" x14ac:dyDescent="0.3">
      <c r="D219" s="100"/>
      <c r="E219" s="100"/>
      <c r="F219" s="100"/>
      <c r="H219" s="100"/>
    </row>
    <row r="220" spans="1:14" x14ac:dyDescent="0.3">
      <c r="B220" s="28" t="str">
        <f>"Ordinary shares of Rs. "&amp;Cover!G10 &amp;" each."</f>
        <v>Ordinary shares of Rs. 10 each.</v>
      </c>
      <c r="H220" s="100"/>
      <c r="I220" s="100"/>
      <c r="K220" s="100"/>
    </row>
    <row r="221" spans="1:14" x14ac:dyDescent="0.3">
      <c r="B221" s="244" t="s">
        <v>149</v>
      </c>
      <c r="H221" s="245"/>
      <c r="I221" s="100"/>
      <c r="J221" s="250"/>
      <c r="K221" s="100"/>
      <c r="L221" s="245"/>
      <c r="N221" s="245"/>
    </row>
    <row r="222" spans="1:14" x14ac:dyDescent="0.3">
      <c r="B222" s="244" t="s">
        <v>598</v>
      </c>
      <c r="F222" s="53">
        <f>A234</f>
        <v>15.1</v>
      </c>
      <c r="H222" s="246"/>
      <c r="I222" s="100"/>
      <c r="J222" s="251"/>
      <c r="K222" s="100"/>
      <c r="L222" s="246"/>
      <c r="N222" s="246"/>
    </row>
    <row r="223" spans="1:14" x14ac:dyDescent="0.3">
      <c r="B223" s="244" t="s">
        <v>672</v>
      </c>
      <c r="H223" s="246"/>
      <c r="I223" s="100"/>
      <c r="J223" s="251"/>
      <c r="K223" s="100"/>
      <c r="L223" s="246"/>
      <c r="N223" s="246"/>
    </row>
    <row r="224" spans="1:14" ht="15" customHeight="1" x14ac:dyDescent="0.3">
      <c r="B224" s="244" t="s">
        <v>601</v>
      </c>
      <c r="H224" s="246"/>
      <c r="I224" s="100"/>
      <c r="J224" s="251"/>
      <c r="K224" s="100"/>
      <c r="L224" s="246"/>
      <c r="N224" s="246"/>
    </row>
    <row r="225" spans="1:14" ht="5.15" customHeight="1" x14ac:dyDescent="0.3">
      <c r="H225" s="247"/>
      <c r="I225" s="100"/>
      <c r="J225" s="252"/>
      <c r="K225" s="100"/>
      <c r="L225" s="247"/>
      <c r="N225" s="247"/>
    </row>
    <row r="226" spans="1:14" ht="15" customHeight="1" x14ac:dyDescent="0.3">
      <c r="H226" s="100">
        <f>SUM(H221:H225)</f>
        <v>0</v>
      </c>
      <c r="I226" s="100"/>
      <c r="J226" s="100">
        <f>SUM(J221:J225)</f>
        <v>0</v>
      </c>
      <c r="K226" s="100"/>
      <c r="L226" s="100">
        <f>SUM(L221:L225)</f>
        <v>0</v>
      </c>
      <c r="N226" s="100">
        <f>SUM(N221:N225)</f>
        <v>0</v>
      </c>
    </row>
    <row r="227" spans="1:14" ht="5.15" customHeight="1" x14ac:dyDescent="0.3">
      <c r="H227" s="100"/>
      <c r="I227" s="100"/>
      <c r="K227" s="100"/>
    </row>
    <row r="228" spans="1:14" x14ac:dyDescent="0.3">
      <c r="B228" s="244" t="s">
        <v>670</v>
      </c>
      <c r="H228" s="100"/>
      <c r="I228" s="100"/>
      <c r="K228" s="100"/>
    </row>
    <row r="229" spans="1:14" ht="5.15" customHeight="1" x14ac:dyDescent="0.3">
      <c r="H229" s="100"/>
      <c r="I229" s="100"/>
      <c r="K229" s="100"/>
    </row>
    <row r="230" spans="1:14" ht="14.5" thickBot="1" x14ac:dyDescent="0.35">
      <c r="H230" s="239">
        <f>H226+H228</f>
        <v>0</v>
      </c>
      <c r="I230" s="240"/>
      <c r="J230" s="239">
        <f>J226+J228</f>
        <v>0</v>
      </c>
      <c r="K230" s="240"/>
      <c r="L230" s="239">
        <f>L226+L228</f>
        <v>0</v>
      </c>
      <c r="M230" s="240"/>
      <c r="N230" s="239">
        <f>N226+N228</f>
        <v>0</v>
      </c>
    </row>
    <row r="231" spans="1:14" ht="14.5" thickTop="1" x14ac:dyDescent="0.3">
      <c r="B231" s="58"/>
    </row>
    <row r="232" spans="1:14" x14ac:dyDescent="0.3">
      <c r="B232" s="58"/>
    </row>
    <row r="233" spans="1:14" x14ac:dyDescent="0.3">
      <c r="B233" s="58"/>
    </row>
    <row r="234" spans="1:14" x14ac:dyDescent="0.3">
      <c r="A234" s="221">
        <f>A215+0.1</f>
        <v>15.1</v>
      </c>
      <c r="B234" s="58" t="str">
        <f>MID(B222,3,1000)</f>
        <v>Fully paid other than cash</v>
      </c>
      <c r="H234" s="100"/>
      <c r="I234" s="100"/>
      <c r="K234" s="100"/>
    </row>
    <row r="235" spans="1:14" x14ac:dyDescent="0.3">
      <c r="B235" s="58"/>
      <c r="H235" s="100"/>
      <c r="I235" s="100"/>
      <c r="K235" s="100"/>
    </row>
    <row r="236" spans="1:14" x14ac:dyDescent="0.3">
      <c r="B236" s="28" t="s">
        <v>599</v>
      </c>
      <c r="H236" s="100"/>
      <c r="I236" s="100"/>
      <c r="K236" s="100"/>
    </row>
    <row r="237" spans="1:14" x14ac:dyDescent="0.3">
      <c r="B237" s="28" t="s">
        <v>600</v>
      </c>
      <c r="H237" s="100"/>
      <c r="I237" s="100"/>
      <c r="K237" s="100"/>
    </row>
    <row r="238" spans="1:14" ht="5.15" customHeight="1" x14ac:dyDescent="0.3"/>
    <row r="239" spans="1:14" ht="14.5" thickBot="1" x14ac:dyDescent="0.35">
      <c r="H239" s="230">
        <f>SUM(H236:H238)</f>
        <v>0</v>
      </c>
      <c r="I239" s="253"/>
      <c r="J239" s="230">
        <f>SUM(J236:J238)</f>
        <v>0</v>
      </c>
      <c r="K239" s="253"/>
      <c r="L239" s="230">
        <f>SUM(L236:L238)</f>
        <v>0</v>
      </c>
      <c r="N239" s="230">
        <f>SUM(N236:N238)</f>
        <v>0</v>
      </c>
    </row>
    <row r="240" spans="1:14" ht="14.5" thickTop="1" x14ac:dyDescent="0.3"/>
    <row r="241" spans="1:14" x14ac:dyDescent="0.3">
      <c r="B241" s="58"/>
      <c r="J241" s="229" t="s">
        <v>68</v>
      </c>
      <c r="L241" s="421" t="str">
        <f>SOFP!$L$5</f>
        <v>2023</v>
      </c>
      <c r="M241" s="422"/>
      <c r="N241" s="421" t="str">
        <f>SOFP!$N$5</f>
        <v>2022</v>
      </c>
    </row>
    <row r="242" spans="1:14" x14ac:dyDescent="0.3">
      <c r="J242" s="229"/>
      <c r="L242" s="423" t="str">
        <f>SOFP!$L$6</f>
        <v>------------- Rupees -------------</v>
      </c>
      <c r="M242" s="424"/>
      <c r="N242" s="424"/>
    </row>
    <row r="243" spans="1:14" x14ac:dyDescent="0.3">
      <c r="B243" s="58"/>
    </row>
    <row r="244" spans="1:14" x14ac:dyDescent="0.3">
      <c r="A244" s="221">
        <f>SOFP!J36</f>
        <v>16</v>
      </c>
      <c r="B244" s="58" t="str">
        <f>SOFP!B36</f>
        <v>Share deposit money</v>
      </c>
    </row>
    <row r="245" spans="1:14" x14ac:dyDescent="0.3">
      <c r="B245" s="58"/>
    </row>
    <row r="246" spans="1:14" x14ac:dyDescent="0.3">
      <c r="B246" s="58"/>
    </row>
    <row r="247" spans="1:14" ht="5.15" customHeight="1" x14ac:dyDescent="0.3">
      <c r="L247" s="235"/>
    </row>
    <row r="248" spans="1:14" ht="14.5" thickBot="1" x14ac:dyDescent="0.35">
      <c r="L248" s="239">
        <f>SUM(L245:L247)</f>
        <v>0</v>
      </c>
      <c r="M248" s="240"/>
      <c r="N248" s="239">
        <f>SUM(N245:N247)</f>
        <v>0</v>
      </c>
    </row>
    <row r="249" spans="1:14" ht="14.5" thickTop="1" x14ac:dyDescent="0.3">
      <c r="L249" s="254"/>
      <c r="M249" s="240"/>
      <c r="N249" s="254"/>
    </row>
    <row r="250" spans="1:14" x14ac:dyDescent="0.3">
      <c r="A250" s="221">
        <f>A244+0.1</f>
        <v>16.100000000000001</v>
      </c>
      <c r="B250" s="255" t="s">
        <v>673</v>
      </c>
      <c r="C250" s="255"/>
      <c r="D250" s="255"/>
      <c r="E250" s="255"/>
      <c r="F250" s="255"/>
      <c r="G250" s="255"/>
      <c r="H250" s="255"/>
      <c r="I250" s="255"/>
      <c r="J250" s="255"/>
      <c r="K250" s="255"/>
      <c r="L250" s="255"/>
      <c r="M250" s="255"/>
      <c r="N250" s="255"/>
    </row>
    <row r="251" spans="1:14" x14ac:dyDescent="0.3">
      <c r="B251" s="255"/>
      <c r="C251" s="255"/>
      <c r="D251" s="255"/>
      <c r="E251" s="255"/>
      <c r="F251" s="255"/>
      <c r="G251" s="255"/>
      <c r="H251" s="255"/>
      <c r="I251" s="255"/>
      <c r="J251" s="255"/>
      <c r="K251" s="255"/>
      <c r="L251" s="255"/>
      <c r="M251" s="255"/>
      <c r="N251" s="255"/>
    </row>
    <row r="252" spans="1:14" x14ac:dyDescent="0.3">
      <c r="B252" s="255"/>
      <c r="C252" s="255"/>
      <c r="D252" s="255"/>
      <c r="E252" s="255"/>
      <c r="F252" s="255"/>
      <c r="G252" s="255"/>
      <c r="H252" s="255"/>
      <c r="I252" s="255"/>
      <c r="J252" s="255"/>
      <c r="K252" s="255"/>
      <c r="L252" s="255"/>
      <c r="M252" s="255"/>
      <c r="N252" s="255"/>
    </row>
    <row r="253" spans="1:14" x14ac:dyDescent="0.3">
      <c r="B253" s="255"/>
      <c r="C253" s="255"/>
      <c r="D253" s="255"/>
      <c r="E253" s="255"/>
      <c r="F253" s="255"/>
      <c r="G253" s="255"/>
      <c r="H253" s="255"/>
      <c r="I253" s="255"/>
      <c r="J253" s="255"/>
      <c r="K253" s="255"/>
      <c r="L253" s="255"/>
      <c r="M253" s="255"/>
      <c r="N253" s="255"/>
    </row>
    <row r="254" spans="1:14" x14ac:dyDescent="0.3">
      <c r="L254" s="254"/>
      <c r="M254" s="240"/>
      <c r="N254" s="254"/>
    </row>
    <row r="255" spans="1:14" x14ac:dyDescent="0.3">
      <c r="B255" s="58"/>
      <c r="J255" s="229" t="s">
        <v>68</v>
      </c>
      <c r="L255" s="421" t="str">
        <f>SOFP!$L$5</f>
        <v>2023</v>
      </c>
      <c r="M255" s="422"/>
      <c r="N255" s="421" t="str">
        <f>SOFP!$N$5</f>
        <v>2022</v>
      </c>
    </row>
    <row r="256" spans="1:14" x14ac:dyDescent="0.3">
      <c r="J256" s="229"/>
      <c r="L256" s="423" t="str">
        <f>SOFP!$L$6</f>
        <v>------------- Rupees -------------</v>
      </c>
      <c r="M256" s="424"/>
      <c r="N256" s="424"/>
    </row>
    <row r="257" spans="1:14" x14ac:dyDescent="0.3">
      <c r="B257" s="58"/>
    </row>
    <row r="258" spans="1:14" x14ac:dyDescent="0.3">
      <c r="A258" s="221">
        <f>SOFP!J37</f>
        <v>17</v>
      </c>
      <c r="B258" s="58" t="str">
        <f>SOFP!B37</f>
        <v xml:space="preserve">Other reserves </v>
      </c>
    </row>
    <row r="261" spans="1:14" ht="5.15" customHeight="1" x14ac:dyDescent="0.3"/>
    <row r="262" spans="1:14" ht="14.5" thickBot="1" x14ac:dyDescent="0.35">
      <c r="L262" s="239">
        <f>SUM(L259:L261)</f>
        <v>0</v>
      </c>
      <c r="M262" s="240"/>
      <c r="N262" s="239">
        <f>SUM(N259:N261)</f>
        <v>0</v>
      </c>
    </row>
    <row r="263" spans="1:14" ht="14.5" thickTop="1" x14ac:dyDescent="0.3">
      <c r="L263" s="254"/>
      <c r="M263" s="240"/>
      <c r="N263" s="254"/>
    </row>
    <row r="264" spans="1:14" x14ac:dyDescent="0.3">
      <c r="A264" s="221">
        <f>A258+0.1</f>
        <v>17.100000000000001</v>
      </c>
      <c r="B264" s="255" t="s">
        <v>673</v>
      </c>
      <c r="C264" s="255"/>
      <c r="D264" s="255"/>
      <c r="E264" s="255"/>
      <c r="F264" s="255"/>
      <c r="G264" s="255"/>
      <c r="H264" s="255"/>
      <c r="I264" s="255"/>
      <c r="J264" s="255"/>
      <c r="K264" s="255"/>
      <c r="L264" s="255"/>
      <c r="M264" s="255"/>
      <c r="N264" s="255"/>
    </row>
    <row r="265" spans="1:14" x14ac:dyDescent="0.3">
      <c r="B265" s="255"/>
      <c r="C265" s="255"/>
      <c r="D265" s="255"/>
      <c r="E265" s="255"/>
      <c r="F265" s="255"/>
      <c r="G265" s="255"/>
      <c r="H265" s="255"/>
      <c r="I265" s="255"/>
      <c r="J265" s="255"/>
      <c r="K265" s="255"/>
      <c r="L265" s="255"/>
      <c r="M265" s="255"/>
      <c r="N265" s="255"/>
    </row>
    <row r="266" spans="1:14" x14ac:dyDescent="0.3">
      <c r="B266" s="255"/>
      <c r="C266" s="255"/>
      <c r="D266" s="255"/>
      <c r="E266" s="255"/>
      <c r="F266" s="255"/>
      <c r="G266" s="255"/>
      <c r="H266" s="255"/>
      <c r="I266" s="255"/>
      <c r="J266" s="255"/>
      <c r="K266" s="255"/>
      <c r="L266" s="255"/>
      <c r="M266" s="255"/>
      <c r="N266" s="255"/>
    </row>
    <row r="267" spans="1:14" x14ac:dyDescent="0.3">
      <c r="B267" s="255"/>
      <c r="C267" s="255"/>
      <c r="D267" s="255"/>
      <c r="E267" s="255"/>
      <c r="F267" s="255"/>
      <c r="G267" s="255"/>
      <c r="H267" s="255"/>
      <c r="I267" s="255"/>
      <c r="J267" s="255"/>
      <c r="K267" s="255"/>
      <c r="L267" s="255"/>
      <c r="M267" s="255"/>
      <c r="N267" s="255"/>
    </row>
    <row r="268" spans="1:14" x14ac:dyDescent="0.3">
      <c r="L268" s="254"/>
      <c r="M268" s="240"/>
      <c r="N268" s="254"/>
    </row>
    <row r="269" spans="1:14" x14ac:dyDescent="0.3">
      <c r="L269" s="254"/>
      <c r="M269" s="240"/>
      <c r="N269" s="254"/>
    </row>
    <row r="270" spans="1:14" x14ac:dyDescent="0.3">
      <c r="B270" s="58"/>
      <c r="J270" s="229" t="s">
        <v>68</v>
      </c>
      <c r="L270" s="421" t="str">
        <f>SOFP!$L$5</f>
        <v>2023</v>
      </c>
      <c r="M270" s="422"/>
      <c r="N270" s="421" t="str">
        <f>SOFP!$N$5</f>
        <v>2022</v>
      </c>
    </row>
    <row r="271" spans="1:14" x14ac:dyDescent="0.3">
      <c r="J271" s="229"/>
      <c r="L271" s="423" t="str">
        <f>SOFP!$L$6</f>
        <v>------------- Rupees -------------</v>
      </c>
      <c r="M271" s="424"/>
      <c r="N271" s="424"/>
    </row>
    <row r="272" spans="1:14" x14ac:dyDescent="0.3">
      <c r="B272" s="58"/>
    </row>
    <row r="273" spans="1:14" x14ac:dyDescent="0.3">
      <c r="A273" s="221">
        <f>SOFP!J43</f>
        <v>18</v>
      </c>
      <c r="B273" s="58" t="str">
        <f>SOFP!B43</f>
        <v xml:space="preserve">Borrowings </v>
      </c>
    </row>
    <row r="274" spans="1:14" x14ac:dyDescent="0.3">
      <c r="B274" s="58" t="s">
        <v>102</v>
      </c>
      <c r="J274" s="53"/>
    </row>
    <row r="275" spans="1:14" x14ac:dyDescent="0.3">
      <c r="B275" s="28" t="s">
        <v>165</v>
      </c>
      <c r="J275" s="53">
        <f>A295</f>
        <v>18.100000000000001</v>
      </c>
      <c r="L275" s="245"/>
      <c r="N275" s="245"/>
    </row>
    <row r="276" spans="1:14" x14ac:dyDescent="0.3">
      <c r="B276" s="28" t="s">
        <v>166</v>
      </c>
      <c r="J276" s="53">
        <f>A300</f>
        <v>18.200000000000003</v>
      </c>
      <c r="L276" s="246"/>
      <c r="N276" s="246"/>
    </row>
    <row r="277" spans="1:14" ht="5.15" customHeight="1" x14ac:dyDescent="0.3">
      <c r="J277" s="53"/>
      <c r="L277" s="247"/>
      <c r="N277" s="247"/>
    </row>
    <row r="278" spans="1:14" x14ac:dyDescent="0.3">
      <c r="J278" s="53"/>
      <c r="L278" s="100">
        <f>SUM(L275:L277)</f>
        <v>0</v>
      </c>
      <c r="N278" s="100">
        <f>SUM(N275:N277)</f>
        <v>0</v>
      </c>
    </row>
    <row r="279" spans="1:14" x14ac:dyDescent="0.3">
      <c r="J279" s="53"/>
    </row>
    <row r="280" spans="1:14" x14ac:dyDescent="0.3">
      <c r="B280" s="58" t="s">
        <v>105</v>
      </c>
      <c r="J280" s="53"/>
    </row>
    <row r="281" spans="1:14" x14ac:dyDescent="0.3">
      <c r="B281" s="28" t="s">
        <v>106</v>
      </c>
      <c r="J281" s="53"/>
      <c r="L281" s="245"/>
      <c r="N281" s="245"/>
    </row>
    <row r="282" spans="1:14" x14ac:dyDescent="0.3">
      <c r="B282" s="28" t="s">
        <v>167</v>
      </c>
      <c r="J282" s="53"/>
      <c r="L282" s="246"/>
      <c r="N282" s="246"/>
    </row>
    <row r="283" spans="1:14" x14ac:dyDescent="0.3">
      <c r="B283" s="28" t="s">
        <v>168</v>
      </c>
      <c r="J283" s="53"/>
      <c r="L283" s="246"/>
      <c r="N283" s="246"/>
    </row>
    <row r="284" spans="1:14" x14ac:dyDescent="0.3">
      <c r="B284" s="28" t="s">
        <v>169</v>
      </c>
      <c r="J284" s="53"/>
      <c r="L284" s="246"/>
      <c r="N284" s="246"/>
    </row>
    <row r="285" spans="1:14" ht="5.15" customHeight="1" x14ac:dyDescent="0.3">
      <c r="J285" s="53"/>
      <c r="L285" s="247"/>
      <c r="N285" s="247"/>
    </row>
    <row r="286" spans="1:14" x14ac:dyDescent="0.3">
      <c r="J286" s="53"/>
      <c r="L286" s="100">
        <f>SUM(L281:L285)</f>
        <v>0</v>
      </c>
      <c r="N286" s="100">
        <f>SUM(N281:N285)</f>
        <v>0</v>
      </c>
    </row>
    <row r="287" spans="1:14" ht="5.15" customHeight="1" x14ac:dyDescent="0.3">
      <c r="J287" s="53"/>
    </row>
    <row r="288" spans="1:14" s="58" customFormat="1" ht="14.5" thickBot="1" x14ac:dyDescent="0.35">
      <c r="A288" s="221"/>
      <c r="J288" s="221"/>
      <c r="L288" s="239">
        <f>L278+L286</f>
        <v>0</v>
      </c>
      <c r="M288" s="254"/>
      <c r="N288" s="239">
        <f>N278+N286</f>
        <v>0</v>
      </c>
    </row>
    <row r="289" spans="1:14" ht="5.15" customHeight="1" thickTop="1" x14ac:dyDescent="0.3">
      <c r="J289" s="53"/>
      <c r="L289" s="224"/>
      <c r="M289" s="224"/>
      <c r="N289" s="224"/>
    </row>
    <row r="290" spans="1:14" x14ac:dyDescent="0.3">
      <c r="B290" s="28" t="s">
        <v>170</v>
      </c>
      <c r="J290" s="53"/>
      <c r="L290" s="224"/>
      <c r="M290" s="224"/>
      <c r="N290" s="224"/>
    </row>
    <row r="291" spans="1:14" x14ac:dyDescent="0.3">
      <c r="B291" s="28" t="s">
        <v>171</v>
      </c>
      <c r="J291" s="53"/>
      <c r="L291" s="224"/>
      <c r="M291" s="224"/>
      <c r="N291" s="224"/>
    </row>
    <row r="292" spans="1:14" ht="5.15" customHeight="1" x14ac:dyDescent="0.3">
      <c r="J292" s="53"/>
      <c r="L292" s="224"/>
      <c r="M292" s="224"/>
      <c r="N292" s="224"/>
    </row>
    <row r="293" spans="1:14" s="58" customFormat="1" ht="14.5" thickBot="1" x14ac:dyDescent="0.35">
      <c r="A293" s="221"/>
      <c r="J293" s="221"/>
      <c r="L293" s="239">
        <f>SUM(L290:L292)</f>
        <v>0</v>
      </c>
      <c r="M293" s="254"/>
      <c r="N293" s="239">
        <f>SUM(N290:N292)</f>
        <v>0</v>
      </c>
    </row>
    <row r="294" spans="1:14" ht="14.5" thickTop="1" x14ac:dyDescent="0.3">
      <c r="J294" s="53"/>
    </row>
    <row r="295" spans="1:14" x14ac:dyDescent="0.3">
      <c r="A295" s="221">
        <f>A273+0.1</f>
        <v>18.100000000000001</v>
      </c>
      <c r="B295" s="255" t="s">
        <v>673</v>
      </c>
      <c r="C295" s="255"/>
      <c r="D295" s="255"/>
      <c r="E295" s="255"/>
      <c r="F295" s="255"/>
      <c r="G295" s="255"/>
      <c r="H295" s="255"/>
      <c r="I295" s="255"/>
      <c r="J295" s="255"/>
      <c r="K295" s="255"/>
      <c r="L295" s="255"/>
      <c r="M295" s="255"/>
      <c r="N295" s="255"/>
    </row>
    <row r="296" spans="1:14" x14ac:dyDescent="0.3">
      <c r="B296" s="255"/>
      <c r="C296" s="255"/>
      <c r="D296" s="255"/>
      <c r="E296" s="255"/>
      <c r="F296" s="255"/>
      <c r="G296" s="255"/>
      <c r="H296" s="255"/>
      <c r="I296" s="255"/>
      <c r="J296" s="255"/>
      <c r="K296" s="255"/>
      <c r="L296" s="255"/>
      <c r="M296" s="255"/>
      <c r="N296" s="255"/>
    </row>
    <row r="297" spans="1:14" x14ac:dyDescent="0.3">
      <c r="B297" s="255"/>
      <c r="C297" s="255"/>
      <c r="D297" s="255"/>
      <c r="E297" s="255"/>
      <c r="F297" s="255"/>
      <c r="G297" s="255"/>
      <c r="H297" s="255"/>
      <c r="I297" s="255"/>
      <c r="J297" s="255"/>
      <c r="K297" s="255"/>
      <c r="L297" s="255"/>
      <c r="M297" s="255"/>
      <c r="N297" s="255"/>
    </row>
    <row r="298" spans="1:14" x14ac:dyDescent="0.3">
      <c r="B298" s="255"/>
      <c r="C298" s="255"/>
      <c r="D298" s="255"/>
      <c r="E298" s="255"/>
      <c r="F298" s="255"/>
      <c r="G298" s="255"/>
      <c r="H298" s="255"/>
      <c r="I298" s="255"/>
      <c r="J298" s="255"/>
      <c r="K298" s="255"/>
      <c r="L298" s="255"/>
      <c r="M298" s="255"/>
      <c r="N298" s="255"/>
    </row>
    <row r="299" spans="1:14" x14ac:dyDescent="0.3">
      <c r="J299" s="53"/>
    </row>
    <row r="300" spans="1:14" s="58" customFormat="1" x14ac:dyDescent="0.3">
      <c r="A300" s="221">
        <f>A295+0.1</f>
        <v>18.200000000000003</v>
      </c>
      <c r="B300" s="58" t="s">
        <v>166</v>
      </c>
      <c r="J300" s="221"/>
      <c r="L300" s="240"/>
      <c r="M300" s="240"/>
      <c r="N300" s="240"/>
    </row>
    <row r="301" spans="1:14" x14ac:dyDescent="0.3">
      <c r="B301" s="28" t="s">
        <v>797</v>
      </c>
      <c r="J301" s="53"/>
      <c r="L301" s="256"/>
      <c r="M301" s="256"/>
      <c r="N301" s="256"/>
    </row>
    <row r="302" spans="1:14" x14ac:dyDescent="0.3">
      <c r="B302" s="28" t="s">
        <v>798</v>
      </c>
      <c r="J302" s="53"/>
      <c r="L302" s="257"/>
      <c r="M302" s="256"/>
      <c r="N302" s="257"/>
    </row>
    <row r="303" spans="1:14" x14ac:dyDescent="0.3">
      <c r="B303" s="28" t="s">
        <v>799</v>
      </c>
      <c r="J303" s="53"/>
      <c r="L303" s="258"/>
      <c r="M303" s="256"/>
      <c r="N303" s="258"/>
    </row>
    <row r="304" spans="1:14" x14ac:dyDescent="0.3">
      <c r="J304" s="53"/>
      <c r="L304" s="259"/>
      <c r="M304" s="256"/>
      <c r="N304" s="259"/>
    </row>
    <row r="305" spans="1:14" x14ac:dyDescent="0.3">
      <c r="J305" s="53"/>
      <c r="L305" s="256"/>
      <c r="M305" s="256"/>
      <c r="N305" s="256"/>
    </row>
    <row r="306" spans="1:14" x14ac:dyDescent="0.3">
      <c r="B306" s="28" t="s">
        <v>800</v>
      </c>
      <c r="J306" s="53"/>
      <c r="L306" s="256"/>
      <c r="M306" s="256"/>
      <c r="N306" s="256"/>
    </row>
    <row r="307" spans="1:14" x14ac:dyDescent="0.3">
      <c r="J307" s="53"/>
      <c r="L307" s="256"/>
      <c r="M307" s="256"/>
      <c r="N307" s="256"/>
    </row>
    <row r="308" spans="1:14" ht="14.5" thickBot="1" x14ac:dyDescent="0.35">
      <c r="B308" s="28" t="s">
        <v>801</v>
      </c>
      <c r="J308" s="53"/>
      <c r="L308" s="260"/>
      <c r="M308" s="261"/>
      <c r="N308" s="260"/>
    </row>
    <row r="309" spans="1:14" ht="14.5" thickTop="1" x14ac:dyDescent="0.3">
      <c r="J309" s="53"/>
      <c r="L309" s="261"/>
      <c r="M309" s="261"/>
      <c r="N309" s="261"/>
    </row>
    <row r="310" spans="1:14" x14ac:dyDescent="0.3">
      <c r="J310" s="53"/>
      <c r="L310" s="262"/>
      <c r="M310" s="262"/>
      <c r="N310" s="262"/>
    </row>
    <row r="311" spans="1:14" x14ac:dyDescent="0.3">
      <c r="A311" s="221" t="str">
        <f>A300&amp;".1"</f>
        <v>18.2.1</v>
      </c>
      <c r="B311" s="255" t="s">
        <v>673</v>
      </c>
      <c r="C311" s="255"/>
      <c r="D311" s="255"/>
      <c r="E311" s="255"/>
      <c r="F311" s="255"/>
      <c r="G311" s="255"/>
      <c r="H311" s="255"/>
      <c r="I311" s="255"/>
      <c r="J311" s="255"/>
      <c r="K311" s="255"/>
      <c r="L311" s="255"/>
      <c r="M311" s="255"/>
      <c r="N311" s="255"/>
    </row>
    <row r="312" spans="1:14" x14ac:dyDescent="0.3">
      <c r="B312" s="255"/>
      <c r="C312" s="255"/>
      <c r="D312" s="255"/>
      <c r="E312" s="255"/>
      <c r="F312" s="255"/>
      <c r="G312" s="255"/>
      <c r="H312" s="255"/>
      <c r="I312" s="255"/>
      <c r="J312" s="255"/>
      <c r="K312" s="255"/>
      <c r="L312" s="255"/>
      <c r="M312" s="255"/>
      <c r="N312" s="255"/>
    </row>
    <row r="313" spans="1:14" x14ac:dyDescent="0.3">
      <c r="B313" s="255"/>
      <c r="C313" s="255"/>
      <c r="D313" s="255"/>
      <c r="E313" s="255"/>
      <c r="F313" s="255"/>
      <c r="G313" s="255"/>
      <c r="H313" s="255"/>
      <c r="I313" s="255"/>
      <c r="J313" s="255"/>
      <c r="K313" s="255"/>
      <c r="L313" s="255"/>
      <c r="M313" s="255"/>
      <c r="N313" s="255"/>
    </row>
    <row r="314" spans="1:14" x14ac:dyDescent="0.3">
      <c r="B314" s="255"/>
      <c r="C314" s="255"/>
      <c r="D314" s="255"/>
      <c r="E314" s="255"/>
      <c r="F314" s="255"/>
      <c r="G314" s="255"/>
      <c r="H314" s="255"/>
      <c r="I314" s="255"/>
      <c r="J314" s="255"/>
      <c r="K314" s="255"/>
      <c r="L314" s="255"/>
      <c r="M314" s="255"/>
      <c r="N314" s="255"/>
    </row>
    <row r="315" spans="1:14" x14ac:dyDescent="0.3">
      <c r="J315" s="53"/>
      <c r="L315" s="262"/>
      <c r="M315" s="262"/>
      <c r="N315" s="262"/>
    </row>
    <row r="316" spans="1:14" x14ac:dyDescent="0.3">
      <c r="J316" s="53"/>
    </row>
    <row r="317" spans="1:14" x14ac:dyDescent="0.3">
      <c r="J317" s="53"/>
    </row>
    <row r="318" spans="1:14" x14ac:dyDescent="0.3">
      <c r="B318" s="58"/>
      <c r="J318" s="229" t="s">
        <v>68</v>
      </c>
      <c r="L318" s="421" t="str">
        <f>SOFP!$L$5</f>
        <v>2023</v>
      </c>
      <c r="M318" s="422"/>
      <c r="N318" s="421" t="str">
        <f>SOFP!$N$5</f>
        <v>2022</v>
      </c>
    </row>
    <row r="319" spans="1:14" x14ac:dyDescent="0.3">
      <c r="J319" s="229"/>
      <c r="L319" s="423" t="str">
        <f>SOFP!$L$6</f>
        <v>------------- Rupees -------------</v>
      </c>
      <c r="M319" s="424"/>
      <c r="N319" s="424"/>
    </row>
    <row r="320" spans="1:14" x14ac:dyDescent="0.3">
      <c r="B320" s="58"/>
    </row>
    <row r="321" spans="1:15" x14ac:dyDescent="0.3">
      <c r="A321" s="221">
        <f>SOFP!J49</f>
        <v>19</v>
      </c>
      <c r="B321" s="58" t="str">
        <f>SOFP!B49</f>
        <v xml:space="preserve">Trade and other payables </v>
      </c>
    </row>
    <row r="322" spans="1:15" x14ac:dyDescent="0.3">
      <c r="B322" s="28" t="s">
        <v>100</v>
      </c>
      <c r="O322" s="28">
        <v>1</v>
      </c>
    </row>
    <row r="323" spans="1:15" x14ac:dyDescent="0.3">
      <c r="B323" s="28" t="s">
        <v>161</v>
      </c>
    </row>
    <row r="324" spans="1:15" x14ac:dyDescent="0.3">
      <c r="B324" s="28" t="s">
        <v>162</v>
      </c>
    </row>
    <row r="325" spans="1:15" x14ac:dyDescent="0.3">
      <c r="B325" s="28" t="s">
        <v>163</v>
      </c>
    </row>
    <row r="326" spans="1:15" x14ac:dyDescent="0.3">
      <c r="B326" s="28" t="s">
        <v>164</v>
      </c>
    </row>
    <row r="327" spans="1:15" x14ac:dyDescent="0.3">
      <c r="B327" s="28" t="s">
        <v>101</v>
      </c>
    </row>
    <row r="328" spans="1:15" ht="5.15" customHeight="1" x14ac:dyDescent="0.3"/>
    <row r="329" spans="1:15" ht="14.5" thickBot="1" x14ac:dyDescent="0.35">
      <c r="B329" s="58"/>
      <c r="L329" s="230">
        <f>SUM(L322:L328)</f>
        <v>0</v>
      </c>
      <c r="N329" s="230">
        <f>SUM(N322:N328)</f>
        <v>0</v>
      </c>
    </row>
    <row r="330" spans="1:15" ht="14.5" thickTop="1" x14ac:dyDescent="0.3">
      <c r="B330" s="58"/>
      <c r="L330" s="224"/>
      <c r="N330" s="224"/>
    </row>
    <row r="331" spans="1:15" x14ac:dyDescent="0.3">
      <c r="A331" s="221">
        <f>SOFP!J51</f>
        <v>20</v>
      </c>
      <c r="B331" s="58" t="str">
        <f>SOFP!B51</f>
        <v>Payable to related parties</v>
      </c>
      <c r="C331" s="58"/>
      <c r="D331" s="58"/>
      <c r="E331" s="58"/>
      <c r="F331" s="58"/>
      <c r="G331" s="58"/>
      <c r="H331" s="58"/>
      <c r="I331" s="58"/>
      <c r="J331" s="221"/>
      <c r="K331" s="58"/>
      <c r="L331" s="254"/>
      <c r="M331" s="254"/>
      <c r="N331" s="254"/>
    </row>
    <row r="332" spans="1:15" x14ac:dyDescent="0.3">
      <c r="B332" s="28" t="s">
        <v>603</v>
      </c>
      <c r="C332" s="58"/>
      <c r="D332" s="58"/>
      <c r="E332" s="58"/>
      <c r="F332" s="58"/>
      <c r="G332" s="58"/>
      <c r="H332" s="58"/>
      <c r="I332" s="58"/>
      <c r="J332" s="221">
        <f>A337</f>
        <v>20.100000000000001</v>
      </c>
      <c r="K332" s="58"/>
      <c r="L332" s="254"/>
      <c r="M332" s="254"/>
      <c r="N332" s="254"/>
    </row>
    <row r="333" spans="1:15" x14ac:dyDescent="0.3">
      <c r="B333" s="28" t="s">
        <v>604</v>
      </c>
      <c r="C333" s="58"/>
      <c r="D333" s="58"/>
      <c r="E333" s="58"/>
      <c r="F333" s="58"/>
      <c r="G333" s="58"/>
      <c r="H333" s="58"/>
      <c r="I333" s="58"/>
      <c r="J333" s="221">
        <f>A340</f>
        <v>20.200000000000003</v>
      </c>
      <c r="K333" s="58"/>
      <c r="L333" s="254"/>
      <c r="M333" s="254"/>
      <c r="N333" s="254"/>
    </row>
    <row r="334" spans="1:15" ht="5.15" customHeight="1" x14ac:dyDescent="0.3">
      <c r="B334" s="58"/>
      <c r="C334" s="58"/>
      <c r="D334" s="58"/>
      <c r="E334" s="58"/>
      <c r="F334" s="58"/>
      <c r="G334" s="58"/>
      <c r="H334" s="58"/>
      <c r="I334" s="58"/>
      <c r="J334" s="221"/>
      <c r="K334" s="58"/>
      <c r="L334" s="254"/>
      <c r="M334" s="254"/>
      <c r="N334" s="254"/>
    </row>
    <row r="335" spans="1:15" ht="14.5" thickBot="1" x14ac:dyDescent="0.35">
      <c r="B335" s="58"/>
      <c r="C335" s="58"/>
      <c r="D335" s="58"/>
      <c r="E335" s="58"/>
      <c r="F335" s="58"/>
      <c r="G335" s="58"/>
      <c r="H335" s="58"/>
      <c r="I335" s="58"/>
      <c r="J335" s="221"/>
      <c r="K335" s="58"/>
      <c r="L335" s="239">
        <f>SUM(L332:L334)</f>
        <v>0</v>
      </c>
      <c r="M335" s="254"/>
      <c r="N335" s="239">
        <f>SUM(N332:N334)</f>
        <v>0</v>
      </c>
    </row>
    <row r="336" spans="1:15" ht="14.5" thickTop="1" x14ac:dyDescent="0.3">
      <c r="B336" s="58"/>
      <c r="C336" s="58"/>
      <c r="D336" s="58"/>
      <c r="E336" s="58"/>
      <c r="F336" s="58"/>
      <c r="G336" s="58"/>
      <c r="H336" s="58"/>
      <c r="I336" s="58"/>
      <c r="J336" s="221"/>
      <c r="K336" s="58"/>
      <c r="L336" s="254"/>
      <c r="M336" s="254"/>
      <c r="N336" s="254"/>
    </row>
    <row r="337" spans="1:14" x14ac:dyDescent="0.3">
      <c r="A337" s="221">
        <f>A331+0.1</f>
        <v>20.100000000000001</v>
      </c>
      <c r="B337" s="263" t="s">
        <v>805</v>
      </c>
      <c r="C337" s="264"/>
      <c r="D337" s="264"/>
      <c r="E337" s="264"/>
      <c r="F337" s="264"/>
      <c r="G337" s="264"/>
      <c r="H337" s="264"/>
      <c r="I337" s="264"/>
      <c r="J337" s="264"/>
      <c r="K337" s="264"/>
      <c r="L337" s="264"/>
      <c r="M337" s="264"/>
      <c r="N337" s="264"/>
    </row>
    <row r="338" spans="1:14" x14ac:dyDescent="0.3">
      <c r="B338" s="264"/>
      <c r="C338" s="264"/>
      <c r="D338" s="264"/>
      <c r="E338" s="264"/>
      <c r="F338" s="264"/>
      <c r="G338" s="264"/>
      <c r="H338" s="264"/>
      <c r="I338" s="264"/>
      <c r="J338" s="264"/>
      <c r="K338" s="264"/>
      <c r="L338" s="264"/>
      <c r="M338" s="264"/>
      <c r="N338" s="264"/>
    </row>
    <row r="339" spans="1:14" x14ac:dyDescent="0.3">
      <c r="B339" s="58"/>
      <c r="C339" s="58"/>
      <c r="D339" s="58"/>
      <c r="E339" s="58"/>
      <c r="F339" s="58"/>
      <c r="G339" s="58"/>
      <c r="H339" s="58"/>
      <c r="I339" s="58"/>
      <c r="J339" s="221"/>
      <c r="K339" s="58"/>
      <c r="L339" s="254"/>
      <c r="M339" s="254"/>
      <c r="N339" s="254"/>
    </row>
    <row r="340" spans="1:14" x14ac:dyDescent="0.3">
      <c r="A340" s="221">
        <f>A337+0.1</f>
        <v>20.200000000000003</v>
      </c>
      <c r="B340" s="222"/>
      <c r="C340" s="222"/>
      <c r="D340" s="222"/>
      <c r="E340" s="222"/>
      <c r="F340" s="222"/>
      <c r="G340" s="222"/>
      <c r="H340" s="222"/>
      <c r="I340" s="222"/>
      <c r="J340" s="222"/>
      <c r="K340" s="222"/>
      <c r="L340" s="222"/>
      <c r="M340" s="222"/>
      <c r="N340" s="222"/>
    </row>
    <row r="341" spans="1:14" x14ac:dyDescent="0.3">
      <c r="B341" s="222"/>
      <c r="C341" s="222"/>
      <c r="D341" s="222"/>
      <c r="E341" s="222"/>
      <c r="F341" s="222"/>
      <c r="G341" s="222"/>
      <c r="H341" s="222"/>
      <c r="I341" s="222"/>
      <c r="J341" s="222"/>
      <c r="K341" s="222"/>
      <c r="L341" s="222"/>
      <c r="M341" s="222"/>
      <c r="N341" s="222"/>
    </row>
    <row r="342" spans="1:14" x14ac:dyDescent="0.3">
      <c r="B342" s="58"/>
      <c r="C342" s="58"/>
      <c r="D342" s="58"/>
      <c r="E342" s="58"/>
      <c r="F342" s="58"/>
      <c r="G342" s="58"/>
      <c r="H342" s="58"/>
      <c r="I342" s="58"/>
      <c r="J342" s="221"/>
      <c r="K342" s="58"/>
      <c r="L342" s="254"/>
      <c r="M342" s="254"/>
      <c r="N342" s="254"/>
    </row>
    <row r="343" spans="1:14" x14ac:dyDescent="0.3">
      <c r="A343" s="221">
        <f>SOFP!J52</f>
        <v>21</v>
      </c>
      <c r="B343" s="58" t="str">
        <f>SOFP!B52</f>
        <v xml:space="preserve">Deferred revenue </v>
      </c>
      <c r="C343" s="58"/>
      <c r="D343" s="58"/>
      <c r="E343" s="58"/>
      <c r="F343" s="58"/>
      <c r="G343" s="58"/>
      <c r="H343" s="58"/>
      <c r="I343" s="58"/>
      <c r="J343" s="221"/>
      <c r="K343" s="58"/>
      <c r="L343" s="254"/>
      <c r="M343" s="254"/>
      <c r="N343" s="254"/>
    </row>
    <row r="344" spans="1:14" x14ac:dyDescent="0.3">
      <c r="B344" s="28" t="s">
        <v>730</v>
      </c>
      <c r="C344" s="58"/>
      <c r="D344" s="58"/>
      <c r="E344" s="58"/>
      <c r="F344" s="58"/>
      <c r="G344" s="58"/>
      <c r="H344" s="58"/>
      <c r="I344" s="58"/>
      <c r="J344" s="221"/>
      <c r="K344" s="58"/>
      <c r="L344" s="265" t="s">
        <v>347</v>
      </c>
      <c r="M344" s="254"/>
      <c r="N344" s="265" t="s">
        <v>347</v>
      </c>
    </row>
    <row r="345" spans="1:14" x14ac:dyDescent="0.3">
      <c r="B345" s="58"/>
      <c r="C345" s="58"/>
      <c r="D345" s="58"/>
      <c r="E345" s="58"/>
      <c r="F345" s="58"/>
      <c r="G345" s="58"/>
      <c r="H345" s="58"/>
      <c r="I345" s="58"/>
      <c r="J345" s="221"/>
      <c r="K345" s="58"/>
      <c r="L345" s="254"/>
      <c r="M345" s="254"/>
      <c r="N345" s="254"/>
    </row>
    <row r="346" spans="1:14" x14ac:dyDescent="0.3">
      <c r="B346" s="28" t="s">
        <v>666</v>
      </c>
      <c r="C346" s="58"/>
      <c r="D346" s="58"/>
      <c r="E346" s="58"/>
      <c r="F346" s="58"/>
      <c r="G346" s="58"/>
      <c r="H346" s="58"/>
      <c r="I346" s="58"/>
      <c r="J346" s="221"/>
      <c r="K346" s="58"/>
      <c r="L346" s="254"/>
      <c r="M346" s="254"/>
      <c r="N346" s="254"/>
    </row>
    <row r="347" spans="1:14" x14ac:dyDescent="0.3">
      <c r="B347" s="28" t="s">
        <v>731</v>
      </c>
      <c r="C347" s="58"/>
      <c r="D347" s="58"/>
      <c r="E347" s="58"/>
      <c r="F347" s="58"/>
      <c r="G347" s="58"/>
      <c r="H347" s="58"/>
      <c r="I347" s="58"/>
      <c r="J347" s="221"/>
      <c r="K347" s="58"/>
      <c r="L347" s="254"/>
      <c r="M347" s="254"/>
      <c r="N347" s="254"/>
    </row>
    <row r="348" spans="1:14" ht="14.5" thickBot="1" x14ac:dyDescent="0.35">
      <c r="B348" s="58"/>
      <c r="C348" s="58"/>
      <c r="D348" s="58"/>
      <c r="E348" s="58"/>
      <c r="F348" s="58"/>
      <c r="G348" s="58"/>
      <c r="H348" s="58"/>
      <c r="I348" s="58"/>
      <c r="J348" s="221"/>
      <c r="K348" s="58"/>
      <c r="L348" s="239">
        <f>SUM(L346:L347)</f>
        <v>0</v>
      </c>
      <c r="M348" s="254"/>
      <c r="N348" s="239">
        <f>SUM(N346:N347)</f>
        <v>0</v>
      </c>
    </row>
    <row r="349" spans="1:14" ht="14.5" thickTop="1" x14ac:dyDescent="0.3">
      <c r="B349" s="58"/>
      <c r="C349" s="58"/>
      <c r="D349" s="58"/>
      <c r="E349" s="58"/>
      <c r="F349" s="58"/>
      <c r="G349" s="58"/>
      <c r="H349" s="58"/>
      <c r="I349" s="58"/>
      <c r="J349" s="221"/>
      <c r="K349" s="58"/>
      <c r="L349" s="254"/>
      <c r="M349" s="254"/>
      <c r="N349" s="254"/>
    </row>
    <row r="350" spans="1:14" x14ac:dyDescent="0.3">
      <c r="A350" s="221">
        <f>A343+0.1</f>
        <v>21.1</v>
      </c>
      <c r="B350" s="243" t="s">
        <v>732</v>
      </c>
      <c r="C350" s="243"/>
      <c r="D350" s="243"/>
      <c r="E350" s="243"/>
      <c r="F350" s="243"/>
      <c r="G350" s="243"/>
      <c r="H350" s="243"/>
      <c r="I350" s="243"/>
      <c r="J350" s="243"/>
      <c r="K350" s="243"/>
      <c r="L350" s="243"/>
      <c r="M350" s="243"/>
      <c r="N350" s="243"/>
    </row>
    <row r="351" spans="1:14" x14ac:dyDescent="0.3">
      <c r="B351" s="243"/>
      <c r="C351" s="243"/>
      <c r="D351" s="243"/>
      <c r="E351" s="243"/>
      <c r="F351" s="243"/>
      <c r="G351" s="243"/>
      <c r="H351" s="243"/>
      <c r="I351" s="243"/>
      <c r="J351" s="243"/>
      <c r="K351" s="243"/>
      <c r="L351" s="243"/>
      <c r="M351" s="243"/>
      <c r="N351" s="243"/>
    </row>
    <row r="352" spans="1:14" x14ac:dyDescent="0.3">
      <c r="B352" s="243"/>
      <c r="C352" s="243"/>
      <c r="D352" s="243"/>
      <c r="E352" s="243"/>
      <c r="F352" s="243"/>
      <c r="G352" s="243"/>
      <c r="H352" s="243"/>
      <c r="I352" s="243"/>
      <c r="J352" s="243"/>
      <c r="K352" s="243"/>
      <c r="L352" s="243"/>
      <c r="M352" s="243"/>
      <c r="N352" s="243"/>
    </row>
    <row r="353" spans="1:14" x14ac:dyDescent="0.3">
      <c r="B353" s="58"/>
      <c r="C353" s="58"/>
      <c r="D353" s="58"/>
      <c r="E353" s="58"/>
      <c r="F353" s="58"/>
      <c r="G353" s="58"/>
      <c r="H353" s="58"/>
      <c r="I353" s="58"/>
      <c r="J353" s="221"/>
      <c r="K353" s="58"/>
      <c r="L353" s="254"/>
      <c r="M353" s="254"/>
      <c r="N353" s="254"/>
    </row>
    <row r="354" spans="1:14" x14ac:dyDescent="0.3">
      <c r="A354" s="221">
        <f>SOFP!J57</f>
        <v>22</v>
      </c>
      <c r="B354" s="58" t="str">
        <f>SOFP!B57</f>
        <v xml:space="preserve">Contingencies and commitments </v>
      </c>
      <c r="J354" s="53"/>
    </row>
    <row r="355" spans="1:14" x14ac:dyDescent="0.3">
      <c r="B355" s="58" t="s">
        <v>176</v>
      </c>
      <c r="J355" s="53"/>
    </row>
    <row r="356" spans="1:14" x14ac:dyDescent="0.3">
      <c r="A356" s="221">
        <f>A354+0.1</f>
        <v>22.1</v>
      </c>
      <c r="B356" s="58" t="s">
        <v>177</v>
      </c>
      <c r="J356" s="53"/>
    </row>
    <row r="357" spans="1:14" x14ac:dyDescent="0.3">
      <c r="B357" s="266" t="s">
        <v>806</v>
      </c>
      <c r="C357" s="255"/>
      <c r="D357" s="255"/>
      <c r="E357" s="255"/>
      <c r="F357" s="255"/>
      <c r="G357" s="255"/>
      <c r="H357" s="255"/>
      <c r="I357" s="255"/>
      <c r="J357" s="255"/>
      <c r="K357" s="255"/>
      <c r="L357" s="255"/>
      <c r="M357" s="255"/>
      <c r="N357" s="255"/>
    </row>
    <row r="358" spans="1:14" x14ac:dyDescent="0.3">
      <c r="B358" s="255"/>
      <c r="C358" s="255"/>
      <c r="D358" s="255"/>
      <c r="E358" s="255"/>
      <c r="F358" s="255"/>
      <c r="G358" s="255"/>
      <c r="H358" s="255"/>
      <c r="I358" s="255"/>
      <c r="J358" s="255"/>
      <c r="K358" s="255"/>
      <c r="L358" s="255"/>
      <c r="M358" s="255"/>
      <c r="N358" s="255"/>
    </row>
    <row r="359" spans="1:14" x14ac:dyDescent="0.3">
      <c r="B359" s="255"/>
      <c r="C359" s="255"/>
      <c r="D359" s="255"/>
      <c r="E359" s="255"/>
      <c r="F359" s="255"/>
      <c r="G359" s="255"/>
      <c r="H359" s="255"/>
      <c r="I359" s="255"/>
      <c r="J359" s="255"/>
      <c r="K359" s="255"/>
      <c r="L359" s="255"/>
      <c r="M359" s="255"/>
      <c r="N359" s="255"/>
    </row>
    <row r="360" spans="1:14" x14ac:dyDescent="0.3">
      <c r="B360" s="255"/>
      <c r="C360" s="255"/>
      <c r="D360" s="255"/>
      <c r="E360" s="255"/>
      <c r="F360" s="255"/>
      <c r="G360" s="255"/>
      <c r="H360" s="255"/>
      <c r="I360" s="255"/>
      <c r="J360" s="255"/>
      <c r="K360" s="255"/>
      <c r="L360" s="255"/>
      <c r="M360" s="255"/>
      <c r="N360" s="255"/>
    </row>
    <row r="361" spans="1:14" x14ac:dyDescent="0.3">
      <c r="A361" s="221">
        <f>A356+0.1</f>
        <v>22.200000000000003</v>
      </c>
      <c r="B361" s="58" t="s">
        <v>178</v>
      </c>
      <c r="J361" s="53"/>
    </row>
    <row r="362" spans="1:14" x14ac:dyDescent="0.3">
      <c r="B362" s="255" t="s">
        <v>673</v>
      </c>
      <c r="C362" s="255"/>
      <c r="D362" s="255"/>
      <c r="E362" s="255"/>
      <c r="F362" s="255"/>
      <c r="G362" s="255"/>
      <c r="H362" s="255"/>
      <c r="I362" s="255"/>
      <c r="J362" s="255"/>
      <c r="K362" s="255"/>
      <c r="L362" s="255"/>
      <c r="M362" s="255"/>
      <c r="N362" s="255"/>
    </row>
    <row r="363" spans="1:14" x14ac:dyDescent="0.3">
      <c r="B363" s="255"/>
      <c r="C363" s="255"/>
      <c r="D363" s="255"/>
      <c r="E363" s="255"/>
      <c r="F363" s="255"/>
      <c r="G363" s="255"/>
      <c r="H363" s="255"/>
      <c r="I363" s="255"/>
      <c r="J363" s="255"/>
      <c r="K363" s="255"/>
      <c r="L363" s="255"/>
      <c r="M363" s="255"/>
      <c r="N363" s="255"/>
    </row>
    <row r="364" spans="1:14" x14ac:dyDescent="0.3">
      <c r="B364" s="255"/>
      <c r="C364" s="255"/>
      <c r="D364" s="255"/>
      <c r="E364" s="255"/>
      <c r="F364" s="255"/>
      <c r="G364" s="255"/>
      <c r="H364" s="255"/>
      <c r="I364" s="255"/>
      <c r="J364" s="255"/>
      <c r="K364" s="255"/>
      <c r="L364" s="255"/>
      <c r="M364" s="255"/>
      <c r="N364" s="255"/>
    </row>
    <row r="365" spans="1:14" x14ac:dyDescent="0.3">
      <c r="B365" s="255"/>
      <c r="C365" s="255"/>
      <c r="D365" s="255"/>
      <c r="E365" s="255"/>
      <c r="F365" s="255"/>
      <c r="G365" s="255"/>
      <c r="H365" s="255"/>
      <c r="I365" s="255"/>
      <c r="J365" s="255"/>
      <c r="K365" s="255"/>
      <c r="L365" s="255"/>
      <c r="M365" s="255"/>
      <c r="N365" s="255"/>
    </row>
    <row r="366" spans="1:14" x14ac:dyDescent="0.3">
      <c r="A366" s="221">
        <f>A361+0.1</f>
        <v>22.300000000000004</v>
      </c>
      <c r="B366" s="58" t="s">
        <v>179</v>
      </c>
      <c r="J366" s="53"/>
    </row>
    <row r="367" spans="1:14" x14ac:dyDescent="0.3">
      <c r="B367" s="255" t="s">
        <v>673</v>
      </c>
      <c r="C367" s="255"/>
      <c r="D367" s="255"/>
      <c r="E367" s="255"/>
      <c r="F367" s="255"/>
      <c r="G367" s="255"/>
      <c r="H367" s="255"/>
      <c r="I367" s="255"/>
      <c r="J367" s="255"/>
      <c r="K367" s="255"/>
      <c r="L367" s="255"/>
      <c r="M367" s="255"/>
      <c r="N367" s="255"/>
    </row>
    <row r="368" spans="1:14" x14ac:dyDescent="0.3">
      <c r="B368" s="255"/>
      <c r="C368" s="255"/>
      <c r="D368" s="255"/>
      <c r="E368" s="255"/>
      <c r="F368" s="255"/>
      <c r="G368" s="255"/>
      <c r="H368" s="255"/>
      <c r="I368" s="255"/>
      <c r="J368" s="255"/>
      <c r="K368" s="255"/>
      <c r="L368" s="255"/>
      <c r="M368" s="255"/>
      <c r="N368" s="255"/>
    </row>
    <row r="369" spans="1:14" x14ac:dyDescent="0.3">
      <c r="B369" s="255"/>
      <c r="C369" s="255"/>
      <c r="D369" s="255"/>
      <c r="E369" s="255"/>
      <c r="F369" s="255"/>
      <c r="G369" s="255"/>
      <c r="H369" s="255"/>
      <c r="I369" s="255"/>
      <c r="J369" s="255"/>
      <c r="K369" s="255"/>
      <c r="L369" s="255"/>
      <c r="M369" s="255"/>
      <c r="N369" s="255"/>
    </row>
    <row r="370" spans="1:14" x14ac:dyDescent="0.3">
      <c r="B370" s="255"/>
      <c r="C370" s="255"/>
      <c r="D370" s="255"/>
      <c r="E370" s="255"/>
      <c r="F370" s="255"/>
      <c r="G370" s="255"/>
      <c r="H370" s="255"/>
      <c r="I370" s="255"/>
      <c r="J370" s="255"/>
      <c r="K370" s="255"/>
      <c r="L370" s="255"/>
      <c r="M370" s="255"/>
      <c r="N370" s="255"/>
    </row>
    <row r="371" spans="1:14" x14ac:dyDescent="0.3">
      <c r="A371" s="221">
        <f>A366+0.1</f>
        <v>22.400000000000006</v>
      </c>
      <c r="B371" s="58" t="s">
        <v>180</v>
      </c>
      <c r="J371" s="53"/>
    </row>
    <row r="372" spans="1:14" x14ac:dyDescent="0.3">
      <c r="B372" s="255" t="s">
        <v>673</v>
      </c>
      <c r="C372" s="255"/>
      <c r="D372" s="255"/>
      <c r="E372" s="255"/>
      <c r="F372" s="255"/>
      <c r="G372" s="255"/>
      <c r="H372" s="255"/>
      <c r="I372" s="255"/>
      <c r="J372" s="255"/>
      <c r="K372" s="255"/>
      <c r="L372" s="255"/>
      <c r="M372" s="255"/>
      <c r="N372" s="255"/>
    </row>
    <row r="373" spans="1:14" x14ac:dyDescent="0.3">
      <c r="B373" s="255"/>
      <c r="C373" s="255"/>
      <c r="D373" s="255"/>
      <c r="E373" s="255"/>
      <c r="F373" s="255"/>
      <c r="G373" s="255"/>
      <c r="H373" s="255"/>
      <c r="I373" s="255"/>
      <c r="J373" s="255"/>
      <c r="K373" s="255"/>
      <c r="L373" s="255"/>
      <c r="M373" s="255"/>
      <c r="N373" s="255"/>
    </row>
    <row r="374" spans="1:14" x14ac:dyDescent="0.3">
      <c r="B374" s="255"/>
      <c r="C374" s="255"/>
      <c r="D374" s="255"/>
      <c r="E374" s="255"/>
      <c r="F374" s="255"/>
      <c r="G374" s="255"/>
      <c r="H374" s="255"/>
      <c r="I374" s="255"/>
      <c r="J374" s="255"/>
      <c r="K374" s="255"/>
      <c r="L374" s="255"/>
      <c r="M374" s="255"/>
      <c r="N374" s="255"/>
    </row>
    <row r="375" spans="1:14" x14ac:dyDescent="0.3">
      <c r="B375" s="255"/>
      <c r="C375" s="255"/>
      <c r="D375" s="255"/>
      <c r="E375" s="255"/>
      <c r="F375" s="255"/>
      <c r="G375" s="255"/>
      <c r="H375" s="255"/>
      <c r="I375" s="255"/>
      <c r="J375" s="255"/>
      <c r="K375" s="255"/>
      <c r="L375" s="255"/>
      <c r="M375" s="255"/>
      <c r="N375" s="255"/>
    </row>
    <row r="376" spans="1:14" x14ac:dyDescent="0.3">
      <c r="J376" s="53"/>
    </row>
    <row r="377" spans="1:14" s="58" customFormat="1" x14ac:dyDescent="0.3">
      <c r="A377" s="221"/>
      <c r="B377" s="58" t="s">
        <v>182</v>
      </c>
      <c r="J377" s="221"/>
      <c r="L377" s="240"/>
      <c r="M377" s="240"/>
      <c r="N377" s="240"/>
    </row>
    <row r="378" spans="1:14" x14ac:dyDescent="0.3">
      <c r="A378" s="221">
        <f>A371+0.1</f>
        <v>22.500000000000007</v>
      </c>
      <c r="B378" s="58" t="s">
        <v>181</v>
      </c>
      <c r="J378" s="53"/>
    </row>
    <row r="379" spans="1:14" x14ac:dyDescent="0.3">
      <c r="B379" s="255" t="s">
        <v>673</v>
      </c>
      <c r="C379" s="255"/>
      <c r="D379" s="255"/>
      <c r="E379" s="255"/>
      <c r="F379" s="255"/>
      <c r="G379" s="255"/>
      <c r="H379" s="255"/>
      <c r="I379" s="255"/>
      <c r="J379" s="255"/>
      <c r="K379" s="255"/>
      <c r="L379" s="255"/>
      <c r="M379" s="255"/>
      <c r="N379" s="255"/>
    </row>
    <row r="380" spans="1:14" x14ac:dyDescent="0.3">
      <c r="B380" s="255"/>
      <c r="C380" s="255"/>
      <c r="D380" s="255"/>
      <c r="E380" s="255"/>
      <c r="F380" s="255"/>
      <c r="G380" s="255"/>
      <c r="H380" s="255"/>
      <c r="I380" s="255"/>
      <c r="J380" s="255"/>
      <c r="K380" s="255"/>
      <c r="L380" s="255"/>
      <c r="M380" s="255"/>
      <c r="N380" s="255"/>
    </row>
    <row r="381" spans="1:14" x14ac:dyDescent="0.3">
      <c r="B381" s="255"/>
      <c r="C381" s="255"/>
      <c r="D381" s="255"/>
      <c r="E381" s="255"/>
      <c r="F381" s="255"/>
      <c r="G381" s="255"/>
      <c r="H381" s="255"/>
      <c r="I381" s="255"/>
      <c r="J381" s="255"/>
      <c r="K381" s="255"/>
      <c r="L381" s="255"/>
      <c r="M381" s="255"/>
      <c r="N381" s="255"/>
    </row>
    <row r="382" spans="1:14" x14ac:dyDescent="0.3">
      <c r="B382" s="255"/>
      <c r="C382" s="255"/>
      <c r="D382" s="255"/>
      <c r="E382" s="255"/>
      <c r="F382" s="255"/>
      <c r="G382" s="255"/>
      <c r="H382" s="255"/>
      <c r="I382" s="255"/>
      <c r="J382" s="255"/>
      <c r="K382" s="255"/>
      <c r="L382" s="255"/>
      <c r="M382" s="255"/>
      <c r="N382" s="255"/>
    </row>
    <row r="383" spans="1:14" x14ac:dyDescent="0.3">
      <c r="B383" s="233"/>
      <c r="C383" s="233"/>
      <c r="D383" s="233"/>
      <c r="E383" s="233"/>
      <c r="F383" s="233"/>
      <c r="G383" s="233"/>
      <c r="H383" s="233"/>
      <c r="I383" s="233"/>
      <c r="J383" s="233"/>
      <c r="K383" s="233"/>
      <c r="L383" s="233"/>
      <c r="M383" s="233"/>
      <c r="N383" s="233"/>
    </row>
    <row r="384" spans="1:14" x14ac:dyDescent="0.3">
      <c r="A384" s="221">
        <f>A378+0.1</f>
        <v>22.600000000000009</v>
      </c>
      <c r="B384" s="58" t="s">
        <v>183</v>
      </c>
      <c r="J384" s="53"/>
    </row>
    <row r="385" spans="1:14" x14ac:dyDescent="0.3">
      <c r="B385" s="255" t="s">
        <v>673</v>
      </c>
      <c r="C385" s="255"/>
      <c r="D385" s="255"/>
      <c r="E385" s="255"/>
      <c r="F385" s="255"/>
      <c r="G385" s="255"/>
      <c r="H385" s="255"/>
      <c r="I385" s="255"/>
      <c r="J385" s="255"/>
      <c r="K385" s="255"/>
      <c r="L385" s="255"/>
      <c r="M385" s="255"/>
      <c r="N385" s="255"/>
    </row>
    <row r="386" spans="1:14" x14ac:dyDescent="0.3">
      <c r="B386" s="255"/>
      <c r="C386" s="255"/>
      <c r="D386" s="255"/>
      <c r="E386" s="255"/>
      <c r="F386" s="255"/>
      <c r="G386" s="255"/>
      <c r="H386" s="255"/>
      <c r="I386" s="255"/>
      <c r="J386" s="255"/>
      <c r="K386" s="255"/>
      <c r="L386" s="255"/>
      <c r="M386" s="255"/>
      <c r="N386" s="255"/>
    </row>
    <row r="387" spans="1:14" x14ac:dyDescent="0.3">
      <c r="B387" s="255"/>
      <c r="C387" s="255"/>
      <c r="D387" s="255"/>
      <c r="E387" s="255"/>
      <c r="F387" s="255"/>
      <c r="G387" s="255"/>
      <c r="H387" s="255"/>
      <c r="I387" s="255"/>
      <c r="J387" s="255"/>
      <c r="K387" s="255"/>
      <c r="L387" s="255"/>
      <c r="M387" s="255"/>
      <c r="N387" s="255"/>
    </row>
    <row r="388" spans="1:14" x14ac:dyDescent="0.3">
      <c r="B388" s="255"/>
      <c r="C388" s="255"/>
      <c r="D388" s="255"/>
      <c r="E388" s="255"/>
      <c r="F388" s="255"/>
      <c r="G388" s="255"/>
      <c r="H388" s="255"/>
      <c r="I388" s="255"/>
      <c r="J388" s="255"/>
      <c r="K388" s="255"/>
      <c r="L388" s="255"/>
      <c r="M388" s="255"/>
      <c r="N388" s="255"/>
    </row>
    <row r="389" spans="1:14" x14ac:dyDescent="0.3">
      <c r="A389" s="221">
        <f>A384+0.1</f>
        <v>22.70000000000001</v>
      </c>
      <c r="B389" s="267" t="s">
        <v>184</v>
      </c>
      <c r="C389" s="233"/>
      <c r="D389" s="233"/>
      <c r="E389" s="233"/>
      <c r="F389" s="233"/>
      <c r="G389" s="233"/>
      <c r="H389" s="233"/>
      <c r="I389" s="233"/>
      <c r="J389" s="268"/>
      <c r="K389" s="233"/>
      <c r="L389" s="234"/>
      <c r="M389" s="234"/>
      <c r="N389" s="234"/>
    </row>
    <row r="390" spans="1:14" x14ac:dyDescent="0.3">
      <c r="B390" s="255" t="s">
        <v>673</v>
      </c>
      <c r="C390" s="255"/>
      <c r="D390" s="255"/>
      <c r="E390" s="255"/>
      <c r="F390" s="255"/>
      <c r="G390" s="255"/>
      <c r="H390" s="255"/>
      <c r="I390" s="255"/>
      <c r="J390" s="255"/>
      <c r="K390" s="255"/>
      <c r="L390" s="255"/>
      <c r="M390" s="255"/>
      <c r="N390" s="255"/>
    </row>
    <row r="391" spans="1:14" x14ac:dyDescent="0.3">
      <c r="B391" s="255"/>
      <c r="C391" s="255"/>
      <c r="D391" s="255"/>
      <c r="E391" s="255"/>
      <c r="F391" s="255"/>
      <c r="G391" s="255"/>
      <c r="H391" s="255"/>
      <c r="I391" s="255"/>
      <c r="J391" s="255"/>
      <c r="K391" s="255"/>
      <c r="L391" s="255"/>
      <c r="M391" s="255"/>
      <c r="N391" s="255"/>
    </row>
    <row r="392" spans="1:14" x14ac:dyDescent="0.3">
      <c r="B392" s="255"/>
      <c r="C392" s="255"/>
      <c r="D392" s="255"/>
      <c r="E392" s="255"/>
      <c r="F392" s="255"/>
      <c r="G392" s="255"/>
      <c r="H392" s="255"/>
      <c r="I392" s="255"/>
      <c r="J392" s="255"/>
      <c r="K392" s="255"/>
      <c r="L392" s="255"/>
      <c r="M392" s="255"/>
      <c r="N392" s="255"/>
    </row>
    <row r="393" spans="1:14" x14ac:dyDescent="0.3">
      <c r="B393" s="255"/>
      <c r="C393" s="255"/>
      <c r="D393" s="255"/>
      <c r="E393" s="255"/>
      <c r="F393" s="255"/>
      <c r="G393" s="255"/>
      <c r="H393" s="255"/>
      <c r="I393" s="255"/>
      <c r="J393" s="255"/>
      <c r="K393" s="255"/>
      <c r="L393" s="255"/>
      <c r="M393" s="255"/>
      <c r="N393" s="255"/>
    </row>
    <row r="394" spans="1:14" x14ac:dyDescent="0.3">
      <c r="B394" s="233"/>
      <c r="C394" s="233"/>
      <c r="D394" s="233"/>
      <c r="E394" s="233"/>
      <c r="F394" s="233"/>
      <c r="G394" s="233"/>
      <c r="H394" s="233"/>
      <c r="I394" s="233"/>
      <c r="J394" s="268"/>
      <c r="K394" s="233"/>
      <c r="L394" s="234"/>
      <c r="M394" s="234"/>
      <c r="N394" s="234"/>
    </row>
    <row r="395" spans="1:14" x14ac:dyDescent="0.3">
      <c r="J395" s="229" t="s">
        <v>68</v>
      </c>
      <c r="L395" s="421" t="str">
        <f>SOFP!$L$5</f>
        <v>2023</v>
      </c>
      <c r="M395" s="422"/>
      <c r="N395" s="421" t="str">
        <f>SOFP!$N$5</f>
        <v>2022</v>
      </c>
    </row>
    <row r="396" spans="1:14" x14ac:dyDescent="0.3">
      <c r="J396" s="229"/>
      <c r="L396" s="423" t="str">
        <f>SOFP!$L$6</f>
        <v>------------- Rupees -------------</v>
      </c>
      <c r="M396" s="424"/>
      <c r="N396" s="424"/>
    </row>
    <row r="397" spans="1:14" x14ac:dyDescent="0.3">
      <c r="B397" s="58"/>
      <c r="J397" s="53"/>
    </row>
    <row r="398" spans="1:14" x14ac:dyDescent="0.3">
      <c r="A398" s="221">
        <f>SOPL!J8</f>
        <v>23</v>
      </c>
      <c r="B398" s="58" t="str">
        <f>SOPL!B8</f>
        <v>Revenue - net</v>
      </c>
      <c r="J398" s="53"/>
    </row>
    <row r="399" spans="1:14" x14ac:dyDescent="0.3">
      <c r="B399" s="28" t="s">
        <v>111</v>
      </c>
      <c r="J399" s="53"/>
      <c r="L399" s="245"/>
      <c r="N399" s="245"/>
    </row>
    <row r="400" spans="1:14" x14ac:dyDescent="0.3">
      <c r="B400" s="28" t="s">
        <v>185</v>
      </c>
      <c r="J400" s="53"/>
      <c r="L400" s="246"/>
      <c r="N400" s="246"/>
    </row>
    <row r="401" spans="1:14" x14ac:dyDescent="0.3">
      <c r="B401" s="28" t="s">
        <v>186</v>
      </c>
      <c r="J401" s="53"/>
      <c r="L401" s="246"/>
      <c r="N401" s="246"/>
    </row>
    <row r="402" spans="1:14" ht="5.15" customHeight="1" x14ac:dyDescent="0.3">
      <c r="J402" s="53"/>
      <c r="L402" s="247"/>
      <c r="N402" s="247"/>
    </row>
    <row r="403" spans="1:14" x14ac:dyDescent="0.3">
      <c r="B403" s="28" t="s">
        <v>187</v>
      </c>
      <c r="J403" s="53"/>
      <c r="L403" s="100">
        <f>SUM(L399:L402)</f>
        <v>0</v>
      </c>
      <c r="N403" s="100">
        <f>SUM(N399:N402)</f>
        <v>0</v>
      </c>
    </row>
    <row r="404" spans="1:14" x14ac:dyDescent="0.3">
      <c r="J404" s="53"/>
    </row>
    <row r="405" spans="1:14" x14ac:dyDescent="0.3">
      <c r="B405" s="28" t="s">
        <v>188</v>
      </c>
      <c r="J405" s="53"/>
      <c r="L405" s="245"/>
      <c r="N405" s="245"/>
    </row>
    <row r="406" spans="1:14" x14ac:dyDescent="0.3">
      <c r="B406" s="28" t="s">
        <v>189</v>
      </c>
      <c r="J406" s="53"/>
      <c r="L406" s="246"/>
      <c r="M406" s="224"/>
      <c r="N406" s="246"/>
    </row>
    <row r="407" spans="1:14" ht="5.15" customHeight="1" x14ac:dyDescent="0.3">
      <c r="J407" s="53"/>
      <c r="L407" s="247"/>
      <c r="N407" s="247"/>
    </row>
    <row r="408" spans="1:14" x14ac:dyDescent="0.3">
      <c r="J408" s="53"/>
      <c r="L408" s="100">
        <f>SUM(L405:L407)</f>
        <v>0</v>
      </c>
      <c r="N408" s="100">
        <f>SUM(N405:N407)</f>
        <v>0</v>
      </c>
    </row>
    <row r="409" spans="1:14" x14ac:dyDescent="0.3">
      <c r="J409" s="53"/>
    </row>
    <row r="410" spans="1:14" x14ac:dyDescent="0.3">
      <c r="B410" s="28" t="s">
        <v>363</v>
      </c>
      <c r="J410" s="53"/>
      <c r="L410" s="245"/>
      <c r="N410" s="245"/>
    </row>
    <row r="411" spans="1:14" x14ac:dyDescent="0.3">
      <c r="B411" s="28" t="s">
        <v>190</v>
      </c>
      <c r="J411" s="53"/>
      <c r="L411" s="246"/>
      <c r="M411" s="224"/>
      <c r="N411" s="246"/>
    </row>
    <row r="412" spans="1:14" x14ac:dyDescent="0.3">
      <c r="B412" s="28" t="s">
        <v>191</v>
      </c>
      <c r="J412" s="53"/>
      <c r="L412" s="246"/>
      <c r="M412" s="224"/>
      <c r="N412" s="246"/>
    </row>
    <row r="413" spans="1:14" ht="5.15" customHeight="1" x14ac:dyDescent="0.3">
      <c r="J413" s="53"/>
      <c r="L413" s="247"/>
      <c r="N413" s="247"/>
    </row>
    <row r="414" spans="1:14" x14ac:dyDescent="0.3">
      <c r="J414" s="53"/>
      <c r="L414" s="100">
        <f>SUM(L410:L413)</f>
        <v>0</v>
      </c>
      <c r="N414" s="100">
        <f>SUM(N410:N413)</f>
        <v>0</v>
      </c>
    </row>
    <row r="415" spans="1:14" ht="5.15" customHeight="1" x14ac:dyDescent="0.3">
      <c r="J415" s="53"/>
    </row>
    <row r="416" spans="1:14" s="58" customFormat="1" ht="14.5" thickBot="1" x14ac:dyDescent="0.35">
      <c r="A416" s="221"/>
      <c r="J416" s="221"/>
      <c r="L416" s="239">
        <f>L403+L408+L414</f>
        <v>0</v>
      </c>
      <c r="M416" s="240"/>
      <c r="N416" s="239">
        <f>N403+N408+N414</f>
        <v>0</v>
      </c>
    </row>
    <row r="417" spans="1:14" ht="14.5" thickTop="1" x14ac:dyDescent="0.3">
      <c r="J417" s="53"/>
    </row>
    <row r="418" spans="1:14" x14ac:dyDescent="0.3">
      <c r="A418" s="221">
        <f>SOPL!J10</f>
        <v>24</v>
      </c>
      <c r="B418" s="58" t="str">
        <f>SOPL!B10</f>
        <v>Cost of revenue</v>
      </c>
      <c r="J418" s="53"/>
    </row>
    <row r="419" spans="1:14" x14ac:dyDescent="0.3">
      <c r="B419" s="28" t="s">
        <v>195</v>
      </c>
      <c r="J419" s="53">
        <f>A426</f>
        <v>24.1</v>
      </c>
      <c r="L419" s="245"/>
      <c r="N419" s="245"/>
    </row>
    <row r="420" spans="1:14" x14ac:dyDescent="0.3">
      <c r="B420" s="28" t="s">
        <v>196</v>
      </c>
      <c r="J420" s="53">
        <f>A463</f>
        <v>24.200000000000003</v>
      </c>
      <c r="L420" s="246">
        <f>L468</f>
        <v>0</v>
      </c>
      <c r="N420" s="246">
        <f>N468</f>
        <v>0</v>
      </c>
    </row>
    <row r="421" spans="1:14" x14ac:dyDescent="0.3">
      <c r="B421" s="28" t="s">
        <v>197</v>
      </c>
      <c r="J421" s="53">
        <f>A475</f>
        <v>24.300000000000004</v>
      </c>
      <c r="L421" s="246">
        <f>L487</f>
        <v>0</v>
      </c>
      <c r="N421" s="246">
        <f>N487</f>
        <v>0</v>
      </c>
    </row>
    <row r="422" spans="1:14" x14ac:dyDescent="0.3">
      <c r="B422" s="28" t="s">
        <v>212</v>
      </c>
      <c r="J422" s="53">
        <f>A499</f>
        <v>24.400000000000006</v>
      </c>
      <c r="L422" s="246">
        <f>L504</f>
        <v>0</v>
      </c>
      <c r="N422" s="246">
        <f>N504</f>
        <v>0</v>
      </c>
    </row>
    <row r="423" spans="1:14" ht="5.15" customHeight="1" x14ac:dyDescent="0.3">
      <c r="J423" s="53"/>
      <c r="L423" s="247"/>
      <c r="N423" s="247"/>
    </row>
    <row r="424" spans="1:14" s="58" customFormat="1" ht="14.5" thickBot="1" x14ac:dyDescent="0.35">
      <c r="A424" s="221"/>
      <c r="J424" s="221"/>
      <c r="L424" s="239">
        <f>SUM(L419:L423)</f>
        <v>0</v>
      </c>
      <c r="M424" s="240"/>
      <c r="N424" s="239">
        <f>SUM(N419:N423)</f>
        <v>0</v>
      </c>
    </row>
    <row r="425" spans="1:14" ht="14.5" thickTop="1" x14ac:dyDescent="0.3">
      <c r="B425" s="58"/>
      <c r="J425" s="53"/>
    </row>
    <row r="426" spans="1:14" x14ac:dyDescent="0.3">
      <c r="A426" s="221">
        <f>A418+0.1</f>
        <v>24.1</v>
      </c>
      <c r="B426" s="58" t="str">
        <f>B419</f>
        <v>Cost of sale of goods</v>
      </c>
      <c r="J426" s="53"/>
    </row>
    <row r="427" spans="1:14" x14ac:dyDescent="0.3">
      <c r="B427" s="28" t="s">
        <v>209</v>
      </c>
      <c r="J427" s="53"/>
    </row>
    <row r="428" spans="1:14" x14ac:dyDescent="0.3">
      <c r="B428" s="28" t="s">
        <v>211</v>
      </c>
      <c r="J428" s="53"/>
    </row>
    <row r="429" spans="1:14" x14ac:dyDescent="0.3">
      <c r="B429" s="28" t="s">
        <v>210</v>
      </c>
      <c r="J429" s="53"/>
    </row>
    <row r="430" spans="1:14" x14ac:dyDescent="0.3">
      <c r="B430" s="58"/>
      <c r="J430" s="53"/>
    </row>
    <row r="431" spans="1:14" x14ac:dyDescent="0.3">
      <c r="B431" s="28" t="s">
        <v>192</v>
      </c>
      <c r="J431" s="53"/>
      <c r="L431" s="245">
        <f>SUM(L427:L430)</f>
        <v>0</v>
      </c>
      <c r="N431" s="245"/>
    </row>
    <row r="432" spans="1:14" x14ac:dyDescent="0.3">
      <c r="B432" s="28" t="s">
        <v>193</v>
      </c>
      <c r="J432" s="53" t="str">
        <f>A458</f>
        <v>24.1.1</v>
      </c>
      <c r="L432" s="246"/>
      <c r="N432" s="246"/>
    </row>
    <row r="433" spans="2:14" x14ac:dyDescent="0.3">
      <c r="B433" s="28" t="s">
        <v>194</v>
      </c>
      <c r="J433" s="53"/>
      <c r="L433" s="246"/>
      <c r="N433" s="246"/>
    </row>
    <row r="434" spans="2:14" x14ac:dyDescent="0.3">
      <c r="B434" s="28" t="s">
        <v>198</v>
      </c>
      <c r="J434" s="53"/>
      <c r="L434" s="246"/>
      <c r="N434" s="246"/>
    </row>
    <row r="435" spans="2:14" x14ac:dyDescent="0.3">
      <c r="B435" s="28" t="s">
        <v>695</v>
      </c>
      <c r="J435" s="53"/>
      <c r="L435" s="246"/>
      <c r="N435" s="246"/>
    </row>
    <row r="436" spans="2:14" x14ac:dyDescent="0.3">
      <c r="B436" s="28" t="s">
        <v>112</v>
      </c>
      <c r="J436" s="53"/>
      <c r="L436" s="246"/>
      <c r="N436" s="246"/>
    </row>
    <row r="437" spans="2:14" x14ac:dyDescent="0.3">
      <c r="B437" s="28" t="s">
        <v>199</v>
      </c>
      <c r="J437" s="53"/>
      <c r="L437" s="246"/>
      <c r="N437" s="246"/>
    </row>
    <row r="438" spans="2:14" x14ac:dyDescent="0.3">
      <c r="J438" s="53"/>
      <c r="L438" s="247"/>
      <c r="N438" s="247"/>
    </row>
    <row r="439" spans="2:14" x14ac:dyDescent="0.3">
      <c r="B439" s="28" t="s">
        <v>200</v>
      </c>
      <c r="J439" s="53"/>
      <c r="L439" s="100">
        <f>SUM(L431:L438)</f>
        <v>0</v>
      </c>
      <c r="N439" s="100">
        <f>SUM(N431:N438)</f>
        <v>0</v>
      </c>
    </row>
    <row r="440" spans="2:14" x14ac:dyDescent="0.3">
      <c r="J440" s="53"/>
    </row>
    <row r="441" spans="2:14" x14ac:dyDescent="0.3">
      <c r="J441" s="53"/>
    </row>
    <row r="442" spans="2:14" x14ac:dyDescent="0.3">
      <c r="J442" s="229" t="s">
        <v>68</v>
      </c>
      <c r="L442" s="421" t="str">
        <f>SOFP!$L$5</f>
        <v>2023</v>
      </c>
      <c r="M442" s="422"/>
      <c r="N442" s="421" t="str">
        <f>SOFP!$N$5</f>
        <v>2022</v>
      </c>
    </row>
    <row r="443" spans="2:14" x14ac:dyDescent="0.3">
      <c r="J443" s="229"/>
      <c r="L443" s="423" t="str">
        <f>SOFP!$L$6</f>
        <v>------------- Rupees -------------</v>
      </c>
      <c r="M443" s="424"/>
      <c r="N443" s="424"/>
    </row>
    <row r="444" spans="2:14" x14ac:dyDescent="0.3">
      <c r="B444" s="58"/>
      <c r="J444" s="53"/>
    </row>
    <row r="445" spans="2:14" x14ac:dyDescent="0.3">
      <c r="B445" s="28" t="s">
        <v>201</v>
      </c>
      <c r="J445" s="53"/>
    </row>
    <row r="446" spans="2:14" x14ac:dyDescent="0.3">
      <c r="B446" s="28" t="s">
        <v>205</v>
      </c>
      <c r="J446" s="53"/>
      <c r="L446" s="245"/>
      <c r="N446" s="245"/>
    </row>
    <row r="447" spans="2:14" x14ac:dyDescent="0.3">
      <c r="B447" s="28" t="s">
        <v>206</v>
      </c>
      <c r="J447" s="53"/>
      <c r="L447" s="246"/>
      <c r="M447" s="224"/>
      <c r="N447" s="246"/>
    </row>
    <row r="448" spans="2:14" x14ac:dyDescent="0.3">
      <c r="J448" s="53"/>
      <c r="L448" s="247"/>
      <c r="N448" s="247"/>
    </row>
    <row r="449" spans="1:14" x14ac:dyDescent="0.3">
      <c r="J449" s="53"/>
      <c r="L449" s="100">
        <f>SUM(L446:L448)</f>
        <v>0</v>
      </c>
      <c r="N449" s="100">
        <f>SUM(N446:N448)</f>
        <v>0</v>
      </c>
    </row>
    <row r="450" spans="1:14" x14ac:dyDescent="0.3">
      <c r="B450" s="28" t="s">
        <v>202</v>
      </c>
      <c r="J450" s="53"/>
    </row>
    <row r="451" spans="1:14" x14ac:dyDescent="0.3">
      <c r="B451" s="28" t="s">
        <v>203</v>
      </c>
      <c r="J451" s="53"/>
      <c r="L451" s="245"/>
      <c r="N451" s="245"/>
    </row>
    <row r="452" spans="1:14" x14ac:dyDescent="0.3">
      <c r="B452" s="28" t="s">
        <v>204</v>
      </c>
      <c r="J452" s="53"/>
      <c r="L452" s="246"/>
      <c r="M452" s="224"/>
      <c r="N452" s="246"/>
    </row>
    <row r="453" spans="1:14" x14ac:dyDescent="0.3">
      <c r="J453" s="53"/>
      <c r="L453" s="247"/>
      <c r="N453" s="247"/>
    </row>
    <row r="454" spans="1:14" x14ac:dyDescent="0.3">
      <c r="J454" s="53"/>
      <c r="L454" s="100">
        <f>SUM(L451:L453)</f>
        <v>0</v>
      </c>
      <c r="N454" s="100">
        <f>SUM(N451:N453)</f>
        <v>0</v>
      </c>
    </row>
    <row r="455" spans="1:14" x14ac:dyDescent="0.3">
      <c r="J455" s="53"/>
    </row>
    <row r="456" spans="1:14" s="58" customFormat="1" ht="14.5" thickBot="1" x14ac:dyDescent="0.35">
      <c r="A456" s="221"/>
      <c r="J456" s="221"/>
      <c r="L456" s="239">
        <f>L439+L449+L454</f>
        <v>0</v>
      </c>
      <c r="M456" s="240"/>
      <c r="N456" s="239">
        <f>N439+N449+N454</f>
        <v>0</v>
      </c>
    </row>
    <row r="457" spans="1:14" ht="14.5" thickTop="1" x14ac:dyDescent="0.3"/>
    <row r="458" spans="1:14" x14ac:dyDescent="0.3">
      <c r="A458" s="221" t="str">
        <f>A426&amp;".1"</f>
        <v>24.1.1</v>
      </c>
      <c r="B458" s="28" t="str">
        <f>B432&amp;" include Rs. __________________ ("&amp;Cover!H7&amp;": ______________) in respect of staff retirement benefits."</f>
        <v>Salaries, wages and other benefits include Rs. __________________ (2022: ______________) in respect of staff retirement benefits.</v>
      </c>
    </row>
    <row r="460" spans="1:14" x14ac:dyDescent="0.3">
      <c r="J460" s="229" t="s">
        <v>68</v>
      </c>
      <c r="L460" s="421" t="str">
        <f>SOFP!$L$5</f>
        <v>2023</v>
      </c>
      <c r="M460" s="422"/>
      <c r="N460" s="421" t="str">
        <f>SOFP!$N$5</f>
        <v>2022</v>
      </c>
    </row>
    <row r="461" spans="1:14" x14ac:dyDescent="0.3">
      <c r="J461" s="229"/>
      <c r="L461" s="423" t="str">
        <f>SOFP!$L$6</f>
        <v>------------- Rupees -------------</v>
      </c>
      <c r="M461" s="424"/>
      <c r="N461" s="424"/>
    </row>
    <row r="462" spans="1:14" x14ac:dyDescent="0.3">
      <c r="B462" s="58"/>
      <c r="J462" s="53"/>
    </row>
    <row r="463" spans="1:14" x14ac:dyDescent="0.3">
      <c r="A463" s="221">
        <f>A426+0.1</f>
        <v>24.200000000000003</v>
      </c>
      <c r="B463" s="58" t="str">
        <f>B420</f>
        <v>Cost of sale of services</v>
      </c>
      <c r="J463" s="53"/>
    </row>
    <row r="464" spans="1:14" x14ac:dyDescent="0.3">
      <c r="B464" s="28" t="s">
        <v>207</v>
      </c>
      <c r="J464" s="53" t="str">
        <f>A470</f>
        <v>24.2.1</v>
      </c>
      <c r="L464" s="245"/>
      <c r="N464" s="245"/>
    </row>
    <row r="465" spans="1:14" x14ac:dyDescent="0.3">
      <c r="B465" s="28" t="s">
        <v>112</v>
      </c>
      <c r="J465" s="53"/>
      <c r="L465" s="246"/>
      <c r="N465" s="246"/>
    </row>
    <row r="466" spans="1:14" x14ac:dyDescent="0.3">
      <c r="B466" s="28" t="s">
        <v>208</v>
      </c>
      <c r="J466" s="53"/>
      <c r="L466" s="246"/>
      <c r="N466" s="246"/>
    </row>
    <row r="467" spans="1:14" x14ac:dyDescent="0.3">
      <c r="J467" s="53"/>
      <c r="L467" s="247"/>
      <c r="N467" s="247"/>
    </row>
    <row r="468" spans="1:14" s="58" customFormat="1" ht="14.5" thickBot="1" x14ac:dyDescent="0.35">
      <c r="A468" s="221"/>
      <c r="J468" s="221"/>
      <c r="L468" s="239">
        <f>SUM(L464:L467)</f>
        <v>0</v>
      </c>
      <c r="M468" s="240"/>
      <c r="N468" s="239">
        <f>SUM(N464:N467)</f>
        <v>0</v>
      </c>
    </row>
    <row r="469" spans="1:14" ht="14.5" thickTop="1" x14ac:dyDescent="0.3">
      <c r="J469" s="53"/>
    </row>
    <row r="470" spans="1:14" x14ac:dyDescent="0.3">
      <c r="A470" s="221" t="str">
        <f>A463&amp;".1"</f>
        <v>24.2.1</v>
      </c>
      <c r="B470" s="28" t="str">
        <f>B464&amp;" include Rs. __________________ ("&amp;Cover!$H$7&amp;": ______________) in respect of staff retirement benefits."</f>
        <v>Salaries and other benefits include Rs. __________________ (2022: ______________) in respect of staff retirement benefits.</v>
      </c>
      <c r="J470" s="53"/>
    </row>
    <row r="471" spans="1:14" x14ac:dyDescent="0.3">
      <c r="J471" s="53"/>
    </row>
    <row r="472" spans="1:14" x14ac:dyDescent="0.3">
      <c r="J472" s="229" t="s">
        <v>68</v>
      </c>
      <c r="L472" s="421" t="str">
        <f>SOFP!$L$5</f>
        <v>2023</v>
      </c>
      <c r="M472" s="422"/>
      <c r="N472" s="421" t="str">
        <f>SOFP!$N$5</f>
        <v>2022</v>
      </c>
    </row>
    <row r="473" spans="1:14" x14ac:dyDescent="0.3">
      <c r="J473" s="229"/>
      <c r="L473" s="423" t="str">
        <f>SOFP!$L$6</f>
        <v>------------- Rupees -------------</v>
      </c>
      <c r="M473" s="424"/>
      <c r="N473" s="424"/>
    </row>
    <row r="474" spans="1:14" x14ac:dyDescent="0.3">
      <c r="B474" s="58"/>
      <c r="J474" s="53"/>
    </row>
    <row r="475" spans="1:14" x14ac:dyDescent="0.3">
      <c r="A475" s="221">
        <f>A463+0.1</f>
        <v>24.300000000000004</v>
      </c>
      <c r="B475" s="58" t="str">
        <f>B421</f>
        <v>Cost of contracts</v>
      </c>
    </row>
    <row r="476" spans="1:14" x14ac:dyDescent="0.3">
      <c r="B476" s="28" t="s">
        <v>209</v>
      </c>
      <c r="J476" s="53"/>
    </row>
    <row r="477" spans="1:14" x14ac:dyDescent="0.3">
      <c r="B477" s="28" t="s">
        <v>211</v>
      </c>
      <c r="J477" s="53"/>
    </row>
    <row r="478" spans="1:14" x14ac:dyDescent="0.3">
      <c r="B478" s="28" t="s">
        <v>210</v>
      </c>
      <c r="J478" s="53"/>
    </row>
    <row r="479" spans="1:14" x14ac:dyDescent="0.3">
      <c r="B479" s="58"/>
      <c r="J479" s="53"/>
    </row>
    <row r="480" spans="1:14" x14ac:dyDescent="0.3">
      <c r="B480" s="28" t="s">
        <v>192</v>
      </c>
      <c r="J480" s="53"/>
      <c r="L480" s="245">
        <f>SUM(L476:L479)</f>
        <v>0</v>
      </c>
      <c r="N480" s="245">
        <f>SUM(N476:N479)</f>
        <v>0</v>
      </c>
    </row>
    <row r="481" spans="1:14" x14ac:dyDescent="0.3">
      <c r="B481" s="28" t="s">
        <v>193</v>
      </c>
      <c r="J481" s="53" t="str">
        <f>A489</f>
        <v>24.3.1</v>
      </c>
      <c r="L481" s="246"/>
      <c r="N481" s="246"/>
    </row>
    <row r="482" spans="1:14" x14ac:dyDescent="0.3">
      <c r="B482" s="28" t="s">
        <v>194</v>
      </c>
      <c r="J482" s="53"/>
      <c r="L482" s="246"/>
      <c r="N482" s="246"/>
    </row>
    <row r="483" spans="1:14" x14ac:dyDescent="0.3">
      <c r="B483" s="28" t="s">
        <v>198</v>
      </c>
      <c r="J483" s="53"/>
      <c r="L483" s="246"/>
      <c r="N483" s="246"/>
    </row>
    <row r="484" spans="1:14" x14ac:dyDescent="0.3">
      <c r="B484" s="28" t="s">
        <v>112</v>
      </c>
      <c r="J484" s="53"/>
      <c r="L484" s="246"/>
      <c r="N484" s="246"/>
    </row>
    <row r="485" spans="1:14" x14ac:dyDescent="0.3">
      <c r="B485" s="28" t="s">
        <v>199</v>
      </c>
      <c r="J485" s="53"/>
      <c r="L485" s="246"/>
      <c r="N485" s="246"/>
    </row>
    <row r="486" spans="1:14" ht="5.15" customHeight="1" x14ac:dyDescent="0.3">
      <c r="J486" s="53"/>
      <c r="L486" s="247"/>
      <c r="N486" s="247"/>
    </row>
    <row r="487" spans="1:14" s="58" customFormat="1" ht="14.5" thickBot="1" x14ac:dyDescent="0.35">
      <c r="A487" s="221"/>
      <c r="J487" s="221"/>
      <c r="L487" s="239">
        <f>SUM(L480:L486)</f>
        <v>0</v>
      </c>
      <c r="M487" s="240"/>
      <c r="N487" s="239">
        <f>SUM(N480:N486)</f>
        <v>0</v>
      </c>
    </row>
    <row r="488" spans="1:14" ht="14.5" thickTop="1" x14ac:dyDescent="0.3"/>
    <row r="489" spans="1:14" x14ac:dyDescent="0.3">
      <c r="A489" s="221" t="str">
        <f>A475&amp;".1"</f>
        <v>24.3.1</v>
      </c>
      <c r="B489" s="28" t="str">
        <f>B481&amp;" include Rs. __________________ ("&amp;Cover!$H$7&amp;": ______________) in respect of staff retirement benefits."</f>
        <v>Salaries, wages and other benefits include Rs. __________________ (2022: ______________) in respect of staff retirement benefits.</v>
      </c>
    </row>
    <row r="496" spans="1:14" x14ac:dyDescent="0.3">
      <c r="J496" s="229" t="s">
        <v>68</v>
      </c>
      <c r="L496" s="421" t="str">
        <f>SOFP!$L$5</f>
        <v>2023</v>
      </c>
      <c r="M496" s="422"/>
      <c r="N496" s="421" t="str">
        <f>SOFP!$N$5</f>
        <v>2022</v>
      </c>
    </row>
    <row r="497" spans="1:14" x14ac:dyDescent="0.3">
      <c r="J497" s="229"/>
      <c r="L497" s="423" t="str">
        <f>SOFP!$L$6</f>
        <v>------------- Rupees -------------</v>
      </c>
      <c r="M497" s="424"/>
      <c r="N497" s="424"/>
    </row>
    <row r="498" spans="1:14" x14ac:dyDescent="0.3">
      <c r="B498" s="58"/>
      <c r="J498" s="53"/>
    </row>
    <row r="499" spans="1:14" x14ac:dyDescent="0.3">
      <c r="A499" s="221">
        <f>A475+0.1</f>
        <v>24.400000000000006</v>
      </c>
      <c r="B499" s="58" t="str">
        <f>B422</f>
        <v>Cost of indenting</v>
      </c>
      <c r="J499" s="53"/>
    </row>
    <row r="500" spans="1:14" x14ac:dyDescent="0.3">
      <c r="B500" s="28" t="s">
        <v>207</v>
      </c>
      <c r="J500" s="53" t="str">
        <f>A506</f>
        <v>24.4.1</v>
      </c>
      <c r="L500" s="245"/>
      <c r="N500" s="245"/>
    </row>
    <row r="501" spans="1:14" x14ac:dyDescent="0.3">
      <c r="B501" s="28" t="s">
        <v>112</v>
      </c>
      <c r="J501" s="53"/>
      <c r="L501" s="246"/>
      <c r="N501" s="246"/>
    </row>
    <row r="502" spans="1:14" x14ac:dyDescent="0.3">
      <c r="B502" s="28" t="s">
        <v>208</v>
      </c>
      <c r="J502" s="53"/>
      <c r="L502" s="246"/>
      <c r="N502" s="246"/>
    </row>
    <row r="503" spans="1:14" ht="5.15" customHeight="1" x14ac:dyDescent="0.3">
      <c r="J503" s="53"/>
      <c r="L503" s="247"/>
      <c r="N503" s="247"/>
    </row>
    <row r="504" spans="1:14" s="58" customFormat="1" ht="14.5" thickBot="1" x14ac:dyDescent="0.35">
      <c r="A504" s="221"/>
      <c r="J504" s="221"/>
      <c r="L504" s="239">
        <f>SUM(L500:L503)</f>
        <v>0</v>
      </c>
      <c r="M504" s="240"/>
      <c r="N504" s="239">
        <f>SUM(N500:N503)</f>
        <v>0</v>
      </c>
    </row>
    <row r="505" spans="1:14" ht="14.5" thickTop="1" x14ac:dyDescent="0.3">
      <c r="J505" s="53"/>
    </row>
    <row r="506" spans="1:14" x14ac:dyDescent="0.3">
      <c r="A506" s="221" t="str">
        <f>A499&amp;".1"</f>
        <v>24.4.1</v>
      </c>
      <c r="B506" s="28" t="str">
        <f>B500&amp;" include Rs. __________________ ("&amp;Cover!$H$7&amp;": ______________) in respect of staff retirement benefits."</f>
        <v>Salaries and other benefits include Rs. __________________ (2022: ______________) in respect of staff retirement benefits.</v>
      </c>
      <c r="J506" s="53"/>
    </row>
    <row r="508" spans="1:14" x14ac:dyDescent="0.3">
      <c r="J508" s="229" t="s">
        <v>68</v>
      </c>
      <c r="L508" s="421" t="str">
        <f>$L$27</f>
        <v>2023</v>
      </c>
      <c r="M508" s="240"/>
      <c r="N508" s="421" t="str">
        <f>$N$27</f>
        <v>2022</v>
      </c>
    </row>
    <row r="509" spans="1:14" x14ac:dyDescent="0.3">
      <c r="J509" s="229"/>
      <c r="L509" s="423" t="str">
        <f>$L$28</f>
        <v>------------- Rupees -------------</v>
      </c>
      <c r="M509" s="424"/>
      <c r="N509" s="424"/>
    </row>
    <row r="510" spans="1:14" x14ac:dyDescent="0.3">
      <c r="B510" s="58"/>
      <c r="J510" s="53"/>
    </row>
    <row r="511" spans="1:14" s="58" customFormat="1" x14ac:dyDescent="0.3">
      <c r="A511" s="221">
        <f>SOPL!J14</f>
        <v>25</v>
      </c>
      <c r="B511" s="58" t="str">
        <f>SOPL!B14</f>
        <v>Distribution costs</v>
      </c>
      <c r="J511" s="269"/>
      <c r="L511" s="240"/>
      <c r="M511" s="240"/>
      <c r="N511" s="240"/>
    </row>
    <row r="512" spans="1:14" x14ac:dyDescent="0.3">
      <c r="L512" s="245"/>
      <c r="N512" s="245"/>
    </row>
    <row r="513" spans="1:14" x14ac:dyDescent="0.3">
      <c r="B513" s="28" t="s">
        <v>193</v>
      </c>
      <c r="J513" s="242">
        <f>A518</f>
        <v>25.1</v>
      </c>
      <c r="L513" s="246"/>
      <c r="N513" s="246"/>
    </row>
    <row r="514" spans="1:14" x14ac:dyDescent="0.3">
      <c r="L514" s="246"/>
      <c r="N514" s="246"/>
    </row>
    <row r="515" spans="1:14" ht="5.15" customHeight="1" x14ac:dyDescent="0.3">
      <c r="L515" s="247"/>
      <c r="N515" s="247"/>
    </row>
    <row r="516" spans="1:14" s="58" customFormat="1" ht="14.5" thickBot="1" x14ac:dyDescent="0.35">
      <c r="A516" s="221"/>
      <c r="J516" s="269"/>
      <c r="L516" s="239">
        <f>SUM(L512:L515)</f>
        <v>0</v>
      </c>
      <c r="M516" s="240"/>
      <c r="N516" s="239">
        <f>SUM(N512:N515)</f>
        <v>0</v>
      </c>
    </row>
    <row r="517" spans="1:14" ht="14.5" thickTop="1" x14ac:dyDescent="0.3"/>
    <row r="518" spans="1:14" x14ac:dyDescent="0.3">
      <c r="A518" s="221">
        <f>A511+0.1</f>
        <v>25.1</v>
      </c>
      <c r="B518" s="28" t="str">
        <f>B513&amp;" include Rs. __________________ ("&amp;Cover!$H$7&amp;": ______________) in respect of staff retirement benefits."</f>
        <v>Salaries, wages and other benefits include Rs. __________________ (2022: ______________) in respect of staff retirement benefits.</v>
      </c>
    </row>
    <row r="520" spans="1:14" x14ac:dyDescent="0.3">
      <c r="J520" s="229" t="s">
        <v>68</v>
      </c>
      <c r="L520" s="421" t="str">
        <f>SOFP!$L$5</f>
        <v>2023</v>
      </c>
      <c r="M520" s="422"/>
      <c r="N520" s="421" t="str">
        <f>SOFP!$N$5</f>
        <v>2022</v>
      </c>
    </row>
    <row r="521" spans="1:14" x14ac:dyDescent="0.3">
      <c r="J521" s="229"/>
      <c r="L521" s="423" t="str">
        <f>SOFP!$L$6</f>
        <v>------------- Rupees -------------</v>
      </c>
      <c r="M521" s="424"/>
      <c r="N521" s="424"/>
    </row>
    <row r="522" spans="1:14" x14ac:dyDescent="0.3">
      <c r="B522" s="58"/>
      <c r="J522" s="53"/>
    </row>
    <row r="523" spans="1:14" s="58" customFormat="1" x14ac:dyDescent="0.3">
      <c r="A523" s="221">
        <f>SOPL!J15</f>
        <v>26</v>
      </c>
      <c r="B523" s="58" t="str">
        <f>SOPL!B15</f>
        <v>Administrative expenses</v>
      </c>
      <c r="J523" s="269"/>
      <c r="L523" s="240"/>
      <c r="M523" s="240"/>
      <c r="N523" s="240"/>
    </row>
    <row r="524" spans="1:14" x14ac:dyDescent="0.3">
      <c r="L524" s="245"/>
      <c r="N524" s="245"/>
    </row>
    <row r="525" spans="1:14" x14ac:dyDescent="0.3">
      <c r="B525" s="28" t="s">
        <v>207</v>
      </c>
      <c r="J525" s="242">
        <f>A533</f>
        <v>26.1</v>
      </c>
      <c r="L525" s="246"/>
      <c r="N525" s="246"/>
    </row>
    <row r="526" spans="1:14" x14ac:dyDescent="0.3">
      <c r="B526" s="28" t="s">
        <v>686</v>
      </c>
      <c r="L526" s="246"/>
      <c r="N526" s="246"/>
    </row>
    <row r="527" spans="1:14" x14ac:dyDescent="0.3">
      <c r="L527" s="246"/>
      <c r="N527" s="246"/>
    </row>
    <row r="528" spans="1:14" x14ac:dyDescent="0.3">
      <c r="B528" s="28" t="s">
        <v>605</v>
      </c>
      <c r="L528" s="246"/>
      <c r="N528" s="246"/>
    </row>
    <row r="529" spans="1:14" x14ac:dyDescent="0.3">
      <c r="B529" s="28" t="s">
        <v>605</v>
      </c>
      <c r="J529" s="242">
        <f>A538</f>
        <v>26.200000000000003</v>
      </c>
      <c r="L529" s="246">
        <f>L552</f>
        <v>0</v>
      </c>
      <c r="N529" s="246"/>
    </row>
    <row r="530" spans="1:14" ht="5.15" customHeight="1" x14ac:dyDescent="0.3">
      <c r="L530" s="247"/>
      <c r="N530" s="247"/>
    </row>
    <row r="531" spans="1:14" s="58" customFormat="1" ht="14.5" thickBot="1" x14ac:dyDescent="0.35">
      <c r="A531" s="221"/>
      <c r="J531" s="269"/>
      <c r="L531" s="239">
        <f>SUM(L524:L530)</f>
        <v>0</v>
      </c>
      <c r="M531" s="240"/>
      <c r="N531" s="239">
        <f>SUM(N524:N530)</f>
        <v>0</v>
      </c>
    </row>
    <row r="532" spans="1:14" ht="14.5" thickTop="1" x14ac:dyDescent="0.3"/>
    <row r="533" spans="1:14" x14ac:dyDescent="0.3">
      <c r="A533" s="221">
        <f>A523+0.1</f>
        <v>26.1</v>
      </c>
      <c r="B533" s="28" t="str">
        <f>B525&amp;" include Rs. __________________ ("&amp;Cover!$H$7&amp;": ______________) in respect of staff retirement benefits."</f>
        <v>Salaries and other benefits include Rs. __________________ (2022: ______________) in respect of staff retirement benefits.</v>
      </c>
    </row>
    <row r="535" spans="1:14" x14ac:dyDescent="0.3">
      <c r="J535" s="229" t="s">
        <v>68</v>
      </c>
      <c r="L535" s="421" t="str">
        <f>SOFP!$L$5</f>
        <v>2023</v>
      </c>
      <c r="M535" s="422"/>
      <c r="N535" s="421" t="str">
        <f>SOFP!$N$5</f>
        <v>2022</v>
      </c>
    </row>
    <row r="536" spans="1:14" x14ac:dyDescent="0.3">
      <c r="J536" s="229"/>
      <c r="L536" s="423" t="str">
        <f>SOFP!$L$6</f>
        <v>------------- Rupees -------------</v>
      </c>
      <c r="M536" s="424"/>
      <c r="N536" s="424"/>
    </row>
    <row r="537" spans="1:14" x14ac:dyDescent="0.3">
      <c r="B537" s="58"/>
      <c r="J537" s="53"/>
    </row>
    <row r="538" spans="1:14" x14ac:dyDescent="0.3">
      <c r="A538" s="221">
        <f>A533+0.1</f>
        <v>26.200000000000003</v>
      </c>
      <c r="B538" s="58" t="str">
        <f>B529</f>
        <v>Auditors' remuneration</v>
      </c>
    </row>
    <row r="539" spans="1:14" ht="5.15" customHeight="1" x14ac:dyDescent="0.3">
      <c r="B539" s="58"/>
    </row>
    <row r="540" spans="1:14" x14ac:dyDescent="0.3">
      <c r="B540" s="58" t="s">
        <v>608</v>
      </c>
    </row>
    <row r="541" spans="1:14" x14ac:dyDescent="0.3">
      <c r="B541" s="28" t="s">
        <v>606</v>
      </c>
      <c r="L541" s="245"/>
      <c r="N541" s="245"/>
    </row>
    <row r="542" spans="1:14" x14ac:dyDescent="0.3">
      <c r="B542" s="28" t="s">
        <v>607</v>
      </c>
      <c r="L542" s="246"/>
      <c r="N542" s="246"/>
    </row>
    <row r="543" spans="1:14" ht="5.15" customHeight="1" x14ac:dyDescent="0.3">
      <c r="L543" s="247"/>
      <c r="N543" s="247"/>
    </row>
    <row r="544" spans="1:14" x14ac:dyDescent="0.3">
      <c r="L544" s="100">
        <f>SUM(L541:L543)</f>
        <v>0</v>
      </c>
      <c r="N544" s="100">
        <f>SUM(N541:N543)</f>
        <v>0</v>
      </c>
    </row>
    <row r="545" spans="1:14" ht="5.15" customHeight="1" x14ac:dyDescent="0.3"/>
    <row r="546" spans="1:14" x14ac:dyDescent="0.3">
      <c r="B546" s="58" t="s">
        <v>609</v>
      </c>
    </row>
    <row r="547" spans="1:14" x14ac:dyDescent="0.3">
      <c r="B547" s="28" t="s">
        <v>610</v>
      </c>
      <c r="L547" s="245"/>
      <c r="N547" s="245"/>
    </row>
    <row r="548" spans="1:14" x14ac:dyDescent="0.3">
      <c r="B548" s="28" t="s">
        <v>611</v>
      </c>
      <c r="L548" s="246"/>
      <c r="N548" s="246"/>
    </row>
    <row r="549" spans="1:14" ht="5.15" customHeight="1" x14ac:dyDescent="0.3">
      <c r="L549" s="247"/>
      <c r="N549" s="247"/>
    </row>
    <row r="550" spans="1:14" x14ac:dyDescent="0.3">
      <c r="L550" s="224">
        <f>SUM(L547:L549)</f>
        <v>0</v>
      </c>
      <c r="N550" s="224">
        <f>SUM(N547:N549)</f>
        <v>0</v>
      </c>
    </row>
    <row r="551" spans="1:14" ht="5.15" customHeight="1" x14ac:dyDescent="0.3">
      <c r="B551" s="58"/>
    </row>
    <row r="552" spans="1:14" ht="14.5" thickBot="1" x14ac:dyDescent="0.35">
      <c r="B552" s="58"/>
      <c r="L552" s="230">
        <f>L544+L550</f>
        <v>0</v>
      </c>
      <c r="N552" s="230">
        <f>N544+N550</f>
        <v>0</v>
      </c>
    </row>
    <row r="553" spans="1:14" ht="14.5" thickTop="1" x14ac:dyDescent="0.3"/>
    <row r="555" spans="1:14" x14ac:dyDescent="0.3">
      <c r="J555" s="229" t="s">
        <v>68</v>
      </c>
      <c r="L555" s="421" t="str">
        <f>SOFP!$L$5</f>
        <v>2023</v>
      </c>
      <c r="M555" s="422"/>
      <c r="N555" s="421" t="str">
        <f>SOFP!$N$5</f>
        <v>2022</v>
      </c>
    </row>
    <row r="556" spans="1:14" x14ac:dyDescent="0.3">
      <c r="J556" s="229"/>
      <c r="L556" s="423" t="str">
        <f>SOFP!$L$6</f>
        <v>------------- Rupees -------------</v>
      </c>
      <c r="M556" s="424"/>
      <c r="N556" s="424"/>
    </row>
    <row r="557" spans="1:14" x14ac:dyDescent="0.3">
      <c r="B557" s="58"/>
      <c r="J557" s="53"/>
    </row>
    <row r="558" spans="1:14" s="58" customFormat="1" x14ac:dyDescent="0.3">
      <c r="A558" s="221">
        <f>SOPL!J16</f>
        <v>27</v>
      </c>
      <c r="B558" s="58" t="str">
        <f>SOPL!B16</f>
        <v>Other operating income / (expenses)</v>
      </c>
      <c r="J558" s="269"/>
      <c r="L558" s="240"/>
      <c r="M558" s="240"/>
      <c r="N558" s="240"/>
    </row>
    <row r="559" spans="1:14" x14ac:dyDescent="0.3">
      <c r="L559" s="245"/>
      <c r="N559" s="245"/>
    </row>
    <row r="560" spans="1:14" x14ac:dyDescent="0.3">
      <c r="L560" s="246"/>
      <c r="N560" s="246"/>
    </row>
    <row r="561" spans="1:14" x14ac:dyDescent="0.3">
      <c r="L561" s="246"/>
      <c r="N561" s="246"/>
    </row>
    <row r="562" spans="1:14" x14ac:dyDescent="0.3">
      <c r="B562" s="28" t="s">
        <v>626</v>
      </c>
      <c r="J562" s="242">
        <f>A566</f>
        <v>27.1</v>
      </c>
      <c r="L562" s="246"/>
      <c r="N562" s="246"/>
    </row>
    <row r="563" spans="1:14" ht="5.15" customHeight="1" x14ac:dyDescent="0.3">
      <c r="L563" s="247"/>
      <c r="N563" s="247"/>
    </row>
    <row r="564" spans="1:14" s="58" customFormat="1" ht="14.5" thickBot="1" x14ac:dyDescent="0.35">
      <c r="A564" s="221"/>
      <c r="J564" s="269"/>
      <c r="L564" s="239">
        <f>SUM(L559:L563)</f>
        <v>0</v>
      </c>
      <c r="M564" s="240"/>
      <c r="N564" s="239">
        <f>SUM(N559:N563)</f>
        <v>0</v>
      </c>
    </row>
    <row r="565" spans="1:14" ht="14.5" thickTop="1" x14ac:dyDescent="0.3"/>
    <row r="566" spans="1:14" x14ac:dyDescent="0.3">
      <c r="A566" s="221">
        <f>A558+0.1</f>
        <v>27.1</v>
      </c>
      <c r="B566" s="58" t="str">
        <f>B562</f>
        <v>Donations</v>
      </c>
    </row>
    <row r="567" spans="1:14" x14ac:dyDescent="0.3">
      <c r="A567" s="221" t="str">
        <f>A566&amp;".1"</f>
        <v>27.1.1</v>
      </c>
      <c r="B567" s="28" t="s">
        <v>807</v>
      </c>
    </row>
    <row r="569" spans="1:14" x14ac:dyDescent="0.3">
      <c r="L569" s="421" t="str">
        <f>SOFP!$L$5</f>
        <v>2023</v>
      </c>
      <c r="M569" s="422"/>
      <c r="N569" s="421" t="str">
        <f>SOFP!$N$5</f>
        <v>2022</v>
      </c>
    </row>
    <row r="570" spans="1:14" x14ac:dyDescent="0.3">
      <c r="L570" s="423" t="str">
        <f>SOFP!$L$6</f>
        <v>------------- Rupees -------------</v>
      </c>
      <c r="M570" s="424"/>
      <c r="N570" s="424"/>
    </row>
    <row r="572" spans="1:14" x14ac:dyDescent="0.3">
      <c r="B572" s="270" t="s">
        <v>627</v>
      </c>
      <c r="L572" s="245"/>
      <c r="N572" s="245"/>
    </row>
    <row r="573" spans="1:14" x14ac:dyDescent="0.3">
      <c r="B573" s="270" t="s">
        <v>628</v>
      </c>
      <c r="L573" s="246"/>
      <c r="N573" s="246"/>
    </row>
    <row r="574" spans="1:14" ht="5.15" customHeight="1" x14ac:dyDescent="0.3">
      <c r="L574" s="247"/>
      <c r="N574" s="247"/>
    </row>
    <row r="575" spans="1:14" ht="14.5" thickBot="1" x14ac:dyDescent="0.35">
      <c r="L575" s="230">
        <f>SUM(L572:L574)</f>
        <v>0</v>
      </c>
      <c r="N575" s="230">
        <f>SUM(N572:N574)</f>
        <v>0</v>
      </c>
    </row>
    <row r="576" spans="1:14" ht="14.5" thickTop="1" x14ac:dyDescent="0.3"/>
    <row r="577" spans="1:14" x14ac:dyDescent="0.3">
      <c r="A577" s="221" t="str">
        <f>A566&amp;".2"</f>
        <v>27.1.2</v>
      </c>
      <c r="B577" s="28" t="s">
        <v>632</v>
      </c>
    </row>
    <row r="579" spans="1:14" x14ac:dyDescent="0.3">
      <c r="B579" s="429" t="s">
        <v>629</v>
      </c>
      <c r="C579" s="430"/>
      <c r="D579" s="430"/>
      <c r="F579" s="431" t="s">
        <v>630</v>
      </c>
      <c r="H579" s="433" t="s">
        <v>631</v>
      </c>
      <c r="I579" s="434"/>
      <c r="J579" s="434"/>
      <c r="L579" s="421" t="str">
        <f>SOFP!$L$5</f>
        <v>2023</v>
      </c>
      <c r="M579" s="422"/>
      <c r="N579" s="421" t="str">
        <f>SOFP!$N$5</f>
        <v>2022</v>
      </c>
    </row>
    <row r="580" spans="1:14" x14ac:dyDescent="0.3">
      <c r="B580" s="430"/>
      <c r="C580" s="430"/>
      <c r="D580" s="430"/>
      <c r="F580" s="432"/>
      <c r="H580" s="434"/>
      <c r="I580" s="434"/>
      <c r="J580" s="434"/>
      <c r="L580" s="423" t="str">
        <f>SOFP!$L$6</f>
        <v>------------- Rupees -------------</v>
      </c>
      <c r="M580" s="424"/>
      <c r="N580" s="424"/>
    </row>
    <row r="582" spans="1:14" x14ac:dyDescent="0.3">
      <c r="B582" s="270" t="s">
        <v>634</v>
      </c>
      <c r="F582" s="28" t="s">
        <v>633</v>
      </c>
    </row>
    <row r="583" spans="1:14" x14ac:dyDescent="0.3">
      <c r="B583" s="270" t="s">
        <v>635</v>
      </c>
      <c r="F583" s="28" t="s">
        <v>636</v>
      </c>
    </row>
    <row r="584" spans="1:14" x14ac:dyDescent="0.3">
      <c r="F584" s="28" t="s">
        <v>70</v>
      </c>
    </row>
    <row r="588" spans="1:14" ht="5.15" customHeight="1" x14ac:dyDescent="0.3"/>
    <row r="589" spans="1:14" ht="14.5" thickBot="1" x14ac:dyDescent="0.35">
      <c r="L589" s="230">
        <f>SUM(L582:L588)</f>
        <v>0</v>
      </c>
      <c r="N589" s="230">
        <f>SUM(N582:N588)</f>
        <v>0</v>
      </c>
    </row>
    <row r="590" spans="1:14" ht="14.5" thickTop="1" x14ac:dyDescent="0.3"/>
    <row r="591" spans="1:14" x14ac:dyDescent="0.3">
      <c r="L591" s="421" t="str">
        <f>SOFP!$L$5</f>
        <v>2023</v>
      </c>
      <c r="M591" s="422"/>
      <c r="N591" s="421" t="str">
        <f>SOFP!$N$5</f>
        <v>2022</v>
      </c>
    </row>
    <row r="592" spans="1:14" x14ac:dyDescent="0.3">
      <c r="L592" s="423" t="str">
        <f>SOFP!$L$6</f>
        <v>------------- Rupees -------------</v>
      </c>
      <c r="M592" s="424"/>
      <c r="N592" s="424"/>
    </row>
    <row r="594" spans="1:14" x14ac:dyDescent="0.3">
      <c r="A594" s="221">
        <f>SOPL!J17</f>
        <v>28</v>
      </c>
      <c r="B594" s="58" t="str">
        <f>SOPL!B17</f>
        <v>Other gains/(losses)</v>
      </c>
    </row>
    <row r="595" spans="1:14" x14ac:dyDescent="0.3">
      <c r="L595" s="245"/>
      <c r="N595" s="245"/>
    </row>
    <row r="596" spans="1:14" x14ac:dyDescent="0.3">
      <c r="L596" s="246"/>
      <c r="N596" s="246"/>
    </row>
    <row r="597" spans="1:14" x14ac:dyDescent="0.3">
      <c r="L597" s="246"/>
      <c r="N597" s="246"/>
    </row>
    <row r="598" spans="1:14" ht="5.15" customHeight="1" x14ac:dyDescent="0.3">
      <c r="L598" s="247"/>
      <c r="N598" s="247"/>
    </row>
    <row r="599" spans="1:14" s="58" customFormat="1" ht="14.5" thickBot="1" x14ac:dyDescent="0.35">
      <c r="A599" s="221"/>
      <c r="J599" s="269"/>
      <c r="L599" s="239">
        <f>SUM(L595:L598)</f>
        <v>0</v>
      </c>
      <c r="M599" s="240"/>
      <c r="N599" s="239">
        <f>SUM(N595:N598)</f>
        <v>0</v>
      </c>
    </row>
    <row r="600" spans="1:14" ht="14.5" thickTop="1" x14ac:dyDescent="0.3"/>
    <row r="601" spans="1:14" x14ac:dyDescent="0.3">
      <c r="A601" s="221">
        <f>SOPL!J23</f>
        <v>29</v>
      </c>
      <c r="B601" s="58" t="str">
        <f>SOPL!B23</f>
        <v>Other income</v>
      </c>
    </row>
    <row r="602" spans="1:14" x14ac:dyDescent="0.3">
      <c r="L602" s="245"/>
      <c r="N602" s="245"/>
    </row>
    <row r="603" spans="1:14" x14ac:dyDescent="0.3">
      <c r="L603" s="246"/>
      <c r="N603" s="246"/>
    </row>
    <row r="604" spans="1:14" x14ac:dyDescent="0.3">
      <c r="L604" s="246"/>
      <c r="N604" s="246"/>
    </row>
    <row r="605" spans="1:14" x14ac:dyDescent="0.3">
      <c r="L605" s="247"/>
      <c r="N605" s="247"/>
    </row>
    <row r="606" spans="1:14" s="58" customFormat="1" ht="14.5" thickBot="1" x14ac:dyDescent="0.35">
      <c r="A606" s="221"/>
      <c r="J606" s="269"/>
      <c r="L606" s="239">
        <f>SUM(L602:L605)</f>
        <v>0</v>
      </c>
      <c r="M606" s="240"/>
      <c r="N606" s="239">
        <f>SUM(N602:N605)</f>
        <v>0</v>
      </c>
    </row>
    <row r="607" spans="1:14" ht="14.5" thickTop="1" x14ac:dyDescent="0.3"/>
    <row r="611" spans="1:14" x14ac:dyDescent="0.3">
      <c r="L611" s="421" t="str">
        <f>SOFP!$L$5</f>
        <v>2023</v>
      </c>
      <c r="M611" s="422"/>
      <c r="N611" s="421" t="str">
        <f>SOFP!$N$5</f>
        <v>2022</v>
      </c>
    </row>
    <row r="612" spans="1:14" x14ac:dyDescent="0.3">
      <c r="L612" s="423" t="str">
        <f>SOFP!$L$6</f>
        <v>------------- Rupees -------------</v>
      </c>
      <c r="M612" s="424"/>
      <c r="N612" s="424"/>
    </row>
    <row r="614" spans="1:14" x14ac:dyDescent="0.3">
      <c r="A614" s="221">
        <f>SOPL!J24</f>
        <v>30</v>
      </c>
      <c r="B614" s="58" t="str">
        <f>SOPL!B24</f>
        <v xml:space="preserve">Finance costs </v>
      </c>
    </row>
    <row r="615" spans="1:14" x14ac:dyDescent="0.3">
      <c r="B615" s="28" t="s">
        <v>696</v>
      </c>
      <c r="L615" s="245"/>
      <c r="N615" s="245"/>
    </row>
    <row r="616" spans="1:14" x14ac:dyDescent="0.3">
      <c r="B616" s="28" t="s">
        <v>665</v>
      </c>
      <c r="L616" s="246"/>
      <c r="N616" s="246"/>
    </row>
    <row r="617" spans="1:14" x14ac:dyDescent="0.3">
      <c r="L617" s="246"/>
      <c r="N617" s="246"/>
    </row>
    <row r="618" spans="1:14" x14ac:dyDescent="0.3">
      <c r="L618" s="247"/>
      <c r="N618" s="247"/>
    </row>
    <row r="619" spans="1:14" s="58" customFormat="1" ht="14.5" thickBot="1" x14ac:dyDescent="0.35">
      <c r="A619" s="221"/>
      <c r="J619" s="269"/>
      <c r="L619" s="239">
        <f>SUM(L615:L618)</f>
        <v>0</v>
      </c>
      <c r="M619" s="240"/>
      <c r="N619" s="239">
        <f>SUM(N615:N618)</f>
        <v>0</v>
      </c>
    </row>
    <row r="620" spans="1:14" ht="14.5" thickTop="1" x14ac:dyDescent="0.3"/>
    <row r="621" spans="1:14" x14ac:dyDescent="0.3">
      <c r="A621" s="221">
        <f>SOPL!J30</f>
        <v>31</v>
      </c>
      <c r="B621" s="58" t="str">
        <f>SOPL!B30</f>
        <v>Taxation</v>
      </c>
    </row>
    <row r="622" spans="1:14" x14ac:dyDescent="0.3">
      <c r="B622" s="28" t="s">
        <v>674</v>
      </c>
      <c r="L622" s="245"/>
      <c r="N622" s="245"/>
    </row>
    <row r="623" spans="1:14" x14ac:dyDescent="0.3">
      <c r="B623" s="244" t="s">
        <v>213</v>
      </c>
      <c r="L623" s="246"/>
      <c r="N623" s="246"/>
    </row>
    <row r="624" spans="1:14" x14ac:dyDescent="0.3">
      <c r="B624" s="244" t="s">
        <v>214</v>
      </c>
      <c r="L624" s="246"/>
      <c r="N624" s="246"/>
    </row>
    <row r="625" spans="1:14" x14ac:dyDescent="0.3">
      <c r="B625" s="28" t="s">
        <v>675</v>
      </c>
      <c r="L625" s="246"/>
      <c r="N625" s="246"/>
    </row>
    <row r="626" spans="1:14" ht="5.15" customHeight="1" x14ac:dyDescent="0.3">
      <c r="L626" s="247"/>
      <c r="N626" s="247"/>
    </row>
    <row r="627" spans="1:14" s="58" customFormat="1" ht="14.5" thickBot="1" x14ac:dyDescent="0.35">
      <c r="A627" s="221"/>
      <c r="J627" s="269"/>
      <c r="L627" s="239">
        <f>SUM(L622:L626)</f>
        <v>0</v>
      </c>
      <c r="M627" s="240"/>
      <c r="N627" s="239">
        <f>SUM(N622:N626)</f>
        <v>0</v>
      </c>
    </row>
    <row r="628" spans="1:14" ht="14.5" thickTop="1" x14ac:dyDescent="0.3"/>
    <row r="629" spans="1:14" x14ac:dyDescent="0.3">
      <c r="A629" s="221">
        <f>A621+0.1</f>
        <v>31.1</v>
      </c>
      <c r="B629" s="58" t="s">
        <v>548</v>
      </c>
    </row>
    <row r="631" spans="1:14" x14ac:dyDescent="0.3">
      <c r="B631" s="28" t="s">
        <v>546</v>
      </c>
    </row>
    <row r="632" spans="1:14" x14ac:dyDescent="0.3">
      <c r="B632" s="28" t="s">
        <v>547</v>
      </c>
    </row>
    <row r="633" spans="1:14" ht="5.15" customHeight="1" x14ac:dyDescent="0.3"/>
    <row r="634" spans="1:14" x14ac:dyDescent="0.3">
      <c r="B634" s="28" t="s">
        <v>557</v>
      </c>
      <c r="L634" s="271">
        <f>ROUND(L631*L632,0)</f>
        <v>0</v>
      </c>
      <c r="N634" s="271">
        <f>ROUND(N631*N632,0)</f>
        <v>0</v>
      </c>
    </row>
    <row r="635" spans="1:14" x14ac:dyDescent="0.3">
      <c r="L635" s="224"/>
      <c r="N635" s="224"/>
    </row>
    <row r="636" spans="1:14" x14ac:dyDescent="0.3">
      <c r="B636" s="28" t="s">
        <v>389</v>
      </c>
      <c r="L636" s="224"/>
      <c r="N636" s="224"/>
    </row>
    <row r="637" spans="1:14" x14ac:dyDescent="0.3">
      <c r="B637" s="272" t="s">
        <v>550</v>
      </c>
      <c r="L637" s="224"/>
      <c r="N637" s="224"/>
    </row>
    <row r="638" spans="1:14" x14ac:dyDescent="0.3">
      <c r="B638" s="272" t="s">
        <v>551</v>
      </c>
      <c r="L638" s="224"/>
      <c r="N638" s="224"/>
    </row>
    <row r="639" spans="1:14" x14ac:dyDescent="0.3">
      <c r="B639" s="272" t="s">
        <v>556</v>
      </c>
    </row>
    <row r="640" spans="1:14" x14ac:dyDescent="0.3">
      <c r="B640" s="272" t="s">
        <v>552</v>
      </c>
    </row>
    <row r="641" spans="1:14" x14ac:dyDescent="0.3">
      <c r="B641" s="272" t="s">
        <v>555</v>
      </c>
    </row>
    <row r="642" spans="1:14" x14ac:dyDescent="0.3">
      <c r="B642" s="272" t="s">
        <v>553</v>
      </c>
    </row>
    <row r="643" spans="1:14" x14ac:dyDescent="0.3">
      <c r="B643" s="272" t="s">
        <v>554</v>
      </c>
    </row>
    <row r="644" spans="1:14" x14ac:dyDescent="0.3">
      <c r="B644" s="272" t="s">
        <v>559</v>
      </c>
    </row>
    <row r="645" spans="1:14" x14ac:dyDescent="0.3">
      <c r="B645" s="272" t="s">
        <v>558</v>
      </c>
    </row>
    <row r="646" spans="1:14" ht="5.15" customHeight="1" x14ac:dyDescent="0.3"/>
    <row r="647" spans="1:14" x14ac:dyDescent="0.3">
      <c r="B647" s="58"/>
      <c r="L647" s="271">
        <f>ROUND(SUM(L637:L646),0)</f>
        <v>0</v>
      </c>
      <c r="N647" s="271">
        <f>ROUND(SUM(N637:N646),0)</f>
        <v>0</v>
      </c>
    </row>
    <row r="649" spans="1:14" ht="14.5" thickBot="1" x14ac:dyDescent="0.35">
      <c r="B649" s="58" t="s">
        <v>549</v>
      </c>
      <c r="L649" s="239">
        <f>L634-L647</f>
        <v>0</v>
      </c>
      <c r="N649" s="239">
        <f>N634-N647</f>
        <v>0</v>
      </c>
    </row>
    <row r="650" spans="1:14" ht="14.5" thickTop="1" x14ac:dyDescent="0.3"/>
    <row r="652" spans="1:14" x14ac:dyDescent="0.3">
      <c r="A652" s="221">
        <f>A621+1</f>
        <v>32</v>
      </c>
      <c r="B652" s="58" t="s">
        <v>339</v>
      </c>
    </row>
    <row r="653" spans="1:14" ht="5.15" customHeight="1" x14ac:dyDescent="0.3"/>
    <row r="654" spans="1:14" x14ac:dyDescent="0.3">
      <c r="B654" s="273" t="s">
        <v>676</v>
      </c>
      <c r="C654" s="222"/>
      <c r="D654" s="222"/>
      <c r="E654" s="222"/>
      <c r="F654" s="222"/>
      <c r="G654" s="222"/>
      <c r="H654" s="222"/>
      <c r="I654" s="222"/>
      <c r="J654" s="222"/>
      <c r="K654" s="222"/>
      <c r="L654" s="222"/>
      <c r="M654" s="222"/>
      <c r="N654" s="222"/>
    </row>
    <row r="655" spans="1:14" x14ac:dyDescent="0.3">
      <c r="B655" s="273"/>
      <c r="C655" s="222"/>
      <c r="D655" s="222"/>
      <c r="E655" s="222"/>
      <c r="F655" s="222"/>
      <c r="G655" s="222"/>
      <c r="H655" s="222"/>
      <c r="I655" s="222"/>
      <c r="J655" s="222"/>
      <c r="K655" s="222"/>
      <c r="L655" s="222"/>
      <c r="M655" s="222"/>
      <c r="N655" s="222"/>
    </row>
    <row r="657" spans="1:14" s="58" customFormat="1" x14ac:dyDescent="0.3">
      <c r="A657" s="221"/>
      <c r="B657" s="58" t="s">
        <v>320</v>
      </c>
      <c r="J657" s="269"/>
      <c r="L657" s="240"/>
      <c r="M657" s="240"/>
      <c r="N657" s="240"/>
    </row>
    <row r="659" spans="1:14" ht="16.5" customHeight="1" x14ac:dyDescent="0.3">
      <c r="B659" s="429" t="s">
        <v>568</v>
      </c>
      <c r="C659" s="430"/>
      <c r="D659" s="430"/>
      <c r="E659" s="430"/>
      <c r="F659" s="430"/>
      <c r="G659" s="274"/>
      <c r="H659" s="429" t="s">
        <v>569</v>
      </c>
      <c r="I659" s="430"/>
      <c r="J659" s="430"/>
      <c r="L659" s="421" t="str">
        <f>SOFP!$L$5</f>
        <v>2023</v>
      </c>
      <c r="M659" s="422"/>
      <c r="N659" s="421" t="str">
        <f>SOFP!$N$5</f>
        <v>2022</v>
      </c>
    </row>
    <row r="660" spans="1:14" x14ac:dyDescent="0.3">
      <c r="B660" s="430"/>
      <c r="C660" s="430"/>
      <c r="D660" s="430"/>
      <c r="E660" s="430"/>
      <c r="F660" s="430"/>
      <c r="G660" s="274"/>
      <c r="H660" s="430"/>
      <c r="I660" s="430"/>
      <c r="J660" s="430"/>
      <c r="L660" s="423" t="str">
        <f>SOFP!$L$6</f>
        <v>------------- Rupees -------------</v>
      </c>
      <c r="M660" s="424"/>
      <c r="N660" s="424"/>
    </row>
    <row r="662" spans="1:14" x14ac:dyDescent="0.3">
      <c r="B662" s="275" t="s">
        <v>808</v>
      </c>
      <c r="C662" s="275"/>
      <c r="D662" s="275"/>
      <c r="E662" s="275"/>
      <c r="F662" s="275"/>
      <c r="H662" s="276" t="s">
        <v>593</v>
      </c>
    </row>
    <row r="663" spans="1:14" x14ac:dyDescent="0.3">
      <c r="B663" s="275"/>
      <c r="C663" s="275"/>
      <c r="D663" s="275"/>
      <c r="E663" s="275"/>
      <c r="F663" s="275"/>
      <c r="H663" s="276" t="s">
        <v>594</v>
      </c>
    </row>
    <row r="664" spans="1:14" x14ac:dyDescent="0.3">
      <c r="B664" s="275"/>
      <c r="C664" s="275"/>
      <c r="D664" s="275"/>
      <c r="E664" s="275"/>
      <c r="F664" s="275"/>
      <c r="H664" s="276" t="s">
        <v>595</v>
      </c>
    </row>
    <row r="665" spans="1:14" x14ac:dyDescent="0.3">
      <c r="B665" s="275"/>
      <c r="C665" s="275"/>
      <c r="D665" s="275"/>
      <c r="E665" s="275"/>
      <c r="F665" s="275"/>
      <c r="H665" s="276" t="s">
        <v>596</v>
      </c>
    </row>
    <row r="666" spans="1:14" ht="5.15" customHeight="1" x14ac:dyDescent="0.3"/>
    <row r="667" spans="1:14" ht="14.5" thickBot="1" x14ac:dyDescent="0.35">
      <c r="L667" s="230">
        <f>SUM(L662:L666)</f>
        <v>0</v>
      </c>
      <c r="N667" s="230">
        <f>SUM(N662:N666)</f>
        <v>0</v>
      </c>
    </row>
    <row r="668" spans="1:14" ht="14.5" thickTop="1" x14ac:dyDescent="0.3"/>
    <row r="670" spans="1:14" x14ac:dyDescent="0.3">
      <c r="B670" s="28" t="s">
        <v>321</v>
      </c>
    </row>
    <row r="672" spans="1:14" x14ac:dyDescent="0.3">
      <c r="A672" s="221">
        <f>A652+0.1</f>
        <v>32.1</v>
      </c>
      <c r="B672" s="58" t="s">
        <v>587</v>
      </c>
    </row>
    <row r="674" spans="1:14" ht="28" x14ac:dyDescent="0.3">
      <c r="F674" s="26" t="s">
        <v>588</v>
      </c>
      <c r="H674" s="26" t="s">
        <v>589</v>
      </c>
      <c r="J674" s="26" t="s">
        <v>590</v>
      </c>
      <c r="L674" s="26" t="s">
        <v>591</v>
      </c>
      <c r="N674" s="26" t="s">
        <v>592</v>
      </c>
    </row>
    <row r="675" spans="1:14" ht="15" customHeight="1" x14ac:dyDescent="0.3">
      <c r="F675" s="429" t="str">
        <f>SOFP!$L$6</f>
        <v>------------- Rupees -------------</v>
      </c>
      <c r="G675" s="430"/>
      <c r="H675" s="430"/>
      <c r="I675" s="430"/>
      <c r="J675" s="430"/>
      <c r="K675" s="430"/>
      <c r="L675" s="430"/>
      <c r="M675" s="430"/>
      <c r="N675" s="430"/>
    </row>
    <row r="676" spans="1:14" ht="5.15" customHeight="1" x14ac:dyDescent="0.3"/>
    <row r="677" spans="1:14" x14ac:dyDescent="0.3">
      <c r="B677" s="58" t="str">
        <f>UPPER(LEFT(Cover!C2,1))&amp;LOWER(MID(Cover!C2,2,5))&amp;PROPER(MID(Cover!C2,7,1000))</f>
        <v>As at June 30, 2023</v>
      </c>
    </row>
    <row r="678" spans="1:14" x14ac:dyDescent="0.3">
      <c r="B678" s="277" t="s">
        <v>597</v>
      </c>
    </row>
    <row r="683" spans="1:14" x14ac:dyDescent="0.3">
      <c r="B683" s="58" t="str">
        <f>UPPER(LEFT(Cover!C2,1))&amp;LOWER(MID(Cover!C2,2,5))&amp;PROPER(MID(Cover!C2,7,11))&amp;RIGHT(Cover!C2,2)-1</f>
        <v>As at June 30, 2022</v>
      </c>
    </row>
    <row r="684" spans="1:14" x14ac:dyDescent="0.3">
      <c r="B684" s="270" t="str">
        <f>B678</f>
        <v>ABC Limited</v>
      </c>
    </row>
    <row r="688" spans="1:14" s="58" customFormat="1" x14ac:dyDescent="0.3">
      <c r="A688" s="221">
        <f>A652+1</f>
        <v>33</v>
      </c>
      <c r="B688" s="58" t="s">
        <v>340</v>
      </c>
      <c r="J688" s="269"/>
      <c r="L688" s="240"/>
      <c r="M688" s="240"/>
      <c r="N688" s="240"/>
    </row>
    <row r="690" spans="2:15" x14ac:dyDescent="0.3">
      <c r="B690" s="273" t="s">
        <v>322</v>
      </c>
      <c r="C690" s="222"/>
      <c r="D690" s="222"/>
      <c r="E690" s="222"/>
      <c r="F690" s="222"/>
      <c r="G690" s="222"/>
      <c r="H690" s="222"/>
      <c r="I690" s="222"/>
      <c r="J690" s="222"/>
      <c r="K690" s="222"/>
      <c r="L690" s="222"/>
      <c r="M690" s="222"/>
      <c r="N690" s="222"/>
    </row>
    <row r="691" spans="2:15" x14ac:dyDescent="0.3">
      <c r="B691" s="273"/>
      <c r="C691" s="222"/>
      <c r="D691" s="222"/>
      <c r="E691" s="222"/>
      <c r="F691" s="222"/>
      <c r="G691" s="222"/>
      <c r="H691" s="222"/>
      <c r="I691" s="222"/>
      <c r="J691" s="222"/>
      <c r="K691" s="222"/>
      <c r="L691" s="222"/>
      <c r="M691" s="222"/>
      <c r="N691" s="222"/>
    </row>
    <row r="693" spans="2:15" x14ac:dyDescent="0.3">
      <c r="H693" s="423" t="s">
        <v>69</v>
      </c>
      <c r="I693" s="424"/>
      <c r="J693" s="424"/>
      <c r="L693" s="423" t="s">
        <v>323</v>
      </c>
      <c r="M693" s="424"/>
      <c r="N693" s="424"/>
    </row>
    <row r="694" spans="2:15" x14ac:dyDescent="0.3">
      <c r="H694" s="421" t="str">
        <f>SOFP!$L$5</f>
        <v>2023</v>
      </c>
      <c r="I694" s="422"/>
      <c r="J694" s="421" t="str">
        <f>SOFP!$N$5</f>
        <v>2022</v>
      </c>
      <c r="L694" s="421" t="str">
        <f>SOFP!$L$5</f>
        <v>2023</v>
      </c>
      <c r="M694" s="422"/>
      <c r="N694" s="421" t="str">
        <f>SOFP!$N$5</f>
        <v>2022</v>
      </c>
    </row>
    <row r="695" spans="2:15" x14ac:dyDescent="0.3">
      <c r="H695" s="423" t="str">
        <f>SOFP!$L$6</f>
        <v>------------- Rupees -------------</v>
      </c>
      <c r="I695" s="424"/>
      <c r="J695" s="424"/>
      <c r="L695" s="423" t="str">
        <f>SOFP!$L$6</f>
        <v>------------- Rupees -------------</v>
      </c>
      <c r="M695" s="424"/>
      <c r="N695" s="424"/>
    </row>
    <row r="697" spans="2:15" x14ac:dyDescent="0.3">
      <c r="B697" s="28" t="s">
        <v>612</v>
      </c>
    </row>
    <row r="698" spans="2:15" x14ac:dyDescent="0.3">
      <c r="B698" s="28" t="s">
        <v>324</v>
      </c>
      <c r="H698" s="100"/>
      <c r="I698" s="100"/>
      <c r="K698" s="100"/>
      <c r="O698" s="100"/>
    </row>
    <row r="699" spans="2:15" x14ac:dyDescent="0.3">
      <c r="B699" s="28" t="s">
        <v>613</v>
      </c>
      <c r="H699" s="100"/>
      <c r="I699" s="100"/>
      <c r="K699" s="100"/>
      <c r="O699" s="100"/>
    </row>
    <row r="700" spans="2:15" x14ac:dyDescent="0.3">
      <c r="B700" s="28" t="s">
        <v>325</v>
      </c>
      <c r="H700" s="100"/>
      <c r="I700" s="100"/>
      <c r="K700" s="100"/>
      <c r="O700" s="100"/>
    </row>
    <row r="701" spans="2:15" x14ac:dyDescent="0.3">
      <c r="B701" s="28" t="s">
        <v>326</v>
      </c>
      <c r="H701" s="100"/>
      <c r="I701" s="100"/>
      <c r="K701" s="100"/>
      <c r="O701" s="100"/>
    </row>
    <row r="702" spans="2:15" x14ac:dyDescent="0.3">
      <c r="B702" s="28" t="s">
        <v>614</v>
      </c>
      <c r="H702" s="100"/>
      <c r="I702" s="100"/>
      <c r="K702" s="100"/>
      <c r="O702" s="100"/>
    </row>
    <row r="703" spans="2:15" ht="5.15" customHeight="1" x14ac:dyDescent="0.3">
      <c r="H703" s="100"/>
      <c r="I703" s="100"/>
      <c r="K703" s="100"/>
      <c r="O703" s="100"/>
    </row>
    <row r="704" spans="2:15" ht="14.5" thickBot="1" x14ac:dyDescent="0.35">
      <c r="H704" s="230">
        <f>SUM(H697:H703)</f>
        <v>0</v>
      </c>
      <c r="I704" s="100"/>
      <c r="J704" s="230">
        <f>SUM(J697:J703)</f>
        <v>0</v>
      </c>
      <c r="K704" s="100"/>
      <c r="L704" s="230">
        <f>SUM(L697:L703)</f>
        <v>0</v>
      </c>
      <c r="N704" s="230">
        <f>SUM(N697:N703)</f>
        <v>0</v>
      </c>
      <c r="O704" s="100"/>
    </row>
    <row r="705" spans="1:14" ht="5.15" customHeight="1" thickTop="1" x14ac:dyDescent="0.3"/>
    <row r="706" spans="1:14" ht="14.5" thickBot="1" x14ac:dyDescent="0.35">
      <c r="B706" s="28" t="s">
        <v>327</v>
      </c>
      <c r="H706" s="278"/>
      <c r="I706" s="53"/>
      <c r="J706" s="279"/>
      <c r="K706" s="53"/>
      <c r="L706" s="279"/>
      <c r="M706" s="242"/>
      <c r="N706" s="279"/>
    </row>
    <row r="707" spans="1:14" ht="14.5" thickTop="1" x14ac:dyDescent="0.3"/>
    <row r="708" spans="1:14" x14ac:dyDescent="0.3">
      <c r="B708" s="28" t="s">
        <v>328</v>
      </c>
    </row>
    <row r="710" spans="1:14" x14ac:dyDescent="0.3">
      <c r="L710" s="421" t="str">
        <f>SOFP!$L$5</f>
        <v>2023</v>
      </c>
      <c r="M710" s="422"/>
      <c r="N710" s="421" t="str">
        <f>SOFP!$N$5</f>
        <v>2022</v>
      </c>
    </row>
    <row r="711" spans="1:14" x14ac:dyDescent="0.3">
      <c r="L711" s="435" t="s">
        <v>341</v>
      </c>
      <c r="M711" s="436"/>
      <c r="N711" s="437"/>
    </row>
    <row r="713" spans="1:14" s="58" customFormat="1" x14ac:dyDescent="0.3">
      <c r="A713" s="221">
        <f>A688+1</f>
        <v>34</v>
      </c>
      <c r="B713" s="58" t="s">
        <v>342</v>
      </c>
      <c r="J713" s="269"/>
      <c r="L713" s="240"/>
      <c r="M713" s="240"/>
      <c r="N713" s="240"/>
    </row>
    <row r="714" spans="1:14" ht="5.15" customHeight="1" x14ac:dyDescent="0.3"/>
    <row r="715" spans="1:14" ht="14.5" thickBot="1" x14ac:dyDescent="0.35">
      <c r="B715" s="28" t="s">
        <v>329</v>
      </c>
      <c r="L715" s="279"/>
      <c r="M715" s="242"/>
      <c r="N715" s="279"/>
    </row>
    <row r="716" spans="1:14" ht="5.15" customHeight="1" thickTop="1" x14ac:dyDescent="0.3">
      <c r="L716" s="242"/>
      <c r="M716" s="242"/>
      <c r="N716" s="242"/>
    </row>
    <row r="717" spans="1:14" ht="14.5" thickBot="1" x14ac:dyDescent="0.35">
      <c r="B717" s="28" t="s">
        <v>330</v>
      </c>
      <c r="L717" s="279"/>
      <c r="M717" s="242"/>
      <c r="N717" s="279"/>
    </row>
    <row r="718" spans="1:14" ht="14.5" thickTop="1" x14ac:dyDescent="0.3"/>
    <row r="728" spans="1:14" s="58" customFormat="1" x14ac:dyDescent="0.3">
      <c r="A728" s="221">
        <f>A713+1</f>
        <v>35</v>
      </c>
      <c r="B728" s="58" t="s">
        <v>343</v>
      </c>
      <c r="J728" s="269"/>
      <c r="L728" s="240"/>
      <c r="M728" s="240"/>
      <c r="N728" s="240"/>
    </row>
    <row r="730" spans="1:14" x14ac:dyDescent="0.3">
      <c r="H730" s="423" t="str">
        <f>SOFP!$L$5</f>
        <v>2023</v>
      </c>
      <c r="I730" s="424"/>
      <c r="J730" s="424"/>
      <c r="L730" s="423" t="str">
        <f>SOFP!$N$5</f>
        <v>2022</v>
      </c>
      <c r="M730" s="424"/>
      <c r="N730" s="424"/>
    </row>
    <row r="731" spans="1:14" ht="28" x14ac:dyDescent="0.3">
      <c r="H731" s="438" t="s">
        <v>331</v>
      </c>
      <c r="I731" s="439"/>
      <c r="J731" s="438" t="s">
        <v>332</v>
      </c>
      <c r="L731" s="438" t="s">
        <v>333</v>
      </c>
      <c r="M731" s="439"/>
      <c r="N731" s="438" t="s">
        <v>332</v>
      </c>
    </row>
    <row r="732" spans="1:14" x14ac:dyDescent="0.3">
      <c r="H732" s="423" t="s">
        <v>334</v>
      </c>
      <c r="I732" s="424"/>
      <c r="J732" s="424"/>
      <c r="K732" s="424"/>
      <c r="L732" s="424"/>
      <c r="M732" s="424"/>
      <c r="N732" s="424"/>
    </row>
    <row r="734" spans="1:14" x14ac:dyDescent="0.3">
      <c r="B734" s="28" t="s">
        <v>567</v>
      </c>
      <c r="H734" s="28">
        <v>2</v>
      </c>
      <c r="J734" s="226">
        <v>1</v>
      </c>
      <c r="L734" s="100">
        <v>4</v>
      </c>
      <c r="N734" s="100">
        <v>3</v>
      </c>
    </row>
    <row r="738" spans="1:18" ht="14.5" thickBot="1" x14ac:dyDescent="0.35">
      <c r="H738" s="230">
        <f>SUM(H734:H737)</f>
        <v>2</v>
      </c>
      <c r="I738" s="100"/>
      <c r="J738" s="230">
        <f>SUM(J734:J737)</f>
        <v>1</v>
      </c>
      <c r="K738" s="100"/>
      <c r="L738" s="230">
        <f>SUM(L734:L737)</f>
        <v>4</v>
      </c>
      <c r="N738" s="230">
        <f>SUM(N734:N737)</f>
        <v>3</v>
      </c>
      <c r="P738" s="280">
        <f>J738/H738</f>
        <v>0.5</v>
      </c>
      <c r="Q738" s="233"/>
      <c r="R738" s="280">
        <f>N738/L738</f>
        <v>0.75</v>
      </c>
    </row>
    <row r="739" spans="1:18" ht="14.5" thickTop="1" x14ac:dyDescent="0.3"/>
    <row r="740" spans="1:18" x14ac:dyDescent="0.3">
      <c r="A740" s="221">
        <f>A728+0.1</f>
        <v>35.1</v>
      </c>
      <c r="B740" s="222" t="str">
        <f>"Total production capacity utilisation is "&amp;TEXT(P738,"##.00%")&amp;" ("&amp;$L$730&amp;": "&amp;TEXT(R738,"##.00%")&amp;" ) of total installed capacity. Actual production is less than the installed capacity due to gap between demand and supply."</f>
        <v>Total production capacity utilisation is 50.00% (2022: 75.00% ) of total installed capacity. Actual production is less than the installed capacity due to gap between demand and supply.</v>
      </c>
      <c r="C740" s="222"/>
      <c r="D740" s="222"/>
      <c r="E740" s="222"/>
      <c r="F740" s="222"/>
      <c r="G740" s="222"/>
      <c r="H740" s="222"/>
      <c r="I740" s="222"/>
      <c r="J740" s="222"/>
      <c r="K740" s="222"/>
      <c r="L740" s="222"/>
      <c r="M740" s="222"/>
      <c r="N740" s="222"/>
    </row>
    <row r="741" spans="1:18" x14ac:dyDescent="0.3">
      <c r="B741" s="222"/>
      <c r="C741" s="222"/>
      <c r="D741" s="222"/>
      <c r="E741" s="222"/>
      <c r="F741" s="222"/>
      <c r="G741" s="222"/>
      <c r="H741" s="222"/>
      <c r="I741" s="222"/>
      <c r="J741" s="222"/>
      <c r="K741" s="222"/>
      <c r="L741" s="222"/>
      <c r="M741" s="222"/>
      <c r="N741" s="222"/>
    </row>
    <row r="743" spans="1:18" s="58" customFormat="1" x14ac:dyDescent="0.3">
      <c r="A743" s="221">
        <f>A728+1</f>
        <v>36</v>
      </c>
      <c r="B743" s="58" t="s">
        <v>344</v>
      </c>
      <c r="J743" s="269"/>
      <c r="L743" s="240"/>
      <c r="M743" s="240"/>
      <c r="N743" s="240"/>
    </row>
    <row r="744" spans="1:18" ht="5.15" customHeight="1" x14ac:dyDescent="0.3"/>
    <row r="745" spans="1:18" x14ac:dyDescent="0.3">
      <c r="B745" s="273" t="s">
        <v>335</v>
      </c>
      <c r="C745" s="222"/>
      <c r="D745" s="222"/>
      <c r="E745" s="222"/>
      <c r="F745" s="222"/>
      <c r="G745" s="222"/>
      <c r="H745" s="222"/>
      <c r="I745" s="222"/>
      <c r="J745" s="222"/>
      <c r="K745" s="222"/>
      <c r="L745" s="222"/>
      <c r="M745" s="222"/>
      <c r="N745" s="222"/>
    </row>
    <row r="746" spans="1:18" x14ac:dyDescent="0.3">
      <c r="B746" s="273"/>
      <c r="C746" s="222"/>
      <c r="D746" s="222"/>
      <c r="E746" s="222"/>
      <c r="F746" s="222"/>
      <c r="G746" s="222"/>
      <c r="H746" s="222"/>
      <c r="I746" s="222"/>
      <c r="J746" s="222"/>
      <c r="K746" s="222"/>
      <c r="L746" s="222"/>
      <c r="M746" s="222"/>
      <c r="N746" s="222"/>
    </row>
    <row r="748" spans="1:18" s="58" customFormat="1" x14ac:dyDescent="0.3">
      <c r="A748" s="221">
        <f>A743+1</f>
        <v>37</v>
      </c>
      <c r="B748" s="58" t="s">
        <v>345</v>
      </c>
      <c r="J748" s="269"/>
      <c r="L748" s="240"/>
      <c r="M748" s="240"/>
      <c r="N748" s="240"/>
    </row>
    <row r="749" spans="1:18" ht="5.15" customHeight="1" x14ac:dyDescent="0.3"/>
    <row r="750" spans="1:18" x14ac:dyDescent="0.3">
      <c r="B750" s="273" t="s">
        <v>809</v>
      </c>
      <c r="C750" s="222"/>
      <c r="D750" s="222"/>
      <c r="E750" s="222"/>
      <c r="F750" s="222"/>
      <c r="G750" s="222"/>
      <c r="H750" s="222"/>
      <c r="I750" s="222"/>
      <c r="J750" s="222"/>
      <c r="K750" s="222"/>
      <c r="L750" s="222"/>
      <c r="M750" s="222"/>
      <c r="N750" s="222"/>
    </row>
    <row r="751" spans="1:18" x14ac:dyDescent="0.3">
      <c r="B751" s="273"/>
      <c r="C751" s="222"/>
      <c r="D751" s="222"/>
      <c r="E751" s="222"/>
      <c r="F751" s="222"/>
      <c r="G751" s="222"/>
      <c r="H751" s="222"/>
      <c r="I751" s="222"/>
      <c r="J751" s="222"/>
      <c r="K751" s="222"/>
      <c r="L751" s="222"/>
      <c r="M751" s="222"/>
      <c r="N751" s="222"/>
    </row>
    <row r="753" spans="1:14" s="58" customFormat="1" x14ac:dyDescent="0.3">
      <c r="A753" s="221">
        <f>A748+1</f>
        <v>38</v>
      </c>
      <c r="B753" s="58" t="s">
        <v>346</v>
      </c>
      <c r="J753" s="269"/>
      <c r="L753" s="240"/>
      <c r="M753" s="240"/>
      <c r="N753" s="240"/>
    </row>
    <row r="754" spans="1:14" ht="5.15" customHeight="1" x14ac:dyDescent="0.3"/>
    <row r="755" spans="1:14" x14ac:dyDescent="0.3">
      <c r="A755" s="281" t="s">
        <v>347</v>
      </c>
      <c r="B755" s="28" t="s">
        <v>336</v>
      </c>
    </row>
    <row r="756" spans="1:14" ht="5.15" customHeight="1" x14ac:dyDescent="0.3">
      <c r="A756" s="281"/>
    </row>
    <row r="757" spans="1:14" ht="15" customHeight="1" x14ac:dyDescent="0.3">
      <c r="A757" s="281" t="s">
        <v>347</v>
      </c>
      <c r="B757" s="233" t="s">
        <v>337</v>
      </c>
      <c r="C757" s="233"/>
      <c r="D757" s="233"/>
      <c r="E757" s="233"/>
      <c r="F757" s="233"/>
      <c r="G757" s="233"/>
      <c r="H757" s="233"/>
      <c r="I757" s="233"/>
      <c r="J757" s="233"/>
      <c r="K757" s="233"/>
      <c r="L757" s="233"/>
      <c r="M757" s="233"/>
      <c r="N757" s="233"/>
    </row>
    <row r="758" spans="1:14" x14ac:dyDescent="0.3">
      <c r="B758" s="233"/>
      <c r="C758" s="233"/>
      <c r="D758" s="233"/>
      <c r="E758" s="233"/>
      <c r="F758" s="233"/>
      <c r="G758" s="233"/>
      <c r="H758" s="233"/>
      <c r="I758" s="233"/>
      <c r="J758" s="233"/>
      <c r="K758" s="233"/>
      <c r="L758" s="233"/>
      <c r="M758" s="233"/>
      <c r="N758" s="233"/>
    </row>
    <row r="764" spans="1:14" s="14" customFormat="1" x14ac:dyDescent="0.35">
      <c r="B764" s="194" t="str">
        <f>SOFP!B69</f>
        <v>Chief Executive</v>
      </c>
      <c r="C764" s="198"/>
      <c r="D764" s="198"/>
      <c r="E764" s="440"/>
      <c r="F764" s="440"/>
      <c r="L764" s="433" t="str">
        <f>SOFP!L69</f>
        <v>Director</v>
      </c>
      <c r="M764" s="434"/>
      <c r="N764" s="434"/>
    </row>
  </sheetData>
  <mergeCells count="90">
    <mergeCell ref="B311:N314"/>
    <mergeCell ref="B116:N120"/>
    <mergeCell ref="J460:J461"/>
    <mergeCell ref="L461:N461"/>
    <mergeCell ref="J318:J319"/>
    <mergeCell ref="L319:N319"/>
    <mergeCell ref="B295:N298"/>
    <mergeCell ref="J122:J123"/>
    <mergeCell ref="L123:N123"/>
    <mergeCell ref="J472:J473"/>
    <mergeCell ref="L473:N473"/>
    <mergeCell ref="J442:J443"/>
    <mergeCell ref="L443:N443"/>
    <mergeCell ref="B350:N352"/>
    <mergeCell ref="B357:N360"/>
    <mergeCell ref="B362:N365"/>
    <mergeCell ref="B367:N370"/>
    <mergeCell ref="J555:J556"/>
    <mergeCell ref="L556:N556"/>
    <mergeCell ref="L592:N592"/>
    <mergeCell ref="J496:J497"/>
    <mergeCell ref="L497:N497"/>
    <mergeCell ref="J508:J509"/>
    <mergeCell ref="L509:N509"/>
    <mergeCell ref="J520:J521"/>
    <mergeCell ref="L521:N521"/>
    <mergeCell ref="J535:J536"/>
    <mergeCell ref="L536:N536"/>
    <mergeCell ref="B740:N741"/>
    <mergeCell ref="H659:J660"/>
    <mergeCell ref="L396:N396"/>
    <mergeCell ref="B372:N375"/>
    <mergeCell ref="B379:N382"/>
    <mergeCell ref="B385:N388"/>
    <mergeCell ref="B390:N393"/>
    <mergeCell ref="J395:J396"/>
    <mergeCell ref="L730:N730"/>
    <mergeCell ref="H732:N732"/>
    <mergeCell ref="B690:N691"/>
    <mergeCell ref="H695:J695"/>
    <mergeCell ref="L695:N695"/>
    <mergeCell ref="L693:N693"/>
    <mergeCell ref="H693:J693"/>
    <mergeCell ref="B654:N655"/>
    <mergeCell ref="J27:J28"/>
    <mergeCell ref="J241:J242"/>
    <mergeCell ref="J255:J256"/>
    <mergeCell ref="J47:N47"/>
    <mergeCell ref="L271:N271"/>
    <mergeCell ref="H218:J218"/>
    <mergeCell ref="L242:N242"/>
    <mergeCell ref="B250:N253"/>
    <mergeCell ref="B264:N267"/>
    <mergeCell ref="L256:N256"/>
    <mergeCell ref="J270:J271"/>
    <mergeCell ref="L218:N218"/>
    <mergeCell ref="J60:J61"/>
    <mergeCell ref="L61:N61"/>
    <mergeCell ref="J82:J83"/>
    <mergeCell ref="L83:N83"/>
    <mergeCell ref="B5:N6"/>
    <mergeCell ref="B8:D9"/>
    <mergeCell ref="N8:N9"/>
    <mergeCell ref="H8:J9"/>
    <mergeCell ref="F8:F9"/>
    <mergeCell ref="L8:L9"/>
    <mergeCell ref="B745:N746"/>
    <mergeCell ref="B750:N751"/>
    <mergeCell ref="B764:D764"/>
    <mergeCell ref="L764:N764"/>
    <mergeCell ref="B22:N25"/>
    <mergeCell ref="B37:N38"/>
    <mergeCell ref="B40:N41"/>
    <mergeCell ref="B43:N44"/>
    <mergeCell ref="L28:N28"/>
    <mergeCell ref="F675:N675"/>
    <mergeCell ref="B662:F665"/>
    <mergeCell ref="F217:F218"/>
    <mergeCell ref="B337:N338"/>
    <mergeCell ref="B340:N341"/>
    <mergeCell ref="L711:N711"/>
    <mergeCell ref="H730:J730"/>
    <mergeCell ref="L660:N660"/>
    <mergeCell ref="B659:F660"/>
    <mergeCell ref="L570:N570"/>
    <mergeCell ref="L580:N580"/>
    <mergeCell ref="H579:J580"/>
    <mergeCell ref="F579:F580"/>
    <mergeCell ref="B579:D580"/>
    <mergeCell ref="L612:N612"/>
  </mergeCells>
  <pageMargins left="0.7" right="0.7" top="0.75" bottom="0.75" header="0.3" footer="0.3"/>
  <pageSetup scale="8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applyStyles="1"/>
  </sheetPr>
  <dimension ref="A1:AC2583"/>
  <sheetViews>
    <sheetView topLeftCell="A7" zoomScaleNormal="100" zoomScaleSheetLayoutView="100" workbookViewId="0">
      <selection activeCell="D1" sqref="A1:XFD3"/>
    </sheetView>
  </sheetViews>
  <sheetFormatPr defaultColWidth="0" defaultRowHeight="14" zeroHeight="1" x14ac:dyDescent="0.3"/>
  <cols>
    <col min="1" max="1" width="0.7265625" style="101" customWidth="1"/>
    <col min="2" max="2" width="79.54296875" style="28" bestFit="1" customWidth="1"/>
    <col min="3" max="3" width="0.7265625" style="28" customWidth="1"/>
    <col min="4" max="9" width="16.1796875" style="28" customWidth="1"/>
    <col min="10" max="10" width="1" style="28" customWidth="1"/>
    <col min="11" max="26" width="9.1796875" style="28" customWidth="1"/>
    <col min="27" max="29" width="0" style="28" hidden="1" customWidth="1"/>
    <col min="30" max="16384" width="9.1796875" style="28" hidden="1"/>
  </cols>
  <sheetData>
    <row r="1" spans="2:9" s="363" customFormat="1" ht="15.5" x14ac:dyDescent="0.35">
      <c r="B1" s="363" t="str">
        <f>Cover!C1</f>
        <v>ABC LIMITED</v>
      </c>
      <c r="H1" s="370"/>
      <c r="I1" s="371"/>
    </row>
    <row r="2" spans="2:9" s="363" customFormat="1" ht="15.5" x14ac:dyDescent="0.35">
      <c r="B2" s="363" t="s">
        <v>298</v>
      </c>
      <c r="H2" s="370"/>
      <c r="I2" s="371"/>
    </row>
    <row r="3" spans="2:9" s="383" customFormat="1" ht="16" thickBot="1" x14ac:dyDescent="0.4">
      <c r="B3" s="383" t="str">
        <f>Cover!C3</f>
        <v>FOR THE YEAR ENDED JUNE 30, 2023</v>
      </c>
      <c r="H3" s="390"/>
      <c r="I3" s="391"/>
    </row>
    <row r="4" spans="2:9" ht="14.5" thickTop="1" x14ac:dyDescent="0.3">
      <c r="H4" s="209"/>
      <c r="I4" s="210"/>
    </row>
    <row r="5" spans="2:9" x14ac:dyDescent="0.3">
      <c r="E5" s="211">
        <f>D6-E6</f>
        <v>0</v>
      </c>
      <c r="G5" s="211">
        <f>F6-G6</f>
        <v>0</v>
      </c>
      <c r="H5" s="209"/>
      <c r="I5" s="211">
        <f>H6-I6</f>
        <v>0</v>
      </c>
    </row>
    <row r="6" spans="2:9" x14ac:dyDescent="0.3">
      <c r="D6" s="211">
        <f t="shared" ref="D6:I6" si="0">D306</f>
        <v>0</v>
      </c>
      <c r="E6" s="211">
        <f t="shared" si="0"/>
        <v>0</v>
      </c>
      <c r="F6" s="211">
        <f t="shared" si="0"/>
        <v>0</v>
      </c>
      <c r="G6" s="211">
        <f t="shared" si="0"/>
        <v>0</v>
      </c>
      <c r="H6" s="211">
        <f t="shared" si="0"/>
        <v>0</v>
      </c>
      <c r="I6" s="211">
        <f t="shared" si="0"/>
        <v>0</v>
      </c>
    </row>
    <row r="7" spans="2:9" x14ac:dyDescent="0.3">
      <c r="D7" s="211"/>
      <c r="E7" s="211"/>
      <c r="F7" s="211"/>
      <c r="G7" s="211"/>
      <c r="H7" s="211"/>
      <c r="I7" s="211"/>
    </row>
    <row r="8" spans="2:9" s="1" customFormat="1" x14ac:dyDescent="0.35">
      <c r="B8" s="194" t="s">
        <v>380</v>
      </c>
      <c r="C8" s="194"/>
      <c r="D8" s="196" t="s">
        <v>290</v>
      </c>
      <c r="E8" s="197"/>
      <c r="F8" s="196" t="s">
        <v>540</v>
      </c>
      <c r="G8" s="197"/>
      <c r="H8" s="196" t="s">
        <v>295</v>
      </c>
      <c r="I8" s="197"/>
    </row>
    <row r="9" spans="2:9" s="5" customFormat="1" x14ac:dyDescent="0.35">
      <c r="B9" s="198"/>
      <c r="C9" s="198"/>
      <c r="D9" s="199" t="s">
        <v>291</v>
      </c>
      <c r="E9" s="199" t="s">
        <v>292</v>
      </c>
      <c r="F9" s="199" t="s">
        <v>291</v>
      </c>
      <c r="G9" s="199" t="s">
        <v>292</v>
      </c>
      <c r="H9" s="199" t="s">
        <v>291</v>
      </c>
      <c r="I9" s="199" t="s">
        <v>292</v>
      </c>
    </row>
    <row r="10" spans="2:9" s="202" customFormat="1" x14ac:dyDescent="0.35">
      <c r="B10" s="117" t="s">
        <v>395</v>
      </c>
      <c r="C10" s="117"/>
      <c r="D10" s="200"/>
      <c r="E10" s="200"/>
      <c r="F10" s="200"/>
      <c r="G10" s="200"/>
      <c r="H10" s="212"/>
      <c r="I10" s="213"/>
    </row>
    <row r="11" spans="2:9" s="202" customFormat="1" x14ac:dyDescent="0.35">
      <c r="B11" s="136" t="s">
        <v>13</v>
      </c>
      <c r="C11" s="117"/>
      <c r="D11" s="200">
        <f>SUMIF(ATB!D:D,CS!B:B,ATB!F:F)</f>
        <v>0</v>
      </c>
      <c r="E11" s="200">
        <f>SUMIF(ATB!D:D,CS!B:B,ATB!G:G)</f>
        <v>0</v>
      </c>
      <c r="F11" s="200">
        <f>SUMIF(ATB!D:D,CS!B:B,ATB!H:H)+SUMIF(ATB!D:D,CS!B:B,ATB!J:J)</f>
        <v>0</v>
      </c>
      <c r="G11" s="200">
        <f>SUMIF(ATB!D:D,CS!B:B,ATB!I:I)+SUMIF(ATB!D:D,CS!B:B,ATB!K:K)</f>
        <v>0</v>
      </c>
      <c r="H11" s="212">
        <f>SUMIF(ATB!D:D,CS!B:B,ATB!L:L)</f>
        <v>0</v>
      </c>
      <c r="I11" s="213">
        <f>SUMIF(ATB!D:D,CS!B:B,ATB!M:M)</f>
        <v>0</v>
      </c>
    </row>
    <row r="12" spans="2:9" s="202" customFormat="1" x14ac:dyDescent="0.35">
      <c r="B12" s="207" t="s">
        <v>35</v>
      </c>
      <c r="C12" s="117"/>
      <c r="D12" s="200">
        <f>SUMIF(ATB!D:D,CS!B:B,ATB!F:F)</f>
        <v>0</v>
      </c>
      <c r="E12" s="200">
        <f>SUMIF(ATB!D:D,CS!B:B,ATB!G:G)</f>
        <v>0</v>
      </c>
      <c r="F12" s="200">
        <f>SUMIF(ATB!D:D,CS!B:B,ATB!H:H)+SUMIF(ATB!D:D,CS!B:B,ATB!J:J)</f>
        <v>0</v>
      </c>
      <c r="G12" s="200">
        <f>SUMIF(ATB!D:D,CS!B:B,ATB!I:I)+SUMIF(ATB!D:D,CS!B:B,ATB!K:K)</f>
        <v>0</v>
      </c>
      <c r="H12" s="212">
        <f>SUMIF(ATB!D:D,CS!B:B,ATB!L:L)</f>
        <v>0</v>
      </c>
      <c r="I12" s="213">
        <f>SUMIF(ATB!D:D,CS!B:B,ATB!M:M)</f>
        <v>0</v>
      </c>
    </row>
    <row r="13" spans="2:9" s="202" customFormat="1" x14ac:dyDescent="0.35">
      <c r="B13" s="214" t="s">
        <v>14</v>
      </c>
      <c r="C13" s="117"/>
      <c r="D13" s="200">
        <f>SUMIF(ATB!D:D,CS!B:B,ATB!F:F)</f>
        <v>0</v>
      </c>
      <c r="E13" s="200">
        <f>SUMIF(ATB!D:D,CS!B:B,ATB!G:G)</f>
        <v>0</v>
      </c>
      <c r="F13" s="200">
        <f>SUMIF(ATB!D:D,CS!B:B,ATB!H:H)+SUMIF(ATB!D:D,CS!B:B,ATB!J:J)</f>
        <v>0</v>
      </c>
      <c r="G13" s="200">
        <f>SUMIF(ATB!D:D,CS!B:B,ATB!I:I)+SUMIF(ATB!D:D,CS!B:B,ATB!K:K)</f>
        <v>0</v>
      </c>
      <c r="H13" s="212">
        <f>SUMIF(ATB!D:D,CS!B:B,ATB!L:L)</f>
        <v>0</v>
      </c>
      <c r="I13" s="213">
        <f>SUMIF(ATB!D:D,CS!B:B,ATB!M:M)</f>
        <v>0</v>
      </c>
    </row>
    <row r="14" spans="2:9" s="202" customFormat="1" x14ac:dyDescent="0.35">
      <c r="B14" s="215" t="s">
        <v>311</v>
      </c>
      <c r="C14" s="117"/>
      <c r="D14" s="200">
        <f>SUMIF(ATB!D:D,CS!B:B,ATB!F:F)</f>
        <v>0</v>
      </c>
      <c r="E14" s="200">
        <f>SUMIF(ATB!D:D,CS!B:B,ATB!G:G)</f>
        <v>0</v>
      </c>
      <c r="F14" s="200">
        <f>SUMIF(ATB!D:D,CS!B:B,ATB!H:H)+SUMIF(ATB!D:D,CS!B:B,ATB!J:J)</f>
        <v>0</v>
      </c>
      <c r="G14" s="200">
        <f>SUMIF(ATB!D:D,CS!B:B,ATB!I:I)+SUMIF(ATB!D:D,CS!B:B,ATB!K:K)</f>
        <v>0</v>
      </c>
      <c r="H14" s="212">
        <f>SUMIF(ATB!D:D,CS!B:B,ATB!L:L)</f>
        <v>0</v>
      </c>
      <c r="I14" s="213">
        <f>SUMIF(ATB!D:D,CS!B:B,ATB!M:M)</f>
        <v>0</v>
      </c>
    </row>
    <row r="15" spans="2:9" s="202" customFormat="1" x14ac:dyDescent="0.35">
      <c r="B15" s="215" t="s">
        <v>312</v>
      </c>
      <c r="C15" s="117"/>
      <c r="D15" s="200">
        <f>SUMIF(ATB!D:D,CS!B:B,ATB!F:F)</f>
        <v>0</v>
      </c>
      <c r="E15" s="200">
        <f>SUMIF(ATB!D:D,CS!B:B,ATB!G:G)</f>
        <v>0</v>
      </c>
      <c r="F15" s="200">
        <f>SUMIF(ATB!D:D,CS!B:B,ATB!H:H)+SUMIF(ATB!D:D,CS!B:B,ATB!J:J)</f>
        <v>0</v>
      </c>
      <c r="G15" s="200">
        <f>SUMIF(ATB!D:D,CS!B:B,ATB!I:I)+SUMIF(ATB!D:D,CS!B:B,ATB!K:K)</f>
        <v>0</v>
      </c>
      <c r="H15" s="212">
        <f>SUMIF(ATB!D:D,CS!B:B,ATB!L:L)</f>
        <v>0</v>
      </c>
      <c r="I15" s="213">
        <f>SUMIF(ATB!D:D,CS!B:B,ATB!M:M)</f>
        <v>0</v>
      </c>
    </row>
    <row r="16" spans="2:9" s="202" customFormat="1" x14ac:dyDescent="0.35">
      <c r="B16" s="215" t="s">
        <v>313</v>
      </c>
      <c r="C16" s="117"/>
      <c r="D16" s="200">
        <f>SUMIF(ATB!D:D,CS!B:B,ATB!F:F)</f>
        <v>0</v>
      </c>
      <c r="E16" s="200">
        <f>SUMIF(ATB!D:D,CS!B:B,ATB!G:G)</f>
        <v>0</v>
      </c>
      <c r="F16" s="200">
        <f>SUMIF(ATB!D:D,CS!B:B,ATB!H:H)+SUMIF(ATB!D:D,CS!B:B,ATB!J:J)</f>
        <v>0</v>
      </c>
      <c r="G16" s="200">
        <f>SUMIF(ATB!D:D,CS!B:B,ATB!I:I)+SUMIF(ATB!D:D,CS!B:B,ATB!K:K)</f>
        <v>0</v>
      </c>
      <c r="H16" s="212">
        <f>SUMIF(ATB!D:D,CS!B:B,ATB!L:L)</f>
        <v>0</v>
      </c>
      <c r="I16" s="213">
        <f>SUMIF(ATB!D:D,CS!B:B,ATB!M:M)</f>
        <v>0</v>
      </c>
    </row>
    <row r="17" spans="2:9" s="202" customFormat="1" x14ac:dyDescent="0.35">
      <c r="B17" s="215" t="s">
        <v>314</v>
      </c>
      <c r="C17" s="117"/>
      <c r="D17" s="200">
        <f>SUMIF(ATB!D:D,CS!B:B,ATB!F:F)</f>
        <v>0</v>
      </c>
      <c r="E17" s="200">
        <f>SUMIF(ATB!D:D,CS!B:B,ATB!G:G)</f>
        <v>0</v>
      </c>
      <c r="F17" s="200">
        <f>SUMIF(ATB!D:D,CS!B:B,ATB!H:H)+SUMIF(ATB!D:D,CS!B:B,ATB!J:J)</f>
        <v>0</v>
      </c>
      <c r="G17" s="200">
        <f>SUMIF(ATB!D:D,CS!B:B,ATB!I:I)+SUMIF(ATB!D:D,CS!B:B,ATB!K:K)</f>
        <v>0</v>
      </c>
      <c r="H17" s="212">
        <f>SUMIF(ATB!D:D,CS!B:B,ATB!L:L)</f>
        <v>0</v>
      </c>
      <c r="I17" s="213">
        <f>SUMIF(ATB!D:D,CS!B:B,ATB!M:M)</f>
        <v>0</v>
      </c>
    </row>
    <row r="18" spans="2:9" s="202" customFormat="1" x14ac:dyDescent="0.35">
      <c r="B18" s="215" t="s">
        <v>315</v>
      </c>
      <c r="C18" s="117"/>
      <c r="D18" s="200">
        <f>SUMIF(ATB!D:D,CS!B:B,ATB!F:F)</f>
        <v>0</v>
      </c>
      <c r="E18" s="200">
        <f>SUMIF(ATB!D:D,CS!B:B,ATB!G:G)</f>
        <v>0</v>
      </c>
      <c r="F18" s="200">
        <f>SUMIF(ATB!D:D,CS!B:B,ATB!H:H)+SUMIF(ATB!D:D,CS!B:B,ATB!J:J)</f>
        <v>0</v>
      </c>
      <c r="G18" s="200">
        <f>SUMIF(ATB!D:D,CS!B:B,ATB!I:I)+SUMIF(ATB!D:D,CS!B:B,ATB!K:K)</f>
        <v>0</v>
      </c>
      <c r="H18" s="212">
        <f>SUMIF(ATB!D:D,CS!B:B,ATB!L:L)</f>
        <v>0</v>
      </c>
      <c r="I18" s="213">
        <f>SUMIF(ATB!D:D,CS!B:B,ATB!M:M)</f>
        <v>0</v>
      </c>
    </row>
    <row r="19" spans="2:9" s="202" customFormat="1" x14ac:dyDescent="0.35">
      <c r="B19" s="215" t="s">
        <v>280</v>
      </c>
      <c r="C19" s="117"/>
      <c r="D19" s="200">
        <f>SUMIF(ATB!D:D,CS!B:B,ATB!F:F)</f>
        <v>0</v>
      </c>
      <c r="E19" s="200">
        <f>SUMIF(ATB!D:D,CS!B:B,ATB!G:G)</f>
        <v>0</v>
      </c>
      <c r="F19" s="200">
        <f>SUMIF(ATB!D:D,CS!B:B,ATB!H:H)+SUMIF(ATB!D:D,CS!B:B,ATB!J:J)</f>
        <v>0</v>
      </c>
      <c r="G19" s="200">
        <f>SUMIF(ATB!D:D,CS!B:B,ATB!I:I)+SUMIF(ATB!D:D,CS!B:B,ATB!K:K)</f>
        <v>0</v>
      </c>
      <c r="H19" s="212">
        <f>SUMIF(ATB!D:D,CS!B:B,ATB!L:L)</f>
        <v>0</v>
      </c>
      <c r="I19" s="213">
        <f>SUMIF(ATB!D:D,CS!B:B,ATB!M:M)</f>
        <v>0</v>
      </c>
    </row>
    <row r="20" spans="2:9" s="202" customFormat="1" x14ac:dyDescent="0.35">
      <c r="B20" s="215" t="s">
        <v>316</v>
      </c>
      <c r="C20" s="117"/>
      <c r="D20" s="200">
        <f>SUMIF(ATB!D:D,CS!B:B,ATB!F:F)</f>
        <v>0</v>
      </c>
      <c r="E20" s="200">
        <f>SUMIF(ATB!D:D,CS!B:B,ATB!G:G)</f>
        <v>0</v>
      </c>
      <c r="F20" s="200">
        <f>SUMIF(ATB!D:D,CS!B:B,ATB!H:H)+SUMIF(ATB!D:D,CS!B:B,ATB!J:J)</f>
        <v>0</v>
      </c>
      <c r="G20" s="200">
        <f>SUMIF(ATB!D:D,CS!B:B,ATB!I:I)+SUMIF(ATB!D:D,CS!B:B,ATB!K:K)</f>
        <v>0</v>
      </c>
      <c r="H20" s="212">
        <f>SUMIF(ATB!D:D,CS!B:B,ATB!L:L)</f>
        <v>0</v>
      </c>
      <c r="I20" s="213">
        <f>SUMIF(ATB!D:D,CS!B:B,ATB!M:M)</f>
        <v>0</v>
      </c>
    </row>
    <row r="21" spans="2:9" s="202" customFormat="1" x14ac:dyDescent="0.35">
      <c r="B21" s="215" t="s">
        <v>317</v>
      </c>
      <c r="C21" s="117"/>
      <c r="D21" s="200">
        <f>SUMIF(ATB!D:D,CS!B:B,ATB!F:F)</f>
        <v>0</v>
      </c>
      <c r="E21" s="200">
        <f>SUMIF(ATB!D:D,CS!B:B,ATB!G:G)</f>
        <v>0</v>
      </c>
      <c r="F21" s="200">
        <f>SUMIF(ATB!D:D,CS!B:B,ATB!H:H)+SUMIF(ATB!D:D,CS!B:B,ATB!J:J)</f>
        <v>0</v>
      </c>
      <c r="G21" s="200">
        <f>SUMIF(ATB!D:D,CS!B:B,ATB!I:I)+SUMIF(ATB!D:D,CS!B:B,ATB!K:K)</f>
        <v>0</v>
      </c>
      <c r="H21" s="212">
        <f>SUMIF(ATB!D:D,CS!B:B,ATB!L:L)</f>
        <v>0</v>
      </c>
      <c r="I21" s="213">
        <f>SUMIF(ATB!D:D,CS!B:B,ATB!M:M)</f>
        <v>0</v>
      </c>
    </row>
    <row r="22" spans="2:9" s="202" customFormat="1" x14ac:dyDescent="0.35">
      <c r="B22" s="215" t="s">
        <v>318</v>
      </c>
      <c r="C22" s="117"/>
      <c r="D22" s="200">
        <f>SUMIF(ATB!D:D,CS!B:B,ATB!F:F)</f>
        <v>0</v>
      </c>
      <c r="E22" s="200">
        <f>SUMIF(ATB!D:D,CS!B:B,ATB!G:G)</f>
        <v>0</v>
      </c>
      <c r="F22" s="200">
        <f>SUMIF(ATB!D:D,CS!B:B,ATB!H:H)+SUMIF(ATB!D:D,CS!B:B,ATB!J:J)</f>
        <v>0</v>
      </c>
      <c r="G22" s="200">
        <f>SUMIF(ATB!D:D,CS!B:B,ATB!I:I)+SUMIF(ATB!D:D,CS!B:B,ATB!K:K)</f>
        <v>0</v>
      </c>
      <c r="H22" s="212">
        <f>SUMIF(ATB!D:D,CS!B:B,ATB!L:L)</f>
        <v>0</v>
      </c>
      <c r="I22" s="213">
        <f>SUMIF(ATB!D:D,CS!B:B,ATB!M:M)</f>
        <v>0</v>
      </c>
    </row>
    <row r="23" spans="2:9" s="202" customFormat="1" x14ac:dyDescent="0.35">
      <c r="B23" s="215"/>
      <c r="C23" s="117"/>
      <c r="D23" s="200">
        <f>SUMIF(ATB!D:D,CS!B:B,ATB!F:F)</f>
        <v>0</v>
      </c>
      <c r="E23" s="200">
        <f>SUMIF(ATB!D:D,CS!B:B,ATB!G:G)</f>
        <v>0</v>
      </c>
      <c r="F23" s="200">
        <f>SUMIF(ATB!D:D,CS!B:B,ATB!H:H)+SUMIF(ATB!D:D,CS!B:B,ATB!J:J)</f>
        <v>0</v>
      </c>
      <c r="G23" s="200">
        <f>SUMIF(ATB!D:D,CS!B:B,ATB!I:I)+SUMIF(ATB!D:D,CS!B:B,ATB!K:K)</f>
        <v>0</v>
      </c>
      <c r="H23" s="212">
        <f>SUMIF(ATB!D:D,CS!B:B,ATB!L:L)</f>
        <v>0</v>
      </c>
      <c r="I23" s="213">
        <f>SUMIF(ATB!D:D,CS!B:B,ATB!M:M)</f>
        <v>0</v>
      </c>
    </row>
    <row r="24" spans="2:9" s="202" customFormat="1" x14ac:dyDescent="0.35">
      <c r="B24" s="214" t="s">
        <v>15</v>
      </c>
      <c r="C24" s="117"/>
      <c r="D24" s="200">
        <f>SUMIF(ATB!D:D,CS!B:B,ATB!F:F)</f>
        <v>0</v>
      </c>
      <c r="E24" s="200">
        <f>SUMIF(ATB!D:D,CS!B:B,ATB!G:G)</f>
        <v>0</v>
      </c>
      <c r="F24" s="200">
        <f>SUMIF(ATB!D:D,CS!B:B,ATB!H:H)+SUMIF(ATB!D:D,CS!B:B,ATB!J:J)</f>
        <v>0</v>
      </c>
      <c r="G24" s="200">
        <f>SUMIF(ATB!D:D,CS!B:B,ATB!I:I)+SUMIF(ATB!D:D,CS!B:B,ATB!K:K)</f>
        <v>0</v>
      </c>
      <c r="H24" s="212">
        <f>SUMIF(ATB!D:D,CS!B:B,ATB!L:L)</f>
        <v>0</v>
      </c>
      <c r="I24" s="213">
        <f>SUMIF(ATB!D:D,CS!B:B,ATB!M:M)</f>
        <v>0</v>
      </c>
    </row>
    <row r="25" spans="2:9" s="202" customFormat="1" x14ac:dyDescent="0.35">
      <c r="B25" s="214"/>
      <c r="C25" s="117"/>
      <c r="D25" s="200">
        <f>SUMIF(ATB!D:D,CS!B:B,ATB!F:F)</f>
        <v>0</v>
      </c>
      <c r="E25" s="200">
        <f>SUMIF(ATB!D:D,CS!B:B,ATB!G:G)</f>
        <v>0</v>
      </c>
      <c r="F25" s="200">
        <f>SUMIF(ATB!D:D,CS!B:B,ATB!H:H)+SUMIF(ATB!D:D,CS!B:B,ATB!J:J)</f>
        <v>0</v>
      </c>
      <c r="G25" s="200">
        <f>SUMIF(ATB!D:D,CS!B:B,ATB!I:I)+SUMIF(ATB!D:D,CS!B:B,ATB!K:K)</f>
        <v>0</v>
      </c>
      <c r="H25" s="212">
        <f>SUMIF(ATB!D:D,CS!B:B,ATB!L:L)</f>
        <v>0</v>
      </c>
      <c r="I25" s="213">
        <f>SUMIF(ATB!D:D,CS!B:B,ATB!M:M)</f>
        <v>0</v>
      </c>
    </row>
    <row r="26" spans="2:9" s="202" customFormat="1" x14ac:dyDescent="0.35">
      <c r="B26" s="214"/>
      <c r="C26" s="117"/>
      <c r="D26" s="200">
        <f>SUMIF(ATB!D:D,CS!B:B,ATB!F:F)</f>
        <v>0</v>
      </c>
      <c r="E26" s="200">
        <f>SUMIF(ATB!D:D,CS!B:B,ATB!G:G)</f>
        <v>0</v>
      </c>
      <c r="F26" s="200">
        <f>SUMIF(ATB!D:D,CS!B:B,ATB!H:H)+SUMIF(ATB!D:D,CS!B:B,ATB!J:J)</f>
        <v>0</v>
      </c>
      <c r="G26" s="200">
        <f>SUMIF(ATB!D:D,CS!B:B,ATB!I:I)+SUMIF(ATB!D:D,CS!B:B,ATB!K:K)</f>
        <v>0</v>
      </c>
      <c r="H26" s="212">
        <f>SUMIF(ATB!D:D,CS!B:B,ATB!L:L)</f>
        <v>0</v>
      </c>
      <c r="I26" s="213">
        <f>SUMIF(ATB!D:D,CS!B:B,ATB!M:M)</f>
        <v>0</v>
      </c>
    </row>
    <row r="27" spans="2:9" s="202" customFormat="1" x14ac:dyDescent="0.35">
      <c r="B27" s="214"/>
      <c r="C27" s="117"/>
      <c r="D27" s="200">
        <f>SUMIF(ATB!D:D,CS!B:B,ATB!F:F)</f>
        <v>0</v>
      </c>
      <c r="E27" s="200">
        <f>SUMIF(ATB!D:D,CS!B:B,ATB!G:G)</f>
        <v>0</v>
      </c>
      <c r="F27" s="200">
        <f>SUMIF(ATB!D:D,CS!B:B,ATB!H:H)+SUMIF(ATB!D:D,CS!B:B,ATB!J:J)</f>
        <v>0</v>
      </c>
      <c r="G27" s="200">
        <f>SUMIF(ATB!D:D,CS!B:B,ATB!I:I)+SUMIF(ATB!D:D,CS!B:B,ATB!K:K)</f>
        <v>0</v>
      </c>
      <c r="H27" s="212">
        <f>SUMIF(ATB!D:D,CS!B:B,ATB!L:L)</f>
        <v>0</v>
      </c>
      <c r="I27" s="213">
        <f>SUMIF(ATB!D:D,CS!B:B,ATB!M:M)</f>
        <v>0</v>
      </c>
    </row>
    <row r="28" spans="2:9" s="202" customFormat="1" x14ac:dyDescent="0.35">
      <c r="B28" s="214" t="s">
        <v>16</v>
      </c>
      <c r="C28" s="117"/>
      <c r="D28" s="200">
        <f>SUMIF(ATB!D:D,CS!B:B,ATB!F:F)</f>
        <v>0</v>
      </c>
      <c r="E28" s="200">
        <f>SUMIF(ATB!D:D,CS!B:B,ATB!G:G)</f>
        <v>0</v>
      </c>
      <c r="F28" s="200">
        <f>SUMIF(ATB!D:D,CS!B:B,ATB!H:H)+SUMIF(ATB!D:D,CS!B:B,ATB!J:J)</f>
        <v>0</v>
      </c>
      <c r="G28" s="200">
        <f>SUMIF(ATB!D:D,CS!B:B,ATB!I:I)+SUMIF(ATB!D:D,CS!B:B,ATB!K:K)</f>
        <v>0</v>
      </c>
      <c r="H28" s="212">
        <f>SUMIF(ATB!D:D,CS!B:B,ATB!L:L)</f>
        <v>0</v>
      </c>
      <c r="I28" s="213">
        <f>SUMIF(ATB!D:D,CS!B:B,ATB!M:M)</f>
        <v>0</v>
      </c>
    </row>
    <row r="29" spans="2:9" s="202" customFormat="1" x14ac:dyDescent="0.35">
      <c r="B29" s="214"/>
      <c r="C29" s="117"/>
      <c r="D29" s="200">
        <f>SUMIF(ATB!D:D,CS!B:B,ATB!F:F)</f>
        <v>0</v>
      </c>
      <c r="E29" s="200">
        <f>SUMIF(ATB!D:D,CS!B:B,ATB!G:G)</f>
        <v>0</v>
      </c>
      <c r="F29" s="200">
        <f>SUMIF(ATB!D:D,CS!B:B,ATB!H:H)+SUMIF(ATB!D:D,CS!B:B,ATB!J:J)</f>
        <v>0</v>
      </c>
      <c r="G29" s="200">
        <f>SUMIF(ATB!D:D,CS!B:B,ATB!I:I)+SUMIF(ATB!D:D,CS!B:B,ATB!K:K)</f>
        <v>0</v>
      </c>
      <c r="H29" s="212">
        <f>SUMIF(ATB!D:D,CS!B:B,ATB!L:L)</f>
        <v>0</v>
      </c>
      <c r="I29" s="213">
        <f>SUMIF(ATB!D:D,CS!B:B,ATB!M:M)</f>
        <v>0</v>
      </c>
    </row>
    <row r="30" spans="2:9" s="202" customFormat="1" x14ac:dyDescent="0.35">
      <c r="B30" s="214"/>
      <c r="C30" s="117"/>
      <c r="D30" s="200">
        <f>SUMIF(ATB!D:D,CS!B:B,ATB!F:F)</f>
        <v>0</v>
      </c>
      <c r="E30" s="200">
        <f>SUMIF(ATB!D:D,CS!B:B,ATB!G:G)</f>
        <v>0</v>
      </c>
      <c r="F30" s="200">
        <f>SUMIF(ATB!D:D,CS!B:B,ATB!H:H)+SUMIF(ATB!D:D,CS!B:B,ATB!J:J)</f>
        <v>0</v>
      </c>
      <c r="G30" s="200">
        <f>SUMIF(ATB!D:D,CS!B:B,ATB!I:I)+SUMIF(ATB!D:D,CS!B:B,ATB!K:K)</f>
        <v>0</v>
      </c>
      <c r="H30" s="212">
        <f>SUMIF(ATB!D:D,CS!B:B,ATB!L:L)</f>
        <v>0</v>
      </c>
      <c r="I30" s="213">
        <f>SUMIF(ATB!D:D,CS!B:B,ATB!M:M)</f>
        <v>0</v>
      </c>
    </row>
    <row r="31" spans="2:9" s="202" customFormat="1" x14ac:dyDescent="0.35">
      <c r="B31" s="214"/>
      <c r="C31" s="117"/>
      <c r="D31" s="200">
        <f>SUMIF(ATB!D:D,CS!B:B,ATB!F:F)</f>
        <v>0</v>
      </c>
      <c r="E31" s="200">
        <f>SUMIF(ATB!D:D,CS!B:B,ATB!G:G)</f>
        <v>0</v>
      </c>
      <c r="F31" s="200">
        <f>SUMIF(ATB!D:D,CS!B:B,ATB!H:H)+SUMIF(ATB!D:D,CS!B:B,ATB!J:J)</f>
        <v>0</v>
      </c>
      <c r="G31" s="200">
        <f>SUMIF(ATB!D:D,CS!B:B,ATB!I:I)+SUMIF(ATB!D:D,CS!B:B,ATB!K:K)</f>
        <v>0</v>
      </c>
      <c r="H31" s="212">
        <f>SUMIF(ATB!D:D,CS!B:B,ATB!L:L)</f>
        <v>0</v>
      </c>
      <c r="I31" s="213">
        <f>SUMIF(ATB!D:D,CS!B:B,ATB!M:M)</f>
        <v>0</v>
      </c>
    </row>
    <row r="32" spans="2:9" s="202" customFormat="1" x14ac:dyDescent="0.35">
      <c r="B32" s="214" t="s">
        <v>17</v>
      </c>
      <c r="C32" s="117"/>
      <c r="D32" s="200">
        <f>SUMIF(ATB!D:D,CS!B:B,ATB!F:F)</f>
        <v>0</v>
      </c>
      <c r="E32" s="200">
        <f>SUMIF(ATB!D:D,CS!B:B,ATB!G:G)</f>
        <v>0</v>
      </c>
      <c r="F32" s="200">
        <f>SUMIF(ATB!D:D,CS!B:B,ATB!H:H)+SUMIF(ATB!D:D,CS!B:B,ATB!J:J)</f>
        <v>0</v>
      </c>
      <c r="G32" s="200">
        <f>SUMIF(ATB!D:D,CS!B:B,ATB!I:I)+SUMIF(ATB!D:D,CS!B:B,ATB!K:K)</f>
        <v>0</v>
      </c>
      <c r="H32" s="212">
        <f>SUMIF(ATB!D:D,CS!B:B,ATB!L:L)</f>
        <v>0</v>
      </c>
      <c r="I32" s="213">
        <f>SUMIF(ATB!D:D,CS!B:B,ATB!M:M)</f>
        <v>0</v>
      </c>
    </row>
    <row r="33" spans="2:9" s="202" customFormat="1" x14ac:dyDescent="0.35">
      <c r="B33" s="214"/>
      <c r="C33" s="117"/>
      <c r="D33" s="200">
        <f>SUMIF(ATB!D:D,CS!B:B,ATB!F:F)</f>
        <v>0</v>
      </c>
      <c r="E33" s="200">
        <f>SUMIF(ATB!D:D,CS!B:B,ATB!G:G)</f>
        <v>0</v>
      </c>
      <c r="F33" s="200">
        <f>SUMIF(ATB!D:D,CS!B:B,ATB!H:H)+SUMIF(ATB!D:D,CS!B:B,ATB!J:J)</f>
        <v>0</v>
      </c>
      <c r="G33" s="200">
        <f>SUMIF(ATB!D:D,CS!B:B,ATB!I:I)+SUMIF(ATB!D:D,CS!B:B,ATB!K:K)</f>
        <v>0</v>
      </c>
      <c r="H33" s="212">
        <f>SUMIF(ATB!D:D,CS!B:B,ATB!L:L)</f>
        <v>0</v>
      </c>
      <c r="I33" s="213">
        <f>SUMIF(ATB!D:D,CS!B:B,ATB!M:M)</f>
        <v>0</v>
      </c>
    </row>
    <row r="34" spans="2:9" s="202" customFormat="1" x14ac:dyDescent="0.35">
      <c r="B34" s="214"/>
      <c r="C34" s="117"/>
      <c r="D34" s="200">
        <f>SUMIF(ATB!D:D,CS!B:B,ATB!F:F)</f>
        <v>0</v>
      </c>
      <c r="E34" s="200">
        <f>SUMIF(ATB!D:D,CS!B:B,ATB!G:G)</f>
        <v>0</v>
      </c>
      <c r="F34" s="200">
        <f>SUMIF(ATB!D:D,CS!B:B,ATB!H:H)+SUMIF(ATB!D:D,CS!B:B,ATB!J:J)</f>
        <v>0</v>
      </c>
      <c r="G34" s="200">
        <f>SUMIF(ATB!D:D,CS!B:B,ATB!I:I)+SUMIF(ATB!D:D,CS!B:B,ATB!K:K)</f>
        <v>0</v>
      </c>
      <c r="H34" s="212">
        <f>SUMIF(ATB!D:D,CS!B:B,ATB!L:L)</f>
        <v>0</v>
      </c>
      <c r="I34" s="213">
        <f>SUMIF(ATB!D:D,CS!B:B,ATB!M:M)</f>
        <v>0</v>
      </c>
    </row>
    <row r="35" spans="2:9" s="202" customFormat="1" x14ac:dyDescent="0.35">
      <c r="B35" s="214"/>
      <c r="C35" s="117"/>
      <c r="D35" s="200">
        <f>SUMIF(ATB!D:D,CS!B:B,ATB!F:F)</f>
        <v>0</v>
      </c>
      <c r="E35" s="200">
        <f>SUMIF(ATB!D:D,CS!B:B,ATB!G:G)</f>
        <v>0</v>
      </c>
      <c r="F35" s="200">
        <f>SUMIF(ATB!D:D,CS!B:B,ATB!H:H)+SUMIF(ATB!D:D,CS!B:B,ATB!J:J)</f>
        <v>0</v>
      </c>
      <c r="G35" s="200">
        <f>SUMIF(ATB!D:D,CS!B:B,ATB!I:I)+SUMIF(ATB!D:D,CS!B:B,ATB!K:K)</f>
        <v>0</v>
      </c>
      <c r="H35" s="212">
        <f>SUMIF(ATB!D:D,CS!B:B,ATB!L:L)</f>
        <v>0</v>
      </c>
      <c r="I35" s="213">
        <f>SUMIF(ATB!D:D,CS!B:B,ATB!M:M)</f>
        <v>0</v>
      </c>
    </row>
    <row r="36" spans="2:9" s="202" customFormat="1" x14ac:dyDescent="0.35">
      <c r="B36" s="214" t="s">
        <v>18</v>
      </c>
      <c r="C36" s="117"/>
      <c r="D36" s="200">
        <f>SUMIF(ATB!D:D,CS!B:B,ATB!F:F)</f>
        <v>0</v>
      </c>
      <c r="E36" s="200">
        <f>SUMIF(ATB!D:D,CS!B:B,ATB!G:G)</f>
        <v>0</v>
      </c>
      <c r="F36" s="200">
        <f>SUMIF(ATB!D:D,CS!B:B,ATB!H:H)+SUMIF(ATB!D:D,CS!B:B,ATB!J:J)</f>
        <v>0</v>
      </c>
      <c r="G36" s="200">
        <f>SUMIF(ATB!D:D,CS!B:B,ATB!I:I)+SUMIF(ATB!D:D,CS!B:B,ATB!K:K)</f>
        <v>0</v>
      </c>
      <c r="H36" s="212">
        <f>SUMIF(ATB!D:D,CS!B:B,ATB!L:L)</f>
        <v>0</v>
      </c>
      <c r="I36" s="213">
        <f>SUMIF(ATB!D:D,CS!B:B,ATB!M:M)</f>
        <v>0</v>
      </c>
    </row>
    <row r="37" spans="2:9" s="202" customFormat="1" x14ac:dyDescent="0.35">
      <c r="B37" s="215" t="s">
        <v>403</v>
      </c>
      <c r="C37" s="117"/>
      <c r="D37" s="200">
        <f>SUMIF(ATB!D:D,CS!B:B,ATB!F:F)</f>
        <v>0</v>
      </c>
      <c r="E37" s="200">
        <f>SUMIF(ATB!D:D,CS!B:B,ATB!G:G)</f>
        <v>0</v>
      </c>
      <c r="F37" s="200">
        <f>SUMIF(ATB!D:D,CS!B:B,ATB!H:H)+SUMIF(ATB!D:D,CS!B:B,ATB!J:J)</f>
        <v>0</v>
      </c>
      <c r="G37" s="200">
        <f>SUMIF(ATB!D:D,CS!B:B,ATB!I:I)+SUMIF(ATB!D:D,CS!B:B,ATB!K:K)</f>
        <v>0</v>
      </c>
      <c r="H37" s="212">
        <f>SUMIF(ATB!D:D,CS!B:B,ATB!L:L)</f>
        <v>0</v>
      </c>
      <c r="I37" s="213">
        <f>SUMIF(ATB!D:D,CS!B:B,ATB!M:M)</f>
        <v>0</v>
      </c>
    </row>
    <row r="38" spans="2:9" s="202" customFormat="1" x14ac:dyDescent="0.35">
      <c r="B38" s="215" t="s">
        <v>98</v>
      </c>
      <c r="C38" s="117"/>
      <c r="D38" s="200">
        <f>SUMIF(ATB!D:D,CS!B:B,ATB!F:F)</f>
        <v>0</v>
      </c>
      <c r="E38" s="200">
        <f>SUMIF(ATB!D:D,CS!B:B,ATB!G:G)</f>
        <v>0</v>
      </c>
      <c r="F38" s="200">
        <f>SUMIF(ATB!D:D,CS!B:B,ATB!H:H)+SUMIF(ATB!D:D,CS!B:B,ATB!J:J)</f>
        <v>0</v>
      </c>
      <c r="G38" s="200">
        <f>SUMIF(ATB!D:D,CS!B:B,ATB!I:I)+SUMIF(ATB!D:D,CS!B:B,ATB!K:K)</f>
        <v>0</v>
      </c>
      <c r="H38" s="212">
        <f>SUMIF(ATB!D:D,CS!B:B,ATB!L:L)</f>
        <v>0</v>
      </c>
      <c r="I38" s="213">
        <f>SUMIF(ATB!D:D,CS!B:B,ATB!M:M)</f>
        <v>0</v>
      </c>
    </row>
    <row r="39" spans="2:9" s="202" customFormat="1" x14ac:dyDescent="0.35">
      <c r="B39" s="215"/>
      <c r="C39" s="117"/>
      <c r="D39" s="200">
        <f>SUMIF(ATB!D:D,CS!B:B,ATB!F:F)</f>
        <v>0</v>
      </c>
      <c r="E39" s="200">
        <f>SUMIF(ATB!D:D,CS!B:B,ATB!G:G)</f>
        <v>0</v>
      </c>
      <c r="F39" s="200">
        <f>SUMIF(ATB!D:D,CS!B:B,ATB!H:H)+SUMIF(ATB!D:D,CS!B:B,ATB!J:J)</f>
        <v>0</v>
      </c>
      <c r="G39" s="200">
        <f>SUMIF(ATB!D:D,CS!B:B,ATB!I:I)+SUMIF(ATB!D:D,CS!B:B,ATB!K:K)</f>
        <v>0</v>
      </c>
      <c r="H39" s="212">
        <f>SUMIF(ATB!D:D,CS!B:B,ATB!L:L)</f>
        <v>0</v>
      </c>
      <c r="I39" s="213">
        <f>SUMIF(ATB!D:D,CS!B:B,ATB!M:M)</f>
        <v>0</v>
      </c>
    </row>
    <row r="40" spans="2:9" s="202" customFormat="1" x14ac:dyDescent="0.35">
      <c r="B40" s="215"/>
      <c r="C40" s="117"/>
      <c r="D40" s="200">
        <f>SUMIF(ATB!D:D,CS!B:B,ATB!F:F)</f>
        <v>0</v>
      </c>
      <c r="E40" s="200">
        <f>SUMIF(ATB!D:D,CS!B:B,ATB!G:G)</f>
        <v>0</v>
      </c>
      <c r="F40" s="200">
        <f>SUMIF(ATB!D:D,CS!B:B,ATB!H:H)+SUMIF(ATB!D:D,CS!B:B,ATB!J:J)</f>
        <v>0</v>
      </c>
      <c r="G40" s="200">
        <f>SUMIF(ATB!D:D,CS!B:B,ATB!I:I)+SUMIF(ATB!D:D,CS!B:B,ATB!K:K)</f>
        <v>0</v>
      </c>
      <c r="H40" s="212">
        <f>SUMIF(ATB!D:D,CS!B:B,ATB!L:L)</f>
        <v>0</v>
      </c>
      <c r="I40" s="213">
        <f>SUMIF(ATB!D:D,CS!B:B,ATB!M:M)</f>
        <v>0</v>
      </c>
    </row>
    <row r="41" spans="2:9" s="202" customFormat="1" x14ac:dyDescent="0.35">
      <c r="B41" s="215"/>
      <c r="C41" s="117"/>
      <c r="D41" s="200">
        <f>SUMIF(ATB!D:D,CS!B:B,ATB!F:F)</f>
        <v>0</v>
      </c>
      <c r="E41" s="200">
        <f>SUMIF(ATB!D:D,CS!B:B,ATB!G:G)</f>
        <v>0</v>
      </c>
      <c r="F41" s="200">
        <f>SUMIF(ATB!D:D,CS!B:B,ATB!H:H)+SUMIF(ATB!D:D,CS!B:B,ATB!J:J)</f>
        <v>0</v>
      </c>
      <c r="G41" s="200">
        <f>SUMIF(ATB!D:D,CS!B:B,ATB!I:I)+SUMIF(ATB!D:D,CS!B:B,ATB!K:K)</f>
        <v>0</v>
      </c>
      <c r="H41" s="212">
        <f>SUMIF(ATB!D:D,CS!B:B,ATB!L:L)</f>
        <v>0</v>
      </c>
      <c r="I41" s="213">
        <f>SUMIF(ATB!D:D,CS!B:B,ATB!M:M)</f>
        <v>0</v>
      </c>
    </row>
    <row r="42" spans="2:9" s="202" customFormat="1" x14ac:dyDescent="0.35">
      <c r="B42" s="214" t="s">
        <v>19</v>
      </c>
      <c r="C42" s="117"/>
      <c r="D42" s="200">
        <f>SUMIF(ATB!D:D,CS!B:B,ATB!F:F)</f>
        <v>0</v>
      </c>
      <c r="E42" s="200">
        <f>SUMIF(ATB!D:D,CS!B:B,ATB!G:G)</f>
        <v>0</v>
      </c>
      <c r="F42" s="200">
        <f>SUMIF(ATB!D:D,CS!B:B,ATB!H:H)+SUMIF(ATB!D:D,CS!B:B,ATB!J:J)</f>
        <v>0</v>
      </c>
      <c r="G42" s="200">
        <f>SUMIF(ATB!D:D,CS!B:B,ATB!I:I)+SUMIF(ATB!D:D,CS!B:B,ATB!K:K)</f>
        <v>0</v>
      </c>
      <c r="H42" s="212">
        <f>SUMIF(ATB!D:D,CS!B:B,ATB!L:L)</f>
        <v>0</v>
      </c>
      <c r="I42" s="213">
        <f>SUMIF(ATB!D:D,CS!B:B,ATB!M:M)</f>
        <v>0</v>
      </c>
    </row>
    <row r="43" spans="2:9" s="202" customFormat="1" x14ac:dyDescent="0.35">
      <c r="B43" s="214" t="s">
        <v>97</v>
      </c>
      <c r="C43" s="117"/>
      <c r="D43" s="200">
        <f>SUMIF(ATB!D:D,CS!B:B,ATB!F:F)</f>
        <v>0</v>
      </c>
      <c r="E43" s="200">
        <f>SUMIF(ATB!D:D,CS!B:B,ATB!G:G)</f>
        <v>0</v>
      </c>
      <c r="F43" s="200">
        <f>SUMIF(ATB!D:D,CS!B:B,ATB!H:H)+SUMIF(ATB!D:D,CS!B:B,ATB!J:J)</f>
        <v>0</v>
      </c>
      <c r="G43" s="200">
        <f>SUMIF(ATB!D:D,CS!B:B,ATB!I:I)+SUMIF(ATB!D:D,CS!B:B,ATB!K:K)</f>
        <v>0</v>
      </c>
      <c r="H43" s="212">
        <f>SUMIF(ATB!D:D,CS!B:B,ATB!L:L)</f>
        <v>0</v>
      </c>
      <c r="I43" s="213">
        <f>SUMIF(ATB!D:D,CS!B:B,ATB!M:M)</f>
        <v>0</v>
      </c>
    </row>
    <row r="44" spans="2:9" s="202" customFormat="1" x14ac:dyDescent="0.35">
      <c r="B44" s="215" t="s">
        <v>396</v>
      </c>
      <c r="C44" s="117"/>
      <c r="D44" s="200">
        <f>SUMIF(ATB!D:D,CS!B:B,ATB!F:F)</f>
        <v>0</v>
      </c>
      <c r="E44" s="200">
        <f>SUMIF(ATB!D:D,CS!B:B,ATB!G:G)</f>
        <v>0</v>
      </c>
      <c r="F44" s="200">
        <f>SUMIF(ATB!D:D,CS!B:B,ATB!H:H)+SUMIF(ATB!D:D,CS!B:B,ATB!J:J)</f>
        <v>0</v>
      </c>
      <c r="G44" s="200">
        <f>SUMIF(ATB!D:D,CS!B:B,ATB!I:I)+SUMIF(ATB!D:D,CS!B:B,ATB!K:K)</f>
        <v>0</v>
      </c>
      <c r="H44" s="212">
        <f>SUMIF(ATB!D:D,CS!B:B,ATB!L:L)</f>
        <v>0</v>
      </c>
      <c r="I44" s="213">
        <f>SUMIF(ATB!D:D,CS!B:B,ATB!M:M)</f>
        <v>0</v>
      </c>
    </row>
    <row r="45" spans="2:9" s="202" customFormat="1" x14ac:dyDescent="0.35">
      <c r="B45" s="215" t="s">
        <v>397</v>
      </c>
      <c r="C45" s="117"/>
      <c r="D45" s="200">
        <f>SUMIF(ATB!D:D,CS!B:B,ATB!F:F)</f>
        <v>0</v>
      </c>
      <c r="E45" s="200">
        <f>SUMIF(ATB!D:D,CS!B:B,ATB!G:G)</f>
        <v>0</v>
      </c>
      <c r="F45" s="200">
        <f>SUMIF(ATB!D:D,CS!B:B,ATB!H:H)+SUMIF(ATB!D:D,CS!B:B,ATB!J:J)</f>
        <v>0</v>
      </c>
      <c r="G45" s="200">
        <f>SUMIF(ATB!D:D,CS!B:B,ATB!I:I)+SUMIF(ATB!D:D,CS!B:B,ATB!K:K)</f>
        <v>0</v>
      </c>
      <c r="H45" s="212">
        <f>SUMIF(ATB!D:D,CS!B:B,ATB!L:L)</f>
        <v>0</v>
      </c>
      <c r="I45" s="213">
        <f>SUMIF(ATB!D:D,CS!B:B,ATB!M:M)</f>
        <v>0</v>
      </c>
    </row>
    <row r="46" spans="2:9" s="202" customFormat="1" x14ac:dyDescent="0.35">
      <c r="B46" s="215" t="s">
        <v>398</v>
      </c>
      <c r="C46" s="117"/>
      <c r="D46" s="200">
        <f>SUMIF(ATB!D:D,CS!B:B,ATB!F:F)</f>
        <v>0</v>
      </c>
      <c r="E46" s="200">
        <f>SUMIF(ATB!D:D,CS!B:B,ATB!G:G)</f>
        <v>0</v>
      </c>
      <c r="F46" s="200">
        <f>SUMIF(ATB!D:D,CS!B:B,ATB!H:H)+SUMIF(ATB!D:D,CS!B:B,ATB!J:J)</f>
        <v>0</v>
      </c>
      <c r="G46" s="200">
        <f>SUMIF(ATB!D:D,CS!B:B,ATB!I:I)+SUMIF(ATB!D:D,CS!B:B,ATB!K:K)</f>
        <v>0</v>
      </c>
      <c r="H46" s="212">
        <f>SUMIF(ATB!D:D,CS!B:B,ATB!L:L)</f>
        <v>0</v>
      </c>
      <c r="I46" s="213">
        <f>SUMIF(ATB!D:D,CS!B:B,ATB!M:M)</f>
        <v>0</v>
      </c>
    </row>
    <row r="47" spans="2:9" s="202" customFormat="1" x14ac:dyDescent="0.35">
      <c r="B47" s="214" t="s">
        <v>121</v>
      </c>
      <c r="C47" s="117"/>
      <c r="D47" s="200">
        <f>SUMIF(ATB!D:D,CS!B:B,ATB!F:F)</f>
        <v>0</v>
      </c>
      <c r="E47" s="200">
        <f>SUMIF(ATB!D:D,CS!B:B,ATB!G:G)</f>
        <v>0</v>
      </c>
      <c r="F47" s="200">
        <f>SUMIF(ATB!D:D,CS!B:B,ATB!H:H)+SUMIF(ATB!D:D,CS!B:B,ATB!J:J)</f>
        <v>0</v>
      </c>
      <c r="G47" s="200">
        <f>SUMIF(ATB!D:D,CS!B:B,ATB!I:I)+SUMIF(ATB!D:D,CS!B:B,ATB!K:K)</f>
        <v>0</v>
      </c>
      <c r="H47" s="212">
        <f>SUMIF(ATB!D:D,CS!B:B,ATB!L:L)</f>
        <v>0</v>
      </c>
      <c r="I47" s="213">
        <f>SUMIF(ATB!D:D,CS!B:B,ATB!M:M)</f>
        <v>0</v>
      </c>
    </row>
    <row r="48" spans="2:9" s="202" customFormat="1" x14ac:dyDescent="0.35">
      <c r="B48" s="215" t="s">
        <v>399</v>
      </c>
      <c r="C48" s="117"/>
      <c r="D48" s="200">
        <f>SUMIF(ATB!D:D,CS!B:B,ATB!F:F)</f>
        <v>0</v>
      </c>
      <c r="E48" s="200">
        <f>SUMIF(ATB!D:D,CS!B:B,ATB!G:G)</f>
        <v>0</v>
      </c>
      <c r="F48" s="200">
        <f>SUMIF(ATB!D:D,CS!B:B,ATB!H:H)+SUMIF(ATB!D:D,CS!B:B,ATB!J:J)</f>
        <v>0</v>
      </c>
      <c r="G48" s="200">
        <f>SUMIF(ATB!D:D,CS!B:B,ATB!I:I)+SUMIF(ATB!D:D,CS!B:B,ATB!K:K)</f>
        <v>0</v>
      </c>
      <c r="H48" s="212">
        <f>SUMIF(ATB!D:D,CS!B:B,ATB!L:L)</f>
        <v>0</v>
      </c>
      <c r="I48" s="213">
        <f>SUMIF(ATB!D:D,CS!B:B,ATB!M:M)</f>
        <v>0</v>
      </c>
    </row>
    <row r="49" spans="2:9" s="202" customFormat="1" x14ac:dyDescent="0.35">
      <c r="B49" s="215" t="s">
        <v>400</v>
      </c>
      <c r="C49" s="117"/>
      <c r="D49" s="200">
        <f>SUMIF(ATB!D:D,CS!B:B,ATB!F:F)</f>
        <v>0</v>
      </c>
      <c r="E49" s="200">
        <f>SUMIF(ATB!D:D,CS!B:B,ATB!G:G)</f>
        <v>0</v>
      </c>
      <c r="F49" s="200">
        <f>SUMIF(ATB!D:D,CS!B:B,ATB!H:H)+SUMIF(ATB!D:D,CS!B:B,ATB!J:J)</f>
        <v>0</v>
      </c>
      <c r="G49" s="200">
        <f>SUMIF(ATB!D:D,CS!B:B,ATB!I:I)+SUMIF(ATB!D:D,CS!B:B,ATB!K:K)</f>
        <v>0</v>
      </c>
      <c r="H49" s="212">
        <f>SUMIF(ATB!D:D,CS!B:B,ATB!L:L)</f>
        <v>0</v>
      </c>
      <c r="I49" s="213">
        <f>SUMIF(ATB!D:D,CS!B:B,ATB!M:M)</f>
        <v>0</v>
      </c>
    </row>
    <row r="50" spans="2:9" s="202" customFormat="1" x14ac:dyDescent="0.35">
      <c r="B50" s="215" t="s">
        <v>401</v>
      </c>
      <c r="C50" s="117"/>
      <c r="D50" s="200">
        <f>SUMIF(ATB!D:D,CS!B:B,ATB!F:F)</f>
        <v>0</v>
      </c>
      <c r="E50" s="200">
        <f>SUMIF(ATB!D:D,CS!B:B,ATB!G:G)</f>
        <v>0</v>
      </c>
      <c r="F50" s="200">
        <f>SUMIF(ATB!D:D,CS!B:B,ATB!H:H)+SUMIF(ATB!D:D,CS!B:B,ATB!J:J)</f>
        <v>0</v>
      </c>
      <c r="G50" s="200">
        <f>SUMIF(ATB!D:D,CS!B:B,ATB!I:I)+SUMIF(ATB!D:D,CS!B:B,ATB!K:K)</f>
        <v>0</v>
      </c>
      <c r="H50" s="212">
        <f>SUMIF(ATB!D:D,CS!B:B,ATB!L:L)</f>
        <v>0</v>
      </c>
      <c r="I50" s="213">
        <f>SUMIF(ATB!D:D,CS!B:B,ATB!M:M)</f>
        <v>0</v>
      </c>
    </row>
    <row r="51" spans="2:9" s="202" customFormat="1" x14ac:dyDescent="0.35">
      <c r="B51" s="215"/>
      <c r="C51" s="117"/>
      <c r="D51" s="200">
        <f>SUMIF(ATB!D:D,CS!B:B,ATB!F:F)</f>
        <v>0</v>
      </c>
      <c r="E51" s="200">
        <f>SUMIF(ATB!D:D,CS!B:B,ATB!G:G)</f>
        <v>0</v>
      </c>
      <c r="F51" s="200">
        <f>SUMIF(ATB!D:D,CS!B:B,ATB!H:H)+SUMIF(ATB!D:D,CS!B:B,ATB!J:J)</f>
        <v>0</v>
      </c>
      <c r="G51" s="200">
        <f>SUMIF(ATB!D:D,CS!B:B,ATB!I:I)+SUMIF(ATB!D:D,CS!B:B,ATB!K:K)</f>
        <v>0</v>
      </c>
      <c r="H51" s="212">
        <f>SUMIF(ATB!D:D,CS!B:B,ATB!L:L)</f>
        <v>0</v>
      </c>
      <c r="I51" s="213">
        <f>SUMIF(ATB!D:D,CS!B:B,ATB!M:M)</f>
        <v>0</v>
      </c>
    </row>
    <row r="52" spans="2:9" s="202" customFormat="1" x14ac:dyDescent="0.35">
      <c r="B52" s="215"/>
      <c r="C52" s="117"/>
      <c r="D52" s="200">
        <f>SUMIF(ATB!D:D,CS!B:B,ATB!F:F)</f>
        <v>0</v>
      </c>
      <c r="E52" s="200">
        <f>SUMIF(ATB!D:D,CS!B:B,ATB!G:G)</f>
        <v>0</v>
      </c>
      <c r="F52" s="200">
        <f>SUMIF(ATB!D:D,CS!B:B,ATB!H:H)+SUMIF(ATB!D:D,CS!B:B,ATB!J:J)</f>
        <v>0</v>
      </c>
      <c r="G52" s="200">
        <f>SUMIF(ATB!D:D,CS!B:B,ATB!I:I)+SUMIF(ATB!D:D,CS!B:B,ATB!K:K)</f>
        <v>0</v>
      </c>
      <c r="H52" s="212">
        <f>SUMIF(ATB!D:D,CS!B:B,ATB!L:L)</f>
        <v>0</v>
      </c>
      <c r="I52" s="213">
        <f>SUMIF(ATB!D:D,CS!B:B,ATB!M:M)</f>
        <v>0</v>
      </c>
    </row>
    <row r="53" spans="2:9" s="202" customFormat="1" x14ac:dyDescent="0.35">
      <c r="B53" s="215"/>
      <c r="C53" s="117"/>
      <c r="D53" s="200">
        <f>SUMIF(ATB!D:D,CS!B:B,ATB!F:F)</f>
        <v>0</v>
      </c>
      <c r="E53" s="200">
        <f>SUMIF(ATB!D:D,CS!B:B,ATB!G:G)</f>
        <v>0</v>
      </c>
      <c r="F53" s="200">
        <f>SUMIF(ATB!D:D,CS!B:B,ATB!H:H)+SUMIF(ATB!D:D,CS!B:B,ATB!J:J)</f>
        <v>0</v>
      </c>
      <c r="G53" s="200">
        <f>SUMIF(ATB!D:D,CS!B:B,ATB!I:I)+SUMIF(ATB!D:D,CS!B:B,ATB!K:K)</f>
        <v>0</v>
      </c>
      <c r="H53" s="212">
        <f>SUMIF(ATB!D:D,CS!B:B,ATB!L:L)</f>
        <v>0</v>
      </c>
      <c r="I53" s="213">
        <f>SUMIF(ATB!D:D,CS!B:B,ATB!M:M)</f>
        <v>0</v>
      </c>
    </row>
    <row r="54" spans="2:9" s="202" customFormat="1" x14ac:dyDescent="0.35">
      <c r="B54" s="207" t="s">
        <v>20</v>
      </c>
      <c r="C54" s="117"/>
      <c r="D54" s="200">
        <f>SUMIF(ATB!D:D,CS!B:B,ATB!F:F)</f>
        <v>0</v>
      </c>
      <c r="E54" s="200">
        <f>SUMIF(ATB!D:D,CS!B:B,ATB!G:G)</f>
        <v>0</v>
      </c>
      <c r="F54" s="200">
        <f>SUMIF(ATB!D:D,CS!B:B,ATB!H:H)+SUMIF(ATB!D:D,CS!B:B,ATB!J:J)</f>
        <v>0</v>
      </c>
      <c r="G54" s="200">
        <f>SUMIF(ATB!D:D,CS!B:B,ATB!I:I)+SUMIF(ATB!D:D,CS!B:B,ATB!K:K)</f>
        <v>0</v>
      </c>
      <c r="H54" s="212">
        <f>SUMIF(ATB!D:D,CS!B:B,ATB!L:L)</f>
        <v>0</v>
      </c>
      <c r="I54" s="213">
        <f>SUMIF(ATB!D:D,CS!B:B,ATB!M:M)</f>
        <v>0</v>
      </c>
    </row>
    <row r="55" spans="2:9" s="202" customFormat="1" x14ac:dyDescent="0.35">
      <c r="B55" s="214" t="s">
        <v>21</v>
      </c>
      <c r="C55" s="117"/>
      <c r="D55" s="200">
        <f>SUMIF(ATB!D:D,CS!B:B,ATB!F:F)</f>
        <v>0</v>
      </c>
      <c r="E55" s="200">
        <f>SUMIF(ATB!D:D,CS!B:B,ATB!G:G)</f>
        <v>0</v>
      </c>
      <c r="F55" s="200">
        <f>SUMIF(ATB!D:D,CS!B:B,ATB!H:H)+SUMIF(ATB!D:D,CS!B:B,ATB!J:J)</f>
        <v>0</v>
      </c>
      <c r="G55" s="200">
        <f>SUMIF(ATB!D:D,CS!B:B,ATB!I:I)+SUMIF(ATB!D:D,CS!B:B,ATB!K:K)</f>
        <v>0</v>
      </c>
      <c r="H55" s="212">
        <f>SUMIF(ATB!D:D,CS!B:B,ATB!L:L)</f>
        <v>0</v>
      </c>
      <c r="I55" s="213">
        <f>SUMIF(ATB!D:D,CS!B:B,ATB!M:M)</f>
        <v>0</v>
      </c>
    </row>
    <row r="56" spans="2:9" s="202" customFormat="1" x14ac:dyDescent="0.35">
      <c r="B56" s="215" t="s">
        <v>158</v>
      </c>
      <c r="C56" s="117"/>
      <c r="D56" s="200">
        <f>SUMIF(ATB!D:D,CS!B:B,ATB!F:F)</f>
        <v>0</v>
      </c>
      <c r="E56" s="200">
        <f>SUMIF(ATB!D:D,CS!B:B,ATB!G:G)</f>
        <v>0</v>
      </c>
      <c r="F56" s="200">
        <f>SUMIF(ATB!D:D,CS!B:B,ATB!H:H)+SUMIF(ATB!D:D,CS!B:B,ATB!J:J)</f>
        <v>0</v>
      </c>
      <c r="G56" s="200">
        <f>SUMIF(ATB!D:D,CS!B:B,ATB!I:I)+SUMIF(ATB!D:D,CS!B:B,ATB!K:K)</f>
        <v>0</v>
      </c>
      <c r="H56" s="212">
        <f>SUMIF(ATB!D:D,CS!B:B,ATB!L:L)</f>
        <v>0</v>
      </c>
      <c r="I56" s="213">
        <f>SUMIF(ATB!D:D,CS!B:B,ATB!M:M)</f>
        <v>0</v>
      </c>
    </row>
    <row r="57" spans="2:9" s="202" customFormat="1" x14ac:dyDescent="0.35">
      <c r="B57" s="215" t="s">
        <v>157</v>
      </c>
      <c r="C57" s="117"/>
      <c r="D57" s="200">
        <f>SUMIF(ATB!D:D,CS!B:B,ATB!F:F)</f>
        <v>0</v>
      </c>
      <c r="E57" s="200">
        <f>SUMIF(ATB!D:D,CS!B:B,ATB!G:G)</f>
        <v>0</v>
      </c>
      <c r="F57" s="200">
        <f>SUMIF(ATB!D:D,CS!B:B,ATB!H:H)+SUMIF(ATB!D:D,CS!B:B,ATB!J:J)</f>
        <v>0</v>
      </c>
      <c r="G57" s="200">
        <f>SUMIF(ATB!D:D,CS!B:B,ATB!I:I)+SUMIF(ATB!D:D,CS!B:B,ATB!K:K)</f>
        <v>0</v>
      </c>
      <c r="H57" s="212">
        <f>SUMIF(ATB!D:D,CS!B:B,ATB!L:L)</f>
        <v>0</v>
      </c>
      <c r="I57" s="213">
        <f>SUMIF(ATB!D:D,CS!B:B,ATB!M:M)</f>
        <v>0</v>
      </c>
    </row>
    <row r="58" spans="2:9" s="202" customFormat="1" x14ac:dyDescent="0.35">
      <c r="B58" s="215" t="s">
        <v>108</v>
      </c>
      <c r="C58" s="117"/>
      <c r="D58" s="200">
        <f>SUMIF(ATB!D:D,CS!B:B,ATB!F:F)</f>
        <v>0</v>
      </c>
      <c r="E58" s="200">
        <f>SUMIF(ATB!D:D,CS!B:B,ATB!G:G)</f>
        <v>0</v>
      </c>
      <c r="F58" s="200">
        <f>SUMIF(ATB!D:D,CS!B:B,ATB!H:H)+SUMIF(ATB!D:D,CS!B:B,ATB!J:J)</f>
        <v>0</v>
      </c>
      <c r="G58" s="200">
        <f>SUMIF(ATB!D:D,CS!B:B,ATB!I:I)+SUMIF(ATB!D:D,CS!B:B,ATB!K:K)</f>
        <v>0</v>
      </c>
      <c r="H58" s="212">
        <f>SUMIF(ATB!D:D,CS!B:B,ATB!L:L)</f>
        <v>0</v>
      </c>
      <c r="I58" s="213">
        <f>SUMIF(ATB!D:D,CS!B:B,ATB!M:M)</f>
        <v>0</v>
      </c>
    </row>
    <row r="59" spans="2:9" s="202" customFormat="1" x14ac:dyDescent="0.35">
      <c r="B59" s="215" t="s">
        <v>109</v>
      </c>
      <c r="C59" s="117"/>
      <c r="D59" s="200">
        <f>SUMIF(ATB!D:D,CS!B:B,ATB!F:F)</f>
        <v>0</v>
      </c>
      <c r="E59" s="200">
        <f>SUMIF(ATB!D:D,CS!B:B,ATB!G:G)</f>
        <v>0</v>
      </c>
      <c r="F59" s="200">
        <f>SUMIF(ATB!D:D,CS!B:B,ATB!H:H)+SUMIF(ATB!D:D,CS!B:B,ATB!J:J)</f>
        <v>0</v>
      </c>
      <c r="G59" s="200">
        <f>SUMIF(ATB!D:D,CS!B:B,ATB!I:I)+SUMIF(ATB!D:D,CS!B:B,ATB!K:K)</f>
        <v>0</v>
      </c>
      <c r="H59" s="212">
        <f>SUMIF(ATB!D:D,CS!B:B,ATB!L:L)</f>
        <v>0</v>
      </c>
      <c r="I59" s="213">
        <f>SUMIF(ATB!D:D,CS!B:B,ATB!M:M)</f>
        <v>0</v>
      </c>
    </row>
    <row r="60" spans="2:9" s="202" customFormat="1" x14ac:dyDescent="0.35">
      <c r="B60" s="215" t="s">
        <v>110</v>
      </c>
      <c r="C60" s="117"/>
      <c r="D60" s="200">
        <f>SUMIF(ATB!D:D,CS!B:B,ATB!F:F)</f>
        <v>0</v>
      </c>
      <c r="E60" s="200">
        <f>SUMIF(ATB!D:D,CS!B:B,ATB!G:G)</f>
        <v>0</v>
      </c>
      <c r="F60" s="200">
        <f>SUMIF(ATB!D:D,CS!B:B,ATB!H:H)+SUMIF(ATB!D:D,CS!B:B,ATB!J:J)</f>
        <v>0</v>
      </c>
      <c r="G60" s="200">
        <f>SUMIF(ATB!D:D,CS!B:B,ATB!I:I)+SUMIF(ATB!D:D,CS!B:B,ATB!K:K)</f>
        <v>0</v>
      </c>
      <c r="H60" s="212">
        <f>SUMIF(ATB!D:D,CS!B:B,ATB!L:L)</f>
        <v>0</v>
      </c>
      <c r="I60" s="213">
        <f>SUMIF(ATB!D:D,CS!B:B,ATB!M:M)</f>
        <v>0</v>
      </c>
    </row>
    <row r="61" spans="2:9" s="202" customFormat="1" x14ac:dyDescent="0.35">
      <c r="B61" s="215" t="s">
        <v>159</v>
      </c>
      <c r="C61" s="117"/>
      <c r="D61" s="200">
        <f>SUMIF(ATB!D:D,CS!B:B,ATB!F:F)</f>
        <v>0</v>
      </c>
      <c r="E61" s="200">
        <f>SUMIF(ATB!D:D,CS!B:B,ATB!G:G)</f>
        <v>0</v>
      </c>
      <c r="F61" s="200">
        <f>SUMIF(ATB!D:D,CS!B:B,ATB!H:H)+SUMIF(ATB!D:D,CS!B:B,ATB!J:J)</f>
        <v>0</v>
      </c>
      <c r="G61" s="200">
        <f>SUMIF(ATB!D:D,CS!B:B,ATB!I:I)+SUMIF(ATB!D:D,CS!B:B,ATB!K:K)</f>
        <v>0</v>
      </c>
      <c r="H61" s="212">
        <f>SUMIF(ATB!D:D,CS!B:B,ATB!L:L)</f>
        <v>0</v>
      </c>
      <c r="I61" s="213">
        <f>SUMIF(ATB!D:D,CS!B:B,ATB!M:M)</f>
        <v>0</v>
      </c>
    </row>
    <row r="62" spans="2:9" s="202" customFormat="1" x14ac:dyDescent="0.35">
      <c r="B62" s="215" t="s">
        <v>160</v>
      </c>
      <c r="C62" s="117"/>
      <c r="D62" s="200">
        <f>SUMIF(ATB!D:D,CS!B:B,ATB!F:F)</f>
        <v>0</v>
      </c>
      <c r="E62" s="200">
        <f>SUMIF(ATB!D:D,CS!B:B,ATB!G:G)</f>
        <v>0</v>
      </c>
      <c r="F62" s="200">
        <f>SUMIF(ATB!D:D,CS!B:B,ATB!H:H)+SUMIF(ATB!D:D,CS!B:B,ATB!J:J)</f>
        <v>0</v>
      </c>
      <c r="G62" s="200">
        <f>SUMIF(ATB!D:D,CS!B:B,ATB!I:I)+SUMIF(ATB!D:D,CS!B:B,ATB!K:K)</f>
        <v>0</v>
      </c>
      <c r="H62" s="212">
        <f>SUMIF(ATB!D:D,CS!B:B,ATB!L:L)</f>
        <v>0</v>
      </c>
      <c r="I62" s="213">
        <f>SUMIF(ATB!D:D,CS!B:B,ATB!M:M)</f>
        <v>0</v>
      </c>
    </row>
    <row r="63" spans="2:9" s="202" customFormat="1" x14ac:dyDescent="0.35">
      <c r="B63" s="215"/>
      <c r="C63" s="117"/>
      <c r="D63" s="200">
        <f>SUMIF(ATB!D:D,CS!B:B,ATB!F:F)</f>
        <v>0</v>
      </c>
      <c r="E63" s="200">
        <f>SUMIF(ATB!D:D,CS!B:B,ATB!G:G)</f>
        <v>0</v>
      </c>
      <c r="F63" s="200">
        <f>SUMIF(ATB!D:D,CS!B:B,ATB!H:H)+SUMIF(ATB!D:D,CS!B:B,ATB!J:J)</f>
        <v>0</v>
      </c>
      <c r="G63" s="200">
        <f>SUMIF(ATB!D:D,CS!B:B,ATB!I:I)+SUMIF(ATB!D:D,CS!B:B,ATB!K:K)</f>
        <v>0</v>
      </c>
      <c r="H63" s="212">
        <f>SUMIF(ATB!D:D,CS!B:B,ATB!L:L)</f>
        <v>0</v>
      </c>
      <c r="I63" s="213">
        <f>SUMIF(ATB!D:D,CS!B:B,ATB!M:M)</f>
        <v>0</v>
      </c>
    </row>
    <row r="64" spans="2:9" s="202" customFormat="1" x14ac:dyDescent="0.35">
      <c r="B64" s="215"/>
      <c r="C64" s="117"/>
      <c r="D64" s="200">
        <f>SUMIF(ATB!D:D,CS!B:B,ATB!F:F)</f>
        <v>0</v>
      </c>
      <c r="E64" s="200">
        <f>SUMIF(ATB!D:D,CS!B:B,ATB!G:G)</f>
        <v>0</v>
      </c>
      <c r="F64" s="200">
        <f>SUMIF(ATB!D:D,CS!B:B,ATB!H:H)+SUMIF(ATB!D:D,CS!B:B,ATB!J:J)</f>
        <v>0</v>
      </c>
      <c r="G64" s="200">
        <f>SUMIF(ATB!D:D,CS!B:B,ATB!I:I)+SUMIF(ATB!D:D,CS!B:B,ATB!K:K)</f>
        <v>0</v>
      </c>
      <c r="H64" s="212">
        <f>SUMIF(ATB!D:D,CS!B:B,ATB!L:L)</f>
        <v>0</v>
      </c>
      <c r="I64" s="213">
        <f>SUMIF(ATB!D:D,CS!B:B,ATB!M:M)</f>
        <v>0</v>
      </c>
    </row>
    <row r="65" spans="2:9" s="202" customFormat="1" x14ac:dyDescent="0.35">
      <c r="B65" s="214" t="s">
        <v>124</v>
      </c>
      <c r="C65" s="117"/>
      <c r="D65" s="200">
        <f>SUMIF(ATB!D:D,CS!B:B,ATB!F:F)</f>
        <v>0</v>
      </c>
      <c r="E65" s="200">
        <f>SUMIF(ATB!D:D,CS!B:B,ATB!G:G)</f>
        <v>0</v>
      </c>
      <c r="F65" s="200">
        <f>SUMIF(ATB!D:D,CS!B:B,ATB!H:H)+SUMIF(ATB!D:D,CS!B:B,ATB!J:J)</f>
        <v>0</v>
      </c>
      <c r="G65" s="200">
        <f>SUMIF(ATB!D:D,CS!B:B,ATB!I:I)+SUMIF(ATB!D:D,CS!B:B,ATB!K:K)</f>
        <v>0</v>
      </c>
      <c r="H65" s="212">
        <f>SUMIF(ATB!D:D,CS!B:B,ATB!L:L)</f>
        <v>0</v>
      </c>
      <c r="I65" s="213">
        <f>SUMIF(ATB!D:D,CS!B:B,ATB!M:M)</f>
        <v>0</v>
      </c>
    </row>
    <row r="66" spans="2:9" s="202" customFormat="1" x14ac:dyDescent="0.35">
      <c r="B66" s="215" t="s">
        <v>92</v>
      </c>
      <c r="C66" s="117"/>
      <c r="D66" s="200">
        <f>SUMIF(ATB!D:D,CS!B:B,ATB!F:F)</f>
        <v>0</v>
      </c>
      <c r="E66" s="200">
        <f>SUMIF(ATB!D:D,CS!B:B,ATB!G:G)</f>
        <v>0</v>
      </c>
      <c r="F66" s="200">
        <f>SUMIF(ATB!D:D,CS!B:B,ATB!H:H)+SUMIF(ATB!D:D,CS!B:B,ATB!J:J)</f>
        <v>0</v>
      </c>
      <c r="G66" s="200">
        <f>SUMIF(ATB!D:D,CS!B:B,ATB!I:I)+SUMIF(ATB!D:D,CS!B:B,ATB!K:K)</f>
        <v>0</v>
      </c>
      <c r="H66" s="212">
        <f>SUMIF(ATB!D:D,CS!B:B,ATB!L:L)</f>
        <v>0</v>
      </c>
      <c r="I66" s="213">
        <f>SUMIF(ATB!D:D,CS!B:B,ATB!M:M)</f>
        <v>0</v>
      </c>
    </row>
    <row r="67" spans="2:9" s="202" customFormat="1" x14ac:dyDescent="0.35">
      <c r="B67" s="215" t="s">
        <v>95</v>
      </c>
      <c r="C67" s="117"/>
      <c r="D67" s="200">
        <f>SUMIF(ATB!D:D,CS!B:B,ATB!F:F)</f>
        <v>0</v>
      </c>
      <c r="E67" s="200">
        <f>SUMIF(ATB!D:D,CS!B:B,ATB!G:G)</f>
        <v>0</v>
      </c>
      <c r="F67" s="200">
        <f>SUMIF(ATB!D:D,CS!B:B,ATB!H:H)+SUMIF(ATB!D:D,CS!B:B,ATB!J:J)</f>
        <v>0</v>
      </c>
      <c r="G67" s="200">
        <f>SUMIF(ATB!D:D,CS!B:B,ATB!I:I)+SUMIF(ATB!D:D,CS!B:B,ATB!K:K)</f>
        <v>0</v>
      </c>
      <c r="H67" s="212">
        <f>SUMIF(ATB!D:D,CS!B:B,ATB!L:L)</f>
        <v>0</v>
      </c>
      <c r="I67" s="213">
        <f>SUMIF(ATB!D:D,CS!B:B,ATB!M:M)</f>
        <v>0</v>
      </c>
    </row>
    <row r="68" spans="2:9" s="202" customFormat="1" x14ac:dyDescent="0.35">
      <c r="B68" s="215" t="s">
        <v>386</v>
      </c>
      <c r="C68" s="117"/>
      <c r="D68" s="200">
        <f>SUMIF(ATB!D:D,CS!B:B,ATB!F:F)</f>
        <v>0</v>
      </c>
      <c r="E68" s="200">
        <f>SUMIF(ATB!D:D,CS!B:B,ATB!G:G)</f>
        <v>0</v>
      </c>
      <c r="F68" s="200">
        <f>SUMIF(ATB!D:D,CS!B:B,ATB!H:H)+SUMIF(ATB!D:D,CS!B:B,ATB!J:J)</f>
        <v>0</v>
      </c>
      <c r="G68" s="200">
        <f>SUMIF(ATB!D:D,CS!B:B,ATB!I:I)+SUMIF(ATB!D:D,CS!B:B,ATB!K:K)</f>
        <v>0</v>
      </c>
      <c r="H68" s="212">
        <f>SUMIF(ATB!D:D,CS!B:B,ATB!L:L)</f>
        <v>0</v>
      </c>
      <c r="I68" s="213">
        <f>SUMIF(ATB!D:D,CS!B:B,ATB!M:M)</f>
        <v>0</v>
      </c>
    </row>
    <row r="69" spans="2:9" s="202" customFormat="1" x14ac:dyDescent="0.35">
      <c r="B69" s="215"/>
      <c r="C69" s="117"/>
      <c r="D69" s="200">
        <f>SUMIF(ATB!D:D,CS!B:B,ATB!F:F)</f>
        <v>0</v>
      </c>
      <c r="E69" s="200">
        <f>SUMIF(ATB!D:D,CS!B:B,ATB!G:G)</f>
        <v>0</v>
      </c>
      <c r="F69" s="200">
        <f>SUMIF(ATB!D:D,CS!B:B,ATB!H:H)+SUMIF(ATB!D:D,CS!B:B,ATB!J:J)</f>
        <v>0</v>
      </c>
      <c r="G69" s="200">
        <f>SUMIF(ATB!D:D,CS!B:B,ATB!I:I)+SUMIF(ATB!D:D,CS!B:B,ATB!K:K)</f>
        <v>0</v>
      </c>
      <c r="H69" s="212">
        <f>SUMIF(ATB!D:D,CS!B:B,ATB!L:L)</f>
        <v>0</v>
      </c>
      <c r="I69" s="213">
        <f>SUMIF(ATB!D:D,CS!B:B,ATB!M:M)</f>
        <v>0</v>
      </c>
    </row>
    <row r="70" spans="2:9" s="202" customFormat="1" x14ac:dyDescent="0.35">
      <c r="B70" s="215"/>
      <c r="C70" s="117"/>
      <c r="D70" s="200">
        <f>SUMIF(ATB!D:D,CS!B:B,ATB!F:F)</f>
        <v>0</v>
      </c>
      <c r="E70" s="200">
        <f>SUMIF(ATB!D:D,CS!B:B,ATB!G:G)</f>
        <v>0</v>
      </c>
      <c r="F70" s="200">
        <f>SUMIF(ATB!D:D,CS!B:B,ATB!H:H)+SUMIF(ATB!D:D,CS!B:B,ATB!J:J)</f>
        <v>0</v>
      </c>
      <c r="G70" s="200">
        <f>SUMIF(ATB!D:D,CS!B:B,ATB!I:I)+SUMIF(ATB!D:D,CS!B:B,ATB!K:K)</f>
        <v>0</v>
      </c>
      <c r="H70" s="212">
        <f>SUMIF(ATB!D:D,CS!B:B,ATB!L:L)</f>
        <v>0</v>
      </c>
      <c r="I70" s="213">
        <f>SUMIF(ATB!D:D,CS!B:B,ATB!M:M)</f>
        <v>0</v>
      </c>
    </row>
    <row r="71" spans="2:9" s="202" customFormat="1" x14ac:dyDescent="0.35">
      <c r="B71" s="215"/>
      <c r="C71" s="117"/>
      <c r="D71" s="200">
        <f>SUMIF(ATB!D:D,CS!B:B,ATB!F:F)</f>
        <v>0</v>
      </c>
      <c r="E71" s="200">
        <f>SUMIF(ATB!D:D,CS!B:B,ATB!G:G)</f>
        <v>0</v>
      </c>
      <c r="F71" s="200">
        <f>SUMIF(ATB!D:D,CS!B:B,ATB!H:H)+SUMIF(ATB!D:D,CS!B:B,ATB!J:J)</f>
        <v>0</v>
      </c>
      <c r="G71" s="200">
        <f>SUMIF(ATB!D:D,CS!B:B,ATB!I:I)+SUMIF(ATB!D:D,CS!B:B,ATB!K:K)</f>
        <v>0</v>
      </c>
      <c r="H71" s="212">
        <f>SUMIF(ATB!D:D,CS!B:B,ATB!L:L)</f>
        <v>0</v>
      </c>
      <c r="I71" s="213">
        <f>SUMIF(ATB!D:D,CS!B:B,ATB!M:M)</f>
        <v>0</v>
      </c>
    </row>
    <row r="72" spans="2:9" s="202" customFormat="1" x14ac:dyDescent="0.35">
      <c r="B72" s="214" t="s">
        <v>122</v>
      </c>
      <c r="C72" s="117"/>
      <c r="D72" s="200">
        <f>SUMIF(ATB!D:D,CS!B:B,ATB!F:F)</f>
        <v>0</v>
      </c>
      <c r="E72" s="200">
        <f>SUMIF(ATB!D:D,CS!B:B,ATB!G:G)</f>
        <v>0</v>
      </c>
      <c r="F72" s="200">
        <f>SUMIF(ATB!D:D,CS!B:B,ATB!H:H)+SUMIF(ATB!D:D,CS!B:B,ATB!J:J)</f>
        <v>0</v>
      </c>
      <c r="G72" s="200">
        <f>SUMIF(ATB!D:D,CS!B:B,ATB!I:I)+SUMIF(ATB!D:D,CS!B:B,ATB!K:K)</f>
        <v>0</v>
      </c>
      <c r="H72" s="212">
        <f>SUMIF(ATB!D:D,CS!B:B,ATB!L:L)</f>
        <v>0</v>
      </c>
      <c r="I72" s="213">
        <f>SUMIF(ATB!D:D,CS!B:B,ATB!M:M)</f>
        <v>0</v>
      </c>
    </row>
    <row r="73" spans="2:9" s="202" customFormat="1" x14ac:dyDescent="0.35">
      <c r="B73" s="215" t="s">
        <v>381</v>
      </c>
      <c r="C73" s="117"/>
      <c r="D73" s="200">
        <f>SUMIF(ATB!D:D,CS!B:B,ATB!F:F)</f>
        <v>0</v>
      </c>
      <c r="E73" s="200">
        <f>SUMIF(ATB!D:D,CS!B:B,ATB!G:G)</f>
        <v>0</v>
      </c>
      <c r="F73" s="200">
        <f>SUMIF(ATB!D:D,CS!B:B,ATB!H:H)+SUMIF(ATB!D:D,CS!B:B,ATB!J:J)</f>
        <v>0</v>
      </c>
      <c r="G73" s="200">
        <f>SUMIF(ATB!D:D,CS!B:B,ATB!I:I)+SUMIF(ATB!D:D,CS!B:B,ATB!K:K)</f>
        <v>0</v>
      </c>
      <c r="H73" s="212">
        <f>SUMIF(ATB!D:D,CS!B:B,ATB!L:L)</f>
        <v>0</v>
      </c>
      <c r="I73" s="213">
        <f>SUMIF(ATB!D:D,CS!B:B,ATB!M:M)</f>
        <v>0</v>
      </c>
    </row>
    <row r="74" spans="2:9" s="202" customFormat="1" x14ac:dyDescent="0.35">
      <c r="B74" s="215" t="s">
        <v>382</v>
      </c>
      <c r="C74" s="117"/>
      <c r="D74" s="200">
        <f>SUMIF(ATB!D:D,CS!B:B,ATB!F:F)</f>
        <v>0</v>
      </c>
      <c r="E74" s="200">
        <f>SUMIF(ATB!D:D,CS!B:B,ATB!G:G)</f>
        <v>0</v>
      </c>
      <c r="F74" s="200">
        <f>SUMIF(ATB!D:D,CS!B:B,ATB!H:H)+SUMIF(ATB!D:D,CS!B:B,ATB!J:J)</f>
        <v>0</v>
      </c>
      <c r="G74" s="200">
        <f>SUMIF(ATB!D:D,CS!B:B,ATB!I:I)+SUMIF(ATB!D:D,CS!B:B,ATB!K:K)</f>
        <v>0</v>
      </c>
      <c r="H74" s="212">
        <f>SUMIF(ATB!D:D,CS!B:B,ATB!L:L)</f>
        <v>0</v>
      </c>
      <c r="I74" s="213">
        <f>SUMIF(ATB!D:D,CS!B:B,ATB!M:M)</f>
        <v>0</v>
      </c>
    </row>
    <row r="75" spans="2:9" s="202" customFormat="1" x14ac:dyDescent="0.35">
      <c r="B75" s="215" t="s">
        <v>131</v>
      </c>
      <c r="C75" s="117"/>
      <c r="D75" s="200">
        <f>SUMIF(ATB!D:D,CS!B:B,ATB!F:F)</f>
        <v>0</v>
      </c>
      <c r="E75" s="200">
        <f>SUMIF(ATB!D:D,CS!B:B,ATB!G:G)</f>
        <v>0</v>
      </c>
      <c r="F75" s="200">
        <f>SUMIF(ATB!D:D,CS!B:B,ATB!H:H)+SUMIF(ATB!D:D,CS!B:B,ATB!J:J)</f>
        <v>0</v>
      </c>
      <c r="G75" s="200">
        <f>SUMIF(ATB!D:D,CS!B:B,ATB!I:I)+SUMIF(ATB!D:D,CS!B:B,ATB!K:K)</f>
        <v>0</v>
      </c>
      <c r="H75" s="212">
        <f>SUMIF(ATB!D:D,CS!B:B,ATB!L:L)</f>
        <v>0</v>
      </c>
      <c r="I75" s="213">
        <f>SUMIF(ATB!D:D,CS!B:B,ATB!M:M)</f>
        <v>0</v>
      </c>
    </row>
    <row r="76" spans="2:9" s="202" customFormat="1" x14ac:dyDescent="0.35">
      <c r="B76" s="215" t="s">
        <v>129</v>
      </c>
      <c r="C76" s="117"/>
      <c r="D76" s="200">
        <f>SUMIF(ATB!D:D,CS!B:B,ATB!F:F)</f>
        <v>0</v>
      </c>
      <c r="E76" s="200">
        <f>SUMIF(ATB!D:D,CS!B:B,ATB!G:G)</f>
        <v>0</v>
      </c>
      <c r="F76" s="200">
        <f>SUMIF(ATB!D:D,CS!B:B,ATB!H:H)+SUMIF(ATB!D:D,CS!B:B,ATB!J:J)</f>
        <v>0</v>
      </c>
      <c r="G76" s="200">
        <f>SUMIF(ATB!D:D,CS!B:B,ATB!I:I)+SUMIF(ATB!D:D,CS!B:B,ATB!K:K)</f>
        <v>0</v>
      </c>
      <c r="H76" s="212">
        <f>SUMIF(ATB!D:D,CS!B:B,ATB!L:L)</f>
        <v>0</v>
      </c>
      <c r="I76" s="213">
        <f>SUMIF(ATB!D:D,CS!B:B,ATB!M:M)</f>
        <v>0</v>
      </c>
    </row>
    <row r="77" spans="2:9" s="202" customFormat="1" x14ac:dyDescent="0.35">
      <c r="B77" s="215" t="s">
        <v>764</v>
      </c>
      <c r="C77" s="117"/>
      <c r="D77" s="200">
        <f>SUMIF(ATB!D:D,CS!B:B,ATB!F:F)</f>
        <v>0</v>
      </c>
      <c r="E77" s="200">
        <f>SUMIF(ATB!D:D,CS!B:B,ATB!G:G)</f>
        <v>0</v>
      </c>
      <c r="F77" s="200">
        <f>SUMIF(ATB!D:D,CS!B:B,ATB!H:H)+SUMIF(ATB!D:D,CS!B:B,ATB!J:J)</f>
        <v>0</v>
      </c>
      <c r="G77" s="200">
        <f>SUMIF(ATB!D:D,CS!B:B,ATB!I:I)+SUMIF(ATB!D:D,CS!B:B,ATB!K:K)</f>
        <v>0</v>
      </c>
      <c r="H77" s="212">
        <f>SUMIF(ATB!D:D,CS!B:B,ATB!L:L)</f>
        <v>0</v>
      </c>
      <c r="I77" s="213">
        <f>SUMIF(ATB!D:D,CS!B:B,ATB!M:M)</f>
        <v>0</v>
      </c>
    </row>
    <row r="78" spans="2:9" s="202" customFormat="1" x14ac:dyDescent="0.35">
      <c r="B78" s="215" t="s">
        <v>130</v>
      </c>
      <c r="C78" s="117"/>
      <c r="D78" s="200">
        <f>SUMIF(ATB!D:D,CS!B:B,ATB!F:F)</f>
        <v>0</v>
      </c>
      <c r="E78" s="200">
        <f>SUMIF(ATB!D:D,CS!B:B,ATB!G:G)</f>
        <v>0</v>
      </c>
      <c r="F78" s="200">
        <f>SUMIF(ATB!D:D,CS!B:B,ATB!H:H)+SUMIF(ATB!D:D,CS!B:B,ATB!J:J)</f>
        <v>0</v>
      </c>
      <c r="G78" s="200">
        <f>SUMIF(ATB!D:D,CS!B:B,ATB!I:I)+SUMIF(ATB!D:D,CS!B:B,ATB!K:K)</f>
        <v>0</v>
      </c>
      <c r="H78" s="212">
        <f>SUMIF(ATB!D:D,CS!B:B,ATB!L:L)</f>
        <v>0</v>
      </c>
      <c r="I78" s="213">
        <f>SUMIF(ATB!D:D,CS!B:B,ATB!M:M)</f>
        <v>0</v>
      </c>
    </row>
    <row r="79" spans="2:9" s="202" customFormat="1" x14ac:dyDescent="0.35">
      <c r="B79" s="215" t="s">
        <v>132</v>
      </c>
      <c r="C79" s="117"/>
      <c r="D79" s="200">
        <f>SUMIF(ATB!D:D,CS!B:B,ATB!F:F)</f>
        <v>0</v>
      </c>
      <c r="E79" s="200">
        <f>SUMIF(ATB!D:D,CS!B:B,ATB!G:G)</f>
        <v>0</v>
      </c>
      <c r="F79" s="200">
        <f>SUMIF(ATB!D:D,CS!B:B,ATB!H:H)+SUMIF(ATB!D:D,CS!B:B,ATB!J:J)</f>
        <v>0</v>
      </c>
      <c r="G79" s="200">
        <f>SUMIF(ATB!D:D,CS!B:B,ATB!I:I)+SUMIF(ATB!D:D,CS!B:B,ATB!K:K)</f>
        <v>0</v>
      </c>
      <c r="H79" s="212">
        <f>SUMIF(ATB!D:D,CS!B:B,ATB!L:L)</f>
        <v>0</v>
      </c>
      <c r="I79" s="213">
        <f>SUMIF(ATB!D:D,CS!B:B,ATB!M:M)</f>
        <v>0</v>
      </c>
    </row>
    <row r="80" spans="2:9" s="202" customFormat="1" x14ac:dyDescent="0.35">
      <c r="B80" s="215" t="s">
        <v>133</v>
      </c>
      <c r="C80" s="117"/>
      <c r="D80" s="200">
        <f>SUMIF(ATB!D:D,CS!B:B,ATB!F:F)</f>
        <v>0</v>
      </c>
      <c r="E80" s="200">
        <f>SUMIF(ATB!D:D,CS!B:B,ATB!G:G)</f>
        <v>0</v>
      </c>
      <c r="F80" s="200">
        <f>SUMIF(ATB!D:D,CS!B:B,ATB!H:H)+SUMIF(ATB!D:D,CS!B:B,ATB!J:J)</f>
        <v>0</v>
      </c>
      <c r="G80" s="200">
        <f>SUMIF(ATB!D:D,CS!B:B,ATB!I:I)+SUMIF(ATB!D:D,CS!B:B,ATB!K:K)</f>
        <v>0</v>
      </c>
      <c r="H80" s="212">
        <f>SUMIF(ATB!D:D,CS!B:B,ATB!L:L)</f>
        <v>0</v>
      </c>
      <c r="I80" s="213">
        <f>SUMIF(ATB!D:D,CS!B:B,ATB!M:M)</f>
        <v>0</v>
      </c>
    </row>
    <row r="81" spans="2:9" s="202" customFormat="1" x14ac:dyDescent="0.35">
      <c r="B81" s="215"/>
      <c r="C81" s="117"/>
      <c r="D81" s="200">
        <f>SUMIF(ATB!D:D,CS!B:B,ATB!F:F)</f>
        <v>0</v>
      </c>
      <c r="E81" s="200">
        <f>SUMIF(ATB!D:D,CS!B:B,ATB!G:G)</f>
        <v>0</v>
      </c>
      <c r="F81" s="200">
        <f>SUMIF(ATB!D:D,CS!B:B,ATB!H:H)+SUMIF(ATB!D:D,CS!B:B,ATB!J:J)</f>
        <v>0</v>
      </c>
      <c r="G81" s="200">
        <f>SUMIF(ATB!D:D,CS!B:B,ATB!I:I)+SUMIF(ATB!D:D,CS!B:B,ATB!K:K)</f>
        <v>0</v>
      </c>
      <c r="H81" s="212">
        <f>SUMIF(ATB!D:D,CS!B:B,ATB!L:L)</f>
        <v>0</v>
      </c>
      <c r="I81" s="213">
        <f>SUMIF(ATB!D:D,CS!B:B,ATB!M:M)</f>
        <v>0</v>
      </c>
    </row>
    <row r="82" spans="2:9" s="202" customFormat="1" x14ac:dyDescent="0.35">
      <c r="B82" s="215"/>
      <c r="C82" s="117"/>
      <c r="D82" s="200">
        <f>SUMIF(ATB!D:D,CS!B:B,ATB!F:F)</f>
        <v>0</v>
      </c>
      <c r="E82" s="200">
        <f>SUMIF(ATB!D:D,CS!B:B,ATB!G:G)</f>
        <v>0</v>
      </c>
      <c r="F82" s="200">
        <f>SUMIF(ATB!D:D,CS!B:B,ATB!H:H)+SUMIF(ATB!D:D,CS!B:B,ATB!J:J)</f>
        <v>0</v>
      </c>
      <c r="G82" s="200">
        <f>SUMIF(ATB!D:D,CS!B:B,ATB!I:I)+SUMIF(ATB!D:D,CS!B:B,ATB!K:K)</f>
        <v>0</v>
      </c>
      <c r="H82" s="212">
        <f>SUMIF(ATB!D:D,CS!B:B,ATB!L:L)</f>
        <v>0</v>
      </c>
      <c r="I82" s="213">
        <f>SUMIF(ATB!D:D,CS!B:B,ATB!M:M)</f>
        <v>0</v>
      </c>
    </row>
    <row r="83" spans="2:9" s="202" customFormat="1" x14ac:dyDescent="0.35">
      <c r="B83" s="215"/>
      <c r="C83" s="117"/>
      <c r="D83" s="200">
        <f>SUMIF(ATB!D:D,CS!B:B,ATB!F:F)</f>
        <v>0</v>
      </c>
      <c r="E83" s="200">
        <f>SUMIF(ATB!D:D,CS!B:B,ATB!G:G)</f>
        <v>0</v>
      </c>
      <c r="F83" s="200">
        <f>SUMIF(ATB!D:D,CS!B:B,ATB!H:H)+SUMIF(ATB!D:D,CS!B:B,ATB!J:J)</f>
        <v>0</v>
      </c>
      <c r="G83" s="200">
        <f>SUMIF(ATB!D:D,CS!B:B,ATB!I:I)+SUMIF(ATB!D:D,CS!B:B,ATB!K:K)</f>
        <v>0</v>
      </c>
      <c r="H83" s="212">
        <f>SUMIF(ATB!D:D,CS!B:B,ATB!L:L)</f>
        <v>0</v>
      </c>
      <c r="I83" s="213">
        <f>SUMIF(ATB!D:D,CS!B:B,ATB!M:M)</f>
        <v>0</v>
      </c>
    </row>
    <row r="84" spans="2:9" s="202" customFormat="1" x14ac:dyDescent="0.35">
      <c r="B84" s="214" t="s">
        <v>123</v>
      </c>
      <c r="C84" s="117"/>
      <c r="D84" s="200">
        <f>SUMIF(ATB!D:D,CS!B:B,ATB!F:F)</f>
        <v>0</v>
      </c>
      <c r="E84" s="200">
        <f>SUMIF(ATB!D:D,CS!B:B,ATB!G:G)</f>
        <v>0</v>
      </c>
      <c r="F84" s="200">
        <f>SUMIF(ATB!D:D,CS!B:B,ATB!H:H)+SUMIF(ATB!D:D,CS!B:B,ATB!J:J)</f>
        <v>0</v>
      </c>
      <c r="G84" s="200">
        <f>SUMIF(ATB!D:D,CS!B:B,ATB!I:I)+SUMIF(ATB!D:D,CS!B:B,ATB!K:K)</f>
        <v>0</v>
      </c>
      <c r="H84" s="212">
        <f>SUMIF(ATB!D:D,CS!B:B,ATB!L:L)</f>
        <v>0</v>
      </c>
      <c r="I84" s="213">
        <f>SUMIF(ATB!D:D,CS!B:B,ATB!M:M)</f>
        <v>0</v>
      </c>
    </row>
    <row r="85" spans="2:9" s="202" customFormat="1" x14ac:dyDescent="0.35">
      <c r="B85" s="215" t="s">
        <v>93</v>
      </c>
      <c r="C85" s="117"/>
      <c r="D85" s="200">
        <f>SUMIF(ATB!D:D,CS!B:B,ATB!F:F)</f>
        <v>0</v>
      </c>
      <c r="E85" s="200">
        <f>SUMIF(ATB!D:D,CS!B:B,ATB!G:G)</f>
        <v>0</v>
      </c>
      <c r="F85" s="200">
        <f>SUMIF(ATB!D:D,CS!B:B,ATB!H:H)+SUMIF(ATB!D:D,CS!B:B,ATB!J:J)</f>
        <v>0</v>
      </c>
      <c r="G85" s="200">
        <f>SUMIF(ATB!D:D,CS!B:B,ATB!I:I)+SUMIF(ATB!D:D,CS!B:B,ATB!K:K)</f>
        <v>0</v>
      </c>
      <c r="H85" s="212">
        <f>SUMIF(ATB!D:D,CS!B:B,ATB!L:L)</f>
        <v>0</v>
      </c>
      <c r="I85" s="213">
        <f>SUMIF(ATB!D:D,CS!B:B,ATB!M:M)</f>
        <v>0</v>
      </c>
    </row>
    <row r="86" spans="2:9" s="202" customFormat="1" x14ac:dyDescent="0.35">
      <c r="B86" s="215" t="s">
        <v>94</v>
      </c>
      <c r="C86" s="117"/>
      <c r="D86" s="200">
        <f>SUMIF(ATB!D:D,CS!B:B,ATB!F:F)</f>
        <v>0</v>
      </c>
      <c r="E86" s="200">
        <f>SUMIF(ATB!D:D,CS!B:B,ATB!G:G)</f>
        <v>0</v>
      </c>
      <c r="F86" s="200">
        <f>SUMIF(ATB!D:D,CS!B:B,ATB!H:H)+SUMIF(ATB!D:D,CS!B:B,ATB!J:J)</f>
        <v>0</v>
      </c>
      <c r="G86" s="200">
        <f>SUMIF(ATB!D:D,CS!B:B,ATB!I:I)+SUMIF(ATB!D:D,CS!B:B,ATB!K:K)</f>
        <v>0</v>
      </c>
      <c r="H86" s="212">
        <f>SUMIF(ATB!D:D,CS!B:B,ATB!L:L)</f>
        <v>0</v>
      </c>
      <c r="I86" s="213">
        <f>SUMIF(ATB!D:D,CS!B:B,ATB!M:M)</f>
        <v>0</v>
      </c>
    </row>
    <row r="87" spans="2:9" s="202" customFormat="1" x14ac:dyDescent="0.35">
      <c r="B87" s="215" t="s">
        <v>96</v>
      </c>
      <c r="C87" s="117"/>
      <c r="D87" s="200">
        <f>SUMIF(ATB!D:D,CS!B:B,ATB!F:F)</f>
        <v>0</v>
      </c>
      <c r="E87" s="200">
        <f>SUMIF(ATB!D:D,CS!B:B,ATB!G:G)</f>
        <v>0</v>
      </c>
      <c r="F87" s="200">
        <f>SUMIF(ATB!D:D,CS!B:B,ATB!H:H)+SUMIF(ATB!D:D,CS!B:B,ATB!J:J)</f>
        <v>0</v>
      </c>
      <c r="G87" s="200">
        <f>SUMIF(ATB!D:D,CS!B:B,ATB!I:I)+SUMIF(ATB!D:D,CS!B:B,ATB!K:K)</f>
        <v>0</v>
      </c>
      <c r="H87" s="212">
        <f>SUMIF(ATB!D:D,CS!B:B,ATB!L:L)</f>
        <v>0</v>
      </c>
      <c r="I87" s="213">
        <f>SUMIF(ATB!D:D,CS!B:B,ATB!M:M)</f>
        <v>0</v>
      </c>
    </row>
    <row r="88" spans="2:9" s="202" customFormat="1" x14ac:dyDescent="0.35">
      <c r="B88" s="215" t="s">
        <v>22</v>
      </c>
      <c r="C88" s="117"/>
      <c r="D88" s="200">
        <f>SUMIF(ATB!D:D,CS!B:B,ATB!F:F)</f>
        <v>0</v>
      </c>
      <c r="E88" s="200">
        <f>SUMIF(ATB!D:D,CS!B:B,ATB!G:G)</f>
        <v>0</v>
      </c>
      <c r="F88" s="200">
        <f>SUMIF(ATB!D:D,CS!B:B,ATB!H:H)+SUMIF(ATB!D:D,CS!B:B,ATB!J:J)</f>
        <v>0</v>
      </c>
      <c r="G88" s="200">
        <f>SUMIF(ATB!D:D,CS!B:B,ATB!I:I)+SUMIF(ATB!D:D,CS!B:B,ATB!K:K)</f>
        <v>0</v>
      </c>
      <c r="H88" s="212">
        <f>SUMIF(ATB!D:D,CS!B:B,ATB!L:L)</f>
        <v>0</v>
      </c>
      <c r="I88" s="213">
        <f>SUMIF(ATB!D:D,CS!B:B,ATB!M:M)</f>
        <v>0</v>
      </c>
    </row>
    <row r="89" spans="2:9" s="202" customFormat="1" x14ac:dyDescent="0.35">
      <c r="B89" s="215" t="s">
        <v>142</v>
      </c>
      <c r="C89" s="117"/>
      <c r="D89" s="200">
        <f>SUMIF(ATB!D:D,CS!B:B,ATB!F:F)</f>
        <v>0</v>
      </c>
      <c r="E89" s="200">
        <f>SUMIF(ATB!D:D,CS!B:B,ATB!G:G)</f>
        <v>0</v>
      </c>
      <c r="F89" s="200">
        <f>SUMIF(ATB!D:D,CS!B:B,ATB!H:H)+SUMIF(ATB!D:D,CS!B:B,ATB!J:J)</f>
        <v>0</v>
      </c>
      <c r="G89" s="200">
        <f>SUMIF(ATB!D:D,CS!B:B,ATB!I:I)+SUMIF(ATB!D:D,CS!B:B,ATB!K:K)</f>
        <v>0</v>
      </c>
      <c r="H89" s="212">
        <f>SUMIF(ATB!D:D,CS!B:B,ATB!L:L)</f>
        <v>0</v>
      </c>
      <c r="I89" s="213">
        <f>SUMIF(ATB!D:D,CS!B:B,ATB!M:M)</f>
        <v>0</v>
      </c>
    </row>
    <row r="90" spans="2:9" s="202" customFormat="1" x14ac:dyDescent="0.35">
      <c r="B90" s="215" t="s">
        <v>143</v>
      </c>
      <c r="C90" s="117"/>
      <c r="D90" s="200">
        <f>SUMIF(ATB!D:D,CS!B:B,ATB!F:F)</f>
        <v>0</v>
      </c>
      <c r="E90" s="200">
        <f>SUMIF(ATB!D:D,CS!B:B,ATB!G:G)</f>
        <v>0</v>
      </c>
      <c r="F90" s="200">
        <f>SUMIF(ATB!D:D,CS!B:B,ATB!H:H)+SUMIF(ATB!D:D,CS!B:B,ATB!J:J)</f>
        <v>0</v>
      </c>
      <c r="G90" s="200">
        <f>SUMIF(ATB!D:D,CS!B:B,ATB!I:I)+SUMIF(ATB!D:D,CS!B:B,ATB!K:K)</f>
        <v>0</v>
      </c>
      <c r="H90" s="212">
        <f>SUMIF(ATB!D:D,CS!B:B,ATB!L:L)</f>
        <v>0</v>
      </c>
      <c r="I90" s="213">
        <f>SUMIF(ATB!D:D,CS!B:B,ATB!M:M)</f>
        <v>0</v>
      </c>
    </row>
    <row r="91" spans="2:9" s="202" customFormat="1" x14ac:dyDescent="0.35">
      <c r="B91" s="215" t="s">
        <v>387</v>
      </c>
      <c r="C91" s="117"/>
      <c r="D91" s="200">
        <f>SUMIF(ATB!D:D,CS!B:B,ATB!F:F)</f>
        <v>0</v>
      </c>
      <c r="E91" s="200">
        <f>SUMIF(ATB!D:D,CS!B:B,ATB!G:G)</f>
        <v>0</v>
      </c>
      <c r="F91" s="200">
        <f>SUMIF(ATB!D:D,CS!B:B,ATB!H:H)+SUMIF(ATB!D:D,CS!B:B,ATB!J:J)</f>
        <v>0</v>
      </c>
      <c r="G91" s="200">
        <f>SUMIF(ATB!D:D,CS!B:B,ATB!I:I)+SUMIF(ATB!D:D,CS!B:B,ATB!K:K)</f>
        <v>0</v>
      </c>
      <c r="H91" s="212">
        <f>SUMIF(ATB!D:D,CS!B:B,ATB!L:L)</f>
        <v>0</v>
      </c>
      <c r="I91" s="213">
        <f>SUMIF(ATB!D:D,CS!B:B,ATB!M:M)</f>
        <v>0</v>
      </c>
    </row>
    <row r="92" spans="2:9" s="202" customFormat="1" x14ac:dyDescent="0.35">
      <c r="B92" s="215"/>
      <c r="C92" s="117"/>
      <c r="D92" s="200">
        <f>SUMIF(ATB!D:D,CS!B:B,ATB!F:F)</f>
        <v>0</v>
      </c>
      <c r="E92" s="200">
        <f>SUMIF(ATB!D:D,CS!B:B,ATB!G:G)</f>
        <v>0</v>
      </c>
      <c r="F92" s="200">
        <f>SUMIF(ATB!D:D,CS!B:B,ATB!H:H)+SUMIF(ATB!D:D,CS!B:B,ATB!J:J)</f>
        <v>0</v>
      </c>
      <c r="G92" s="200">
        <f>SUMIF(ATB!D:D,CS!B:B,ATB!I:I)+SUMIF(ATB!D:D,CS!B:B,ATB!K:K)</f>
        <v>0</v>
      </c>
      <c r="H92" s="212">
        <f>SUMIF(ATB!D:D,CS!B:B,ATB!L:L)</f>
        <v>0</v>
      </c>
      <c r="I92" s="213">
        <f>SUMIF(ATB!D:D,CS!B:B,ATB!M:M)</f>
        <v>0</v>
      </c>
    </row>
    <row r="93" spans="2:9" s="202" customFormat="1" x14ac:dyDescent="0.35">
      <c r="B93" s="215"/>
      <c r="C93" s="117"/>
      <c r="D93" s="200">
        <f>SUMIF(ATB!D:D,CS!B:B,ATB!F:F)</f>
        <v>0</v>
      </c>
      <c r="E93" s="200">
        <f>SUMIF(ATB!D:D,CS!B:B,ATB!G:G)</f>
        <v>0</v>
      </c>
      <c r="F93" s="200">
        <f>SUMIF(ATB!D:D,CS!B:B,ATB!H:H)+SUMIF(ATB!D:D,CS!B:B,ATB!J:J)</f>
        <v>0</v>
      </c>
      <c r="G93" s="200">
        <f>SUMIF(ATB!D:D,CS!B:B,ATB!I:I)+SUMIF(ATB!D:D,CS!B:B,ATB!K:K)</f>
        <v>0</v>
      </c>
      <c r="H93" s="212">
        <f>SUMIF(ATB!D:D,CS!B:B,ATB!L:L)</f>
        <v>0</v>
      </c>
      <c r="I93" s="213">
        <f>SUMIF(ATB!D:D,CS!B:B,ATB!M:M)</f>
        <v>0</v>
      </c>
    </row>
    <row r="94" spans="2:9" s="202" customFormat="1" x14ac:dyDescent="0.35">
      <c r="B94" s="214" t="s">
        <v>67</v>
      </c>
      <c r="C94" s="117"/>
      <c r="D94" s="200">
        <f>SUMIF(ATB!D:D,CS!B:B,ATB!F:F)</f>
        <v>0</v>
      </c>
      <c r="E94" s="200">
        <f>SUMIF(ATB!D:D,CS!B:B,ATB!G:G)</f>
        <v>0</v>
      </c>
      <c r="F94" s="200">
        <f>SUMIF(ATB!D:D,CS!B:B,ATB!H:H)+SUMIF(ATB!D:D,CS!B:B,ATB!J:J)</f>
        <v>0</v>
      </c>
      <c r="G94" s="200">
        <f>SUMIF(ATB!D:D,CS!B:B,ATB!I:I)+SUMIF(ATB!D:D,CS!B:B,ATB!K:K)</f>
        <v>0</v>
      </c>
      <c r="H94" s="212">
        <f>SUMIF(ATB!D:D,CS!B:B,ATB!L:L)</f>
        <v>0</v>
      </c>
      <c r="I94" s="213">
        <f>SUMIF(ATB!D:D,CS!B:B,ATB!M:M)</f>
        <v>0</v>
      </c>
    </row>
    <row r="95" spans="2:9" s="202" customFormat="1" x14ac:dyDescent="0.35">
      <c r="B95" s="215" t="s">
        <v>677</v>
      </c>
      <c r="C95" s="117"/>
      <c r="D95" s="200">
        <f>SUMIF(ATB!D:D,CS!B:B,ATB!F:F)</f>
        <v>0</v>
      </c>
      <c r="E95" s="200">
        <f>SUMIF(ATB!D:D,CS!B:B,ATB!G:G)</f>
        <v>0</v>
      </c>
      <c r="F95" s="200">
        <f>SUMIF(ATB!D:D,CS!B:B,ATB!H:H)+SUMIF(ATB!D:D,CS!B:B,ATB!J:J)</f>
        <v>0</v>
      </c>
      <c r="G95" s="200">
        <f>SUMIF(ATB!D:D,CS!B:B,ATB!I:I)+SUMIF(ATB!D:D,CS!B:B,ATB!K:K)</f>
        <v>0</v>
      </c>
      <c r="H95" s="212">
        <f>SUMIF(ATB!D:D,CS!B:B,ATB!L:L)</f>
        <v>0</v>
      </c>
      <c r="I95" s="213">
        <f>SUMIF(ATB!D:D,CS!B:B,ATB!M:M)</f>
        <v>0</v>
      </c>
    </row>
    <row r="96" spans="2:9" s="202" customFormat="1" x14ac:dyDescent="0.35">
      <c r="B96" s="215" t="s">
        <v>678</v>
      </c>
      <c r="C96" s="117"/>
      <c r="D96" s="200">
        <f>SUMIF(ATB!D:D,CS!B:B,ATB!F:F)</f>
        <v>0</v>
      </c>
      <c r="E96" s="200">
        <f>SUMIF(ATB!D:D,CS!B:B,ATB!G:G)</f>
        <v>0</v>
      </c>
      <c r="F96" s="200"/>
      <c r="G96" s="200"/>
      <c r="H96" s="212"/>
      <c r="I96" s="213"/>
    </row>
    <row r="97" spans="2:9" s="202" customFormat="1" x14ac:dyDescent="0.35">
      <c r="B97" s="215" t="s">
        <v>679</v>
      </c>
      <c r="C97" s="117"/>
      <c r="D97" s="200">
        <f>SUMIF(ATB!D:D,CS!B:B,ATB!F:F)</f>
        <v>0</v>
      </c>
      <c r="E97" s="200">
        <f>SUMIF(ATB!D:D,CS!B:B,ATB!G:G)</f>
        <v>0</v>
      </c>
      <c r="F97" s="200">
        <f>SUMIF(ATB!D:D,CS!B:B,ATB!H:H)+SUMIF(ATB!D:D,CS!B:B,ATB!J:J)</f>
        <v>0</v>
      </c>
      <c r="G97" s="200">
        <f>SUMIF(ATB!D:D,CS!B:B,ATB!I:I)+SUMIF(ATB!D:D,CS!B:B,ATB!K:K)</f>
        <v>0</v>
      </c>
      <c r="H97" s="212">
        <f>SUMIF(ATB!D:D,CS!B:B,ATB!L:L)</f>
        <v>0</v>
      </c>
      <c r="I97" s="213">
        <f>SUMIF(ATB!D:D,CS!B:B,ATB!M:M)</f>
        <v>0</v>
      </c>
    </row>
    <row r="98" spans="2:9" s="202" customFormat="1" x14ac:dyDescent="0.35">
      <c r="B98" s="215" t="s">
        <v>680</v>
      </c>
      <c r="C98" s="117"/>
      <c r="D98" s="200">
        <f>SUMIF(ATB!D:D,CS!B:B,ATB!F:F)</f>
        <v>0</v>
      </c>
      <c r="E98" s="200">
        <f>SUMIF(ATB!D:D,CS!B:B,ATB!G:G)</f>
        <v>0</v>
      </c>
      <c r="F98" s="200">
        <f>SUMIF(ATB!D:D,CS!B:B,ATB!H:H)+SUMIF(ATB!D:D,CS!B:B,ATB!J:J)</f>
        <v>0</v>
      </c>
      <c r="G98" s="200">
        <f>SUMIF(ATB!D:D,CS!B:B,ATB!I:I)+SUMIF(ATB!D:D,CS!B:B,ATB!K:K)</f>
        <v>0</v>
      </c>
      <c r="H98" s="212">
        <f>SUMIF(ATB!D:D,CS!B:B,ATB!L:L)</f>
        <v>0</v>
      </c>
      <c r="I98" s="213">
        <f>SUMIF(ATB!D:D,CS!B:B,ATB!M:M)</f>
        <v>0</v>
      </c>
    </row>
    <row r="99" spans="2:9" s="202" customFormat="1" x14ac:dyDescent="0.35">
      <c r="B99" s="214" t="s">
        <v>23</v>
      </c>
      <c r="C99" s="117"/>
      <c r="D99" s="200">
        <f>SUMIF(ATB!D:D,CS!B:B,ATB!F:F)</f>
        <v>0</v>
      </c>
      <c r="E99" s="200">
        <f>SUMIF(ATB!D:D,CS!B:B,ATB!G:G)</f>
        <v>0</v>
      </c>
      <c r="F99" s="200">
        <f>SUMIF(ATB!D:D,CS!B:B,ATB!H:H)+SUMIF(ATB!D:D,CS!B:B,ATB!J:J)</f>
        <v>0</v>
      </c>
      <c r="G99" s="200">
        <f>SUMIF(ATB!D:D,CS!B:B,ATB!I:I)+SUMIF(ATB!D:D,CS!B:B,ATB!K:K)</f>
        <v>0</v>
      </c>
      <c r="H99" s="212">
        <f>SUMIF(ATB!D:D,CS!B:B,ATB!L:L)</f>
        <v>0</v>
      </c>
      <c r="I99" s="213">
        <f>SUMIF(ATB!D:D,CS!B:B,ATB!M:M)</f>
        <v>0</v>
      </c>
    </row>
    <row r="100" spans="2:9" s="202" customFormat="1" x14ac:dyDescent="0.35">
      <c r="B100" s="215" t="s">
        <v>99</v>
      </c>
      <c r="C100" s="117"/>
      <c r="D100" s="200">
        <f>SUMIF(ATB!D:D,CS!B:B,ATB!F:F)</f>
        <v>0</v>
      </c>
      <c r="E100" s="200">
        <f>SUMIF(ATB!D:D,CS!B:B,ATB!G:G)</f>
        <v>0</v>
      </c>
      <c r="F100" s="200">
        <f>SUMIF(ATB!D:D,CS!B:B,ATB!H:H)+SUMIF(ATB!D:D,CS!B:B,ATB!J:J)</f>
        <v>0</v>
      </c>
      <c r="G100" s="200">
        <f>SUMIF(ATB!D:D,CS!B:B,ATB!I:I)+SUMIF(ATB!D:D,CS!B:B,ATB!K:K)</f>
        <v>0</v>
      </c>
      <c r="H100" s="212">
        <f>SUMIF(ATB!D:D,CS!B:B,ATB!L:L)</f>
        <v>0</v>
      </c>
      <c r="I100" s="213">
        <f>SUMIF(ATB!D:D,CS!B:B,ATB!M:M)</f>
        <v>0</v>
      </c>
    </row>
    <row r="101" spans="2:9" s="202" customFormat="1" x14ac:dyDescent="0.35">
      <c r="B101" s="215" t="s">
        <v>144</v>
      </c>
      <c r="C101" s="117"/>
      <c r="D101" s="200">
        <f>SUMIF(ATB!D:D,CS!B:B,ATB!F:F)</f>
        <v>0</v>
      </c>
      <c r="E101" s="200">
        <f>SUMIF(ATB!D:D,CS!B:B,ATB!G:G)</f>
        <v>0</v>
      </c>
      <c r="F101" s="200">
        <f>SUMIF(ATB!D:D,CS!B:B,ATB!H:H)+SUMIF(ATB!D:D,CS!B:B,ATB!J:J)</f>
        <v>0</v>
      </c>
      <c r="G101" s="200">
        <f>SUMIF(ATB!D:D,CS!B:B,ATB!I:I)+SUMIF(ATB!D:D,CS!B:B,ATB!K:K)</f>
        <v>0</v>
      </c>
      <c r="H101" s="212">
        <f>SUMIF(ATB!D:D,CS!B:B,ATB!L:L)</f>
        <v>0</v>
      </c>
      <c r="I101" s="213">
        <f>SUMIF(ATB!D:D,CS!B:B,ATB!M:M)</f>
        <v>0</v>
      </c>
    </row>
    <row r="102" spans="2:9" s="202" customFormat="1" x14ac:dyDescent="0.35">
      <c r="B102" s="215" t="s">
        <v>145</v>
      </c>
      <c r="C102" s="117"/>
      <c r="D102" s="200">
        <f>SUMIF(ATB!D:D,CS!B:B,ATB!F:F)</f>
        <v>0</v>
      </c>
      <c r="E102" s="200">
        <f>SUMIF(ATB!D:D,CS!B:B,ATB!G:G)</f>
        <v>0</v>
      </c>
      <c r="F102" s="200">
        <f>SUMIF(ATB!D:D,CS!B:B,ATB!H:H)+SUMIF(ATB!D:D,CS!B:B,ATB!J:J)</f>
        <v>0</v>
      </c>
      <c r="G102" s="200">
        <f>SUMIF(ATB!D:D,CS!B:B,ATB!I:I)+SUMIF(ATB!D:D,CS!B:B,ATB!K:K)</f>
        <v>0</v>
      </c>
      <c r="H102" s="212">
        <f>SUMIF(ATB!D:D,CS!B:B,ATB!L:L)</f>
        <v>0</v>
      </c>
      <c r="I102" s="213">
        <f>SUMIF(ATB!D:D,CS!B:B,ATB!M:M)</f>
        <v>0</v>
      </c>
    </row>
    <row r="103" spans="2:9" s="202" customFormat="1" x14ac:dyDescent="0.35">
      <c r="B103" s="215" t="s">
        <v>146</v>
      </c>
      <c r="C103" s="117"/>
      <c r="D103" s="200">
        <f>SUMIF(ATB!D:D,CS!B:B,ATB!F:F)</f>
        <v>0</v>
      </c>
      <c r="E103" s="200">
        <f>SUMIF(ATB!D:D,CS!B:B,ATB!G:G)</f>
        <v>0</v>
      </c>
      <c r="F103" s="200">
        <f>SUMIF(ATB!D:D,CS!B:B,ATB!H:H)+SUMIF(ATB!D:D,CS!B:B,ATB!J:J)</f>
        <v>0</v>
      </c>
      <c r="G103" s="200">
        <f>SUMIF(ATB!D:D,CS!B:B,ATB!I:I)+SUMIF(ATB!D:D,CS!B:B,ATB!K:K)</f>
        <v>0</v>
      </c>
      <c r="H103" s="212">
        <f>SUMIF(ATB!D:D,CS!B:B,ATB!L:L)</f>
        <v>0</v>
      </c>
      <c r="I103" s="213">
        <f>SUMIF(ATB!D:D,CS!B:B,ATB!M:M)</f>
        <v>0</v>
      </c>
    </row>
    <row r="104" spans="2:9" s="202" customFormat="1" x14ac:dyDescent="0.35">
      <c r="B104" s="215" t="s">
        <v>147</v>
      </c>
      <c r="C104" s="117"/>
      <c r="D104" s="200">
        <f>SUMIF(ATB!D:D,CS!B:B,ATB!F:F)</f>
        <v>0</v>
      </c>
      <c r="E104" s="200">
        <f>SUMIF(ATB!D:D,CS!B:B,ATB!G:G)</f>
        <v>0</v>
      </c>
      <c r="F104" s="200">
        <f>SUMIF(ATB!D:D,CS!B:B,ATB!H:H)+SUMIF(ATB!D:D,CS!B:B,ATB!J:J)</f>
        <v>0</v>
      </c>
      <c r="G104" s="200">
        <f>SUMIF(ATB!D:D,CS!B:B,ATB!I:I)+SUMIF(ATB!D:D,CS!B:B,ATB!K:K)</f>
        <v>0</v>
      </c>
      <c r="H104" s="212">
        <f>SUMIF(ATB!D:D,CS!B:B,ATB!L:L)</f>
        <v>0</v>
      </c>
      <c r="I104" s="213">
        <f>SUMIF(ATB!D:D,CS!B:B,ATB!M:M)</f>
        <v>0</v>
      </c>
    </row>
    <row r="105" spans="2:9" s="202" customFormat="1" x14ac:dyDescent="0.35">
      <c r="B105" s="215"/>
      <c r="C105" s="117"/>
      <c r="D105" s="200">
        <f>SUMIF(ATB!D:D,CS!B:B,ATB!F:F)</f>
        <v>0</v>
      </c>
      <c r="E105" s="200">
        <f>SUMIF(ATB!D:D,CS!B:B,ATB!G:G)</f>
        <v>0</v>
      </c>
      <c r="F105" s="200">
        <f>SUMIF(ATB!D:D,CS!B:B,ATB!H:H)+SUMIF(ATB!D:D,CS!B:B,ATB!J:J)</f>
        <v>0</v>
      </c>
      <c r="G105" s="200">
        <f>SUMIF(ATB!D:D,CS!B:B,ATB!I:I)+SUMIF(ATB!D:D,CS!B:B,ATB!K:K)</f>
        <v>0</v>
      </c>
      <c r="H105" s="212">
        <f>SUMIF(ATB!D:D,CS!B:B,ATB!L:L)</f>
        <v>0</v>
      </c>
      <c r="I105" s="213">
        <f>SUMIF(ATB!D:D,CS!B:B,ATB!M:M)</f>
        <v>0</v>
      </c>
    </row>
    <row r="106" spans="2:9" s="202" customFormat="1" x14ac:dyDescent="0.35">
      <c r="B106" s="215"/>
      <c r="C106" s="117"/>
      <c r="D106" s="200">
        <f>SUMIF(ATB!D:D,CS!B:B,ATB!F:F)</f>
        <v>0</v>
      </c>
      <c r="E106" s="200">
        <f>SUMIF(ATB!D:D,CS!B:B,ATB!G:G)</f>
        <v>0</v>
      </c>
      <c r="F106" s="200">
        <f>SUMIF(ATB!D:D,CS!B:B,ATB!H:H)+SUMIF(ATB!D:D,CS!B:B,ATB!J:J)</f>
        <v>0</v>
      </c>
      <c r="G106" s="200">
        <f>SUMIF(ATB!D:D,CS!B:B,ATB!I:I)+SUMIF(ATB!D:D,CS!B:B,ATB!K:K)</f>
        <v>0</v>
      </c>
      <c r="H106" s="212">
        <f>SUMIF(ATB!D:D,CS!B:B,ATB!L:L)</f>
        <v>0</v>
      </c>
      <c r="I106" s="213">
        <f>SUMIF(ATB!D:D,CS!B:B,ATB!M:M)</f>
        <v>0</v>
      </c>
    </row>
    <row r="107" spans="2:9" s="202" customFormat="1" x14ac:dyDescent="0.35">
      <c r="B107" s="215"/>
      <c r="C107" s="117"/>
      <c r="D107" s="200">
        <f>SUMIF(ATB!D:D,CS!B:B,ATB!F:F)</f>
        <v>0</v>
      </c>
      <c r="E107" s="200">
        <f>SUMIF(ATB!D:D,CS!B:B,ATB!G:G)</f>
        <v>0</v>
      </c>
      <c r="F107" s="200">
        <f>SUMIF(ATB!D:D,CS!B:B,ATB!H:H)+SUMIF(ATB!D:D,CS!B:B,ATB!J:J)</f>
        <v>0</v>
      </c>
      <c r="G107" s="200">
        <f>SUMIF(ATB!D:D,CS!B:B,ATB!I:I)+SUMIF(ATB!D:D,CS!B:B,ATB!K:K)</f>
        <v>0</v>
      </c>
      <c r="H107" s="212">
        <f>SUMIF(ATB!D:D,CS!B:B,ATB!L:L)</f>
        <v>0</v>
      </c>
      <c r="I107" s="213">
        <f>SUMIF(ATB!D:D,CS!B:B,ATB!M:M)</f>
        <v>0</v>
      </c>
    </row>
    <row r="108" spans="2:9" s="202" customFormat="1" x14ac:dyDescent="0.35">
      <c r="B108" s="136" t="s">
        <v>36</v>
      </c>
      <c r="C108" s="117"/>
      <c r="D108" s="200">
        <f>SUMIF(ATB!D:D,CS!B:B,ATB!F:F)</f>
        <v>0</v>
      </c>
      <c r="E108" s="200">
        <f>SUMIF(ATB!D:D,CS!B:B,ATB!G:G)</f>
        <v>0</v>
      </c>
      <c r="F108" s="200">
        <f>SUMIF(ATB!D:D,CS!B:B,ATB!H:H)+SUMIF(ATB!D:D,CS!B:B,ATB!J:J)</f>
        <v>0</v>
      </c>
      <c r="G108" s="200">
        <f>SUMIF(ATB!D:D,CS!B:B,ATB!I:I)+SUMIF(ATB!D:D,CS!B:B,ATB!K:K)</f>
        <v>0</v>
      </c>
      <c r="H108" s="212">
        <f>SUMIF(ATB!D:D,CS!B:B,ATB!L:L)</f>
        <v>0</v>
      </c>
      <c r="I108" s="213">
        <f>SUMIF(ATB!D:D,CS!B:B,ATB!M:M)</f>
        <v>0</v>
      </c>
    </row>
    <row r="109" spans="2:9" s="202" customFormat="1" x14ac:dyDescent="0.35">
      <c r="B109" s="207" t="s">
        <v>383</v>
      </c>
      <c r="C109" s="117"/>
      <c r="D109" s="200">
        <f>SUMIF(ATB!D:D,CS!B:B,ATB!F:F)</f>
        <v>0</v>
      </c>
      <c r="E109" s="200">
        <f>SUMIF(ATB!D:D,CS!B:B,ATB!G:G)</f>
        <v>0</v>
      </c>
      <c r="F109" s="200">
        <f>SUMIF(ATB!D:D,CS!B:B,ATB!H:H)+SUMIF(ATB!D:D,CS!B:B,ATB!J:J)</f>
        <v>0</v>
      </c>
      <c r="G109" s="200">
        <f>SUMIF(ATB!D:D,CS!B:B,ATB!I:I)+SUMIF(ATB!D:D,CS!B:B,ATB!K:K)</f>
        <v>0</v>
      </c>
      <c r="H109" s="212">
        <f>SUMIF(ATB!D:D,CS!B:B,ATB!L:L)</f>
        <v>0</v>
      </c>
      <c r="I109" s="213">
        <f>SUMIF(ATB!D:D,CS!B:B,ATB!M:M)</f>
        <v>0</v>
      </c>
    </row>
    <row r="110" spans="2:9" s="202" customFormat="1" x14ac:dyDescent="0.35">
      <c r="B110" s="208" t="s">
        <v>151</v>
      </c>
      <c r="C110" s="117"/>
      <c r="D110" s="200">
        <f>SUMIF(ATB!D:D,CS!B:B,ATB!F:F)</f>
        <v>0</v>
      </c>
      <c r="E110" s="200">
        <f>SUMIF(ATB!D:D,CS!B:B,ATB!G:G)</f>
        <v>0</v>
      </c>
      <c r="F110" s="200">
        <f>SUMIF(ATB!D:D,CS!B:B,ATB!H:H)+SUMIF(ATB!D:D,CS!B:B,ATB!J:J)</f>
        <v>0</v>
      </c>
      <c r="G110" s="200">
        <f>SUMIF(ATB!D:D,CS!B:B,ATB!I:I)+SUMIF(ATB!D:D,CS!B:B,ATB!K:K)</f>
        <v>0</v>
      </c>
      <c r="H110" s="212">
        <f>SUMIF(ATB!D:D,CS!B:B,ATB!L:L)</f>
        <v>0</v>
      </c>
      <c r="I110" s="213">
        <f>SUMIF(ATB!D:D,CS!B:B,ATB!M:M)</f>
        <v>0</v>
      </c>
    </row>
    <row r="111" spans="2:9" s="202" customFormat="1" x14ac:dyDescent="0.35">
      <c r="B111" s="208" t="s">
        <v>153</v>
      </c>
      <c r="C111" s="117"/>
      <c r="D111" s="200">
        <f>SUMIF(ATB!D:D,CS!B:B,ATB!F:F)</f>
        <v>0</v>
      </c>
      <c r="E111" s="200">
        <f>SUMIF(ATB!D:D,CS!B:B,ATB!G:G)</f>
        <v>0</v>
      </c>
      <c r="F111" s="200">
        <f>SUMIF(ATB!D:D,CS!B:B,ATB!H:H)+SUMIF(ATB!D:D,CS!B:B,ATB!J:J)</f>
        <v>0</v>
      </c>
      <c r="G111" s="200">
        <f>SUMIF(ATB!D:D,CS!B:B,ATB!I:I)+SUMIF(ATB!D:D,CS!B:B,ATB!K:K)</f>
        <v>0</v>
      </c>
      <c r="H111" s="212">
        <f>SUMIF(ATB!D:D,CS!B:B,ATB!L:L)</f>
        <v>0</v>
      </c>
      <c r="I111" s="213">
        <f>SUMIF(ATB!D:D,CS!B:B,ATB!M:M)</f>
        <v>0</v>
      </c>
    </row>
    <row r="112" spans="2:9" s="202" customFormat="1" x14ac:dyDescent="0.35">
      <c r="B112" s="208" t="s">
        <v>33</v>
      </c>
      <c r="C112" s="117"/>
      <c r="D112" s="200">
        <f>SUMIF(ATB!D:D,CS!B:B,ATB!F:F)</f>
        <v>0</v>
      </c>
      <c r="E112" s="200">
        <f>SUMIF(ATB!D:D,CS!B:B,ATB!G:G)</f>
        <v>0</v>
      </c>
      <c r="F112" s="200">
        <f>SUMIF(ATB!D:D,CS!B:B,ATB!H:H)+SUMIF(ATB!D:D,CS!B:B,ATB!J:J)</f>
        <v>0</v>
      </c>
      <c r="G112" s="200">
        <f>SUMIF(ATB!D:D,CS!B:B,ATB!I:I)+SUMIF(ATB!D:D,CS!B:B,ATB!K:K)</f>
        <v>0</v>
      </c>
      <c r="H112" s="212">
        <f>SUMIF(ATB!D:D,CS!B:B,ATB!L:L)</f>
        <v>0</v>
      </c>
      <c r="I112" s="213">
        <f>SUMIF(ATB!D:D,CS!B:B,ATB!M:M)</f>
        <v>0</v>
      </c>
    </row>
    <row r="113" spans="2:9" s="202" customFormat="1" x14ac:dyDescent="0.35">
      <c r="B113" s="208" t="s">
        <v>34</v>
      </c>
      <c r="C113" s="117"/>
      <c r="D113" s="200">
        <f>SUMIF(ATB!D:D,CS!B:B,ATB!F:F)</f>
        <v>0</v>
      </c>
      <c r="E113" s="200">
        <f>SUMIF(ATB!D:D,CS!B:B,ATB!G:G)</f>
        <v>0</v>
      </c>
      <c r="F113" s="200">
        <f>SUMIF(ATB!D:D,CS!B:B,ATB!H:H)+SUMIF(ATB!D:D,CS!B:B,ATB!J:J)</f>
        <v>0</v>
      </c>
      <c r="G113" s="200">
        <f>SUMIF(ATB!D:D,CS!B:B,ATB!I:I)+SUMIF(ATB!D:D,CS!B:B,ATB!K:K)</f>
        <v>0</v>
      </c>
      <c r="H113" s="212">
        <f>SUMIF(ATB!D:D,CS!B:B,ATB!L:L)</f>
        <v>0</v>
      </c>
      <c r="I113" s="213">
        <f>SUMIF(ATB!D:D,CS!B:B,ATB!M:M)</f>
        <v>0</v>
      </c>
    </row>
    <row r="114" spans="2:9" s="202" customFormat="1" x14ac:dyDescent="0.35">
      <c r="B114" s="215"/>
      <c r="C114" s="117"/>
      <c r="D114" s="200">
        <f>SUMIF(ATB!D:D,CS!B:B,ATB!F:F)</f>
        <v>0</v>
      </c>
      <c r="E114" s="200">
        <f>SUMIF(ATB!D:D,CS!B:B,ATB!G:G)</f>
        <v>0</v>
      </c>
      <c r="F114" s="200">
        <f>SUMIF(ATB!D:D,CS!B:B,ATB!H:H)+SUMIF(ATB!D:D,CS!B:B,ATB!J:J)</f>
        <v>0</v>
      </c>
      <c r="G114" s="200">
        <f>SUMIF(ATB!D:D,CS!B:B,ATB!I:I)+SUMIF(ATB!D:D,CS!B:B,ATB!K:K)</f>
        <v>0</v>
      </c>
      <c r="H114" s="212">
        <f>SUMIF(ATB!D:D,CS!B:B,ATB!L:L)</f>
        <v>0</v>
      </c>
      <c r="I114" s="213">
        <f>SUMIF(ATB!D:D,CS!B:B,ATB!M:M)</f>
        <v>0</v>
      </c>
    </row>
    <row r="115" spans="2:9" s="202" customFormat="1" x14ac:dyDescent="0.35">
      <c r="B115" s="215"/>
      <c r="C115" s="117"/>
      <c r="D115" s="200">
        <f>SUMIF(ATB!D:D,CS!B:B,ATB!F:F)</f>
        <v>0</v>
      </c>
      <c r="E115" s="200">
        <f>SUMIF(ATB!D:D,CS!B:B,ATB!G:G)</f>
        <v>0</v>
      </c>
      <c r="F115" s="200">
        <f>SUMIF(ATB!D:D,CS!B:B,ATB!H:H)+SUMIF(ATB!D:D,CS!B:B,ATB!J:J)</f>
        <v>0</v>
      </c>
      <c r="G115" s="200">
        <f>SUMIF(ATB!D:D,CS!B:B,ATB!I:I)+SUMIF(ATB!D:D,CS!B:B,ATB!K:K)</f>
        <v>0</v>
      </c>
      <c r="H115" s="212">
        <f>SUMIF(ATB!D:D,CS!B:B,ATB!L:L)</f>
        <v>0</v>
      </c>
      <c r="I115" s="213">
        <f>SUMIF(ATB!D:D,CS!B:B,ATB!M:M)</f>
        <v>0</v>
      </c>
    </row>
    <row r="116" spans="2:9" s="202" customFormat="1" x14ac:dyDescent="0.35">
      <c r="B116" s="215"/>
      <c r="C116" s="117"/>
      <c r="D116" s="200">
        <f>SUMIF(ATB!D:D,CS!B:B,ATB!F:F)</f>
        <v>0</v>
      </c>
      <c r="E116" s="200">
        <f>SUMIF(ATB!D:D,CS!B:B,ATB!G:G)</f>
        <v>0</v>
      </c>
      <c r="F116" s="200">
        <f>SUMIF(ATB!D:D,CS!B:B,ATB!H:H)+SUMIF(ATB!D:D,CS!B:B,ATB!J:J)</f>
        <v>0</v>
      </c>
      <c r="G116" s="200">
        <f>SUMIF(ATB!D:D,CS!B:B,ATB!I:I)+SUMIF(ATB!D:D,CS!B:B,ATB!K:K)</f>
        <v>0</v>
      </c>
      <c r="H116" s="212">
        <f>SUMIF(ATB!D:D,CS!B:B,ATB!L:L)</f>
        <v>0</v>
      </c>
      <c r="I116" s="213">
        <f>SUMIF(ATB!D:D,CS!B:B,ATB!M:M)</f>
        <v>0</v>
      </c>
    </row>
    <row r="117" spans="2:9" s="202" customFormat="1" x14ac:dyDescent="0.35">
      <c r="B117" s="215"/>
      <c r="C117" s="117"/>
      <c r="D117" s="200">
        <f>SUMIF(ATB!D:D,CS!B:B,ATB!F:F)</f>
        <v>0</v>
      </c>
      <c r="E117" s="200">
        <f>SUMIF(ATB!D:D,CS!B:B,ATB!G:G)</f>
        <v>0</v>
      </c>
      <c r="F117" s="200">
        <f>SUMIF(ATB!D:D,CS!B:B,ATB!H:H)+SUMIF(ATB!D:D,CS!B:B,ATB!J:J)</f>
        <v>0</v>
      </c>
      <c r="G117" s="200">
        <f>SUMIF(ATB!D:D,CS!B:B,ATB!I:I)+SUMIF(ATB!D:D,CS!B:B,ATB!K:K)</f>
        <v>0</v>
      </c>
      <c r="H117" s="212">
        <f>SUMIF(ATB!D:D,CS!B:B,ATB!L:L)</f>
        <v>0</v>
      </c>
      <c r="I117" s="213">
        <f>SUMIF(ATB!D:D,CS!B:B,ATB!M:M)</f>
        <v>0</v>
      </c>
    </row>
    <row r="118" spans="2:9" s="202" customFormat="1" x14ac:dyDescent="0.35">
      <c r="B118" s="207" t="s">
        <v>24</v>
      </c>
      <c r="C118" s="117"/>
      <c r="D118" s="200">
        <f>SUMIF(ATB!D:D,CS!B:B,ATB!F:F)</f>
        <v>0</v>
      </c>
      <c r="E118" s="200">
        <f>SUMIF(ATB!D:D,CS!B:B,ATB!G:G)</f>
        <v>0</v>
      </c>
      <c r="F118" s="200">
        <f>SUMIF(ATB!D:D,CS!B:B,ATB!H:H)+SUMIF(ATB!D:D,CS!B:B,ATB!J:J)</f>
        <v>0</v>
      </c>
      <c r="G118" s="200">
        <f>SUMIF(ATB!D:D,CS!B:B,ATB!I:I)+SUMIF(ATB!D:D,CS!B:B,ATB!K:K)</f>
        <v>0</v>
      </c>
      <c r="H118" s="212">
        <f>SUMIF(ATB!D:D,CS!B:B,ATB!L:L)</f>
        <v>0</v>
      </c>
      <c r="I118" s="213">
        <f>SUMIF(ATB!D:D,CS!B:B,ATB!M:M)</f>
        <v>0</v>
      </c>
    </row>
    <row r="119" spans="2:9" s="202" customFormat="1" x14ac:dyDescent="0.35">
      <c r="B119" s="207" t="s">
        <v>25</v>
      </c>
      <c r="C119" s="117"/>
      <c r="D119" s="200">
        <f>SUMIF(ATB!D:D,CS!B:B,ATB!F:F)</f>
        <v>0</v>
      </c>
      <c r="E119" s="200">
        <f>SUMIF(ATB!D:D,CS!B:B,ATB!G:G)</f>
        <v>0</v>
      </c>
      <c r="F119" s="200">
        <f>SUMIF(ATB!D:D,CS!B:B,ATB!H:H)+SUMIF(ATB!D:D,CS!B:B,ATB!J:J)</f>
        <v>0</v>
      </c>
      <c r="G119" s="200">
        <f>SUMIF(ATB!D:D,CS!B:B,ATB!I:I)+SUMIF(ATB!D:D,CS!B:B,ATB!K:K)</f>
        <v>0</v>
      </c>
      <c r="H119" s="212">
        <f>SUMIF(ATB!D:D,CS!B:B,ATB!L:L)</f>
        <v>0</v>
      </c>
      <c r="I119" s="213">
        <f>SUMIF(ATB!D:D,CS!B:B,ATB!M:M)</f>
        <v>0</v>
      </c>
    </row>
    <row r="120" spans="2:9" s="202" customFormat="1" x14ac:dyDescent="0.35">
      <c r="B120" s="207" t="s">
        <v>102</v>
      </c>
      <c r="C120" s="117"/>
      <c r="D120" s="200">
        <f>SUMIF(ATB!D:D,CS!B:B,ATB!F:F)</f>
        <v>0</v>
      </c>
      <c r="E120" s="200">
        <f>SUMIF(ATB!D:D,CS!B:B,ATB!G:G)</f>
        <v>0</v>
      </c>
      <c r="F120" s="200">
        <f>SUMIF(ATB!D:D,CS!B:B,ATB!H:H)+SUMIF(ATB!D:D,CS!B:B,ATB!J:J)</f>
        <v>0</v>
      </c>
      <c r="G120" s="200">
        <f>SUMIF(ATB!D:D,CS!B:B,ATB!I:I)+SUMIF(ATB!D:D,CS!B:B,ATB!K:K)</f>
        <v>0</v>
      </c>
      <c r="H120" s="212">
        <f>SUMIF(ATB!D:D,CS!B:B,ATB!L:L)</f>
        <v>0</v>
      </c>
      <c r="I120" s="213">
        <f>SUMIF(ATB!D:D,CS!B:B,ATB!M:M)</f>
        <v>0</v>
      </c>
    </row>
    <row r="121" spans="2:9" s="202" customFormat="1" x14ac:dyDescent="0.35">
      <c r="B121" s="208" t="s">
        <v>165</v>
      </c>
      <c r="C121" s="117"/>
      <c r="D121" s="200">
        <f>SUMIF(ATB!D:D,CS!B:B,ATB!F:F)</f>
        <v>0</v>
      </c>
      <c r="E121" s="200">
        <f>SUMIF(ATB!D:D,CS!B:B,ATB!G:G)</f>
        <v>0</v>
      </c>
      <c r="F121" s="200">
        <f>SUMIF(ATB!D:D,CS!B:B,ATB!H:H)+SUMIF(ATB!D:D,CS!B:B,ATB!J:J)</f>
        <v>0</v>
      </c>
      <c r="G121" s="200">
        <f>SUMIF(ATB!D:D,CS!B:B,ATB!I:I)+SUMIF(ATB!D:D,CS!B:B,ATB!K:K)</f>
        <v>0</v>
      </c>
      <c r="H121" s="212">
        <f>SUMIF(ATB!D:D,CS!B:B,ATB!L:L)</f>
        <v>0</v>
      </c>
      <c r="I121" s="213">
        <f>SUMIF(ATB!D:D,CS!B:B,ATB!M:M)</f>
        <v>0</v>
      </c>
    </row>
    <row r="122" spans="2:9" s="202" customFormat="1" x14ac:dyDescent="0.35">
      <c r="B122" s="208" t="s">
        <v>402</v>
      </c>
      <c r="C122" s="117"/>
      <c r="D122" s="200">
        <f>SUMIF(ATB!D:D,CS!B:B,ATB!F:F)</f>
        <v>0</v>
      </c>
      <c r="E122" s="200">
        <f>SUMIF(ATB!D:D,CS!B:B,ATB!G:G)</f>
        <v>0</v>
      </c>
      <c r="F122" s="200">
        <f>SUMIF(ATB!D:D,CS!B:B,ATB!H:H)+SUMIF(ATB!D:D,CS!B:B,ATB!J:J)</f>
        <v>0</v>
      </c>
      <c r="G122" s="200">
        <f>SUMIF(ATB!D:D,CS!B:B,ATB!I:I)+SUMIF(ATB!D:D,CS!B:B,ATB!K:K)</f>
        <v>0</v>
      </c>
      <c r="H122" s="212">
        <f>SUMIF(ATB!D:D,CS!B:B,ATB!L:L)</f>
        <v>0</v>
      </c>
      <c r="I122" s="213">
        <f>SUMIF(ATB!D:D,CS!B:B,ATB!M:M)</f>
        <v>0</v>
      </c>
    </row>
    <row r="123" spans="2:9" s="202" customFormat="1" x14ac:dyDescent="0.35">
      <c r="B123" s="208" t="s">
        <v>166</v>
      </c>
      <c r="C123" s="117"/>
      <c r="D123" s="200">
        <f>SUMIF(ATB!D:D,CS!B:B,ATB!F:F)</f>
        <v>0</v>
      </c>
      <c r="E123" s="200">
        <f>SUMIF(ATB!D:D,CS!B:B,ATB!G:G)</f>
        <v>0</v>
      </c>
      <c r="F123" s="200">
        <f>SUMIF(ATB!D:D,CS!B:B,ATB!H:H)+SUMIF(ATB!D:D,CS!B:B,ATB!J:J)</f>
        <v>0</v>
      </c>
      <c r="G123" s="200">
        <f>SUMIF(ATB!D:D,CS!B:B,ATB!I:I)+SUMIF(ATB!D:D,CS!B:B,ATB!K:K)</f>
        <v>0</v>
      </c>
      <c r="H123" s="212">
        <f>SUMIF(ATB!D:D,CS!B:B,ATB!L:L)</f>
        <v>0</v>
      </c>
      <c r="I123" s="213">
        <f>SUMIF(ATB!D:D,CS!B:B,ATB!M:M)</f>
        <v>0</v>
      </c>
    </row>
    <row r="124" spans="2:9" s="202" customFormat="1" x14ac:dyDescent="0.35">
      <c r="B124" s="208" t="s">
        <v>103</v>
      </c>
      <c r="C124" s="117"/>
      <c r="D124" s="200">
        <f>SUMIF(ATB!D:D,CS!B:B,ATB!F:F)</f>
        <v>0</v>
      </c>
      <c r="E124" s="200">
        <f>SUMIF(ATB!D:D,CS!B:B,ATB!G:G)</f>
        <v>0</v>
      </c>
      <c r="F124" s="200">
        <f>SUMIF(ATB!D:D,CS!B:B,ATB!H:H)+SUMIF(ATB!D:D,CS!B:B,ATB!J:J)</f>
        <v>0</v>
      </c>
      <c r="G124" s="200">
        <f>SUMIF(ATB!D:D,CS!B:B,ATB!I:I)+SUMIF(ATB!D:D,CS!B:B,ATB!K:K)</f>
        <v>0</v>
      </c>
      <c r="H124" s="212">
        <f>SUMIF(ATB!D:D,CS!B:B,ATB!L:L)</f>
        <v>0</v>
      </c>
      <c r="I124" s="213">
        <f>SUMIF(ATB!D:D,CS!B:B,ATB!M:M)</f>
        <v>0</v>
      </c>
    </row>
    <row r="125" spans="2:9" s="202" customFormat="1" x14ac:dyDescent="0.35">
      <c r="B125" s="208" t="s">
        <v>104</v>
      </c>
      <c r="C125" s="117"/>
      <c r="D125" s="200">
        <f>SUMIF(ATB!D:D,CS!B:B,ATB!F:F)</f>
        <v>0</v>
      </c>
      <c r="E125" s="200">
        <f>SUMIF(ATB!D:D,CS!B:B,ATB!G:G)</f>
        <v>0</v>
      </c>
      <c r="F125" s="200">
        <f>SUMIF(ATB!D:D,CS!B:B,ATB!H:H)+SUMIF(ATB!D:D,CS!B:B,ATB!J:J)</f>
        <v>0</v>
      </c>
      <c r="G125" s="200">
        <f>SUMIF(ATB!D:D,CS!B:B,ATB!I:I)+SUMIF(ATB!D:D,CS!B:B,ATB!K:K)</f>
        <v>0</v>
      </c>
      <c r="H125" s="212">
        <f>SUMIF(ATB!D:D,CS!B:B,ATB!L:L)</f>
        <v>0</v>
      </c>
      <c r="I125" s="213">
        <f>SUMIF(ATB!D:D,CS!B:B,ATB!M:M)</f>
        <v>0</v>
      </c>
    </row>
    <row r="126" spans="2:9" s="202" customFormat="1" x14ac:dyDescent="0.35">
      <c r="B126" s="208"/>
      <c r="C126" s="117"/>
      <c r="D126" s="200">
        <f>SUMIF(ATB!D:D,CS!B:B,ATB!F:F)</f>
        <v>0</v>
      </c>
      <c r="E126" s="200">
        <f>SUMIF(ATB!D:D,CS!B:B,ATB!G:G)</f>
        <v>0</v>
      </c>
      <c r="F126" s="200">
        <f>SUMIF(ATB!D:D,CS!B:B,ATB!H:H)+SUMIF(ATB!D:D,CS!B:B,ATB!J:J)</f>
        <v>0</v>
      </c>
      <c r="G126" s="200">
        <f>SUMIF(ATB!D:D,CS!B:B,ATB!I:I)+SUMIF(ATB!D:D,CS!B:B,ATB!K:K)</f>
        <v>0</v>
      </c>
      <c r="H126" s="212">
        <f>SUMIF(ATB!D:D,CS!B:B,ATB!L:L)</f>
        <v>0</v>
      </c>
      <c r="I126" s="213">
        <f>SUMIF(ATB!D:D,CS!B:B,ATB!M:M)</f>
        <v>0</v>
      </c>
    </row>
    <row r="127" spans="2:9" s="202" customFormat="1" x14ac:dyDescent="0.35">
      <c r="B127" s="208"/>
      <c r="C127" s="117"/>
      <c r="D127" s="200">
        <f>SUMIF(ATB!D:D,CS!B:B,ATB!F:F)</f>
        <v>0</v>
      </c>
      <c r="E127" s="200">
        <f>SUMIF(ATB!D:D,CS!B:B,ATB!G:G)</f>
        <v>0</v>
      </c>
      <c r="F127" s="200">
        <f>SUMIF(ATB!D:D,CS!B:B,ATB!H:H)+SUMIF(ATB!D:D,CS!B:B,ATB!J:J)</f>
        <v>0</v>
      </c>
      <c r="G127" s="200">
        <f>SUMIF(ATB!D:D,CS!B:B,ATB!I:I)+SUMIF(ATB!D:D,CS!B:B,ATB!K:K)</f>
        <v>0</v>
      </c>
      <c r="H127" s="212">
        <f>SUMIF(ATB!D:D,CS!B:B,ATB!L:L)</f>
        <v>0</v>
      </c>
      <c r="I127" s="213">
        <f>SUMIF(ATB!D:D,CS!B:B,ATB!M:M)</f>
        <v>0</v>
      </c>
    </row>
    <row r="128" spans="2:9" s="202" customFormat="1" x14ac:dyDescent="0.35">
      <c r="B128" s="207" t="s">
        <v>105</v>
      </c>
      <c r="C128" s="117"/>
      <c r="D128" s="200">
        <f>SUMIF(ATB!D:D,CS!B:B,ATB!F:F)</f>
        <v>0</v>
      </c>
      <c r="E128" s="200">
        <f>SUMIF(ATB!D:D,CS!B:B,ATB!G:G)</f>
        <v>0</v>
      </c>
      <c r="F128" s="200">
        <f>SUMIF(ATB!D:D,CS!B:B,ATB!H:H)+SUMIF(ATB!D:D,CS!B:B,ATB!J:J)</f>
        <v>0</v>
      </c>
      <c r="G128" s="200">
        <f>SUMIF(ATB!D:D,CS!B:B,ATB!I:I)+SUMIF(ATB!D:D,CS!B:B,ATB!K:K)</f>
        <v>0</v>
      </c>
      <c r="H128" s="212">
        <f>SUMIF(ATB!D:D,CS!B:B,ATB!L:L)</f>
        <v>0</v>
      </c>
      <c r="I128" s="213">
        <f>SUMIF(ATB!D:D,CS!B:B,ATB!M:M)</f>
        <v>0</v>
      </c>
    </row>
    <row r="129" spans="2:9" s="202" customFormat="1" x14ac:dyDescent="0.35">
      <c r="B129" s="208" t="s">
        <v>106</v>
      </c>
      <c r="C129" s="117"/>
      <c r="D129" s="200">
        <f>SUMIF(ATB!D:D,CS!B:B,ATB!F:F)</f>
        <v>0</v>
      </c>
      <c r="E129" s="200">
        <f>SUMIF(ATB!D:D,CS!B:B,ATB!G:G)</f>
        <v>0</v>
      </c>
      <c r="F129" s="200">
        <f>SUMIF(ATB!D:D,CS!B:B,ATB!H:H)+SUMIF(ATB!D:D,CS!B:B,ATB!J:J)</f>
        <v>0</v>
      </c>
      <c r="G129" s="200">
        <f>SUMIF(ATB!D:D,CS!B:B,ATB!I:I)+SUMIF(ATB!D:D,CS!B:B,ATB!K:K)</f>
        <v>0</v>
      </c>
      <c r="H129" s="212">
        <f>SUMIF(ATB!D:D,CS!B:B,ATB!L:L)</f>
        <v>0</v>
      </c>
      <c r="I129" s="213">
        <f>SUMIF(ATB!D:D,CS!B:B,ATB!M:M)</f>
        <v>0</v>
      </c>
    </row>
    <row r="130" spans="2:9" s="202" customFormat="1" x14ac:dyDescent="0.35">
      <c r="B130" s="208" t="s">
        <v>167</v>
      </c>
      <c r="C130" s="117"/>
      <c r="D130" s="200">
        <f>SUMIF(ATB!D:D,CS!B:B,ATB!F:F)</f>
        <v>0</v>
      </c>
      <c r="E130" s="200">
        <f>SUMIF(ATB!D:D,CS!B:B,ATB!G:G)</f>
        <v>0</v>
      </c>
      <c r="F130" s="200">
        <f>SUMIF(ATB!D:D,CS!B:B,ATB!H:H)+SUMIF(ATB!D:D,CS!B:B,ATB!J:J)</f>
        <v>0</v>
      </c>
      <c r="G130" s="200">
        <f>SUMIF(ATB!D:D,CS!B:B,ATB!I:I)+SUMIF(ATB!D:D,CS!B:B,ATB!K:K)</f>
        <v>0</v>
      </c>
      <c r="H130" s="212">
        <f>SUMIF(ATB!D:D,CS!B:B,ATB!L:L)</f>
        <v>0</v>
      </c>
      <c r="I130" s="213">
        <f>SUMIF(ATB!D:D,CS!B:B,ATB!M:M)</f>
        <v>0</v>
      </c>
    </row>
    <row r="131" spans="2:9" s="202" customFormat="1" x14ac:dyDescent="0.35">
      <c r="B131" s="208" t="s">
        <v>168</v>
      </c>
      <c r="C131" s="117"/>
      <c r="D131" s="200">
        <f>SUMIF(ATB!D:D,CS!B:B,ATB!F:F)</f>
        <v>0</v>
      </c>
      <c r="E131" s="200">
        <f>SUMIF(ATB!D:D,CS!B:B,ATB!G:G)</f>
        <v>0</v>
      </c>
      <c r="F131" s="200">
        <f>SUMIF(ATB!D:D,CS!B:B,ATB!H:H)+SUMIF(ATB!D:D,CS!B:B,ATB!J:J)</f>
        <v>0</v>
      </c>
      <c r="G131" s="200">
        <f>SUMIF(ATB!D:D,CS!B:B,ATB!I:I)+SUMIF(ATB!D:D,CS!B:B,ATB!K:K)</f>
        <v>0</v>
      </c>
      <c r="H131" s="212">
        <f>SUMIF(ATB!D:D,CS!B:B,ATB!L:L)</f>
        <v>0</v>
      </c>
      <c r="I131" s="213">
        <f>SUMIF(ATB!D:D,CS!B:B,ATB!M:M)</f>
        <v>0</v>
      </c>
    </row>
    <row r="132" spans="2:9" s="202" customFormat="1" x14ac:dyDescent="0.35">
      <c r="B132" s="208" t="s">
        <v>169</v>
      </c>
      <c r="C132" s="117"/>
      <c r="D132" s="200">
        <f>SUMIF(ATB!D:D,CS!B:B,ATB!F:F)</f>
        <v>0</v>
      </c>
      <c r="E132" s="200">
        <f>SUMIF(ATB!D:D,CS!B:B,ATB!G:G)</f>
        <v>0</v>
      </c>
      <c r="F132" s="200">
        <f>SUMIF(ATB!D:D,CS!B:B,ATB!H:H)+SUMIF(ATB!D:D,CS!B:B,ATB!J:J)</f>
        <v>0</v>
      </c>
      <c r="G132" s="200">
        <f>SUMIF(ATB!D:D,CS!B:B,ATB!I:I)+SUMIF(ATB!D:D,CS!B:B,ATB!K:K)</f>
        <v>0</v>
      </c>
      <c r="H132" s="212">
        <f>SUMIF(ATB!D:D,CS!B:B,ATB!L:L)</f>
        <v>0</v>
      </c>
      <c r="I132" s="213">
        <f>SUMIF(ATB!D:D,CS!B:B,ATB!M:M)</f>
        <v>0</v>
      </c>
    </row>
    <row r="133" spans="2:9" s="202" customFormat="1" x14ac:dyDescent="0.35">
      <c r="B133" s="208" t="s">
        <v>766</v>
      </c>
      <c r="C133" s="117"/>
      <c r="D133" s="200">
        <f>SUMIF(ATB!D:D,CS!B:B,ATB!F:F)</f>
        <v>0</v>
      </c>
      <c r="E133" s="200">
        <f>SUMIF(ATB!D:D,CS!B:B,ATB!G:G)</f>
        <v>0</v>
      </c>
      <c r="F133" s="200">
        <f>SUMIF(ATB!D:D,CS!B:B,ATB!H:H)+SUMIF(ATB!D:D,CS!B:B,ATB!J:J)</f>
        <v>0</v>
      </c>
      <c r="G133" s="200">
        <f>SUMIF(ATB!D:D,CS!B:B,ATB!I:I)+SUMIF(ATB!D:D,CS!B:B,ATB!K:K)</f>
        <v>0</v>
      </c>
      <c r="H133" s="212">
        <f>SUMIF(ATB!D:D,CS!B:B,ATB!L:L)</f>
        <v>0</v>
      </c>
      <c r="I133" s="213">
        <f>SUMIF(ATB!D:D,CS!B:B,ATB!M:M)</f>
        <v>0</v>
      </c>
    </row>
    <row r="134" spans="2:9" s="202" customFormat="1" x14ac:dyDescent="0.35">
      <c r="B134" s="208" t="s">
        <v>107</v>
      </c>
      <c r="C134" s="117"/>
      <c r="D134" s="200">
        <f>SUMIF(ATB!D:D,CS!B:B,ATB!F:F)</f>
        <v>0</v>
      </c>
      <c r="E134" s="200">
        <f>SUMIF(ATB!D:D,CS!B:B,ATB!G:G)</f>
        <v>0</v>
      </c>
      <c r="F134" s="200">
        <f>SUMIF(ATB!D:D,CS!B:B,ATB!H:H)+SUMIF(ATB!D:D,CS!B:B,ATB!J:J)</f>
        <v>0</v>
      </c>
      <c r="G134" s="200">
        <f>SUMIF(ATB!D:D,CS!B:B,ATB!I:I)+SUMIF(ATB!D:D,CS!B:B,ATB!K:K)</f>
        <v>0</v>
      </c>
      <c r="H134" s="212">
        <f>SUMIF(ATB!D:D,CS!B:B,ATB!L:L)</f>
        <v>0</v>
      </c>
      <c r="I134" s="213">
        <f>SUMIF(ATB!D:D,CS!B:B,ATB!M:M)</f>
        <v>0</v>
      </c>
    </row>
    <row r="135" spans="2:9" s="202" customFormat="1" x14ac:dyDescent="0.35">
      <c r="B135" s="208" t="s">
        <v>388</v>
      </c>
      <c r="C135" s="117"/>
      <c r="D135" s="200">
        <f>SUMIF(ATB!D:D,CS!B:B,ATB!F:F)</f>
        <v>0</v>
      </c>
      <c r="E135" s="200">
        <f>SUMIF(ATB!D:D,CS!B:B,ATB!G:G)</f>
        <v>0</v>
      </c>
      <c r="F135" s="200">
        <f>SUMIF(ATB!D:D,CS!B:B,ATB!H:H)+SUMIF(ATB!D:D,CS!B:B,ATB!J:J)</f>
        <v>0</v>
      </c>
      <c r="G135" s="200">
        <f>SUMIF(ATB!D:D,CS!B:B,ATB!I:I)+SUMIF(ATB!D:D,CS!B:B,ATB!K:K)</f>
        <v>0</v>
      </c>
      <c r="H135" s="212">
        <f>SUMIF(ATB!D:D,CS!B:B,ATB!L:L)</f>
        <v>0</v>
      </c>
      <c r="I135" s="213">
        <f>SUMIF(ATB!D:D,CS!B:B,ATB!M:M)</f>
        <v>0</v>
      </c>
    </row>
    <row r="136" spans="2:9" s="202" customFormat="1" x14ac:dyDescent="0.35">
      <c r="B136" s="208" t="s">
        <v>170</v>
      </c>
      <c r="C136" s="117"/>
      <c r="D136" s="200">
        <f>SUMIF(ATB!D:D,CS!B:B,ATB!F:F)</f>
        <v>0</v>
      </c>
      <c r="E136" s="200">
        <f>SUMIF(ATB!D:D,CS!B:B,ATB!G:G)</f>
        <v>0</v>
      </c>
      <c r="F136" s="200">
        <f>SUMIF(ATB!D:D,CS!B:B,ATB!H:H)+SUMIF(ATB!D:D,CS!B:B,ATB!J:J)</f>
        <v>0</v>
      </c>
      <c r="G136" s="200">
        <f>SUMIF(ATB!D:D,CS!B:B,ATB!I:I)+SUMIF(ATB!D:D,CS!B:B,ATB!K:K)</f>
        <v>0</v>
      </c>
      <c r="H136" s="212">
        <f>SUMIF(ATB!D:D,CS!B:B,ATB!L:L)</f>
        <v>0</v>
      </c>
      <c r="I136" s="213">
        <f>SUMIF(ATB!D:D,CS!B:B,ATB!M:M)</f>
        <v>0</v>
      </c>
    </row>
    <row r="137" spans="2:9" s="202" customFormat="1" x14ac:dyDescent="0.35">
      <c r="B137" s="208" t="s">
        <v>171</v>
      </c>
      <c r="C137" s="117"/>
      <c r="D137" s="200">
        <f>SUMIF(ATB!D:D,CS!B:B,ATB!F:F)</f>
        <v>0</v>
      </c>
      <c r="E137" s="200">
        <f>SUMIF(ATB!D:D,CS!B:B,ATB!G:G)</f>
        <v>0</v>
      </c>
      <c r="F137" s="200">
        <f>SUMIF(ATB!D:D,CS!B:B,ATB!H:H)+SUMIF(ATB!D:D,CS!B:B,ATB!J:J)</f>
        <v>0</v>
      </c>
      <c r="G137" s="200">
        <f>SUMIF(ATB!D:D,CS!B:B,ATB!I:I)+SUMIF(ATB!D:D,CS!B:B,ATB!K:K)</f>
        <v>0</v>
      </c>
      <c r="H137" s="212">
        <f>SUMIF(ATB!D:D,CS!B:B,ATB!L:L)</f>
        <v>0</v>
      </c>
      <c r="I137" s="213">
        <f>SUMIF(ATB!D:D,CS!B:B,ATB!M:M)</f>
        <v>0</v>
      </c>
    </row>
    <row r="138" spans="2:9" s="202" customFormat="1" x14ac:dyDescent="0.35">
      <c r="B138" s="208"/>
      <c r="C138" s="117"/>
      <c r="D138" s="200">
        <f>SUMIF(ATB!D:D,CS!B:B,ATB!F:F)</f>
        <v>0</v>
      </c>
      <c r="E138" s="200">
        <f>SUMIF(ATB!D:D,CS!B:B,ATB!G:G)</f>
        <v>0</v>
      </c>
      <c r="F138" s="200">
        <f>SUMIF(ATB!D:D,CS!B:B,ATB!H:H)+SUMIF(ATB!D:D,CS!B:B,ATB!J:J)</f>
        <v>0</v>
      </c>
      <c r="G138" s="200">
        <f>SUMIF(ATB!D:D,CS!B:B,ATB!I:I)+SUMIF(ATB!D:D,CS!B:B,ATB!K:K)</f>
        <v>0</v>
      </c>
      <c r="H138" s="212">
        <f>SUMIF(ATB!D:D,CS!B:B,ATB!L:L)</f>
        <v>0</v>
      </c>
      <c r="I138" s="213">
        <f>SUMIF(ATB!D:D,CS!B:B,ATB!M:M)</f>
        <v>0</v>
      </c>
    </row>
    <row r="139" spans="2:9" s="202" customFormat="1" x14ac:dyDescent="0.35">
      <c r="B139" s="208"/>
      <c r="C139" s="117"/>
      <c r="D139" s="200">
        <f>SUMIF(ATB!D:D,CS!B:B,ATB!F:F)</f>
        <v>0</v>
      </c>
      <c r="E139" s="200">
        <f>SUMIF(ATB!D:D,CS!B:B,ATB!G:G)</f>
        <v>0</v>
      </c>
      <c r="F139" s="200">
        <f>SUMIF(ATB!D:D,CS!B:B,ATB!H:H)+SUMIF(ATB!D:D,CS!B:B,ATB!J:J)</f>
        <v>0</v>
      </c>
      <c r="G139" s="200">
        <f>SUMIF(ATB!D:D,CS!B:B,ATB!I:I)+SUMIF(ATB!D:D,CS!B:B,ATB!K:K)</f>
        <v>0</v>
      </c>
      <c r="H139" s="212">
        <f>SUMIF(ATB!D:D,CS!B:B,ATB!L:L)</f>
        <v>0</v>
      </c>
      <c r="I139" s="213">
        <f>SUMIF(ATB!D:D,CS!B:B,ATB!M:M)</f>
        <v>0</v>
      </c>
    </row>
    <row r="140" spans="2:9" s="202" customFormat="1" x14ac:dyDescent="0.35">
      <c r="B140" s="208"/>
      <c r="C140" s="117"/>
      <c r="D140" s="200">
        <f>SUMIF(ATB!D:D,CS!B:B,ATB!F:F)</f>
        <v>0</v>
      </c>
      <c r="E140" s="200">
        <f>SUMIF(ATB!D:D,CS!B:B,ATB!G:G)</f>
        <v>0</v>
      </c>
      <c r="F140" s="200">
        <f>SUMIF(ATB!D:D,CS!B:B,ATB!H:H)+SUMIF(ATB!D:D,CS!B:B,ATB!J:J)</f>
        <v>0</v>
      </c>
      <c r="G140" s="200">
        <f>SUMIF(ATB!D:D,CS!B:B,ATB!I:I)+SUMIF(ATB!D:D,CS!B:B,ATB!K:K)</f>
        <v>0</v>
      </c>
      <c r="H140" s="212">
        <f>SUMIF(ATB!D:D,CS!B:B,ATB!L:L)</f>
        <v>0</v>
      </c>
      <c r="I140" s="213">
        <f>SUMIF(ATB!D:D,CS!B:B,ATB!M:M)</f>
        <v>0</v>
      </c>
    </row>
    <row r="141" spans="2:9" s="202" customFormat="1" x14ac:dyDescent="0.35">
      <c r="B141" s="207" t="s">
        <v>26</v>
      </c>
      <c r="C141" s="117"/>
      <c r="D141" s="200">
        <f>SUMIF(ATB!D:D,CS!B:B,ATB!F:F)</f>
        <v>0</v>
      </c>
      <c r="E141" s="200">
        <f>SUMIF(ATB!D:D,CS!B:B,ATB!G:G)</f>
        <v>0</v>
      </c>
      <c r="F141" s="200">
        <f>SUMIF(ATB!D:D,CS!B:B,ATB!H:H)+SUMIF(ATB!D:D,CS!B:B,ATB!J:J)</f>
        <v>0</v>
      </c>
      <c r="G141" s="200">
        <f>SUMIF(ATB!D:D,CS!B:B,ATB!I:I)+SUMIF(ATB!D:D,CS!B:B,ATB!K:K)</f>
        <v>0</v>
      </c>
      <c r="H141" s="212">
        <f>SUMIF(ATB!D:D,CS!B:B,ATB!L:L)</f>
        <v>0</v>
      </c>
      <c r="I141" s="213">
        <f>SUMIF(ATB!D:D,CS!B:B,ATB!M:M)</f>
        <v>0</v>
      </c>
    </row>
    <row r="142" spans="2:9" s="202" customFormat="1" x14ac:dyDescent="0.35">
      <c r="B142" s="207"/>
      <c r="C142" s="117"/>
      <c r="D142" s="200">
        <f>SUMIF(ATB!D:D,CS!B:B,ATB!F:F)</f>
        <v>0</v>
      </c>
      <c r="E142" s="200">
        <f>SUMIF(ATB!D:D,CS!B:B,ATB!G:G)</f>
        <v>0</v>
      </c>
      <c r="F142" s="200">
        <f>SUMIF(ATB!D:D,CS!B:B,ATB!H:H)+SUMIF(ATB!D:D,CS!B:B,ATB!J:J)</f>
        <v>0</v>
      </c>
      <c r="G142" s="200">
        <f>SUMIF(ATB!D:D,CS!B:B,ATB!I:I)+SUMIF(ATB!D:D,CS!B:B,ATB!K:K)</f>
        <v>0</v>
      </c>
      <c r="H142" s="212">
        <f>SUMIF(ATB!D:D,CS!B:B,ATB!L:L)</f>
        <v>0</v>
      </c>
      <c r="I142" s="213">
        <f>SUMIF(ATB!D:D,CS!B:B,ATB!M:M)</f>
        <v>0</v>
      </c>
    </row>
    <row r="143" spans="2:9" s="202" customFormat="1" x14ac:dyDescent="0.35">
      <c r="B143" s="207"/>
      <c r="C143" s="117"/>
      <c r="D143" s="200">
        <f>SUMIF(ATB!D:D,CS!B:B,ATB!F:F)</f>
        <v>0</v>
      </c>
      <c r="E143" s="200">
        <f>SUMIF(ATB!D:D,CS!B:B,ATB!G:G)</f>
        <v>0</v>
      </c>
      <c r="F143" s="200">
        <f>SUMIF(ATB!D:D,CS!B:B,ATB!H:H)+SUMIF(ATB!D:D,CS!B:B,ATB!J:J)</f>
        <v>0</v>
      </c>
      <c r="G143" s="200">
        <f>SUMIF(ATB!D:D,CS!B:B,ATB!I:I)+SUMIF(ATB!D:D,CS!B:B,ATB!K:K)</f>
        <v>0</v>
      </c>
      <c r="H143" s="212">
        <f>SUMIF(ATB!D:D,CS!B:B,ATB!L:L)</f>
        <v>0</v>
      </c>
      <c r="I143" s="213">
        <f>SUMIF(ATB!D:D,CS!B:B,ATB!M:M)</f>
        <v>0</v>
      </c>
    </row>
    <row r="144" spans="2:9" s="202" customFormat="1" x14ac:dyDescent="0.35">
      <c r="B144" s="207" t="s">
        <v>27</v>
      </c>
      <c r="C144" s="117"/>
      <c r="D144" s="200">
        <f>SUMIF(ATB!D:D,CS!B:B,ATB!F:F)</f>
        <v>0</v>
      </c>
      <c r="E144" s="200">
        <f>SUMIF(ATB!D:D,CS!B:B,ATB!G:G)</f>
        <v>0</v>
      </c>
      <c r="F144" s="200">
        <f>SUMIF(ATB!D:D,CS!B:B,ATB!H:H)+SUMIF(ATB!D:D,CS!B:B,ATB!J:J)</f>
        <v>0</v>
      </c>
      <c r="G144" s="200">
        <f>SUMIF(ATB!D:D,CS!B:B,ATB!I:I)+SUMIF(ATB!D:D,CS!B:B,ATB!K:K)</f>
        <v>0</v>
      </c>
      <c r="H144" s="212">
        <f>SUMIF(ATB!D:D,CS!B:B,ATB!L:L)</f>
        <v>0</v>
      </c>
      <c r="I144" s="213">
        <f>SUMIF(ATB!D:D,CS!B:B,ATB!M:M)</f>
        <v>0</v>
      </c>
    </row>
    <row r="145" spans="2:9" s="202" customFormat="1" x14ac:dyDescent="0.35">
      <c r="B145" s="208" t="s">
        <v>172</v>
      </c>
      <c r="C145" s="117"/>
      <c r="D145" s="200">
        <f>SUMIF(ATB!D:D,CS!B:B,ATB!F:F)</f>
        <v>0</v>
      </c>
      <c r="E145" s="200">
        <f>SUMIF(ATB!D:D,CS!B:B,ATB!G:G)</f>
        <v>0</v>
      </c>
      <c r="F145" s="200">
        <f>SUMIF(ATB!D:D,CS!B:B,ATB!H:H)+SUMIF(ATB!D:D,CS!B:B,ATB!J:J)</f>
        <v>0</v>
      </c>
      <c r="G145" s="200">
        <f>SUMIF(ATB!D:D,CS!B:B,ATB!I:I)+SUMIF(ATB!D:D,CS!B:B,ATB!K:K)</f>
        <v>0</v>
      </c>
      <c r="H145" s="212">
        <f>SUMIF(ATB!D:D,CS!B:B,ATB!L:L)</f>
        <v>0</v>
      </c>
      <c r="I145" s="213">
        <f>SUMIF(ATB!D:D,CS!B:B,ATB!M:M)</f>
        <v>0</v>
      </c>
    </row>
    <row r="146" spans="2:9" s="202" customFormat="1" x14ac:dyDescent="0.35">
      <c r="B146" s="208" t="s">
        <v>173</v>
      </c>
      <c r="C146" s="117"/>
      <c r="D146" s="200">
        <f>SUMIF(ATB!D:D,CS!B:B,ATB!F:F)</f>
        <v>0</v>
      </c>
      <c r="E146" s="200">
        <f>SUMIF(ATB!D:D,CS!B:B,ATB!G:G)</f>
        <v>0</v>
      </c>
      <c r="F146" s="200">
        <f>SUMIF(ATB!D:D,CS!B:B,ATB!H:H)+SUMIF(ATB!D:D,CS!B:B,ATB!J:J)</f>
        <v>0</v>
      </c>
      <c r="G146" s="200">
        <f>SUMIF(ATB!D:D,CS!B:B,ATB!I:I)+SUMIF(ATB!D:D,CS!B:B,ATB!K:K)</f>
        <v>0</v>
      </c>
      <c r="H146" s="212">
        <f>SUMIF(ATB!D:D,CS!B:B,ATB!L:L)</f>
        <v>0</v>
      </c>
      <c r="I146" s="213">
        <f>SUMIF(ATB!D:D,CS!B:B,ATB!M:M)</f>
        <v>0</v>
      </c>
    </row>
    <row r="147" spans="2:9" s="202" customFormat="1" x14ac:dyDescent="0.35">
      <c r="B147" s="208" t="s">
        <v>174</v>
      </c>
      <c r="C147" s="117"/>
      <c r="D147" s="200">
        <f>SUMIF(ATB!D:D,CS!B:B,ATB!F:F)</f>
        <v>0</v>
      </c>
      <c r="E147" s="200">
        <f>SUMIF(ATB!D:D,CS!B:B,ATB!G:G)</f>
        <v>0</v>
      </c>
      <c r="F147" s="200">
        <f>SUMIF(ATB!D:D,CS!B:B,ATB!H:H)+SUMIF(ATB!D:D,CS!B:B,ATB!J:J)</f>
        <v>0</v>
      </c>
      <c r="G147" s="200">
        <f>SUMIF(ATB!D:D,CS!B:B,ATB!I:I)+SUMIF(ATB!D:D,CS!B:B,ATB!K:K)</f>
        <v>0</v>
      </c>
      <c r="H147" s="212">
        <f>SUMIF(ATB!D:D,CS!B:B,ATB!L:L)</f>
        <v>0</v>
      </c>
      <c r="I147" s="213">
        <f>SUMIF(ATB!D:D,CS!B:B,ATB!M:M)</f>
        <v>0</v>
      </c>
    </row>
    <row r="148" spans="2:9" s="202" customFormat="1" x14ac:dyDescent="0.35">
      <c r="B148" s="208" t="s">
        <v>385</v>
      </c>
      <c r="C148" s="117"/>
      <c r="D148" s="200">
        <f>SUMIF(ATB!D:D,CS!B:B,ATB!F:F)</f>
        <v>0</v>
      </c>
      <c r="E148" s="200">
        <f>SUMIF(ATB!D:D,CS!B:B,ATB!G:G)</f>
        <v>0</v>
      </c>
      <c r="F148" s="200">
        <f>SUMIF(ATB!D:D,CS!B:B,ATB!H:H)+SUMIF(ATB!D:D,CS!B:B,ATB!J:J)</f>
        <v>0</v>
      </c>
      <c r="G148" s="200">
        <f>SUMIF(ATB!D:D,CS!B:B,ATB!I:I)+SUMIF(ATB!D:D,CS!B:B,ATB!K:K)</f>
        <v>0</v>
      </c>
      <c r="H148" s="212">
        <f>SUMIF(ATB!D:D,CS!B:B,ATB!L:L)</f>
        <v>0</v>
      </c>
      <c r="I148" s="213">
        <f>SUMIF(ATB!D:D,CS!B:B,ATB!M:M)</f>
        <v>0</v>
      </c>
    </row>
    <row r="149" spans="2:9" s="202" customFormat="1" x14ac:dyDescent="0.35">
      <c r="B149" s="208"/>
      <c r="C149" s="117"/>
      <c r="D149" s="200">
        <f>SUMIF(ATB!D:D,CS!B:B,ATB!F:F)</f>
        <v>0</v>
      </c>
      <c r="E149" s="200">
        <f>SUMIF(ATB!D:D,CS!B:B,ATB!G:G)</f>
        <v>0</v>
      </c>
      <c r="F149" s="200">
        <f>SUMIF(ATB!D:D,CS!B:B,ATB!H:H)+SUMIF(ATB!D:D,CS!B:B,ATB!J:J)</f>
        <v>0</v>
      </c>
      <c r="G149" s="200">
        <f>SUMIF(ATB!D:D,CS!B:B,ATB!I:I)+SUMIF(ATB!D:D,CS!B:B,ATB!K:K)</f>
        <v>0</v>
      </c>
      <c r="H149" s="212">
        <f>SUMIF(ATB!D:D,CS!B:B,ATB!L:L)</f>
        <v>0</v>
      </c>
      <c r="I149" s="213">
        <f>SUMIF(ATB!D:D,CS!B:B,ATB!M:M)</f>
        <v>0</v>
      </c>
    </row>
    <row r="150" spans="2:9" s="202" customFormat="1" x14ac:dyDescent="0.35">
      <c r="B150" s="208"/>
      <c r="C150" s="117"/>
      <c r="D150" s="200">
        <f>SUMIF(ATB!D:D,CS!B:B,ATB!F:F)</f>
        <v>0</v>
      </c>
      <c r="E150" s="200">
        <f>SUMIF(ATB!D:D,CS!B:B,ATB!G:G)</f>
        <v>0</v>
      </c>
      <c r="F150" s="200">
        <f>SUMIF(ATB!D:D,CS!B:B,ATB!H:H)+SUMIF(ATB!D:D,CS!B:B,ATB!J:J)</f>
        <v>0</v>
      </c>
      <c r="G150" s="200">
        <f>SUMIF(ATB!D:D,CS!B:B,ATB!I:I)+SUMIF(ATB!D:D,CS!B:B,ATB!K:K)</f>
        <v>0</v>
      </c>
      <c r="H150" s="212">
        <f>SUMIF(ATB!D:D,CS!B:B,ATB!L:L)</f>
        <v>0</v>
      </c>
      <c r="I150" s="213">
        <f>SUMIF(ATB!D:D,CS!B:B,ATB!M:M)</f>
        <v>0</v>
      </c>
    </row>
    <row r="151" spans="2:9" s="202" customFormat="1" x14ac:dyDescent="0.35">
      <c r="B151" s="203" t="s">
        <v>29</v>
      </c>
      <c r="C151" s="117"/>
      <c r="D151" s="200">
        <f>SUMIF(ATB!D:D,CS!B:B,ATB!F:F)</f>
        <v>0</v>
      </c>
      <c r="E151" s="200">
        <f>SUMIF(ATB!D:D,CS!B:B,ATB!G:G)</f>
        <v>0</v>
      </c>
      <c r="F151" s="200">
        <f>SUMIF(ATB!D:D,CS!B:B,ATB!H:H)+SUMIF(ATB!D:D,CS!B:B,ATB!J:J)</f>
        <v>0</v>
      </c>
      <c r="G151" s="200">
        <f>SUMIF(ATB!D:D,CS!B:B,ATB!I:I)+SUMIF(ATB!D:D,CS!B:B,ATB!K:K)</f>
        <v>0</v>
      </c>
      <c r="H151" s="212">
        <f>SUMIF(ATB!D:D,CS!B:B,ATB!L:L)</f>
        <v>0</v>
      </c>
      <c r="I151" s="213">
        <f>SUMIF(ATB!D:D,CS!B:B,ATB!M:M)</f>
        <v>0</v>
      </c>
    </row>
    <row r="152" spans="2:9" s="202" customFormat="1" x14ac:dyDescent="0.35">
      <c r="B152" s="208" t="s">
        <v>30</v>
      </c>
      <c r="C152" s="117"/>
      <c r="D152" s="200">
        <f>SUMIF(ATB!D:D,CS!B:B,ATB!F:F)</f>
        <v>0</v>
      </c>
      <c r="E152" s="200">
        <f>SUMIF(ATB!D:D,CS!B:B,ATB!G:G)</f>
        <v>0</v>
      </c>
      <c r="F152" s="200">
        <f>SUMIF(ATB!D:D,CS!B:B,ATB!H:H)+SUMIF(ATB!D:D,CS!B:B,ATB!J:J)</f>
        <v>0</v>
      </c>
      <c r="G152" s="200">
        <f>SUMIF(ATB!D:D,CS!B:B,ATB!I:I)+SUMIF(ATB!D:D,CS!B:B,ATB!K:K)</f>
        <v>0</v>
      </c>
      <c r="H152" s="212">
        <f>SUMIF(ATB!D:D,CS!B:B,ATB!L:L)</f>
        <v>0</v>
      </c>
      <c r="I152" s="213">
        <f>SUMIF(ATB!D:D,CS!B:B,ATB!M:M)</f>
        <v>0</v>
      </c>
    </row>
    <row r="153" spans="2:9" s="202" customFormat="1" x14ac:dyDescent="0.35">
      <c r="B153" s="208" t="s">
        <v>100</v>
      </c>
      <c r="C153" s="117"/>
      <c r="D153" s="200">
        <f>SUMIF(ATB!D:D,CS!B:B,ATB!F:F)</f>
        <v>0</v>
      </c>
      <c r="E153" s="200">
        <f>SUMIF(ATB!D:D,CS!B:B,ATB!G:G)</f>
        <v>0</v>
      </c>
      <c r="F153" s="200">
        <f>SUMIF(ATB!D:D,CS!B:B,ATB!H:H)+SUMIF(ATB!D:D,CS!B:B,ATB!J:J)</f>
        <v>0</v>
      </c>
      <c r="G153" s="200">
        <f>SUMIF(ATB!D:D,CS!B:B,ATB!I:I)+SUMIF(ATB!D:D,CS!B:B,ATB!K:K)</f>
        <v>0</v>
      </c>
      <c r="H153" s="212">
        <f>SUMIF(ATB!D:D,CS!B:B,ATB!L:L)</f>
        <v>0</v>
      </c>
      <c r="I153" s="213">
        <f>SUMIF(ATB!D:D,CS!B:B,ATB!M:M)</f>
        <v>0</v>
      </c>
    </row>
    <row r="154" spans="2:9" s="202" customFormat="1" x14ac:dyDescent="0.35">
      <c r="B154" s="208" t="s">
        <v>161</v>
      </c>
      <c r="C154" s="117"/>
      <c r="D154" s="200">
        <f>SUMIF(ATB!D:D,CS!B:B,ATB!F:F)</f>
        <v>0</v>
      </c>
      <c r="E154" s="200">
        <f>SUMIF(ATB!D:D,CS!B:B,ATB!G:G)</f>
        <v>0</v>
      </c>
      <c r="F154" s="200">
        <f>SUMIF(ATB!D:D,CS!B:B,ATB!H:H)+SUMIF(ATB!D:D,CS!B:B,ATB!J:J)</f>
        <v>0</v>
      </c>
      <c r="G154" s="200">
        <f>SUMIF(ATB!D:D,CS!B:B,ATB!I:I)+SUMIF(ATB!D:D,CS!B:B,ATB!K:K)</f>
        <v>0</v>
      </c>
      <c r="H154" s="212">
        <f>SUMIF(ATB!D:D,CS!B:B,ATB!L:L)</f>
        <v>0</v>
      </c>
      <c r="I154" s="213">
        <f>SUMIF(ATB!D:D,CS!B:B,ATB!M:M)</f>
        <v>0</v>
      </c>
    </row>
    <row r="155" spans="2:9" s="202" customFormat="1" x14ac:dyDescent="0.35">
      <c r="B155" s="208" t="s">
        <v>162</v>
      </c>
      <c r="C155" s="117"/>
      <c r="D155" s="200">
        <f>SUMIF(ATB!D:D,CS!B:B,ATB!F:F)</f>
        <v>0</v>
      </c>
      <c r="E155" s="200">
        <f>SUMIF(ATB!D:D,CS!B:B,ATB!G:G)</f>
        <v>0</v>
      </c>
      <c r="F155" s="200">
        <f>SUMIF(ATB!D:D,CS!B:B,ATB!H:H)+SUMIF(ATB!D:D,CS!B:B,ATB!J:J)</f>
        <v>0</v>
      </c>
      <c r="G155" s="200">
        <f>SUMIF(ATB!D:D,CS!B:B,ATB!I:I)+SUMIF(ATB!D:D,CS!B:B,ATB!K:K)</f>
        <v>0</v>
      </c>
      <c r="H155" s="212">
        <f>SUMIF(ATB!D:D,CS!B:B,ATB!L:L)</f>
        <v>0</v>
      </c>
      <c r="I155" s="213">
        <f>SUMIF(ATB!D:D,CS!B:B,ATB!M:M)</f>
        <v>0</v>
      </c>
    </row>
    <row r="156" spans="2:9" s="202" customFormat="1" x14ac:dyDescent="0.35">
      <c r="B156" s="208" t="s">
        <v>163</v>
      </c>
      <c r="C156" s="117"/>
      <c r="D156" s="200">
        <f>SUMIF(ATB!D:D,CS!B:B,ATB!F:F)</f>
        <v>0</v>
      </c>
      <c r="E156" s="200">
        <f>SUMIF(ATB!D:D,CS!B:B,ATB!G:G)</f>
        <v>0</v>
      </c>
      <c r="F156" s="200">
        <f>SUMIF(ATB!D:D,CS!B:B,ATB!H:H)+SUMIF(ATB!D:D,CS!B:B,ATB!J:J)</f>
        <v>0</v>
      </c>
      <c r="G156" s="200">
        <f>SUMIF(ATB!D:D,CS!B:B,ATB!I:I)+SUMIF(ATB!D:D,CS!B:B,ATB!K:K)</f>
        <v>0</v>
      </c>
      <c r="H156" s="212">
        <f>SUMIF(ATB!D:D,CS!B:B,ATB!L:L)</f>
        <v>0</v>
      </c>
      <c r="I156" s="213">
        <f>SUMIF(ATB!D:D,CS!B:B,ATB!M:M)</f>
        <v>0</v>
      </c>
    </row>
    <row r="157" spans="2:9" s="202" customFormat="1" x14ac:dyDescent="0.35">
      <c r="B157" s="208" t="s">
        <v>164</v>
      </c>
      <c r="C157" s="117"/>
      <c r="D157" s="200">
        <f>SUMIF(ATB!D:D,CS!B:B,ATB!F:F)</f>
        <v>0</v>
      </c>
      <c r="E157" s="200">
        <f>SUMIF(ATB!D:D,CS!B:B,ATB!G:G)</f>
        <v>0</v>
      </c>
      <c r="F157" s="200">
        <f>SUMIF(ATB!D:D,CS!B:B,ATB!H:H)+SUMIF(ATB!D:D,CS!B:B,ATB!J:J)</f>
        <v>0</v>
      </c>
      <c r="G157" s="200">
        <f>SUMIF(ATB!D:D,CS!B:B,ATB!I:I)+SUMIF(ATB!D:D,CS!B:B,ATB!K:K)</f>
        <v>0</v>
      </c>
      <c r="H157" s="212">
        <f>SUMIF(ATB!D:D,CS!B:B,ATB!L:L)</f>
        <v>0</v>
      </c>
      <c r="I157" s="213">
        <f>SUMIF(ATB!D:D,CS!B:B,ATB!M:M)</f>
        <v>0</v>
      </c>
    </row>
    <row r="158" spans="2:9" s="202" customFormat="1" x14ac:dyDescent="0.35">
      <c r="B158" s="208" t="s">
        <v>681</v>
      </c>
      <c r="C158" s="117"/>
      <c r="D158" s="200">
        <f>SUMIF(ATB!D:D,CS!B:B,ATB!F:F)</f>
        <v>0</v>
      </c>
      <c r="E158" s="200">
        <f>SUMIF(ATB!D:D,CS!B:B,ATB!G:G)</f>
        <v>0</v>
      </c>
      <c r="F158" s="200"/>
      <c r="G158" s="200"/>
      <c r="H158" s="212"/>
      <c r="I158" s="213"/>
    </row>
    <row r="159" spans="2:9" s="202" customFormat="1" x14ac:dyDescent="0.35">
      <c r="B159" s="208" t="s">
        <v>682</v>
      </c>
      <c r="C159" s="117"/>
      <c r="D159" s="200">
        <f>SUMIF(ATB!D:D,CS!B:B,ATB!F:F)</f>
        <v>0</v>
      </c>
      <c r="E159" s="200">
        <f>SUMIF(ATB!D:D,CS!B:B,ATB!G:G)</f>
        <v>0</v>
      </c>
      <c r="F159" s="200"/>
      <c r="G159" s="200"/>
      <c r="H159" s="212"/>
      <c r="I159" s="213"/>
    </row>
    <row r="160" spans="2:9" s="202" customFormat="1" x14ac:dyDescent="0.35">
      <c r="B160" s="208" t="s">
        <v>101</v>
      </c>
      <c r="C160" s="117"/>
      <c r="D160" s="200">
        <f>SUMIF(ATB!D:D,CS!B:B,ATB!F:F)</f>
        <v>0</v>
      </c>
      <c r="E160" s="200">
        <f>SUMIF(ATB!D:D,CS!B:B,ATB!G:G)</f>
        <v>0</v>
      </c>
      <c r="F160" s="200">
        <f>SUMIF(ATB!D:D,CS!B:B,ATB!H:H)+SUMIF(ATB!D:D,CS!B:B,ATB!J:J)</f>
        <v>0</v>
      </c>
      <c r="G160" s="200">
        <f>SUMIF(ATB!D:D,CS!B:B,ATB!I:I)+SUMIF(ATB!D:D,CS!B:B,ATB!K:K)</f>
        <v>0</v>
      </c>
      <c r="H160" s="212">
        <f>SUMIF(ATB!D:D,CS!B:B,ATB!L:L)</f>
        <v>0</v>
      </c>
      <c r="I160" s="213">
        <f>SUMIF(ATB!D:D,CS!B:B,ATB!M:M)</f>
        <v>0</v>
      </c>
    </row>
    <row r="161" spans="2:9" s="202" customFormat="1" x14ac:dyDescent="0.35">
      <c r="B161" s="208"/>
      <c r="C161" s="117"/>
      <c r="D161" s="200">
        <f>SUMIF(ATB!D:D,CS!B:B,ATB!F:F)</f>
        <v>0</v>
      </c>
      <c r="E161" s="200">
        <f>SUMIF(ATB!D:D,CS!B:B,ATB!G:G)</f>
        <v>0</v>
      </c>
      <c r="F161" s="200">
        <f>SUMIF(ATB!D:D,CS!B:B,ATB!H:H)+SUMIF(ATB!D:D,CS!B:B,ATB!J:J)</f>
        <v>0</v>
      </c>
      <c r="G161" s="200">
        <f>SUMIF(ATB!D:D,CS!B:B,ATB!I:I)+SUMIF(ATB!D:D,CS!B:B,ATB!K:K)</f>
        <v>0</v>
      </c>
      <c r="H161" s="212">
        <f>SUMIF(ATB!D:D,CS!B:B,ATB!L:L)</f>
        <v>0</v>
      </c>
      <c r="I161" s="213">
        <f>SUMIF(ATB!D:D,CS!B:B,ATB!M:M)</f>
        <v>0</v>
      </c>
    </row>
    <row r="162" spans="2:9" s="202" customFormat="1" x14ac:dyDescent="0.35">
      <c r="B162" s="208" t="s">
        <v>765</v>
      </c>
      <c r="C162" s="117"/>
      <c r="D162" s="200">
        <f>SUMIF(ATB!D:D,CS!B:B,ATB!F:F)</f>
        <v>0</v>
      </c>
      <c r="E162" s="200">
        <f>SUMIF(ATB!D:D,CS!B:B,ATB!G:G)</f>
        <v>0</v>
      </c>
      <c r="F162" s="200">
        <f>SUMIF(ATB!D:D,CS!B:B,ATB!H:H)+SUMIF(ATB!D:D,CS!B:B,ATB!J:J)</f>
        <v>0</v>
      </c>
      <c r="G162" s="200">
        <f>SUMIF(ATB!D:D,CS!B:B,ATB!I:I)+SUMIF(ATB!D:D,CS!B:B,ATB!K:K)</f>
        <v>0</v>
      </c>
      <c r="H162" s="212">
        <f>SUMIF(ATB!D:D,CS!B:B,ATB!L:L)</f>
        <v>0</v>
      </c>
      <c r="I162" s="213">
        <f>SUMIF(ATB!D:D,CS!B:B,ATB!M:M)</f>
        <v>0</v>
      </c>
    </row>
    <row r="163" spans="2:9" s="202" customFormat="1" x14ac:dyDescent="0.35">
      <c r="B163" s="208"/>
      <c r="C163" s="117"/>
      <c r="D163" s="200">
        <f>SUMIF(ATB!D:D,CS!B:B,ATB!F:F)</f>
        <v>0</v>
      </c>
      <c r="E163" s="200">
        <f>SUMIF(ATB!D:D,CS!B:B,ATB!G:G)</f>
        <v>0</v>
      </c>
      <c r="F163" s="200">
        <f>SUMIF(ATB!D:D,CS!B:B,ATB!H:H)+SUMIF(ATB!D:D,CS!B:B,ATB!J:J)</f>
        <v>0</v>
      </c>
      <c r="G163" s="200">
        <f>SUMIF(ATB!D:D,CS!B:B,ATB!I:I)+SUMIF(ATB!D:D,CS!B:B,ATB!K:K)</f>
        <v>0</v>
      </c>
      <c r="H163" s="212">
        <f>SUMIF(ATB!D:D,CS!B:B,ATB!L:L)</f>
        <v>0</v>
      </c>
      <c r="I163" s="213">
        <f>SUMIF(ATB!D:D,CS!B:B,ATB!M:M)</f>
        <v>0</v>
      </c>
    </row>
    <row r="164" spans="2:9" s="202" customFormat="1" x14ac:dyDescent="0.35">
      <c r="B164" s="207" t="s">
        <v>31</v>
      </c>
      <c r="C164" s="117"/>
      <c r="D164" s="200">
        <f>SUMIF(ATB!D:D,CS!B:B,ATB!F:F)</f>
        <v>0</v>
      </c>
      <c r="E164" s="200">
        <f>SUMIF(ATB!D:D,CS!B:B,ATB!G:G)</f>
        <v>0</v>
      </c>
      <c r="F164" s="200">
        <f>SUMIF(ATB!D:D,CS!B:B,ATB!H:H)+SUMIF(ATB!D:D,CS!B:B,ATB!J:J)</f>
        <v>0</v>
      </c>
      <c r="G164" s="200">
        <f>SUMIF(ATB!D:D,CS!B:B,ATB!I:I)+SUMIF(ATB!D:D,CS!B:B,ATB!K:K)</f>
        <v>0</v>
      </c>
      <c r="H164" s="212">
        <f>SUMIF(ATB!D:D,CS!B:B,ATB!L:L)</f>
        <v>0</v>
      </c>
      <c r="I164" s="213">
        <f>SUMIF(ATB!D:D,CS!B:B,ATB!M:M)</f>
        <v>0</v>
      </c>
    </row>
    <row r="165" spans="2:9" s="202" customFormat="1" x14ac:dyDescent="0.35">
      <c r="B165" s="207"/>
      <c r="C165" s="117"/>
      <c r="D165" s="200">
        <f>SUMIF(ATB!D:D,CS!B:B,ATB!F:F)</f>
        <v>0</v>
      </c>
      <c r="E165" s="200">
        <f>SUMIF(ATB!D:D,CS!B:B,ATB!G:G)</f>
        <v>0</v>
      </c>
      <c r="F165" s="200">
        <f>SUMIF(ATB!D:D,CS!B:B,ATB!H:H)+SUMIF(ATB!D:D,CS!B:B,ATB!J:J)</f>
        <v>0</v>
      </c>
      <c r="G165" s="200">
        <f>SUMIF(ATB!D:D,CS!B:B,ATB!I:I)+SUMIF(ATB!D:D,CS!B:B,ATB!K:K)</f>
        <v>0</v>
      </c>
      <c r="H165" s="212">
        <f>SUMIF(ATB!D:D,CS!B:B,ATB!L:L)</f>
        <v>0</v>
      </c>
      <c r="I165" s="213">
        <f>SUMIF(ATB!D:D,CS!B:B,ATB!M:M)</f>
        <v>0</v>
      </c>
    </row>
    <row r="166" spans="2:9" s="202" customFormat="1" x14ac:dyDescent="0.35">
      <c r="B166" s="207"/>
      <c r="C166" s="117"/>
      <c r="D166" s="200">
        <f>SUMIF(ATB!D:D,CS!B:B,ATB!F:F)</f>
        <v>0</v>
      </c>
      <c r="E166" s="200">
        <f>SUMIF(ATB!D:D,CS!B:B,ATB!G:G)</f>
        <v>0</v>
      </c>
      <c r="F166" s="200">
        <f>SUMIF(ATB!D:D,CS!B:B,ATB!H:H)+SUMIF(ATB!D:D,CS!B:B,ATB!J:J)</f>
        <v>0</v>
      </c>
      <c r="G166" s="200">
        <f>SUMIF(ATB!D:D,CS!B:B,ATB!I:I)+SUMIF(ATB!D:D,CS!B:B,ATB!K:K)</f>
        <v>0</v>
      </c>
      <c r="H166" s="212">
        <f>SUMIF(ATB!D:D,CS!B:B,ATB!L:L)</f>
        <v>0</v>
      </c>
      <c r="I166" s="213">
        <f>SUMIF(ATB!D:D,CS!B:B,ATB!M:M)</f>
        <v>0</v>
      </c>
    </row>
    <row r="167" spans="2:9" s="202" customFormat="1" x14ac:dyDescent="0.35">
      <c r="B167" s="207" t="s">
        <v>175</v>
      </c>
      <c r="C167" s="117"/>
      <c r="D167" s="200">
        <f>SUMIF(ATB!D:D,CS!B:B,ATB!F:F)</f>
        <v>0</v>
      </c>
      <c r="E167" s="200">
        <f>SUMIF(ATB!D:D,CS!B:B,ATB!G:G)</f>
        <v>0</v>
      </c>
      <c r="F167" s="200">
        <f>SUMIF(ATB!D:D,CS!B:B,ATB!H:H)+SUMIF(ATB!D:D,CS!B:B,ATB!J:J)</f>
        <v>0</v>
      </c>
      <c r="G167" s="200">
        <f>SUMIF(ATB!D:D,CS!B:B,ATB!I:I)+SUMIF(ATB!D:D,CS!B:B,ATB!K:K)</f>
        <v>0</v>
      </c>
      <c r="H167" s="212">
        <f>SUMIF(ATB!D:D,CS!B:B,ATB!L:L)</f>
        <v>0</v>
      </c>
      <c r="I167" s="213">
        <f>SUMIF(ATB!D:D,CS!B:B,ATB!M:M)</f>
        <v>0</v>
      </c>
    </row>
    <row r="168" spans="2:9" s="202" customFormat="1" x14ac:dyDescent="0.35">
      <c r="B168" s="207"/>
      <c r="C168" s="117"/>
      <c r="D168" s="200">
        <f>SUMIF(ATB!D:D,CS!B:B,ATB!F:F)</f>
        <v>0</v>
      </c>
      <c r="E168" s="200">
        <f>SUMIF(ATB!D:D,CS!B:B,ATB!G:G)</f>
        <v>0</v>
      </c>
      <c r="F168" s="200">
        <f>SUMIF(ATB!D:D,CS!B:B,ATB!H:H)+SUMIF(ATB!D:D,CS!B:B,ATB!J:J)</f>
        <v>0</v>
      </c>
      <c r="G168" s="200">
        <f>SUMIF(ATB!D:D,CS!B:B,ATB!I:I)+SUMIF(ATB!D:D,CS!B:B,ATB!K:K)</f>
        <v>0</v>
      </c>
      <c r="H168" s="212">
        <f>SUMIF(ATB!D:D,CS!B:B,ATB!L:L)</f>
        <v>0</v>
      </c>
      <c r="I168" s="213">
        <f>SUMIF(ATB!D:D,CS!B:B,ATB!M:M)</f>
        <v>0</v>
      </c>
    </row>
    <row r="169" spans="2:9" s="202" customFormat="1" x14ac:dyDescent="0.35">
      <c r="B169" s="207"/>
      <c r="C169" s="117"/>
      <c r="D169" s="200">
        <f>SUMIF(ATB!D:D,CS!B:B,ATB!F:F)</f>
        <v>0</v>
      </c>
      <c r="E169" s="200">
        <f>SUMIF(ATB!D:D,CS!B:B,ATB!G:G)</f>
        <v>0</v>
      </c>
      <c r="F169" s="200">
        <f>SUMIF(ATB!D:D,CS!B:B,ATB!H:H)+SUMIF(ATB!D:D,CS!B:B,ATB!J:J)</f>
        <v>0</v>
      </c>
      <c r="G169" s="200">
        <f>SUMIF(ATB!D:D,CS!B:B,ATB!I:I)+SUMIF(ATB!D:D,CS!B:B,ATB!K:K)</f>
        <v>0</v>
      </c>
      <c r="H169" s="212">
        <f>SUMIF(ATB!D:D,CS!B:B,ATB!L:L)</f>
        <v>0</v>
      </c>
      <c r="I169" s="213">
        <f>SUMIF(ATB!D:D,CS!B:B,ATB!M:M)</f>
        <v>0</v>
      </c>
    </row>
    <row r="170" spans="2:9" s="202" customFormat="1" x14ac:dyDescent="0.35">
      <c r="B170" s="207"/>
      <c r="C170" s="117"/>
      <c r="D170" s="200">
        <f>SUMIF(ATB!D:D,CS!B:B,ATB!F:F)</f>
        <v>0</v>
      </c>
      <c r="E170" s="200">
        <f>SUMIF(ATB!D:D,CS!B:B,ATB!G:G)</f>
        <v>0</v>
      </c>
      <c r="F170" s="200">
        <f>SUMIF(ATB!D:D,CS!B:B,ATB!H:H)+SUMIF(ATB!D:D,CS!B:B,ATB!J:J)</f>
        <v>0</v>
      </c>
      <c r="G170" s="200">
        <f>SUMIF(ATB!D:D,CS!B:B,ATB!I:I)+SUMIF(ATB!D:D,CS!B:B,ATB!K:K)</f>
        <v>0</v>
      </c>
      <c r="H170" s="212">
        <f>SUMIF(ATB!D:D,CS!B:B,ATB!L:L)</f>
        <v>0</v>
      </c>
      <c r="I170" s="213">
        <f>SUMIF(ATB!D:D,CS!B:B,ATB!M:M)</f>
        <v>0</v>
      </c>
    </row>
    <row r="171" spans="2:9" s="202" customFormat="1" x14ac:dyDescent="0.35">
      <c r="B171" s="207" t="s">
        <v>218</v>
      </c>
      <c r="C171" s="117"/>
      <c r="D171" s="200">
        <f>SUMIF(ATB!D:D,CS!B:B,ATB!F:F)</f>
        <v>0</v>
      </c>
      <c r="E171" s="200">
        <f>SUMIF(ATB!D:D,CS!B:B,ATB!G:G)</f>
        <v>0</v>
      </c>
      <c r="F171" s="200">
        <f>SUMIF(ATB!D:D,CS!B:B,ATB!H:H)+SUMIF(ATB!D:D,CS!B:B,ATB!J:J)</f>
        <v>0</v>
      </c>
      <c r="G171" s="200">
        <f>SUMIF(ATB!D:D,CS!B:B,ATB!I:I)+SUMIF(ATB!D:D,CS!B:B,ATB!K:K)</f>
        <v>0</v>
      </c>
      <c r="H171" s="212">
        <f>SUMIF(ATB!D:D,CS!B:B,ATB!L:L)</f>
        <v>0</v>
      </c>
      <c r="I171" s="213">
        <f>SUMIF(ATB!D:D,CS!B:B,ATB!M:M)</f>
        <v>0</v>
      </c>
    </row>
    <row r="172" spans="2:9" s="202" customFormat="1" x14ac:dyDescent="0.35">
      <c r="B172" s="208" t="s">
        <v>111</v>
      </c>
      <c r="C172" s="117"/>
      <c r="D172" s="200">
        <f>SUMIF(ATB!D:D,CS!B:B,ATB!F:F)</f>
        <v>0</v>
      </c>
      <c r="E172" s="200">
        <f>SUMIF(ATB!D:D,CS!B:B,ATB!G:G)</f>
        <v>0</v>
      </c>
      <c r="F172" s="200">
        <f>SUMIF(ATB!D:D,CS!B:B,ATB!H:H)+SUMIF(ATB!D:D,CS!B:B,ATB!J:J)</f>
        <v>0</v>
      </c>
      <c r="G172" s="200">
        <f>SUMIF(ATB!D:D,CS!B:B,ATB!I:I)+SUMIF(ATB!D:D,CS!B:B,ATB!K:K)</f>
        <v>0</v>
      </c>
      <c r="H172" s="212">
        <f>SUMIF(ATB!D:D,CS!B:B,ATB!L:L)</f>
        <v>0</v>
      </c>
      <c r="I172" s="213">
        <f>SUMIF(ATB!D:D,CS!B:B,ATB!M:M)</f>
        <v>0</v>
      </c>
    </row>
    <row r="173" spans="2:9" s="202" customFormat="1" x14ac:dyDescent="0.35">
      <c r="B173" s="208" t="s">
        <v>185</v>
      </c>
      <c r="C173" s="117"/>
      <c r="D173" s="200">
        <f>SUMIF(ATB!D:D,CS!B:B,ATB!F:F)</f>
        <v>0</v>
      </c>
      <c r="E173" s="200">
        <f>SUMIF(ATB!D:D,CS!B:B,ATB!G:G)</f>
        <v>0</v>
      </c>
      <c r="F173" s="200">
        <f>SUMIF(ATB!D:D,CS!B:B,ATB!H:H)+SUMIF(ATB!D:D,CS!B:B,ATB!J:J)</f>
        <v>0</v>
      </c>
      <c r="G173" s="200">
        <f>SUMIF(ATB!D:D,CS!B:B,ATB!I:I)+SUMIF(ATB!D:D,CS!B:B,ATB!K:K)</f>
        <v>0</v>
      </c>
      <c r="H173" s="212">
        <f>SUMIF(ATB!D:D,CS!B:B,ATB!L:L)</f>
        <v>0</v>
      </c>
      <c r="I173" s="213">
        <f>SUMIF(ATB!D:D,CS!B:B,ATB!M:M)</f>
        <v>0</v>
      </c>
    </row>
    <row r="174" spans="2:9" s="202" customFormat="1" x14ac:dyDescent="0.35">
      <c r="B174" s="208" t="s">
        <v>186</v>
      </c>
      <c r="C174" s="117"/>
      <c r="D174" s="200">
        <f>SUMIF(ATB!D:D,CS!B:B,ATB!F:F)</f>
        <v>0</v>
      </c>
      <c r="E174" s="200">
        <f>SUMIF(ATB!D:D,CS!B:B,ATB!G:G)</f>
        <v>0</v>
      </c>
      <c r="F174" s="200">
        <f>SUMIF(ATB!D:D,CS!B:B,ATB!H:H)+SUMIF(ATB!D:D,CS!B:B,ATB!J:J)</f>
        <v>0</v>
      </c>
      <c r="G174" s="200">
        <f>SUMIF(ATB!D:D,CS!B:B,ATB!I:I)+SUMIF(ATB!D:D,CS!B:B,ATB!K:K)</f>
        <v>0</v>
      </c>
      <c r="H174" s="212">
        <f>SUMIF(ATB!D:D,CS!B:B,ATB!L:L)</f>
        <v>0</v>
      </c>
      <c r="I174" s="213">
        <f>SUMIF(ATB!D:D,CS!B:B,ATB!M:M)</f>
        <v>0</v>
      </c>
    </row>
    <row r="175" spans="2:9" s="202" customFormat="1" x14ac:dyDescent="0.35">
      <c r="B175" s="208"/>
      <c r="C175" s="117"/>
      <c r="D175" s="200">
        <f>SUMIF(ATB!D:D,CS!B:B,ATB!F:F)</f>
        <v>0</v>
      </c>
      <c r="E175" s="200">
        <f>SUMIF(ATB!D:D,CS!B:B,ATB!G:G)</f>
        <v>0</v>
      </c>
      <c r="F175" s="200">
        <f>SUMIF(ATB!D:D,CS!B:B,ATB!H:H)+SUMIF(ATB!D:D,CS!B:B,ATB!J:J)</f>
        <v>0</v>
      </c>
      <c r="G175" s="200">
        <f>SUMIF(ATB!D:D,CS!B:B,ATB!I:I)+SUMIF(ATB!D:D,CS!B:B,ATB!K:K)</f>
        <v>0</v>
      </c>
      <c r="H175" s="212">
        <f>SUMIF(ATB!D:D,CS!B:B,ATB!L:L)</f>
        <v>0</v>
      </c>
      <c r="I175" s="213">
        <f>SUMIF(ATB!D:D,CS!B:B,ATB!M:M)</f>
        <v>0</v>
      </c>
    </row>
    <row r="176" spans="2:9" s="202" customFormat="1" x14ac:dyDescent="0.35">
      <c r="B176" s="208" t="s">
        <v>188</v>
      </c>
      <c r="C176" s="117"/>
      <c r="D176" s="200">
        <f>SUMIF(ATB!D:D,CS!B:B,ATB!F:F)</f>
        <v>0</v>
      </c>
      <c r="E176" s="200">
        <f>SUMIF(ATB!D:D,CS!B:B,ATB!G:G)</f>
        <v>0</v>
      </c>
      <c r="F176" s="200">
        <f>SUMIF(ATB!D:D,CS!B:B,ATB!H:H)+SUMIF(ATB!D:D,CS!B:B,ATB!J:J)</f>
        <v>0</v>
      </c>
      <c r="G176" s="200">
        <f>SUMIF(ATB!D:D,CS!B:B,ATB!I:I)+SUMIF(ATB!D:D,CS!B:B,ATB!K:K)</f>
        <v>0</v>
      </c>
      <c r="H176" s="212">
        <f>SUMIF(ATB!D:D,CS!B:B,ATB!L:L)</f>
        <v>0</v>
      </c>
      <c r="I176" s="213">
        <f>SUMIF(ATB!D:D,CS!B:B,ATB!M:M)</f>
        <v>0</v>
      </c>
    </row>
    <row r="177" spans="2:9" s="202" customFormat="1" x14ac:dyDescent="0.35">
      <c r="B177" s="208" t="s">
        <v>189</v>
      </c>
      <c r="C177" s="117"/>
      <c r="D177" s="200">
        <f>SUMIF(ATB!D:D,CS!B:B,ATB!F:F)</f>
        <v>0</v>
      </c>
      <c r="E177" s="200">
        <f>SUMIF(ATB!D:D,CS!B:B,ATB!G:G)</f>
        <v>0</v>
      </c>
      <c r="F177" s="200">
        <f>SUMIF(ATB!D:D,CS!B:B,ATB!H:H)+SUMIF(ATB!D:D,CS!B:B,ATB!J:J)</f>
        <v>0</v>
      </c>
      <c r="G177" s="200">
        <f>SUMIF(ATB!D:D,CS!B:B,ATB!I:I)+SUMIF(ATB!D:D,CS!B:B,ATB!K:K)</f>
        <v>0</v>
      </c>
      <c r="H177" s="212">
        <f>SUMIF(ATB!D:D,CS!B:B,ATB!L:L)</f>
        <v>0</v>
      </c>
      <c r="I177" s="213">
        <f>SUMIF(ATB!D:D,CS!B:B,ATB!M:M)</f>
        <v>0</v>
      </c>
    </row>
    <row r="178" spans="2:9" s="202" customFormat="1" x14ac:dyDescent="0.35">
      <c r="B178" s="208" t="s">
        <v>363</v>
      </c>
      <c r="C178" s="117"/>
      <c r="D178" s="200">
        <f>SUMIF(ATB!D:D,CS!B:B,ATB!F:F)</f>
        <v>0</v>
      </c>
      <c r="E178" s="200">
        <f>SUMIF(ATB!D:D,CS!B:B,ATB!G:G)</f>
        <v>0</v>
      </c>
      <c r="F178" s="200">
        <f>SUMIF(ATB!D:D,CS!B:B,ATB!H:H)+SUMIF(ATB!D:D,CS!B:B,ATB!J:J)</f>
        <v>0</v>
      </c>
      <c r="G178" s="200">
        <f>SUMIF(ATB!D:D,CS!B:B,ATB!I:I)+SUMIF(ATB!D:D,CS!B:B,ATB!K:K)</f>
        <v>0</v>
      </c>
      <c r="H178" s="212">
        <f>SUMIF(ATB!D:D,CS!B:B,ATB!L:L)</f>
        <v>0</v>
      </c>
      <c r="I178" s="213">
        <f>SUMIF(ATB!D:D,CS!B:B,ATB!M:M)</f>
        <v>0</v>
      </c>
    </row>
    <row r="179" spans="2:9" s="202" customFormat="1" x14ac:dyDescent="0.35">
      <c r="B179" s="208"/>
      <c r="C179" s="117"/>
      <c r="D179" s="200">
        <f>SUMIF(ATB!D:D,CS!B:B,ATB!F:F)</f>
        <v>0</v>
      </c>
      <c r="E179" s="200">
        <f>SUMIF(ATB!D:D,CS!B:B,ATB!G:G)</f>
        <v>0</v>
      </c>
      <c r="F179" s="200">
        <f>SUMIF(ATB!D:D,CS!B:B,ATB!H:H)+SUMIF(ATB!D:D,CS!B:B,ATB!J:J)</f>
        <v>0</v>
      </c>
      <c r="G179" s="200">
        <f>SUMIF(ATB!D:D,CS!B:B,ATB!I:I)+SUMIF(ATB!D:D,CS!B:B,ATB!K:K)</f>
        <v>0</v>
      </c>
      <c r="H179" s="212">
        <f>SUMIF(ATB!D:D,CS!B:B,ATB!L:L)</f>
        <v>0</v>
      </c>
      <c r="I179" s="213">
        <f>SUMIF(ATB!D:D,CS!B:B,ATB!M:M)</f>
        <v>0</v>
      </c>
    </row>
    <row r="180" spans="2:9" s="202" customFormat="1" x14ac:dyDescent="0.35">
      <c r="B180" s="208" t="s">
        <v>190</v>
      </c>
      <c r="C180" s="117"/>
      <c r="D180" s="200">
        <f>SUMIF(ATB!D:D,CS!B:B,ATB!F:F)</f>
        <v>0</v>
      </c>
      <c r="E180" s="200">
        <f>SUMIF(ATB!D:D,CS!B:B,ATB!G:G)</f>
        <v>0</v>
      </c>
      <c r="F180" s="200">
        <f>SUMIF(ATB!D:D,CS!B:B,ATB!H:H)+SUMIF(ATB!D:D,CS!B:B,ATB!J:J)</f>
        <v>0</v>
      </c>
      <c r="G180" s="200">
        <f>SUMIF(ATB!D:D,CS!B:B,ATB!I:I)+SUMIF(ATB!D:D,CS!B:B,ATB!K:K)</f>
        <v>0</v>
      </c>
      <c r="H180" s="212">
        <f>SUMIF(ATB!D:D,CS!B:B,ATB!L:L)</f>
        <v>0</v>
      </c>
      <c r="I180" s="213">
        <f>SUMIF(ATB!D:D,CS!B:B,ATB!M:M)</f>
        <v>0</v>
      </c>
    </row>
    <row r="181" spans="2:9" s="202" customFormat="1" x14ac:dyDescent="0.35">
      <c r="B181" s="208" t="s">
        <v>191</v>
      </c>
      <c r="C181" s="117"/>
      <c r="D181" s="200">
        <f>SUMIF(ATB!D:D,CS!B:B,ATB!F:F)</f>
        <v>0</v>
      </c>
      <c r="E181" s="200">
        <f>SUMIF(ATB!D:D,CS!B:B,ATB!G:G)</f>
        <v>0</v>
      </c>
      <c r="F181" s="200">
        <f>SUMIF(ATB!D:D,CS!B:B,ATB!H:H)+SUMIF(ATB!D:D,CS!B:B,ATB!J:J)</f>
        <v>0</v>
      </c>
      <c r="G181" s="200">
        <f>SUMIF(ATB!D:D,CS!B:B,ATB!I:I)+SUMIF(ATB!D:D,CS!B:B,ATB!K:K)</f>
        <v>0</v>
      </c>
      <c r="H181" s="212">
        <f>SUMIF(ATB!D:D,CS!B:B,ATB!L:L)</f>
        <v>0</v>
      </c>
      <c r="I181" s="213">
        <f>SUMIF(ATB!D:D,CS!B:B,ATB!M:M)</f>
        <v>0</v>
      </c>
    </row>
    <row r="182" spans="2:9" s="202" customFormat="1" x14ac:dyDescent="0.35">
      <c r="B182" s="208"/>
      <c r="C182" s="117"/>
      <c r="D182" s="200">
        <f>SUMIF(ATB!D:D,CS!B:B,ATB!F:F)</f>
        <v>0</v>
      </c>
      <c r="E182" s="200">
        <f>SUMIF(ATB!D:D,CS!B:B,ATB!G:G)</f>
        <v>0</v>
      </c>
      <c r="F182" s="200">
        <f>SUMIF(ATB!D:D,CS!B:B,ATB!H:H)+SUMIF(ATB!D:D,CS!B:B,ATB!J:J)</f>
        <v>0</v>
      </c>
      <c r="G182" s="200">
        <f>SUMIF(ATB!D:D,CS!B:B,ATB!I:I)+SUMIF(ATB!D:D,CS!B:B,ATB!K:K)</f>
        <v>0</v>
      </c>
      <c r="H182" s="212">
        <f>SUMIF(ATB!D:D,CS!B:B,ATB!L:L)</f>
        <v>0</v>
      </c>
      <c r="I182" s="213">
        <f>SUMIF(ATB!D:D,CS!B:B,ATB!M:M)</f>
        <v>0</v>
      </c>
    </row>
    <row r="183" spans="2:9" s="202" customFormat="1" x14ac:dyDescent="0.35">
      <c r="B183" s="208"/>
      <c r="C183" s="117"/>
      <c r="D183" s="200">
        <f>SUMIF(ATB!D:D,CS!B:B,ATB!F:F)</f>
        <v>0</v>
      </c>
      <c r="E183" s="200">
        <f>SUMIF(ATB!D:D,CS!B:B,ATB!G:G)</f>
        <v>0</v>
      </c>
      <c r="F183" s="200">
        <f>SUMIF(ATB!D:D,CS!B:B,ATB!H:H)+SUMIF(ATB!D:D,CS!B:B,ATB!J:J)</f>
        <v>0</v>
      </c>
      <c r="G183" s="200">
        <f>SUMIF(ATB!D:D,CS!B:B,ATB!I:I)+SUMIF(ATB!D:D,CS!B:B,ATB!K:K)</f>
        <v>0</v>
      </c>
      <c r="H183" s="212">
        <f>SUMIF(ATB!D:D,CS!B:B,ATB!L:L)</f>
        <v>0</v>
      </c>
      <c r="I183" s="213">
        <f>SUMIF(ATB!D:D,CS!B:B,ATB!M:M)</f>
        <v>0</v>
      </c>
    </row>
    <row r="184" spans="2:9" s="202" customFormat="1" x14ac:dyDescent="0.35">
      <c r="B184" s="208"/>
      <c r="C184" s="117"/>
      <c r="D184" s="200">
        <f>SUMIF(ATB!D:D,CS!B:B,ATB!F:F)</f>
        <v>0</v>
      </c>
      <c r="E184" s="200">
        <f>SUMIF(ATB!D:D,CS!B:B,ATB!G:G)</f>
        <v>0</v>
      </c>
      <c r="F184" s="200">
        <f>SUMIF(ATB!D:D,CS!B:B,ATB!H:H)+SUMIF(ATB!D:D,CS!B:B,ATB!J:J)</f>
        <v>0</v>
      </c>
      <c r="G184" s="200">
        <f>SUMIF(ATB!D:D,CS!B:B,ATB!I:I)+SUMIF(ATB!D:D,CS!B:B,ATB!K:K)</f>
        <v>0</v>
      </c>
      <c r="H184" s="212">
        <f>SUMIF(ATB!D:D,CS!B:B,ATB!L:L)</f>
        <v>0</v>
      </c>
      <c r="I184" s="213">
        <f>SUMIF(ATB!D:D,CS!B:B,ATB!M:M)</f>
        <v>0</v>
      </c>
    </row>
    <row r="185" spans="2:9" s="202" customFormat="1" x14ac:dyDescent="0.35">
      <c r="B185" s="208"/>
      <c r="C185" s="117"/>
      <c r="D185" s="200">
        <f>SUMIF(ATB!D:D,CS!B:B,ATB!F:F)</f>
        <v>0</v>
      </c>
      <c r="E185" s="200">
        <f>SUMIF(ATB!D:D,CS!B:B,ATB!G:G)</f>
        <v>0</v>
      </c>
      <c r="F185" s="200">
        <f>SUMIF(ATB!D:D,CS!B:B,ATB!H:H)+SUMIF(ATB!D:D,CS!B:B,ATB!J:J)</f>
        <v>0</v>
      </c>
      <c r="G185" s="200">
        <f>SUMIF(ATB!D:D,CS!B:B,ATB!I:I)+SUMIF(ATB!D:D,CS!B:B,ATB!K:K)</f>
        <v>0</v>
      </c>
      <c r="H185" s="212">
        <f>SUMIF(ATB!D:D,CS!B:B,ATB!L:L)</f>
        <v>0</v>
      </c>
      <c r="I185" s="213">
        <f>SUMIF(ATB!D:D,CS!B:B,ATB!M:M)</f>
        <v>0</v>
      </c>
    </row>
    <row r="186" spans="2:9" s="202" customFormat="1" x14ac:dyDescent="0.35">
      <c r="B186" s="207" t="s">
        <v>71</v>
      </c>
      <c r="C186" s="117"/>
      <c r="D186" s="200">
        <f>SUMIF(ATB!D:D,CS!B:B,ATB!F:F)</f>
        <v>0</v>
      </c>
      <c r="E186" s="200">
        <f>SUMIF(ATB!D:D,CS!B:B,ATB!G:G)</f>
        <v>0</v>
      </c>
      <c r="F186" s="200">
        <f>SUMIF(ATB!D:D,CS!B:B,ATB!H:H)+SUMIF(ATB!D:D,CS!B:B,ATB!J:J)</f>
        <v>0</v>
      </c>
      <c r="G186" s="200">
        <f>SUMIF(ATB!D:D,CS!B:B,ATB!I:I)+SUMIF(ATB!D:D,CS!B:B,ATB!K:K)</f>
        <v>0</v>
      </c>
      <c r="H186" s="212">
        <f>SUMIF(ATB!D:D,CS!B:B,ATB!L:L)</f>
        <v>0</v>
      </c>
      <c r="I186" s="213">
        <f>SUMIF(ATB!D:D,CS!B:B,ATB!M:M)</f>
        <v>0</v>
      </c>
    </row>
    <row r="187" spans="2:9" s="202" customFormat="1" x14ac:dyDescent="0.35">
      <c r="B187" s="207" t="s">
        <v>195</v>
      </c>
      <c r="C187" s="117"/>
      <c r="D187" s="200">
        <f>SUMIF(ATB!D:D,CS!B:B,ATB!F:F)</f>
        <v>0</v>
      </c>
      <c r="E187" s="200">
        <f>SUMIF(ATB!D:D,CS!B:B,ATB!G:G)</f>
        <v>0</v>
      </c>
      <c r="F187" s="200">
        <f>SUMIF(ATB!D:D,CS!B:B,ATB!H:H)+SUMIF(ATB!D:D,CS!B:B,ATB!J:J)</f>
        <v>0</v>
      </c>
      <c r="G187" s="200">
        <f>SUMIF(ATB!D:D,CS!B:B,ATB!I:I)+SUMIF(ATB!D:D,CS!B:B,ATB!K:K)</f>
        <v>0</v>
      </c>
      <c r="H187" s="212">
        <f>SUMIF(ATB!D:D,CS!B:B,ATB!L:L)</f>
        <v>0</v>
      </c>
      <c r="I187" s="213">
        <f>SUMIF(ATB!D:D,CS!B:B,ATB!M:M)</f>
        <v>0</v>
      </c>
    </row>
    <row r="188" spans="2:9" s="202" customFormat="1" x14ac:dyDescent="0.35">
      <c r="B188" s="208" t="s">
        <v>414</v>
      </c>
      <c r="C188" s="117"/>
      <c r="D188" s="200">
        <f>SUMIF(ATB!D:D,CS!B:B,ATB!F:F)</f>
        <v>0</v>
      </c>
      <c r="E188" s="200">
        <f>SUMIF(ATB!D:D,CS!B:B,ATB!G:G)</f>
        <v>0</v>
      </c>
      <c r="F188" s="200">
        <f>SUMIF(ATB!D:D,CS!B:B,ATB!H:H)+SUMIF(ATB!D:D,CS!B:B,ATB!J:J)</f>
        <v>0</v>
      </c>
      <c r="G188" s="200">
        <f>SUMIF(ATB!D:D,CS!B:B,ATB!I:I)+SUMIF(ATB!D:D,CS!B:B,ATB!K:K)</f>
        <v>0</v>
      </c>
      <c r="H188" s="212">
        <f>SUMIF(ATB!D:D,CS!B:B,ATB!L:L)</f>
        <v>0</v>
      </c>
      <c r="I188" s="213">
        <f>SUMIF(ATB!D:D,CS!B:B,ATB!M:M)</f>
        <v>0</v>
      </c>
    </row>
    <row r="189" spans="2:9" s="202" customFormat="1" x14ac:dyDescent="0.35">
      <c r="B189" s="208" t="s">
        <v>404</v>
      </c>
      <c r="C189" s="117"/>
      <c r="D189" s="200">
        <f>SUMIF(ATB!D:D,CS!B:B,ATB!F:F)</f>
        <v>0</v>
      </c>
      <c r="E189" s="200">
        <f>SUMIF(ATB!D:D,CS!B:B,ATB!G:G)</f>
        <v>0</v>
      </c>
      <c r="F189" s="200">
        <f>SUMIF(ATB!D:D,CS!B:B,ATB!H:H)+SUMIF(ATB!D:D,CS!B:B,ATB!J:J)</f>
        <v>0</v>
      </c>
      <c r="G189" s="200">
        <f>SUMIF(ATB!D:D,CS!B:B,ATB!I:I)+SUMIF(ATB!D:D,CS!B:B,ATB!K:K)</f>
        <v>0</v>
      </c>
      <c r="H189" s="212">
        <f>SUMIF(ATB!D:D,CS!B:B,ATB!L:L)</f>
        <v>0</v>
      </c>
      <c r="I189" s="213">
        <f>SUMIF(ATB!D:D,CS!B:B,ATB!M:M)</f>
        <v>0</v>
      </c>
    </row>
    <row r="190" spans="2:9" s="202" customFormat="1" x14ac:dyDescent="0.35">
      <c r="B190" s="208" t="s">
        <v>405</v>
      </c>
      <c r="C190" s="117"/>
      <c r="D190" s="200">
        <f>SUMIF(ATB!D:D,CS!B:B,ATB!F:F)</f>
        <v>0</v>
      </c>
      <c r="E190" s="200">
        <f>SUMIF(ATB!D:D,CS!B:B,ATB!G:G)</f>
        <v>0</v>
      </c>
      <c r="F190" s="200">
        <f>SUMIF(ATB!D:D,CS!B:B,ATB!H:H)+SUMIF(ATB!D:D,CS!B:B,ATB!J:J)</f>
        <v>0</v>
      </c>
      <c r="G190" s="200">
        <f>SUMIF(ATB!D:D,CS!B:B,ATB!I:I)+SUMIF(ATB!D:D,CS!B:B,ATB!K:K)</f>
        <v>0</v>
      </c>
      <c r="H190" s="212">
        <f>SUMIF(ATB!D:D,CS!B:B,ATB!L:L)</f>
        <v>0</v>
      </c>
      <c r="I190" s="213">
        <f>SUMIF(ATB!D:D,CS!B:B,ATB!M:M)</f>
        <v>0</v>
      </c>
    </row>
    <row r="191" spans="2:9" s="202" customFormat="1" x14ac:dyDescent="0.35">
      <c r="B191" s="208" t="s">
        <v>406</v>
      </c>
      <c r="C191" s="117"/>
      <c r="D191" s="200">
        <f>SUMIF(ATB!D:D,CS!B:B,ATB!F:F)</f>
        <v>0</v>
      </c>
      <c r="E191" s="200">
        <f>SUMIF(ATB!D:D,CS!B:B,ATB!G:G)</f>
        <v>0</v>
      </c>
      <c r="F191" s="200">
        <f>SUMIF(ATB!D:D,CS!B:B,ATB!H:H)+SUMIF(ATB!D:D,CS!B:B,ATB!J:J)</f>
        <v>0</v>
      </c>
      <c r="G191" s="200">
        <f>SUMIF(ATB!D:D,CS!B:B,ATB!I:I)+SUMIF(ATB!D:D,CS!B:B,ATB!K:K)</f>
        <v>0</v>
      </c>
      <c r="H191" s="212">
        <f>SUMIF(ATB!D:D,CS!B:B,ATB!L:L)</f>
        <v>0</v>
      </c>
      <c r="I191" s="213">
        <f>SUMIF(ATB!D:D,CS!B:B,ATB!M:M)</f>
        <v>0</v>
      </c>
    </row>
    <row r="192" spans="2:9" s="202" customFormat="1" x14ac:dyDescent="0.35">
      <c r="B192" s="208" t="s">
        <v>407</v>
      </c>
      <c r="C192" s="117"/>
      <c r="D192" s="200">
        <f>SUMIF(ATB!D:D,CS!B:B,ATB!F:F)</f>
        <v>0</v>
      </c>
      <c r="E192" s="200">
        <f>SUMIF(ATB!D:D,CS!B:B,ATB!G:G)</f>
        <v>0</v>
      </c>
      <c r="F192" s="200">
        <f>SUMIF(ATB!D:D,CS!B:B,ATB!H:H)+SUMIF(ATB!D:D,CS!B:B,ATB!J:J)</f>
        <v>0</v>
      </c>
      <c r="G192" s="200">
        <f>SUMIF(ATB!D:D,CS!B:B,ATB!I:I)+SUMIF(ATB!D:D,CS!B:B,ATB!K:K)</f>
        <v>0</v>
      </c>
      <c r="H192" s="212">
        <f>SUMIF(ATB!D:D,CS!B:B,ATB!L:L)</f>
        <v>0</v>
      </c>
      <c r="I192" s="213">
        <f>SUMIF(ATB!D:D,CS!B:B,ATB!M:M)</f>
        <v>0</v>
      </c>
    </row>
    <row r="193" spans="2:9" s="202" customFormat="1" x14ac:dyDescent="0.35">
      <c r="B193" s="208" t="s">
        <v>408</v>
      </c>
      <c r="C193" s="117"/>
      <c r="D193" s="200">
        <f>SUMIF(ATB!D:D,CS!B:B,ATB!F:F)</f>
        <v>0</v>
      </c>
      <c r="E193" s="200">
        <f>SUMIF(ATB!D:D,CS!B:B,ATB!G:G)</f>
        <v>0</v>
      </c>
      <c r="F193" s="200">
        <f>SUMIF(ATB!D:D,CS!B:B,ATB!H:H)+SUMIF(ATB!D:D,CS!B:B,ATB!J:J)</f>
        <v>0</v>
      </c>
      <c r="G193" s="200">
        <f>SUMIF(ATB!D:D,CS!B:B,ATB!I:I)+SUMIF(ATB!D:D,CS!B:B,ATB!K:K)</f>
        <v>0</v>
      </c>
      <c r="H193" s="212">
        <f>SUMIF(ATB!D:D,CS!B:B,ATB!L:L)</f>
        <v>0</v>
      </c>
      <c r="I193" s="213">
        <f>SUMIF(ATB!D:D,CS!B:B,ATB!M:M)</f>
        <v>0</v>
      </c>
    </row>
    <row r="194" spans="2:9" s="202" customFormat="1" x14ac:dyDescent="0.35">
      <c r="B194" s="208" t="s">
        <v>409</v>
      </c>
      <c r="C194" s="117"/>
      <c r="D194" s="200">
        <f>SUMIF(ATB!D:D,CS!B:B,ATB!F:F)</f>
        <v>0</v>
      </c>
      <c r="E194" s="200">
        <f>SUMIF(ATB!D:D,CS!B:B,ATB!G:G)</f>
        <v>0</v>
      </c>
      <c r="F194" s="200">
        <f>SUMIF(ATB!D:D,CS!B:B,ATB!H:H)+SUMIF(ATB!D:D,CS!B:B,ATB!J:J)</f>
        <v>0</v>
      </c>
      <c r="G194" s="200">
        <f>SUMIF(ATB!D:D,CS!B:B,ATB!I:I)+SUMIF(ATB!D:D,CS!B:B,ATB!K:K)</f>
        <v>0</v>
      </c>
      <c r="H194" s="212">
        <f>SUMIF(ATB!D:D,CS!B:B,ATB!L:L)</f>
        <v>0</v>
      </c>
      <c r="I194" s="213">
        <f>SUMIF(ATB!D:D,CS!B:B,ATB!M:M)</f>
        <v>0</v>
      </c>
    </row>
    <row r="195" spans="2:9" s="202" customFormat="1" x14ac:dyDescent="0.35">
      <c r="B195" s="208"/>
      <c r="C195" s="117"/>
      <c r="D195" s="200">
        <f>SUMIF(ATB!D:D,CS!B:B,ATB!F:F)</f>
        <v>0</v>
      </c>
      <c r="E195" s="200">
        <f>SUMIF(ATB!D:D,CS!B:B,ATB!G:G)</f>
        <v>0</v>
      </c>
      <c r="F195" s="200">
        <f>SUMIF(ATB!D:D,CS!B:B,ATB!H:H)+SUMIF(ATB!D:D,CS!B:B,ATB!J:J)</f>
        <v>0</v>
      </c>
      <c r="G195" s="200">
        <f>SUMIF(ATB!D:D,CS!B:B,ATB!I:I)+SUMIF(ATB!D:D,CS!B:B,ATB!K:K)</f>
        <v>0</v>
      </c>
      <c r="H195" s="212">
        <f>SUMIF(ATB!D:D,CS!B:B,ATB!L:L)</f>
        <v>0</v>
      </c>
      <c r="I195" s="213">
        <f>SUMIF(ATB!D:D,CS!B:B,ATB!M:M)</f>
        <v>0</v>
      </c>
    </row>
    <row r="196" spans="2:9" s="202" customFormat="1" x14ac:dyDescent="0.35">
      <c r="B196" s="208"/>
      <c r="C196" s="117"/>
      <c r="D196" s="200">
        <f>SUMIF(ATB!D:D,CS!B:B,ATB!F:F)</f>
        <v>0</v>
      </c>
      <c r="E196" s="200">
        <f>SUMIF(ATB!D:D,CS!B:B,ATB!G:G)</f>
        <v>0</v>
      </c>
      <c r="F196" s="200">
        <f>SUMIF(ATB!D:D,CS!B:B,ATB!H:H)+SUMIF(ATB!D:D,CS!B:B,ATB!J:J)</f>
        <v>0</v>
      </c>
      <c r="G196" s="200">
        <f>SUMIF(ATB!D:D,CS!B:B,ATB!I:I)+SUMIF(ATB!D:D,CS!B:B,ATB!K:K)</f>
        <v>0</v>
      </c>
      <c r="H196" s="212">
        <f>SUMIF(ATB!D:D,CS!B:B,ATB!L:L)</f>
        <v>0</v>
      </c>
      <c r="I196" s="213">
        <f>SUMIF(ATB!D:D,CS!B:B,ATB!M:M)</f>
        <v>0</v>
      </c>
    </row>
    <row r="197" spans="2:9" s="202" customFormat="1" x14ac:dyDescent="0.35">
      <c r="B197" s="208"/>
      <c r="C197" s="117"/>
      <c r="D197" s="200">
        <f>SUMIF(ATB!D:D,CS!B:B,ATB!F:F)</f>
        <v>0</v>
      </c>
      <c r="E197" s="200">
        <f>SUMIF(ATB!D:D,CS!B:B,ATB!G:G)</f>
        <v>0</v>
      </c>
      <c r="F197" s="200">
        <f>SUMIF(ATB!D:D,CS!B:B,ATB!H:H)+SUMIF(ATB!D:D,CS!B:B,ATB!J:J)</f>
        <v>0</v>
      </c>
      <c r="G197" s="200">
        <f>SUMIF(ATB!D:D,CS!B:B,ATB!I:I)+SUMIF(ATB!D:D,CS!B:B,ATB!K:K)</f>
        <v>0</v>
      </c>
      <c r="H197" s="212">
        <f>SUMIF(ATB!D:D,CS!B:B,ATB!L:L)</f>
        <v>0</v>
      </c>
      <c r="I197" s="213">
        <f>SUMIF(ATB!D:D,CS!B:B,ATB!M:M)</f>
        <v>0</v>
      </c>
    </row>
    <row r="198" spans="2:9" s="202" customFormat="1" x14ac:dyDescent="0.35">
      <c r="B198" s="208"/>
      <c r="C198" s="117"/>
      <c r="D198" s="200">
        <f>SUMIF(ATB!D:D,CS!B:B,ATB!F:F)</f>
        <v>0</v>
      </c>
      <c r="E198" s="200">
        <f>SUMIF(ATB!D:D,CS!B:B,ATB!G:G)</f>
        <v>0</v>
      </c>
      <c r="F198" s="200">
        <f>SUMIF(ATB!D:D,CS!B:B,ATB!H:H)+SUMIF(ATB!D:D,CS!B:B,ATB!J:J)</f>
        <v>0</v>
      </c>
      <c r="G198" s="200">
        <f>SUMIF(ATB!D:D,CS!B:B,ATB!I:I)+SUMIF(ATB!D:D,CS!B:B,ATB!K:K)</f>
        <v>0</v>
      </c>
      <c r="H198" s="212">
        <f>SUMIF(ATB!D:D,CS!B:B,ATB!L:L)</f>
        <v>0</v>
      </c>
      <c r="I198" s="213">
        <f>SUMIF(ATB!D:D,CS!B:B,ATB!M:M)</f>
        <v>0</v>
      </c>
    </row>
    <row r="199" spans="2:9" s="202" customFormat="1" x14ac:dyDescent="0.35">
      <c r="B199" s="208"/>
      <c r="C199" s="117"/>
      <c r="D199" s="200">
        <f>SUMIF(ATB!D:D,CS!B:B,ATB!F:F)</f>
        <v>0</v>
      </c>
      <c r="E199" s="200">
        <f>SUMIF(ATB!D:D,CS!B:B,ATB!G:G)</f>
        <v>0</v>
      </c>
      <c r="F199" s="200">
        <f>SUMIF(ATB!D:D,CS!B:B,ATB!H:H)+SUMIF(ATB!D:D,CS!B:B,ATB!J:J)</f>
        <v>0</v>
      </c>
      <c r="G199" s="200">
        <f>SUMIF(ATB!D:D,CS!B:B,ATB!I:I)+SUMIF(ATB!D:D,CS!B:B,ATB!K:K)</f>
        <v>0</v>
      </c>
      <c r="H199" s="212">
        <f>SUMIF(ATB!D:D,CS!B:B,ATB!L:L)</f>
        <v>0</v>
      </c>
      <c r="I199" s="213">
        <f>SUMIF(ATB!D:D,CS!B:B,ATB!M:M)</f>
        <v>0</v>
      </c>
    </row>
    <row r="200" spans="2:9" s="202" customFormat="1" x14ac:dyDescent="0.35">
      <c r="B200" s="207" t="s">
        <v>196</v>
      </c>
      <c r="C200" s="117"/>
      <c r="D200" s="200">
        <f>SUMIF(ATB!D:D,CS!B:B,ATB!F:F)</f>
        <v>0</v>
      </c>
      <c r="E200" s="200">
        <f>SUMIF(ATB!D:D,CS!B:B,ATB!G:G)</f>
        <v>0</v>
      </c>
      <c r="F200" s="200">
        <f>SUMIF(ATB!D:D,CS!B:B,ATB!H:H)+SUMIF(ATB!D:D,CS!B:B,ATB!J:J)</f>
        <v>0</v>
      </c>
      <c r="G200" s="200">
        <f>SUMIF(ATB!D:D,CS!B:B,ATB!I:I)+SUMIF(ATB!D:D,CS!B:B,ATB!K:K)</f>
        <v>0</v>
      </c>
      <c r="H200" s="212">
        <f>SUMIF(ATB!D:D,CS!B:B,ATB!L:L)</f>
        <v>0</v>
      </c>
      <c r="I200" s="213">
        <f>SUMIF(ATB!D:D,CS!B:B,ATB!M:M)</f>
        <v>0</v>
      </c>
    </row>
    <row r="201" spans="2:9" s="202" customFormat="1" x14ac:dyDescent="0.35">
      <c r="B201" s="208" t="s">
        <v>410</v>
      </c>
      <c r="C201" s="117"/>
      <c r="D201" s="200">
        <f>SUMIF(ATB!D:D,CS!B:B,ATB!F:F)</f>
        <v>0</v>
      </c>
      <c r="E201" s="200">
        <f>SUMIF(ATB!D:D,CS!B:B,ATB!G:G)</f>
        <v>0</v>
      </c>
      <c r="F201" s="200">
        <f>SUMIF(ATB!D:D,CS!B:B,ATB!H:H)+SUMIF(ATB!D:D,CS!B:B,ATB!J:J)</f>
        <v>0</v>
      </c>
      <c r="G201" s="200">
        <f>SUMIF(ATB!D:D,CS!B:B,ATB!I:I)+SUMIF(ATB!D:D,CS!B:B,ATB!K:K)</f>
        <v>0</v>
      </c>
      <c r="H201" s="212">
        <f>SUMIF(ATB!D:D,CS!B:B,ATB!L:L)</f>
        <v>0</v>
      </c>
      <c r="I201" s="213">
        <f>SUMIF(ATB!D:D,CS!B:B,ATB!M:M)</f>
        <v>0</v>
      </c>
    </row>
    <row r="202" spans="2:9" s="202" customFormat="1" x14ac:dyDescent="0.35">
      <c r="B202" s="208" t="s">
        <v>411</v>
      </c>
      <c r="C202" s="117"/>
      <c r="D202" s="200">
        <f>SUMIF(ATB!D:D,CS!B:B,ATB!F:F)</f>
        <v>0</v>
      </c>
      <c r="E202" s="200">
        <f>SUMIF(ATB!D:D,CS!B:B,ATB!G:G)</f>
        <v>0</v>
      </c>
      <c r="F202" s="200">
        <f>SUMIF(ATB!D:D,CS!B:B,ATB!H:H)+SUMIF(ATB!D:D,CS!B:B,ATB!J:J)</f>
        <v>0</v>
      </c>
      <c r="G202" s="200">
        <f>SUMIF(ATB!D:D,CS!B:B,ATB!I:I)+SUMIF(ATB!D:D,CS!B:B,ATB!K:K)</f>
        <v>0</v>
      </c>
      <c r="H202" s="212">
        <f>SUMIF(ATB!D:D,CS!B:B,ATB!L:L)</f>
        <v>0</v>
      </c>
      <c r="I202" s="213">
        <f>SUMIF(ATB!D:D,CS!B:B,ATB!M:M)</f>
        <v>0</v>
      </c>
    </row>
    <row r="203" spans="2:9" s="202" customFormat="1" x14ac:dyDescent="0.35">
      <c r="B203" s="208" t="s">
        <v>412</v>
      </c>
      <c r="C203" s="117"/>
      <c r="D203" s="200">
        <f>SUMIF(ATB!D:D,CS!B:B,ATB!F:F)</f>
        <v>0</v>
      </c>
      <c r="E203" s="200">
        <f>SUMIF(ATB!D:D,CS!B:B,ATB!G:G)</f>
        <v>0</v>
      </c>
      <c r="F203" s="200">
        <f>SUMIF(ATB!D:D,CS!B:B,ATB!H:H)+SUMIF(ATB!D:D,CS!B:B,ATB!J:J)</f>
        <v>0</v>
      </c>
      <c r="G203" s="200">
        <f>SUMIF(ATB!D:D,CS!B:B,ATB!I:I)+SUMIF(ATB!D:D,CS!B:B,ATB!K:K)</f>
        <v>0</v>
      </c>
      <c r="H203" s="212">
        <f>SUMIF(ATB!D:D,CS!B:B,ATB!L:L)</f>
        <v>0</v>
      </c>
      <c r="I203" s="213">
        <f>SUMIF(ATB!D:D,CS!B:B,ATB!M:M)</f>
        <v>0</v>
      </c>
    </row>
    <row r="204" spans="2:9" s="202" customFormat="1" x14ac:dyDescent="0.35">
      <c r="B204" s="208"/>
      <c r="C204" s="117"/>
      <c r="D204" s="200">
        <f>SUMIF(ATB!D:D,CS!B:B,ATB!F:F)</f>
        <v>0</v>
      </c>
      <c r="E204" s="200">
        <f>SUMIF(ATB!D:D,CS!B:B,ATB!G:G)</f>
        <v>0</v>
      </c>
      <c r="F204" s="200">
        <f>SUMIF(ATB!D:D,CS!B:B,ATB!H:H)+SUMIF(ATB!D:D,CS!B:B,ATB!J:J)</f>
        <v>0</v>
      </c>
      <c r="G204" s="200">
        <f>SUMIF(ATB!D:D,CS!B:B,ATB!I:I)+SUMIF(ATB!D:D,CS!B:B,ATB!K:K)</f>
        <v>0</v>
      </c>
      <c r="H204" s="212">
        <f>SUMIF(ATB!D:D,CS!B:B,ATB!L:L)</f>
        <v>0</v>
      </c>
      <c r="I204" s="213">
        <f>SUMIF(ATB!D:D,CS!B:B,ATB!M:M)</f>
        <v>0</v>
      </c>
    </row>
    <row r="205" spans="2:9" s="202" customFormat="1" x14ac:dyDescent="0.35">
      <c r="B205" s="207" t="s">
        <v>197</v>
      </c>
      <c r="C205" s="117"/>
      <c r="D205" s="200">
        <f>SUMIF(ATB!D:D,CS!B:B,ATB!F:F)</f>
        <v>0</v>
      </c>
      <c r="E205" s="200">
        <f>SUMIF(ATB!D:D,CS!B:B,ATB!G:G)</f>
        <v>0</v>
      </c>
      <c r="F205" s="200">
        <f>SUMIF(ATB!D:D,CS!B:B,ATB!H:H)+SUMIF(ATB!D:D,CS!B:B,ATB!J:J)</f>
        <v>0</v>
      </c>
      <c r="G205" s="200">
        <f>SUMIF(ATB!D:D,CS!B:B,ATB!I:I)+SUMIF(ATB!D:D,CS!B:B,ATB!K:K)</f>
        <v>0</v>
      </c>
      <c r="H205" s="212">
        <f>SUMIF(ATB!D:D,CS!B:B,ATB!L:L)</f>
        <v>0</v>
      </c>
      <c r="I205" s="213">
        <f>SUMIF(ATB!D:D,CS!B:B,ATB!M:M)</f>
        <v>0</v>
      </c>
    </row>
    <row r="206" spans="2:9" s="202" customFormat="1" x14ac:dyDescent="0.35">
      <c r="B206" s="208" t="s">
        <v>413</v>
      </c>
      <c r="C206" s="117"/>
      <c r="D206" s="200">
        <f>SUMIF(ATB!D:D,CS!B:B,ATB!F:F)</f>
        <v>0</v>
      </c>
      <c r="E206" s="200">
        <f>SUMIF(ATB!D:D,CS!B:B,ATB!G:G)</f>
        <v>0</v>
      </c>
      <c r="F206" s="200">
        <f>SUMIF(ATB!D:D,CS!B:B,ATB!H:H)+SUMIF(ATB!D:D,CS!B:B,ATB!J:J)</f>
        <v>0</v>
      </c>
      <c r="G206" s="200">
        <f>SUMIF(ATB!D:D,CS!B:B,ATB!I:I)+SUMIF(ATB!D:D,CS!B:B,ATB!K:K)</f>
        <v>0</v>
      </c>
      <c r="H206" s="212">
        <f>SUMIF(ATB!D:D,CS!B:B,ATB!L:L)</f>
        <v>0</v>
      </c>
      <c r="I206" s="213">
        <f>SUMIF(ATB!D:D,CS!B:B,ATB!M:M)</f>
        <v>0</v>
      </c>
    </row>
    <row r="207" spans="2:9" s="202" customFormat="1" x14ac:dyDescent="0.35">
      <c r="B207" s="208" t="s">
        <v>415</v>
      </c>
      <c r="C207" s="117"/>
      <c r="D207" s="200">
        <f>SUMIF(ATB!D:D,CS!B:B,ATB!F:F)</f>
        <v>0</v>
      </c>
      <c r="E207" s="200">
        <f>SUMIF(ATB!D:D,CS!B:B,ATB!G:G)</f>
        <v>0</v>
      </c>
      <c r="F207" s="200">
        <f>SUMIF(ATB!D:D,CS!B:B,ATB!H:H)+SUMIF(ATB!D:D,CS!B:B,ATB!J:J)</f>
        <v>0</v>
      </c>
      <c r="G207" s="200">
        <f>SUMIF(ATB!D:D,CS!B:B,ATB!I:I)+SUMIF(ATB!D:D,CS!B:B,ATB!K:K)</f>
        <v>0</v>
      </c>
      <c r="H207" s="212">
        <f>SUMIF(ATB!D:D,CS!B:B,ATB!L:L)</f>
        <v>0</v>
      </c>
      <c r="I207" s="213">
        <f>SUMIF(ATB!D:D,CS!B:B,ATB!M:M)</f>
        <v>0</v>
      </c>
    </row>
    <row r="208" spans="2:9" s="202" customFormat="1" x14ac:dyDescent="0.35">
      <c r="B208" s="208" t="s">
        <v>416</v>
      </c>
      <c r="C208" s="117"/>
      <c r="D208" s="200">
        <f>SUMIF(ATB!D:D,CS!B:B,ATB!F:F)</f>
        <v>0</v>
      </c>
      <c r="E208" s="200">
        <f>SUMIF(ATB!D:D,CS!B:B,ATB!G:G)</f>
        <v>0</v>
      </c>
      <c r="F208" s="200">
        <f>SUMIF(ATB!D:D,CS!B:B,ATB!H:H)+SUMIF(ATB!D:D,CS!B:B,ATB!J:J)</f>
        <v>0</v>
      </c>
      <c r="G208" s="200">
        <f>SUMIF(ATB!D:D,CS!B:B,ATB!I:I)+SUMIF(ATB!D:D,CS!B:B,ATB!K:K)</f>
        <v>0</v>
      </c>
      <c r="H208" s="212">
        <f>SUMIF(ATB!D:D,CS!B:B,ATB!L:L)</f>
        <v>0</v>
      </c>
      <c r="I208" s="213">
        <f>SUMIF(ATB!D:D,CS!B:B,ATB!M:M)</f>
        <v>0</v>
      </c>
    </row>
    <row r="209" spans="2:9" s="202" customFormat="1" x14ac:dyDescent="0.35">
      <c r="B209" s="208" t="s">
        <v>417</v>
      </c>
      <c r="C209" s="117"/>
      <c r="D209" s="200">
        <f>SUMIF(ATB!D:D,CS!B:B,ATB!F:F)</f>
        <v>0</v>
      </c>
      <c r="E209" s="200">
        <f>SUMIF(ATB!D:D,CS!B:B,ATB!G:G)</f>
        <v>0</v>
      </c>
      <c r="F209" s="200">
        <f>SUMIF(ATB!D:D,CS!B:B,ATB!H:H)+SUMIF(ATB!D:D,CS!B:B,ATB!J:J)</f>
        <v>0</v>
      </c>
      <c r="G209" s="200">
        <f>SUMIF(ATB!D:D,CS!B:B,ATB!I:I)+SUMIF(ATB!D:D,CS!B:B,ATB!K:K)</f>
        <v>0</v>
      </c>
      <c r="H209" s="212">
        <f>SUMIF(ATB!D:D,CS!B:B,ATB!L:L)</f>
        <v>0</v>
      </c>
      <c r="I209" s="213">
        <f>SUMIF(ATB!D:D,CS!B:B,ATB!M:M)</f>
        <v>0</v>
      </c>
    </row>
    <row r="210" spans="2:9" s="202" customFormat="1" x14ac:dyDescent="0.35">
      <c r="B210" s="208" t="s">
        <v>418</v>
      </c>
      <c r="C210" s="117"/>
      <c r="D210" s="200">
        <f>SUMIF(ATB!D:D,CS!B:B,ATB!F:F)</f>
        <v>0</v>
      </c>
      <c r="E210" s="200">
        <f>SUMIF(ATB!D:D,CS!B:B,ATB!G:G)</f>
        <v>0</v>
      </c>
      <c r="F210" s="200">
        <f>SUMIF(ATB!D:D,CS!B:B,ATB!H:H)+SUMIF(ATB!D:D,CS!B:B,ATB!J:J)</f>
        <v>0</v>
      </c>
      <c r="G210" s="200">
        <f>SUMIF(ATB!D:D,CS!B:B,ATB!I:I)+SUMIF(ATB!D:D,CS!B:B,ATB!K:K)</f>
        <v>0</v>
      </c>
      <c r="H210" s="212">
        <f>SUMIF(ATB!D:D,CS!B:B,ATB!L:L)</f>
        <v>0</v>
      </c>
      <c r="I210" s="213">
        <f>SUMIF(ATB!D:D,CS!B:B,ATB!M:M)</f>
        <v>0</v>
      </c>
    </row>
    <row r="211" spans="2:9" s="202" customFormat="1" x14ac:dyDescent="0.35">
      <c r="B211" s="208" t="s">
        <v>419</v>
      </c>
      <c r="C211" s="117"/>
      <c r="D211" s="200">
        <f>SUMIF(ATB!D:D,CS!B:B,ATB!F:F)</f>
        <v>0</v>
      </c>
      <c r="E211" s="200">
        <f>SUMIF(ATB!D:D,CS!B:B,ATB!G:G)</f>
        <v>0</v>
      </c>
      <c r="F211" s="200">
        <f>SUMIF(ATB!D:D,CS!B:B,ATB!H:H)+SUMIF(ATB!D:D,CS!B:B,ATB!J:J)</f>
        <v>0</v>
      </c>
      <c r="G211" s="200">
        <f>SUMIF(ATB!D:D,CS!B:B,ATB!I:I)+SUMIF(ATB!D:D,CS!B:B,ATB!K:K)</f>
        <v>0</v>
      </c>
      <c r="H211" s="212">
        <f>SUMIF(ATB!D:D,CS!B:B,ATB!L:L)</f>
        <v>0</v>
      </c>
      <c r="I211" s="213">
        <f>SUMIF(ATB!D:D,CS!B:B,ATB!M:M)</f>
        <v>0</v>
      </c>
    </row>
    <row r="212" spans="2:9" s="202" customFormat="1" x14ac:dyDescent="0.35">
      <c r="B212" s="208" t="s">
        <v>420</v>
      </c>
      <c r="C212" s="117"/>
      <c r="D212" s="200">
        <f>SUMIF(ATB!D:D,CS!B:B,ATB!F:F)</f>
        <v>0</v>
      </c>
      <c r="E212" s="200">
        <f>SUMIF(ATB!D:D,CS!B:B,ATB!G:G)</f>
        <v>0</v>
      </c>
      <c r="F212" s="200">
        <f>SUMIF(ATB!D:D,CS!B:B,ATB!H:H)+SUMIF(ATB!D:D,CS!B:B,ATB!J:J)</f>
        <v>0</v>
      </c>
      <c r="G212" s="200">
        <f>SUMIF(ATB!D:D,CS!B:B,ATB!I:I)+SUMIF(ATB!D:D,CS!B:B,ATB!K:K)</f>
        <v>0</v>
      </c>
      <c r="H212" s="212">
        <f>SUMIF(ATB!D:D,CS!B:B,ATB!L:L)</f>
        <v>0</v>
      </c>
      <c r="I212" s="213">
        <f>SUMIF(ATB!D:D,CS!B:B,ATB!M:M)</f>
        <v>0</v>
      </c>
    </row>
    <row r="213" spans="2:9" s="202" customFormat="1" x14ac:dyDescent="0.35">
      <c r="B213" s="208"/>
      <c r="C213" s="117"/>
      <c r="D213" s="200">
        <f>SUMIF(ATB!D:D,CS!B:B,ATB!F:F)</f>
        <v>0</v>
      </c>
      <c r="E213" s="200">
        <f>SUMIF(ATB!D:D,CS!B:B,ATB!G:G)</f>
        <v>0</v>
      </c>
      <c r="F213" s="200">
        <f>SUMIF(ATB!D:D,CS!B:B,ATB!H:H)+SUMIF(ATB!D:D,CS!B:B,ATB!J:J)</f>
        <v>0</v>
      </c>
      <c r="G213" s="200">
        <f>SUMIF(ATB!D:D,CS!B:B,ATB!I:I)+SUMIF(ATB!D:D,CS!B:B,ATB!K:K)</f>
        <v>0</v>
      </c>
      <c r="H213" s="212">
        <f>SUMIF(ATB!D:D,CS!B:B,ATB!L:L)</f>
        <v>0</v>
      </c>
      <c r="I213" s="213">
        <f>SUMIF(ATB!D:D,CS!B:B,ATB!M:M)</f>
        <v>0</v>
      </c>
    </row>
    <row r="214" spans="2:9" s="202" customFormat="1" x14ac:dyDescent="0.35">
      <c r="B214" s="207" t="s">
        <v>212</v>
      </c>
      <c r="C214" s="117"/>
      <c r="D214" s="200">
        <f>SUMIF(ATB!D:D,CS!B:B,ATB!F:F)</f>
        <v>0</v>
      </c>
      <c r="E214" s="200">
        <f>SUMIF(ATB!D:D,CS!B:B,ATB!G:G)</f>
        <v>0</v>
      </c>
      <c r="F214" s="200">
        <f>SUMIF(ATB!D:D,CS!B:B,ATB!H:H)+SUMIF(ATB!D:D,CS!B:B,ATB!J:J)</f>
        <v>0</v>
      </c>
      <c r="G214" s="200">
        <f>SUMIF(ATB!D:D,CS!B:B,ATB!I:I)+SUMIF(ATB!D:D,CS!B:B,ATB!K:K)</f>
        <v>0</v>
      </c>
      <c r="H214" s="212">
        <f>SUMIF(ATB!D:D,CS!B:B,ATB!L:L)</f>
        <v>0</v>
      </c>
      <c r="I214" s="213">
        <f>SUMIF(ATB!D:D,CS!B:B,ATB!M:M)</f>
        <v>0</v>
      </c>
    </row>
    <row r="215" spans="2:9" s="202" customFormat="1" x14ac:dyDescent="0.35">
      <c r="B215" s="208" t="s">
        <v>421</v>
      </c>
      <c r="C215" s="117"/>
      <c r="D215" s="200">
        <f>SUMIF(ATB!D:D,CS!B:B,ATB!F:F)</f>
        <v>0</v>
      </c>
      <c r="E215" s="200">
        <f>SUMIF(ATB!D:D,CS!B:B,ATB!G:G)</f>
        <v>0</v>
      </c>
      <c r="F215" s="200">
        <f>SUMIF(ATB!D:D,CS!B:B,ATB!H:H)+SUMIF(ATB!D:D,CS!B:B,ATB!J:J)</f>
        <v>0</v>
      </c>
      <c r="G215" s="200">
        <f>SUMIF(ATB!D:D,CS!B:B,ATB!I:I)+SUMIF(ATB!D:D,CS!B:B,ATB!K:K)</f>
        <v>0</v>
      </c>
      <c r="H215" s="212">
        <f>SUMIF(ATB!D:D,CS!B:B,ATB!L:L)</f>
        <v>0</v>
      </c>
      <c r="I215" s="213">
        <f>SUMIF(ATB!D:D,CS!B:B,ATB!M:M)</f>
        <v>0</v>
      </c>
    </row>
    <row r="216" spans="2:9" s="202" customFormat="1" x14ac:dyDescent="0.35">
      <c r="B216" s="208" t="s">
        <v>422</v>
      </c>
      <c r="C216" s="117"/>
      <c r="D216" s="200">
        <f>SUMIF(ATB!D:D,CS!B:B,ATB!F:F)</f>
        <v>0</v>
      </c>
      <c r="E216" s="200">
        <f>SUMIF(ATB!D:D,CS!B:B,ATB!G:G)</f>
        <v>0</v>
      </c>
      <c r="F216" s="200">
        <f>SUMIF(ATB!D:D,CS!B:B,ATB!H:H)+SUMIF(ATB!D:D,CS!B:B,ATB!J:J)</f>
        <v>0</v>
      </c>
      <c r="G216" s="200">
        <f>SUMIF(ATB!D:D,CS!B:B,ATB!I:I)+SUMIF(ATB!D:D,CS!B:B,ATB!K:K)</f>
        <v>0</v>
      </c>
      <c r="H216" s="212">
        <f>SUMIF(ATB!D:D,CS!B:B,ATB!L:L)</f>
        <v>0</v>
      </c>
      <c r="I216" s="213">
        <f>SUMIF(ATB!D:D,CS!B:B,ATB!M:M)</f>
        <v>0</v>
      </c>
    </row>
    <row r="217" spans="2:9" s="202" customFormat="1" x14ac:dyDescent="0.35">
      <c r="B217" s="208" t="s">
        <v>423</v>
      </c>
      <c r="C217" s="117"/>
      <c r="D217" s="200">
        <f>SUMIF(ATB!D:D,CS!B:B,ATB!F:F)</f>
        <v>0</v>
      </c>
      <c r="E217" s="200">
        <f>SUMIF(ATB!D:D,CS!B:B,ATB!G:G)</f>
        <v>0</v>
      </c>
      <c r="F217" s="200">
        <f>SUMIF(ATB!D:D,CS!B:B,ATB!H:H)+SUMIF(ATB!D:D,CS!B:B,ATB!J:J)</f>
        <v>0</v>
      </c>
      <c r="G217" s="200">
        <f>SUMIF(ATB!D:D,CS!B:B,ATB!I:I)+SUMIF(ATB!D:D,CS!B:B,ATB!K:K)</f>
        <v>0</v>
      </c>
      <c r="H217" s="212">
        <f>SUMIF(ATB!D:D,CS!B:B,ATB!L:L)</f>
        <v>0</v>
      </c>
      <c r="I217" s="213">
        <f>SUMIF(ATB!D:D,CS!B:B,ATB!M:M)</f>
        <v>0</v>
      </c>
    </row>
    <row r="218" spans="2:9" s="202" customFormat="1" x14ac:dyDescent="0.35">
      <c r="B218" s="208"/>
      <c r="C218" s="117"/>
      <c r="D218" s="200">
        <f>SUMIF(ATB!D:D,CS!B:B,ATB!F:F)</f>
        <v>0</v>
      </c>
      <c r="E218" s="200">
        <f>SUMIF(ATB!D:D,CS!B:B,ATB!G:G)</f>
        <v>0</v>
      </c>
      <c r="F218" s="200">
        <f>SUMIF(ATB!D:D,CS!B:B,ATB!H:H)+SUMIF(ATB!D:D,CS!B:B,ATB!J:J)</f>
        <v>0</v>
      </c>
      <c r="G218" s="200">
        <f>SUMIF(ATB!D:D,CS!B:B,ATB!I:I)+SUMIF(ATB!D:D,CS!B:B,ATB!K:K)</f>
        <v>0</v>
      </c>
      <c r="H218" s="212">
        <f>SUMIF(ATB!D:D,CS!B:B,ATB!L:L)</f>
        <v>0</v>
      </c>
      <c r="I218" s="213">
        <f>SUMIF(ATB!D:D,CS!B:B,ATB!M:M)</f>
        <v>0</v>
      </c>
    </row>
    <row r="219" spans="2:9" s="202" customFormat="1" x14ac:dyDescent="0.35">
      <c r="B219" s="207" t="s">
        <v>74</v>
      </c>
      <c r="C219" s="117"/>
      <c r="D219" s="200">
        <f>SUMIF(ATB!D:D,CS!B:B,ATB!F:F)</f>
        <v>0</v>
      </c>
      <c r="E219" s="200">
        <f>SUMIF(ATB!D:D,CS!B:B,ATB!G:G)</f>
        <v>0</v>
      </c>
      <c r="F219" s="200">
        <f>SUMIF(ATB!D:D,CS!B:B,ATB!H:H)+SUMIF(ATB!D:D,CS!B:B,ATB!J:J)</f>
        <v>0</v>
      </c>
      <c r="G219" s="200">
        <f>SUMIF(ATB!D:D,CS!B:B,ATB!I:I)+SUMIF(ATB!D:D,CS!B:B,ATB!K:K)</f>
        <v>0</v>
      </c>
      <c r="H219" s="212">
        <f>SUMIF(ATB!D:D,CS!B:B,ATB!L:L)</f>
        <v>0</v>
      </c>
      <c r="I219" s="213">
        <f>SUMIF(ATB!D:D,CS!B:B,ATB!M:M)</f>
        <v>0</v>
      </c>
    </row>
    <row r="220" spans="2:9" s="202" customFormat="1" x14ac:dyDescent="0.35">
      <c r="B220" s="208" t="s">
        <v>424</v>
      </c>
      <c r="C220" s="117"/>
      <c r="D220" s="200">
        <f>SUMIF(ATB!D:D,CS!B:B,ATB!F:F)</f>
        <v>0</v>
      </c>
      <c r="E220" s="200">
        <f>SUMIF(ATB!D:D,CS!B:B,ATB!G:G)</f>
        <v>0</v>
      </c>
      <c r="F220" s="200">
        <f>SUMIF(ATB!D:D,CS!B:B,ATB!H:H)+SUMIF(ATB!D:D,CS!B:B,ATB!J:J)</f>
        <v>0</v>
      </c>
      <c r="G220" s="200">
        <f>SUMIF(ATB!D:D,CS!B:B,ATB!I:I)+SUMIF(ATB!D:D,CS!B:B,ATB!K:K)</f>
        <v>0</v>
      </c>
      <c r="H220" s="212">
        <f>SUMIF(ATB!D:D,CS!B:B,ATB!L:L)</f>
        <v>0</v>
      </c>
      <c r="I220" s="213">
        <f>SUMIF(ATB!D:D,CS!B:B,ATB!M:M)</f>
        <v>0</v>
      </c>
    </row>
    <row r="221" spans="2:9" s="202" customFormat="1" x14ac:dyDescent="0.35">
      <c r="B221" s="208" t="s">
        <v>425</v>
      </c>
      <c r="C221" s="117"/>
      <c r="D221" s="200">
        <f>SUMIF(ATB!D:D,CS!B:B,ATB!F:F)</f>
        <v>0</v>
      </c>
      <c r="E221" s="200">
        <f>SUMIF(ATB!D:D,CS!B:B,ATB!G:G)</f>
        <v>0</v>
      </c>
      <c r="F221" s="200">
        <f>SUMIF(ATB!D:D,CS!B:B,ATB!H:H)+SUMIF(ATB!D:D,CS!B:B,ATB!J:J)</f>
        <v>0</v>
      </c>
      <c r="G221" s="200">
        <f>SUMIF(ATB!D:D,CS!B:B,ATB!I:I)+SUMIF(ATB!D:D,CS!B:B,ATB!K:K)</f>
        <v>0</v>
      </c>
      <c r="H221" s="212">
        <f>SUMIF(ATB!D:D,CS!B:B,ATB!L:L)</f>
        <v>0</v>
      </c>
      <c r="I221" s="213">
        <f>SUMIF(ATB!D:D,CS!B:B,ATB!M:M)</f>
        <v>0</v>
      </c>
    </row>
    <row r="222" spans="2:9" s="202" customFormat="1" x14ac:dyDescent="0.35">
      <c r="B222" s="208" t="s">
        <v>426</v>
      </c>
      <c r="C222" s="117"/>
      <c r="D222" s="200">
        <f>SUMIF(ATB!D:D,CS!B:B,ATB!F:F)</f>
        <v>0</v>
      </c>
      <c r="E222" s="200">
        <f>SUMIF(ATB!D:D,CS!B:B,ATB!G:G)</f>
        <v>0</v>
      </c>
      <c r="F222" s="200">
        <f>SUMIF(ATB!D:D,CS!B:B,ATB!H:H)+SUMIF(ATB!D:D,CS!B:B,ATB!J:J)</f>
        <v>0</v>
      </c>
      <c r="G222" s="200">
        <f>SUMIF(ATB!D:D,CS!B:B,ATB!I:I)+SUMIF(ATB!D:D,CS!B:B,ATB!K:K)</f>
        <v>0</v>
      </c>
      <c r="H222" s="212">
        <f>SUMIF(ATB!D:D,CS!B:B,ATB!L:L)</f>
        <v>0</v>
      </c>
      <c r="I222" s="213">
        <f>SUMIF(ATB!D:D,CS!B:B,ATB!M:M)</f>
        <v>0</v>
      </c>
    </row>
    <row r="223" spans="2:9" s="202" customFormat="1" x14ac:dyDescent="0.35">
      <c r="B223" s="208" t="s">
        <v>427</v>
      </c>
      <c r="C223" s="117"/>
      <c r="D223" s="200">
        <f>SUMIF(ATB!D:D,CS!B:B,ATB!F:F)</f>
        <v>0</v>
      </c>
      <c r="E223" s="200">
        <f>SUMIF(ATB!D:D,CS!B:B,ATB!G:G)</f>
        <v>0</v>
      </c>
      <c r="F223" s="200">
        <f>SUMIF(ATB!D:D,CS!B:B,ATB!H:H)+SUMIF(ATB!D:D,CS!B:B,ATB!J:J)</f>
        <v>0</v>
      </c>
      <c r="G223" s="200">
        <f>SUMIF(ATB!D:D,CS!B:B,ATB!I:I)+SUMIF(ATB!D:D,CS!B:B,ATB!K:K)</f>
        <v>0</v>
      </c>
      <c r="H223" s="212">
        <f>SUMIF(ATB!D:D,CS!B:B,ATB!L:L)</f>
        <v>0</v>
      </c>
      <c r="I223" s="213">
        <f>SUMIF(ATB!D:D,CS!B:B,ATB!M:M)</f>
        <v>0</v>
      </c>
    </row>
    <row r="224" spans="2:9" s="202" customFormat="1" x14ac:dyDescent="0.35">
      <c r="B224" s="208" t="s">
        <v>428</v>
      </c>
      <c r="C224" s="117"/>
      <c r="D224" s="200">
        <f>SUMIF(ATB!D:D,CS!B:B,ATB!F:F)</f>
        <v>0</v>
      </c>
      <c r="E224" s="200">
        <f>SUMIF(ATB!D:D,CS!B:B,ATB!G:G)</f>
        <v>0</v>
      </c>
      <c r="F224" s="200">
        <f>SUMIF(ATB!D:D,CS!B:B,ATB!H:H)+SUMIF(ATB!D:D,CS!B:B,ATB!J:J)</f>
        <v>0</v>
      </c>
      <c r="G224" s="200">
        <f>SUMIF(ATB!D:D,CS!B:B,ATB!I:I)+SUMIF(ATB!D:D,CS!B:B,ATB!K:K)</f>
        <v>0</v>
      </c>
      <c r="H224" s="212">
        <f>SUMIF(ATB!D:D,CS!B:B,ATB!L:L)</f>
        <v>0</v>
      </c>
      <c r="I224" s="213">
        <f>SUMIF(ATB!D:D,CS!B:B,ATB!M:M)</f>
        <v>0</v>
      </c>
    </row>
    <row r="225" spans="2:9" s="202" customFormat="1" x14ac:dyDescent="0.35">
      <c r="B225" s="208" t="s">
        <v>429</v>
      </c>
      <c r="C225" s="117"/>
      <c r="D225" s="200">
        <f>SUMIF(ATB!D:D,CS!B:B,ATB!F:F)</f>
        <v>0</v>
      </c>
      <c r="E225" s="200">
        <f>SUMIF(ATB!D:D,CS!B:B,ATB!G:G)</f>
        <v>0</v>
      </c>
      <c r="F225" s="200">
        <f>SUMIF(ATB!D:D,CS!B:B,ATB!H:H)+SUMIF(ATB!D:D,CS!B:B,ATB!J:J)</f>
        <v>0</v>
      </c>
      <c r="G225" s="200">
        <f>SUMIF(ATB!D:D,CS!B:B,ATB!I:I)+SUMIF(ATB!D:D,CS!B:B,ATB!K:K)</f>
        <v>0</v>
      </c>
      <c r="H225" s="212">
        <f>SUMIF(ATB!D:D,CS!B:B,ATB!L:L)</f>
        <v>0</v>
      </c>
      <c r="I225" s="213">
        <f>SUMIF(ATB!D:D,CS!B:B,ATB!M:M)</f>
        <v>0</v>
      </c>
    </row>
    <row r="226" spans="2:9" s="202" customFormat="1" x14ac:dyDescent="0.35">
      <c r="B226" s="208"/>
      <c r="C226" s="117"/>
      <c r="D226" s="200">
        <f>SUMIF(ATB!D:D,CS!B:B,ATB!F:F)</f>
        <v>0</v>
      </c>
      <c r="E226" s="200">
        <f>SUMIF(ATB!D:D,CS!B:B,ATB!G:G)</f>
        <v>0</v>
      </c>
      <c r="F226" s="200">
        <f>SUMIF(ATB!D:D,CS!B:B,ATB!H:H)+SUMIF(ATB!D:D,CS!B:B,ATB!J:J)</f>
        <v>0</v>
      </c>
      <c r="G226" s="200">
        <f>SUMIF(ATB!D:D,CS!B:B,ATB!I:I)+SUMIF(ATB!D:D,CS!B:B,ATB!K:K)</f>
        <v>0</v>
      </c>
      <c r="H226" s="212">
        <f>SUMIF(ATB!D:D,CS!B:B,ATB!L:L)</f>
        <v>0</v>
      </c>
      <c r="I226" s="213">
        <f>SUMIF(ATB!D:D,CS!B:B,ATB!M:M)</f>
        <v>0</v>
      </c>
    </row>
    <row r="227" spans="2:9" s="202" customFormat="1" x14ac:dyDescent="0.35">
      <c r="B227" s="208"/>
      <c r="C227" s="117"/>
      <c r="D227" s="200">
        <f>SUMIF(ATB!D:D,CS!B:B,ATB!F:F)</f>
        <v>0</v>
      </c>
      <c r="E227" s="200">
        <f>SUMIF(ATB!D:D,CS!B:B,ATB!G:G)</f>
        <v>0</v>
      </c>
      <c r="F227" s="200">
        <f>SUMIF(ATB!D:D,CS!B:B,ATB!H:H)+SUMIF(ATB!D:D,CS!B:B,ATB!J:J)</f>
        <v>0</v>
      </c>
      <c r="G227" s="200">
        <f>SUMIF(ATB!D:D,CS!B:B,ATB!I:I)+SUMIF(ATB!D:D,CS!B:B,ATB!K:K)</f>
        <v>0</v>
      </c>
      <c r="H227" s="212">
        <f>SUMIF(ATB!D:D,CS!B:B,ATB!L:L)</f>
        <v>0</v>
      </c>
      <c r="I227" s="213">
        <f>SUMIF(ATB!D:D,CS!B:B,ATB!M:M)</f>
        <v>0</v>
      </c>
    </row>
    <row r="228" spans="2:9" s="202" customFormat="1" x14ac:dyDescent="0.35">
      <c r="B228" s="207" t="s">
        <v>72</v>
      </c>
      <c r="C228" s="117"/>
      <c r="D228" s="200">
        <f>SUMIF(ATB!D:D,CS!B:B,ATB!F:F)</f>
        <v>0</v>
      </c>
      <c r="E228" s="200">
        <f>SUMIF(ATB!D:D,CS!B:B,ATB!G:G)</f>
        <v>0</v>
      </c>
      <c r="F228" s="200">
        <f>SUMIF(ATB!D:D,CS!B:B,ATB!H:H)+SUMIF(ATB!D:D,CS!B:B,ATB!J:J)</f>
        <v>0</v>
      </c>
      <c r="G228" s="200">
        <f>SUMIF(ATB!D:D,CS!B:B,ATB!I:I)+SUMIF(ATB!D:D,CS!B:B,ATB!K:K)</f>
        <v>0</v>
      </c>
      <c r="H228" s="212">
        <f>SUMIF(ATB!D:D,CS!B:B,ATB!L:L)</f>
        <v>0</v>
      </c>
      <c r="I228" s="213">
        <f>SUMIF(ATB!D:D,CS!B:B,ATB!M:M)</f>
        <v>0</v>
      </c>
    </row>
    <row r="229" spans="2:9" s="202" customFormat="1" x14ac:dyDescent="0.35">
      <c r="B229" s="208" t="s">
        <v>430</v>
      </c>
      <c r="C229" s="117"/>
      <c r="D229" s="200">
        <f>SUMIF(ATB!D:D,CS!B:B,ATB!F:F)</f>
        <v>0</v>
      </c>
      <c r="E229" s="200">
        <f>SUMIF(ATB!D:D,CS!B:B,ATB!G:G)</f>
        <v>0</v>
      </c>
      <c r="F229" s="200">
        <f>SUMIF(ATB!D:D,CS!B:B,ATB!H:H)+SUMIF(ATB!D:D,CS!B:B,ATB!J:J)</f>
        <v>0</v>
      </c>
      <c r="G229" s="200">
        <f>SUMIF(ATB!D:D,CS!B:B,ATB!I:I)+SUMIF(ATB!D:D,CS!B:B,ATB!K:K)</f>
        <v>0</v>
      </c>
      <c r="H229" s="212">
        <f>SUMIF(ATB!D:D,CS!B:B,ATB!L:L)</f>
        <v>0</v>
      </c>
      <c r="I229" s="213">
        <f>SUMIF(ATB!D:D,CS!B:B,ATB!M:M)</f>
        <v>0</v>
      </c>
    </row>
    <row r="230" spans="2:9" s="202" customFormat="1" x14ac:dyDescent="0.35">
      <c r="B230" s="208" t="s">
        <v>431</v>
      </c>
      <c r="C230" s="117"/>
      <c r="D230" s="200">
        <f>SUMIF(ATB!D:D,CS!B:B,ATB!F:F)</f>
        <v>0</v>
      </c>
      <c r="E230" s="200">
        <f>SUMIF(ATB!D:D,CS!B:B,ATB!G:G)</f>
        <v>0</v>
      </c>
      <c r="F230" s="200">
        <f>SUMIF(ATB!D:D,CS!B:B,ATB!H:H)+SUMIF(ATB!D:D,CS!B:B,ATB!J:J)</f>
        <v>0</v>
      </c>
      <c r="G230" s="200">
        <f>SUMIF(ATB!D:D,CS!B:B,ATB!I:I)+SUMIF(ATB!D:D,CS!B:B,ATB!K:K)</f>
        <v>0</v>
      </c>
      <c r="H230" s="212">
        <f>SUMIF(ATB!D:D,CS!B:B,ATB!L:L)</f>
        <v>0</v>
      </c>
      <c r="I230" s="213">
        <f>SUMIF(ATB!D:D,CS!B:B,ATB!M:M)</f>
        <v>0</v>
      </c>
    </row>
    <row r="231" spans="2:9" s="202" customFormat="1" x14ac:dyDescent="0.35">
      <c r="B231" s="208" t="s">
        <v>432</v>
      </c>
      <c r="C231" s="117"/>
      <c r="D231" s="200">
        <f>SUMIF(ATB!D:D,CS!B:B,ATB!F:F)</f>
        <v>0</v>
      </c>
      <c r="E231" s="200">
        <f>SUMIF(ATB!D:D,CS!B:B,ATB!G:G)</f>
        <v>0</v>
      </c>
      <c r="F231" s="200">
        <f>SUMIF(ATB!D:D,CS!B:B,ATB!H:H)+SUMIF(ATB!D:D,CS!B:B,ATB!J:J)</f>
        <v>0</v>
      </c>
      <c r="G231" s="200">
        <f>SUMIF(ATB!D:D,CS!B:B,ATB!I:I)+SUMIF(ATB!D:D,CS!B:B,ATB!K:K)</f>
        <v>0</v>
      </c>
      <c r="H231" s="212">
        <f>SUMIF(ATB!D:D,CS!B:B,ATB!L:L)</f>
        <v>0</v>
      </c>
      <c r="I231" s="213">
        <f>SUMIF(ATB!D:D,CS!B:B,ATB!M:M)</f>
        <v>0</v>
      </c>
    </row>
    <row r="232" spans="2:9" s="202" customFormat="1" x14ac:dyDescent="0.35">
      <c r="B232" s="208" t="s">
        <v>433</v>
      </c>
      <c r="C232" s="117"/>
      <c r="D232" s="200">
        <f>SUMIF(ATB!D:D,CS!B:B,ATB!F:F)</f>
        <v>0</v>
      </c>
      <c r="E232" s="200">
        <f>SUMIF(ATB!D:D,CS!B:B,ATB!G:G)</f>
        <v>0</v>
      </c>
      <c r="F232" s="200">
        <f>SUMIF(ATB!D:D,CS!B:B,ATB!H:H)+SUMIF(ATB!D:D,CS!B:B,ATB!J:J)</f>
        <v>0</v>
      </c>
      <c r="G232" s="200">
        <f>SUMIF(ATB!D:D,CS!B:B,ATB!I:I)+SUMIF(ATB!D:D,CS!B:B,ATB!K:K)</f>
        <v>0</v>
      </c>
      <c r="H232" s="212">
        <f>SUMIF(ATB!D:D,CS!B:B,ATB!L:L)</f>
        <v>0</v>
      </c>
      <c r="I232" s="213">
        <f>SUMIF(ATB!D:D,CS!B:B,ATB!M:M)</f>
        <v>0</v>
      </c>
    </row>
    <row r="233" spans="2:9" s="202" customFormat="1" x14ac:dyDescent="0.35">
      <c r="B233" s="208" t="s">
        <v>434</v>
      </c>
      <c r="C233" s="117"/>
      <c r="D233" s="200">
        <f>SUMIF(ATB!D:D,CS!B:B,ATB!F:F)</f>
        <v>0</v>
      </c>
      <c r="E233" s="200">
        <f>SUMIF(ATB!D:D,CS!B:B,ATB!G:G)</f>
        <v>0</v>
      </c>
      <c r="F233" s="200">
        <f>SUMIF(ATB!D:D,CS!B:B,ATB!H:H)+SUMIF(ATB!D:D,CS!B:B,ATB!J:J)</f>
        <v>0</v>
      </c>
      <c r="G233" s="200">
        <f>SUMIF(ATB!D:D,CS!B:B,ATB!I:I)+SUMIF(ATB!D:D,CS!B:B,ATB!K:K)</f>
        <v>0</v>
      </c>
      <c r="H233" s="212">
        <f>SUMIF(ATB!D:D,CS!B:B,ATB!L:L)</f>
        <v>0</v>
      </c>
      <c r="I233" s="213">
        <f>SUMIF(ATB!D:D,CS!B:B,ATB!M:M)</f>
        <v>0</v>
      </c>
    </row>
    <row r="234" spans="2:9" s="202" customFormat="1" x14ac:dyDescent="0.35">
      <c r="B234" s="208" t="s">
        <v>435</v>
      </c>
      <c r="C234" s="117"/>
      <c r="D234" s="200">
        <f>SUMIF(ATB!D:D,CS!B:B,ATB!F:F)</f>
        <v>0</v>
      </c>
      <c r="E234" s="200">
        <f>SUMIF(ATB!D:D,CS!B:B,ATB!G:G)</f>
        <v>0</v>
      </c>
      <c r="F234" s="200">
        <f>SUMIF(ATB!D:D,CS!B:B,ATB!H:H)+SUMIF(ATB!D:D,CS!B:B,ATB!J:J)</f>
        <v>0</v>
      </c>
      <c r="G234" s="200">
        <f>SUMIF(ATB!D:D,CS!B:B,ATB!I:I)+SUMIF(ATB!D:D,CS!B:B,ATB!K:K)</f>
        <v>0</v>
      </c>
      <c r="H234" s="212">
        <f>SUMIF(ATB!D:D,CS!B:B,ATB!L:L)</f>
        <v>0</v>
      </c>
      <c r="I234" s="213">
        <f>SUMIF(ATB!D:D,CS!B:B,ATB!M:M)</f>
        <v>0</v>
      </c>
    </row>
    <row r="235" spans="2:9" s="202" customFormat="1" x14ac:dyDescent="0.35">
      <c r="B235" s="208" t="s">
        <v>436</v>
      </c>
      <c r="C235" s="117"/>
      <c r="D235" s="200">
        <f>SUMIF(ATB!D:D,CS!B:B,ATB!F:F)</f>
        <v>0</v>
      </c>
      <c r="E235" s="200">
        <f>SUMIF(ATB!D:D,CS!B:B,ATB!G:G)</f>
        <v>0</v>
      </c>
      <c r="F235" s="200">
        <f>SUMIF(ATB!D:D,CS!B:B,ATB!H:H)+SUMIF(ATB!D:D,CS!B:B,ATB!J:J)</f>
        <v>0</v>
      </c>
      <c r="G235" s="200">
        <f>SUMIF(ATB!D:D,CS!B:B,ATB!I:I)+SUMIF(ATB!D:D,CS!B:B,ATB!K:K)</f>
        <v>0</v>
      </c>
      <c r="H235" s="212">
        <f>SUMIF(ATB!D:D,CS!B:B,ATB!L:L)</f>
        <v>0</v>
      </c>
      <c r="I235" s="213">
        <f>SUMIF(ATB!D:D,CS!B:B,ATB!M:M)</f>
        <v>0</v>
      </c>
    </row>
    <row r="236" spans="2:9" s="202" customFormat="1" x14ac:dyDescent="0.35">
      <c r="B236" s="208" t="s">
        <v>437</v>
      </c>
      <c r="C236" s="117"/>
      <c r="D236" s="200">
        <f>SUMIF(ATB!D:D,CS!B:B,ATB!F:F)</f>
        <v>0</v>
      </c>
      <c r="E236" s="200">
        <f>SUMIF(ATB!D:D,CS!B:B,ATB!G:G)</f>
        <v>0</v>
      </c>
      <c r="F236" s="200">
        <f>SUMIF(ATB!D:D,CS!B:B,ATB!H:H)+SUMIF(ATB!D:D,CS!B:B,ATB!J:J)</f>
        <v>0</v>
      </c>
      <c r="G236" s="200">
        <f>SUMIF(ATB!D:D,CS!B:B,ATB!I:I)+SUMIF(ATB!D:D,CS!B:B,ATB!K:K)</f>
        <v>0</v>
      </c>
      <c r="H236" s="212">
        <f>SUMIF(ATB!D:D,CS!B:B,ATB!L:L)</f>
        <v>0</v>
      </c>
      <c r="I236" s="213">
        <f>SUMIF(ATB!D:D,CS!B:B,ATB!M:M)</f>
        <v>0</v>
      </c>
    </row>
    <row r="237" spans="2:9" s="202" customFormat="1" x14ac:dyDescent="0.35">
      <c r="B237" s="208" t="s">
        <v>438</v>
      </c>
      <c r="C237" s="117"/>
      <c r="D237" s="200">
        <f>SUMIF(ATB!D:D,CS!B:B,ATB!F:F)</f>
        <v>0</v>
      </c>
      <c r="E237" s="200">
        <f>SUMIF(ATB!D:D,CS!B:B,ATB!G:G)</f>
        <v>0</v>
      </c>
      <c r="F237" s="200">
        <f>SUMIF(ATB!D:D,CS!B:B,ATB!H:H)+SUMIF(ATB!D:D,CS!B:B,ATB!J:J)</f>
        <v>0</v>
      </c>
      <c r="G237" s="200">
        <f>SUMIF(ATB!D:D,CS!B:B,ATB!I:I)+SUMIF(ATB!D:D,CS!B:B,ATB!K:K)</f>
        <v>0</v>
      </c>
      <c r="H237" s="212">
        <f>SUMIF(ATB!D:D,CS!B:B,ATB!L:L)</f>
        <v>0</v>
      </c>
      <c r="I237" s="213">
        <f>SUMIF(ATB!D:D,CS!B:B,ATB!M:M)</f>
        <v>0</v>
      </c>
    </row>
    <row r="238" spans="2:9" s="202" customFormat="1" x14ac:dyDescent="0.35">
      <c r="B238" s="208" t="s">
        <v>439</v>
      </c>
      <c r="C238" s="117"/>
      <c r="D238" s="200">
        <f>SUMIF(ATB!D:D,CS!B:B,ATB!F:F)</f>
        <v>0</v>
      </c>
      <c r="E238" s="200">
        <f>SUMIF(ATB!D:D,CS!B:B,ATB!G:G)</f>
        <v>0</v>
      </c>
      <c r="F238" s="200">
        <f>SUMIF(ATB!D:D,CS!B:B,ATB!H:H)+SUMIF(ATB!D:D,CS!B:B,ATB!J:J)</f>
        <v>0</v>
      </c>
      <c r="G238" s="200">
        <f>SUMIF(ATB!D:D,CS!B:B,ATB!I:I)+SUMIF(ATB!D:D,CS!B:B,ATB!K:K)</f>
        <v>0</v>
      </c>
      <c r="H238" s="212">
        <f>SUMIF(ATB!D:D,CS!B:B,ATB!L:L)</f>
        <v>0</v>
      </c>
      <c r="I238" s="213">
        <f>SUMIF(ATB!D:D,CS!B:B,ATB!M:M)</f>
        <v>0</v>
      </c>
    </row>
    <row r="239" spans="2:9" s="202" customFormat="1" x14ac:dyDescent="0.35">
      <c r="B239" s="208" t="s">
        <v>440</v>
      </c>
      <c r="C239" s="117"/>
      <c r="D239" s="200">
        <f>SUMIF(ATB!D:D,CS!B:B,ATB!F:F)</f>
        <v>0</v>
      </c>
      <c r="E239" s="200">
        <f>SUMIF(ATB!D:D,CS!B:B,ATB!G:G)</f>
        <v>0</v>
      </c>
      <c r="F239" s="200">
        <f>SUMIF(ATB!D:D,CS!B:B,ATB!H:H)+SUMIF(ATB!D:D,CS!B:B,ATB!J:J)</f>
        <v>0</v>
      </c>
      <c r="G239" s="200">
        <f>SUMIF(ATB!D:D,CS!B:B,ATB!I:I)+SUMIF(ATB!D:D,CS!B:B,ATB!K:K)</f>
        <v>0</v>
      </c>
      <c r="H239" s="212">
        <f>SUMIF(ATB!D:D,CS!B:B,ATB!L:L)</f>
        <v>0</v>
      </c>
      <c r="I239" s="213">
        <f>SUMIF(ATB!D:D,CS!B:B,ATB!M:M)</f>
        <v>0</v>
      </c>
    </row>
    <row r="240" spans="2:9" s="202" customFormat="1" x14ac:dyDescent="0.35">
      <c r="B240" s="208" t="s">
        <v>441</v>
      </c>
      <c r="C240" s="117"/>
      <c r="D240" s="200">
        <f>SUMIF(ATB!D:D,CS!B:B,ATB!F:F)</f>
        <v>0</v>
      </c>
      <c r="E240" s="200">
        <f>SUMIF(ATB!D:D,CS!B:B,ATB!G:G)</f>
        <v>0</v>
      </c>
      <c r="F240" s="200">
        <f>SUMIF(ATB!D:D,CS!B:B,ATB!H:H)+SUMIF(ATB!D:D,CS!B:B,ATB!J:J)</f>
        <v>0</v>
      </c>
      <c r="G240" s="200">
        <f>SUMIF(ATB!D:D,CS!B:B,ATB!I:I)+SUMIF(ATB!D:D,CS!B:B,ATB!K:K)</f>
        <v>0</v>
      </c>
      <c r="H240" s="212">
        <f>SUMIF(ATB!D:D,CS!B:B,ATB!L:L)</f>
        <v>0</v>
      </c>
      <c r="I240" s="213">
        <f>SUMIF(ATB!D:D,CS!B:B,ATB!M:M)</f>
        <v>0</v>
      </c>
    </row>
    <row r="241" spans="2:9" s="202" customFormat="1" x14ac:dyDescent="0.35">
      <c r="B241" s="208" t="s">
        <v>442</v>
      </c>
      <c r="C241" s="117"/>
      <c r="D241" s="200">
        <f>SUMIF(ATB!D:D,CS!B:B,ATB!F:F)</f>
        <v>0</v>
      </c>
      <c r="E241" s="200">
        <f>SUMIF(ATB!D:D,CS!B:B,ATB!G:G)</f>
        <v>0</v>
      </c>
      <c r="F241" s="200">
        <f>SUMIF(ATB!D:D,CS!B:B,ATB!H:H)+SUMIF(ATB!D:D,CS!B:B,ATB!J:J)</f>
        <v>0</v>
      </c>
      <c r="G241" s="200">
        <f>SUMIF(ATB!D:D,CS!B:B,ATB!I:I)+SUMIF(ATB!D:D,CS!B:B,ATB!K:K)</f>
        <v>0</v>
      </c>
      <c r="H241" s="212">
        <f>SUMIF(ATB!D:D,CS!B:B,ATB!L:L)</f>
        <v>0</v>
      </c>
      <c r="I241" s="213">
        <f>SUMIF(ATB!D:D,CS!B:B,ATB!M:M)</f>
        <v>0</v>
      </c>
    </row>
    <row r="242" spans="2:9" s="202" customFormat="1" x14ac:dyDescent="0.35">
      <c r="B242" s="208" t="s">
        <v>443</v>
      </c>
      <c r="C242" s="117"/>
      <c r="D242" s="200">
        <f>SUMIF(ATB!D:D,CS!B:B,ATB!F:F)</f>
        <v>0</v>
      </c>
      <c r="E242" s="200">
        <f>SUMIF(ATB!D:D,CS!B:B,ATB!G:G)</f>
        <v>0</v>
      </c>
      <c r="F242" s="200">
        <f>SUMIF(ATB!D:D,CS!B:B,ATB!H:H)+SUMIF(ATB!D:D,CS!B:B,ATB!J:J)</f>
        <v>0</v>
      </c>
      <c r="G242" s="200">
        <f>SUMIF(ATB!D:D,CS!B:B,ATB!I:I)+SUMIF(ATB!D:D,CS!B:B,ATB!K:K)</f>
        <v>0</v>
      </c>
      <c r="H242" s="212">
        <f>SUMIF(ATB!D:D,CS!B:B,ATB!L:L)</f>
        <v>0</v>
      </c>
      <c r="I242" s="213">
        <f>SUMIF(ATB!D:D,CS!B:B,ATB!M:M)</f>
        <v>0</v>
      </c>
    </row>
    <row r="243" spans="2:9" s="202" customFormat="1" x14ac:dyDescent="0.35">
      <c r="B243" s="208" t="s">
        <v>444</v>
      </c>
      <c r="C243" s="117"/>
      <c r="D243" s="200">
        <f>SUMIF(ATB!D:D,CS!B:B,ATB!F:F)</f>
        <v>0</v>
      </c>
      <c r="E243" s="200">
        <f>SUMIF(ATB!D:D,CS!B:B,ATB!G:G)</f>
        <v>0</v>
      </c>
      <c r="F243" s="200">
        <f>SUMIF(ATB!D:D,CS!B:B,ATB!H:H)+SUMIF(ATB!D:D,CS!B:B,ATB!J:J)</f>
        <v>0</v>
      </c>
      <c r="G243" s="200">
        <f>SUMIF(ATB!D:D,CS!B:B,ATB!I:I)+SUMIF(ATB!D:D,CS!B:B,ATB!K:K)</f>
        <v>0</v>
      </c>
      <c r="H243" s="212">
        <f>SUMIF(ATB!D:D,CS!B:B,ATB!L:L)</f>
        <v>0</v>
      </c>
      <c r="I243" s="213">
        <f>SUMIF(ATB!D:D,CS!B:B,ATB!M:M)</f>
        <v>0</v>
      </c>
    </row>
    <row r="244" spans="2:9" s="202" customFormat="1" x14ac:dyDescent="0.35">
      <c r="B244" s="208" t="s">
        <v>445</v>
      </c>
      <c r="C244" s="117"/>
      <c r="D244" s="200">
        <f>SUMIF(ATB!D:D,CS!B:B,ATB!F:F)</f>
        <v>0</v>
      </c>
      <c r="E244" s="200">
        <f>SUMIF(ATB!D:D,CS!B:B,ATB!G:G)</f>
        <v>0</v>
      </c>
      <c r="F244" s="200">
        <f>SUMIF(ATB!D:D,CS!B:B,ATB!H:H)+SUMIF(ATB!D:D,CS!B:B,ATB!J:J)</f>
        <v>0</v>
      </c>
      <c r="G244" s="200">
        <f>SUMIF(ATB!D:D,CS!B:B,ATB!I:I)+SUMIF(ATB!D:D,CS!B:B,ATB!K:K)</f>
        <v>0</v>
      </c>
      <c r="H244" s="212">
        <f>SUMIF(ATB!D:D,CS!B:B,ATB!L:L)</f>
        <v>0</v>
      </c>
      <c r="I244" s="213">
        <f>SUMIF(ATB!D:D,CS!B:B,ATB!M:M)</f>
        <v>0</v>
      </c>
    </row>
    <row r="245" spans="2:9" s="202" customFormat="1" x14ac:dyDescent="0.35">
      <c r="B245" s="208" t="s">
        <v>446</v>
      </c>
      <c r="C245" s="117"/>
      <c r="D245" s="200">
        <f>SUMIF(ATB!D:D,CS!B:B,ATB!F:F)</f>
        <v>0</v>
      </c>
      <c r="E245" s="200">
        <f>SUMIF(ATB!D:D,CS!B:B,ATB!G:G)</f>
        <v>0</v>
      </c>
      <c r="F245" s="200">
        <f>SUMIF(ATB!D:D,CS!B:B,ATB!H:H)+SUMIF(ATB!D:D,CS!B:B,ATB!J:J)</f>
        <v>0</v>
      </c>
      <c r="G245" s="200">
        <f>SUMIF(ATB!D:D,CS!B:B,ATB!I:I)+SUMIF(ATB!D:D,CS!B:B,ATB!K:K)</f>
        <v>0</v>
      </c>
      <c r="H245" s="212">
        <f>SUMIF(ATB!D:D,CS!B:B,ATB!L:L)</f>
        <v>0</v>
      </c>
      <c r="I245" s="213">
        <f>SUMIF(ATB!D:D,CS!B:B,ATB!M:M)</f>
        <v>0</v>
      </c>
    </row>
    <row r="246" spans="2:9" s="202" customFormat="1" x14ac:dyDescent="0.35">
      <c r="B246" s="208" t="s">
        <v>447</v>
      </c>
      <c r="C246" s="117"/>
      <c r="D246" s="200">
        <f>SUMIF(ATB!D:D,CS!B:B,ATB!F:F)</f>
        <v>0</v>
      </c>
      <c r="E246" s="200">
        <f>SUMIF(ATB!D:D,CS!B:B,ATB!G:G)</f>
        <v>0</v>
      </c>
      <c r="F246" s="200">
        <f>SUMIF(ATB!D:D,CS!B:B,ATB!H:H)+SUMIF(ATB!D:D,CS!B:B,ATB!J:J)</f>
        <v>0</v>
      </c>
      <c r="G246" s="200">
        <f>SUMIF(ATB!D:D,CS!B:B,ATB!I:I)+SUMIF(ATB!D:D,CS!B:B,ATB!K:K)</f>
        <v>0</v>
      </c>
      <c r="H246" s="212">
        <f>SUMIF(ATB!D:D,CS!B:B,ATB!L:L)</f>
        <v>0</v>
      </c>
      <c r="I246" s="213">
        <f>SUMIF(ATB!D:D,CS!B:B,ATB!M:M)</f>
        <v>0</v>
      </c>
    </row>
    <row r="247" spans="2:9" s="202" customFormat="1" x14ac:dyDescent="0.35">
      <c r="B247" s="208" t="s">
        <v>448</v>
      </c>
      <c r="C247" s="117"/>
      <c r="D247" s="200">
        <f>SUMIF(ATB!D:D,CS!B:B,ATB!F:F)</f>
        <v>0</v>
      </c>
      <c r="E247" s="200">
        <f>SUMIF(ATB!D:D,CS!B:B,ATB!G:G)</f>
        <v>0</v>
      </c>
      <c r="F247" s="200">
        <f>SUMIF(ATB!D:D,CS!B:B,ATB!H:H)+SUMIF(ATB!D:D,CS!B:B,ATB!J:J)</f>
        <v>0</v>
      </c>
      <c r="G247" s="200">
        <f>SUMIF(ATB!D:D,CS!B:B,ATB!I:I)+SUMIF(ATB!D:D,CS!B:B,ATB!K:K)</f>
        <v>0</v>
      </c>
      <c r="H247" s="212">
        <f>SUMIF(ATB!D:D,CS!B:B,ATB!L:L)</f>
        <v>0</v>
      </c>
      <c r="I247" s="213">
        <f>SUMIF(ATB!D:D,CS!B:B,ATB!M:M)</f>
        <v>0</v>
      </c>
    </row>
    <row r="248" spans="2:9" s="202" customFormat="1" x14ac:dyDescent="0.35">
      <c r="B248" s="208"/>
      <c r="C248" s="117"/>
      <c r="D248" s="200">
        <f>SUMIF(ATB!D:D,CS!B:B,ATB!F:F)</f>
        <v>0</v>
      </c>
      <c r="E248" s="200">
        <f>SUMIF(ATB!D:D,CS!B:B,ATB!G:G)</f>
        <v>0</v>
      </c>
      <c r="F248" s="200">
        <f>SUMIF(ATB!D:D,CS!B:B,ATB!H:H)+SUMIF(ATB!D:D,CS!B:B,ATB!J:J)</f>
        <v>0</v>
      </c>
      <c r="G248" s="200">
        <f>SUMIF(ATB!D:D,CS!B:B,ATB!I:I)+SUMIF(ATB!D:D,CS!B:B,ATB!K:K)</f>
        <v>0</v>
      </c>
      <c r="H248" s="212">
        <f>SUMIF(ATB!D:D,CS!B:B,ATB!L:L)</f>
        <v>0</v>
      </c>
      <c r="I248" s="213">
        <f>SUMIF(ATB!D:D,CS!B:B,ATB!M:M)</f>
        <v>0</v>
      </c>
    </row>
    <row r="249" spans="2:9" s="202" customFormat="1" x14ac:dyDescent="0.35">
      <c r="B249" s="208"/>
      <c r="C249" s="117"/>
      <c r="D249" s="200">
        <f>SUMIF(ATB!D:D,CS!B:B,ATB!F:F)</f>
        <v>0</v>
      </c>
      <c r="E249" s="200">
        <f>SUMIF(ATB!D:D,CS!B:B,ATB!G:G)</f>
        <v>0</v>
      </c>
      <c r="F249" s="200"/>
      <c r="G249" s="200"/>
      <c r="H249" s="212"/>
      <c r="I249" s="213"/>
    </row>
    <row r="250" spans="2:9" s="202" customFormat="1" x14ac:dyDescent="0.35">
      <c r="B250" s="207" t="s">
        <v>683</v>
      </c>
      <c r="C250" s="117"/>
      <c r="D250" s="200">
        <f>SUMIF(ATB!D:D,CS!B:B,ATB!F:F)</f>
        <v>0</v>
      </c>
      <c r="E250" s="200">
        <f>SUMIF(ATB!D:D,CS!B:B,ATB!G:G)</f>
        <v>0</v>
      </c>
      <c r="F250" s="200"/>
      <c r="G250" s="200"/>
      <c r="H250" s="212"/>
      <c r="I250" s="213"/>
    </row>
    <row r="251" spans="2:9" s="202" customFormat="1" x14ac:dyDescent="0.35">
      <c r="B251" s="208" t="s">
        <v>684</v>
      </c>
      <c r="C251" s="117"/>
      <c r="D251" s="200">
        <f>SUMIF(ATB!D:D,CS!B:B,ATB!F:F)</f>
        <v>0</v>
      </c>
      <c r="E251" s="200">
        <f>SUMIF(ATB!D:D,CS!B:B,ATB!G:G)</f>
        <v>0</v>
      </c>
      <c r="F251" s="200"/>
      <c r="G251" s="200"/>
      <c r="H251" s="212"/>
      <c r="I251" s="213"/>
    </row>
    <row r="252" spans="2:9" s="202" customFormat="1" x14ac:dyDescent="0.35">
      <c r="B252" s="208" t="s">
        <v>685</v>
      </c>
      <c r="C252" s="117"/>
      <c r="D252" s="200">
        <f>SUMIF(ATB!D:D,CS!B:B,ATB!F:F)</f>
        <v>0</v>
      </c>
      <c r="E252" s="200">
        <f>SUMIF(ATB!D:D,CS!B:B,ATB!G:G)</f>
        <v>0</v>
      </c>
      <c r="F252" s="200"/>
      <c r="G252" s="200"/>
      <c r="H252" s="212"/>
      <c r="I252" s="213"/>
    </row>
    <row r="253" spans="2:9" s="202" customFormat="1" x14ac:dyDescent="0.35">
      <c r="B253" s="208" t="s">
        <v>686</v>
      </c>
      <c r="C253" s="117"/>
      <c r="D253" s="200">
        <f>SUMIF(ATB!D:D,CS!B:B,ATB!F:F)</f>
        <v>0</v>
      </c>
      <c r="E253" s="200">
        <f>SUMIF(ATB!D:D,CS!B:B,ATB!G:G)</f>
        <v>0</v>
      </c>
      <c r="F253" s="200"/>
      <c r="G253" s="200"/>
      <c r="H253" s="212"/>
      <c r="I253" s="213"/>
    </row>
    <row r="254" spans="2:9" s="202" customFormat="1" x14ac:dyDescent="0.35">
      <c r="B254" s="208" t="s">
        <v>687</v>
      </c>
      <c r="C254" s="117"/>
      <c r="D254" s="200">
        <f>SUMIF(ATB!D:D,CS!B:B,ATB!F:F)</f>
        <v>0</v>
      </c>
      <c r="E254" s="200">
        <f>SUMIF(ATB!D:D,CS!B:B,ATB!G:G)</f>
        <v>0</v>
      </c>
      <c r="F254" s="200"/>
      <c r="G254" s="200"/>
      <c r="H254" s="212"/>
      <c r="I254" s="213"/>
    </row>
    <row r="255" spans="2:9" s="202" customFormat="1" x14ac:dyDescent="0.35">
      <c r="B255" s="208" t="s">
        <v>688</v>
      </c>
      <c r="C255" s="117"/>
      <c r="D255" s="200">
        <f>SUMIF(ATB!D:D,CS!B:B,ATB!F:F)</f>
        <v>0</v>
      </c>
      <c r="E255" s="200">
        <f>SUMIF(ATB!D:D,CS!B:B,ATB!G:G)</f>
        <v>0</v>
      </c>
      <c r="F255" s="200"/>
      <c r="G255" s="200"/>
      <c r="H255" s="212"/>
      <c r="I255" s="213"/>
    </row>
    <row r="256" spans="2:9" s="202" customFormat="1" x14ac:dyDescent="0.35">
      <c r="B256" s="208" t="s">
        <v>689</v>
      </c>
      <c r="C256" s="117"/>
      <c r="D256" s="200">
        <f>SUMIF(ATB!D:D,CS!B:B,ATB!F:F)</f>
        <v>0</v>
      </c>
      <c r="E256" s="200">
        <f>SUMIF(ATB!D:D,CS!B:B,ATB!G:G)</f>
        <v>0</v>
      </c>
      <c r="F256" s="200"/>
      <c r="G256" s="200"/>
      <c r="H256" s="212"/>
      <c r="I256" s="213"/>
    </row>
    <row r="257" spans="2:9" s="202" customFormat="1" x14ac:dyDescent="0.35">
      <c r="B257" s="208" t="s">
        <v>690</v>
      </c>
      <c r="C257" s="117"/>
      <c r="D257" s="200">
        <f>SUMIF(ATB!D:D,CS!B:B,ATB!F:F)</f>
        <v>0</v>
      </c>
      <c r="E257" s="200">
        <f>SUMIF(ATB!D:D,CS!B:B,ATB!G:G)</f>
        <v>0</v>
      </c>
      <c r="F257" s="200"/>
      <c r="G257" s="200"/>
      <c r="H257" s="212"/>
      <c r="I257" s="213"/>
    </row>
    <row r="258" spans="2:9" s="202" customFormat="1" x14ac:dyDescent="0.35">
      <c r="B258" s="208" t="s">
        <v>691</v>
      </c>
      <c r="C258" s="117"/>
      <c r="D258" s="200">
        <f>SUMIF(ATB!D:D,CS!B:B,ATB!F:F)</f>
        <v>0</v>
      </c>
      <c r="E258" s="200">
        <f>SUMIF(ATB!D:D,CS!B:B,ATB!G:G)</f>
        <v>0</v>
      </c>
      <c r="F258" s="200"/>
      <c r="G258" s="200"/>
      <c r="H258" s="212"/>
      <c r="I258" s="213"/>
    </row>
    <row r="259" spans="2:9" s="202" customFormat="1" x14ac:dyDescent="0.35">
      <c r="B259" s="208"/>
      <c r="C259" s="117"/>
      <c r="D259" s="200">
        <f>SUMIF(ATB!D:D,CS!B:B,ATB!F:F)</f>
        <v>0</v>
      </c>
      <c r="E259" s="200">
        <f>SUMIF(ATB!D:D,CS!B:B,ATB!G:G)</f>
        <v>0</v>
      </c>
      <c r="F259" s="200"/>
      <c r="G259" s="200"/>
      <c r="H259" s="212"/>
      <c r="I259" s="213"/>
    </row>
    <row r="260" spans="2:9" s="202" customFormat="1" x14ac:dyDescent="0.35">
      <c r="B260" s="208"/>
      <c r="C260" s="117"/>
      <c r="D260" s="200">
        <f>SUMIF(ATB!D:D,CS!B:B,ATB!F:F)</f>
        <v>0</v>
      </c>
      <c r="E260" s="200">
        <f>SUMIF(ATB!D:D,CS!B:B,ATB!G:G)</f>
        <v>0</v>
      </c>
      <c r="F260" s="200"/>
      <c r="G260" s="200"/>
      <c r="H260" s="212"/>
      <c r="I260" s="213"/>
    </row>
    <row r="261" spans="2:9" s="202" customFormat="1" x14ac:dyDescent="0.35">
      <c r="B261" s="208"/>
      <c r="C261" s="117"/>
      <c r="D261" s="200">
        <f>SUMIF(ATB!D:D,CS!B:B,ATB!F:F)</f>
        <v>0</v>
      </c>
      <c r="E261" s="200">
        <f>SUMIF(ATB!D:D,CS!B:B,ATB!G:G)</f>
        <v>0</v>
      </c>
      <c r="F261" s="200"/>
      <c r="G261" s="200"/>
      <c r="H261" s="212"/>
      <c r="I261" s="213"/>
    </row>
    <row r="262" spans="2:9" s="202" customFormat="1" x14ac:dyDescent="0.35">
      <c r="B262" s="207" t="s">
        <v>76</v>
      </c>
      <c r="C262" s="117"/>
      <c r="D262" s="200">
        <f>SUMIF(ATB!D:D,CS!B:B,ATB!F:F)</f>
        <v>0</v>
      </c>
      <c r="E262" s="200">
        <f>SUMIF(ATB!D:D,CS!B:B,ATB!G:G)</f>
        <v>0</v>
      </c>
      <c r="F262" s="200">
        <f>SUMIF(ATB!D:D,CS!B:B,ATB!H:H)+SUMIF(ATB!D:D,CS!B:B,ATB!J:J)</f>
        <v>0</v>
      </c>
      <c r="G262" s="200">
        <f>SUMIF(ATB!D:D,CS!B:B,ATB!I:I)+SUMIF(ATB!D:D,CS!B:B,ATB!K:K)</f>
        <v>0</v>
      </c>
      <c r="H262" s="212">
        <f>SUMIF(ATB!D:D,CS!B:B,ATB!L:L)</f>
        <v>0</v>
      </c>
      <c r="I262" s="213">
        <f>SUMIF(ATB!D:D,CS!B:B,ATB!M:M)</f>
        <v>0</v>
      </c>
    </row>
    <row r="263" spans="2:9" s="202" customFormat="1" x14ac:dyDescent="0.35">
      <c r="B263" s="208" t="s">
        <v>449</v>
      </c>
      <c r="C263" s="117"/>
      <c r="D263" s="200">
        <f>SUMIF(ATB!D:D,CS!B:B,ATB!F:F)</f>
        <v>0</v>
      </c>
      <c r="E263" s="200">
        <f>SUMIF(ATB!D:D,CS!B:B,ATB!G:G)</f>
        <v>0</v>
      </c>
      <c r="F263" s="200">
        <f>SUMIF(ATB!D:D,CS!B:B,ATB!H:H)+SUMIF(ATB!D:D,CS!B:B,ATB!J:J)</f>
        <v>0</v>
      </c>
      <c r="G263" s="200">
        <f>SUMIF(ATB!D:D,CS!B:B,ATB!I:I)+SUMIF(ATB!D:D,CS!B:B,ATB!K:K)</f>
        <v>0</v>
      </c>
      <c r="H263" s="212">
        <f>SUMIF(ATB!D:D,CS!B:B,ATB!L:L)</f>
        <v>0</v>
      </c>
      <c r="I263" s="213">
        <f>SUMIF(ATB!D:D,CS!B:B,ATB!M:M)</f>
        <v>0</v>
      </c>
    </row>
    <row r="264" spans="2:9" s="202" customFormat="1" x14ac:dyDescent="0.35">
      <c r="B264" s="208" t="s">
        <v>450</v>
      </c>
      <c r="C264" s="117"/>
      <c r="D264" s="200">
        <f>SUMIF(ATB!D:D,CS!B:B,ATB!F:F)</f>
        <v>0</v>
      </c>
      <c r="E264" s="200">
        <f>SUMIF(ATB!D:D,CS!B:B,ATB!G:G)</f>
        <v>0</v>
      </c>
      <c r="F264" s="200">
        <f>SUMIF(ATB!D:D,CS!B:B,ATB!H:H)+SUMIF(ATB!D:D,CS!B:B,ATB!J:J)</f>
        <v>0</v>
      </c>
      <c r="G264" s="200">
        <f>SUMIF(ATB!D:D,CS!B:B,ATB!I:I)+SUMIF(ATB!D:D,CS!B:B,ATB!K:K)</f>
        <v>0</v>
      </c>
      <c r="H264" s="212">
        <f>SUMIF(ATB!D:D,CS!B:B,ATB!L:L)</f>
        <v>0</v>
      </c>
      <c r="I264" s="213">
        <f>SUMIF(ATB!D:D,CS!B:B,ATB!M:M)</f>
        <v>0</v>
      </c>
    </row>
    <row r="265" spans="2:9" s="202" customFormat="1" x14ac:dyDescent="0.35">
      <c r="B265" s="208" t="s">
        <v>451</v>
      </c>
      <c r="C265" s="117"/>
      <c r="D265" s="200">
        <f>SUMIF(ATB!D:D,CS!B:B,ATB!F:F)</f>
        <v>0</v>
      </c>
      <c r="E265" s="200">
        <f>SUMIF(ATB!D:D,CS!B:B,ATB!G:G)</f>
        <v>0</v>
      </c>
      <c r="F265" s="200">
        <f>SUMIF(ATB!D:D,CS!B:B,ATB!H:H)+SUMIF(ATB!D:D,CS!B:B,ATB!J:J)</f>
        <v>0</v>
      </c>
      <c r="G265" s="200">
        <f>SUMIF(ATB!D:D,CS!B:B,ATB!I:I)+SUMIF(ATB!D:D,CS!B:B,ATB!K:K)</f>
        <v>0</v>
      </c>
      <c r="H265" s="212">
        <f>SUMIF(ATB!D:D,CS!B:B,ATB!L:L)</f>
        <v>0</v>
      </c>
      <c r="I265" s="213">
        <f>SUMIF(ATB!D:D,CS!B:B,ATB!M:M)</f>
        <v>0</v>
      </c>
    </row>
    <row r="266" spans="2:9" s="202" customFormat="1" x14ac:dyDescent="0.35">
      <c r="B266" s="208" t="s">
        <v>452</v>
      </c>
      <c r="C266" s="117"/>
      <c r="D266" s="200">
        <f>SUMIF(ATB!D:D,CS!B:B,ATB!F:F)</f>
        <v>0</v>
      </c>
      <c r="E266" s="200">
        <f>SUMIF(ATB!D:D,CS!B:B,ATB!G:G)</f>
        <v>0</v>
      </c>
      <c r="F266" s="200">
        <f>SUMIF(ATB!D:D,CS!B:B,ATB!H:H)+SUMIF(ATB!D:D,CS!B:B,ATB!J:J)</f>
        <v>0</v>
      </c>
      <c r="G266" s="200">
        <f>SUMIF(ATB!D:D,CS!B:B,ATB!I:I)+SUMIF(ATB!D:D,CS!B:B,ATB!K:K)</f>
        <v>0</v>
      </c>
      <c r="H266" s="212">
        <f>SUMIF(ATB!D:D,CS!B:B,ATB!L:L)</f>
        <v>0</v>
      </c>
      <c r="I266" s="213">
        <f>SUMIF(ATB!D:D,CS!B:B,ATB!M:M)</f>
        <v>0</v>
      </c>
    </row>
    <row r="267" spans="2:9" s="202" customFormat="1" x14ac:dyDescent="0.35">
      <c r="B267" s="208"/>
      <c r="C267" s="117"/>
      <c r="D267" s="200">
        <f>SUMIF(ATB!D:D,CS!B:B,ATB!F:F)</f>
        <v>0</v>
      </c>
      <c r="E267" s="200">
        <f>SUMIF(ATB!D:D,CS!B:B,ATB!G:G)</f>
        <v>0</v>
      </c>
      <c r="F267" s="200">
        <f>SUMIF(ATB!D:D,CS!B:B,ATB!H:H)+SUMIF(ATB!D:D,CS!B:B,ATB!J:J)</f>
        <v>0</v>
      </c>
      <c r="G267" s="200">
        <f>SUMIF(ATB!D:D,CS!B:B,ATB!I:I)+SUMIF(ATB!D:D,CS!B:B,ATB!K:K)</f>
        <v>0</v>
      </c>
      <c r="H267" s="212">
        <f>SUMIF(ATB!D:D,CS!B:B,ATB!L:L)</f>
        <v>0</v>
      </c>
      <c r="I267" s="213">
        <f>SUMIF(ATB!D:D,CS!B:B,ATB!M:M)</f>
        <v>0</v>
      </c>
    </row>
    <row r="268" spans="2:9" s="202" customFormat="1" x14ac:dyDescent="0.35">
      <c r="B268" s="208"/>
      <c r="C268" s="117"/>
      <c r="D268" s="200">
        <f>SUMIF(ATB!D:D,CS!B:B,ATB!F:F)</f>
        <v>0</v>
      </c>
      <c r="E268" s="200">
        <f>SUMIF(ATB!D:D,CS!B:B,ATB!G:G)</f>
        <v>0</v>
      </c>
      <c r="F268" s="200">
        <f>SUMIF(ATB!D:D,CS!B:B,ATB!H:H)+SUMIF(ATB!D:D,CS!B:B,ATB!J:J)</f>
        <v>0</v>
      </c>
      <c r="G268" s="200">
        <f>SUMIF(ATB!D:D,CS!B:B,ATB!I:I)+SUMIF(ATB!D:D,CS!B:B,ATB!K:K)</f>
        <v>0</v>
      </c>
      <c r="H268" s="212">
        <f>SUMIF(ATB!D:D,CS!B:B,ATB!L:L)</f>
        <v>0</v>
      </c>
      <c r="I268" s="213">
        <f>SUMIF(ATB!D:D,CS!B:B,ATB!M:M)</f>
        <v>0</v>
      </c>
    </row>
    <row r="269" spans="2:9" s="202" customFormat="1" x14ac:dyDescent="0.35">
      <c r="B269" s="207" t="s">
        <v>75</v>
      </c>
      <c r="C269" s="117"/>
      <c r="D269" s="200">
        <f>SUMIF(ATB!D:D,CS!B:B,ATB!F:F)</f>
        <v>0</v>
      </c>
      <c r="E269" s="200">
        <f>SUMIF(ATB!D:D,CS!B:B,ATB!G:G)</f>
        <v>0</v>
      </c>
      <c r="F269" s="200">
        <f>SUMIF(ATB!D:D,CS!B:B,ATB!H:H)+SUMIF(ATB!D:D,CS!B:B,ATB!J:J)</f>
        <v>0</v>
      </c>
      <c r="G269" s="200">
        <f>SUMIF(ATB!D:D,CS!B:B,ATB!I:I)+SUMIF(ATB!D:D,CS!B:B,ATB!K:K)</f>
        <v>0</v>
      </c>
      <c r="H269" s="212">
        <f>SUMIF(ATB!D:D,CS!B:B,ATB!L:L)</f>
        <v>0</v>
      </c>
      <c r="I269" s="213">
        <f>SUMIF(ATB!D:D,CS!B:B,ATB!M:M)</f>
        <v>0</v>
      </c>
    </row>
    <row r="270" spans="2:9" s="202" customFormat="1" x14ac:dyDescent="0.35">
      <c r="B270" s="208" t="s">
        <v>453</v>
      </c>
      <c r="C270" s="117"/>
      <c r="D270" s="200">
        <f>SUMIF(ATB!D:D,CS!B:B,ATB!F:F)</f>
        <v>0</v>
      </c>
      <c r="E270" s="200">
        <f>SUMIF(ATB!D:D,CS!B:B,ATB!G:G)</f>
        <v>0</v>
      </c>
      <c r="F270" s="200">
        <f>SUMIF(ATB!D:D,CS!B:B,ATB!H:H)+SUMIF(ATB!D:D,CS!B:B,ATB!J:J)</f>
        <v>0</v>
      </c>
      <c r="G270" s="200">
        <f>SUMIF(ATB!D:D,CS!B:B,ATB!I:I)+SUMIF(ATB!D:D,CS!B:B,ATB!K:K)</f>
        <v>0</v>
      </c>
      <c r="H270" s="212">
        <f>SUMIF(ATB!D:D,CS!B:B,ATB!L:L)</f>
        <v>0</v>
      </c>
      <c r="I270" s="213">
        <f>SUMIF(ATB!D:D,CS!B:B,ATB!M:M)</f>
        <v>0</v>
      </c>
    </row>
    <row r="271" spans="2:9" s="202" customFormat="1" x14ac:dyDescent="0.35">
      <c r="B271" s="208" t="s">
        <v>454</v>
      </c>
      <c r="C271" s="117"/>
      <c r="D271" s="200">
        <f>SUMIF(ATB!D:D,CS!B:B,ATB!F:F)</f>
        <v>0</v>
      </c>
      <c r="E271" s="200">
        <f>SUMIF(ATB!D:D,CS!B:B,ATB!G:G)</f>
        <v>0</v>
      </c>
      <c r="F271" s="200">
        <f>SUMIF(ATB!D:D,CS!B:B,ATB!H:H)+SUMIF(ATB!D:D,CS!B:B,ATB!J:J)</f>
        <v>0</v>
      </c>
      <c r="G271" s="200">
        <f>SUMIF(ATB!D:D,CS!B:B,ATB!I:I)+SUMIF(ATB!D:D,CS!B:B,ATB!K:K)</f>
        <v>0</v>
      </c>
      <c r="H271" s="212">
        <f>SUMIF(ATB!D:D,CS!B:B,ATB!L:L)</f>
        <v>0</v>
      </c>
      <c r="I271" s="213">
        <f>SUMIF(ATB!D:D,CS!B:B,ATB!M:M)</f>
        <v>0</v>
      </c>
    </row>
    <row r="272" spans="2:9" s="202" customFormat="1" x14ac:dyDescent="0.35">
      <c r="B272" s="208" t="s">
        <v>455</v>
      </c>
      <c r="C272" s="117"/>
      <c r="D272" s="200">
        <f>SUMIF(ATB!D:D,CS!B:B,ATB!F:F)</f>
        <v>0</v>
      </c>
      <c r="E272" s="200">
        <f>SUMIF(ATB!D:D,CS!B:B,ATB!G:G)</f>
        <v>0</v>
      </c>
      <c r="F272" s="200">
        <f>SUMIF(ATB!D:D,CS!B:B,ATB!H:H)+SUMIF(ATB!D:D,CS!B:B,ATB!J:J)</f>
        <v>0</v>
      </c>
      <c r="G272" s="200">
        <f>SUMIF(ATB!D:D,CS!B:B,ATB!I:I)+SUMIF(ATB!D:D,CS!B:B,ATB!K:K)</f>
        <v>0</v>
      </c>
      <c r="H272" s="212">
        <f>SUMIF(ATB!D:D,CS!B:B,ATB!L:L)</f>
        <v>0</v>
      </c>
      <c r="I272" s="213">
        <f>SUMIF(ATB!D:D,CS!B:B,ATB!M:M)</f>
        <v>0</v>
      </c>
    </row>
    <row r="273" spans="2:9" s="202" customFormat="1" x14ac:dyDescent="0.35">
      <c r="B273" s="208" t="s">
        <v>456</v>
      </c>
      <c r="C273" s="117"/>
      <c r="D273" s="200">
        <f>SUMIF(ATB!D:D,CS!B:B,ATB!F:F)</f>
        <v>0</v>
      </c>
      <c r="E273" s="200">
        <f>SUMIF(ATB!D:D,CS!B:B,ATB!G:G)</f>
        <v>0</v>
      </c>
      <c r="F273" s="200">
        <f>SUMIF(ATB!D:D,CS!B:B,ATB!H:H)+SUMIF(ATB!D:D,CS!B:B,ATB!J:J)</f>
        <v>0</v>
      </c>
      <c r="G273" s="200">
        <f>SUMIF(ATB!D:D,CS!B:B,ATB!I:I)+SUMIF(ATB!D:D,CS!B:B,ATB!K:K)</f>
        <v>0</v>
      </c>
      <c r="H273" s="212">
        <f>SUMIF(ATB!D:D,CS!B:B,ATB!L:L)</f>
        <v>0</v>
      </c>
      <c r="I273" s="213">
        <f>SUMIF(ATB!D:D,CS!B:B,ATB!M:M)</f>
        <v>0</v>
      </c>
    </row>
    <row r="274" spans="2:9" s="202" customFormat="1" x14ac:dyDescent="0.35">
      <c r="B274" s="208" t="s">
        <v>457</v>
      </c>
      <c r="C274" s="117"/>
      <c r="D274" s="200">
        <f>SUMIF(ATB!D:D,CS!B:B,ATB!F:F)</f>
        <v>0</v>
      </c>
      <c r="E274" s="200">
        <f>SUMIF(ATB!D:D,CS!B:B,ATB!G:G)</f>
        <v>0</v>
      </c>
      <c r="F274" s="200">
        <f>SUMIF(ATB!D:D,CS!B:B,ATB!H:H)+SUMIF(ATB!D:D,CS!B:B,ATB!J:J)</f>
        <v>0</v>
      </c>
      <c r="G274" s="200">
        <f>SUMIF(ATB!D:D,CS!B:B,ATB!I:I)+SUMIF(ATB!D:D,CS!B:B,ATB!K:K)</f>
        <v>0</v>
      </c>
      <c r="H274" s="212">
        <f>SUMIF(ATB!D:D,CS!B:B,ATB!L:L)</f>
        <v>0</v>
      </c>
      <c r="I274" s="213">
        <f>SUMIF(ATB!D:D,CS!B:B,ATB!M:M)</f>
        <v>0</v>
      </c>
    </row>
    <row r="275" spans="2:9" s="202" customFormat="1" x14ac:dyDescent="0.35">
      <c r="B275" s="208" t="s">
        <v>458</v>
      </c>
      <c r="C275" s="117"/>
      <c r="D275" s="200">
        <f>SUMIF(ATB!D:D,CS!B:B,ATB!F:F)</f>
        <v>0</v>
      </c>
      <c r="E275" s="200">
        <f>SUMIF(ATB!D:D,CS!B:B,ATB!G:G)</f>
        <v>0</v>
      </c>
      <c r="F275" s="200">
        <f>SUMIF(ATB!D:D,CS!B:B,ATB!H:H)+SUMIF(ATB!D:D,CS!B:B,ATB!J:J)</f>
        <v>0</v>
      </c>
      <c r="G275" s="200">
        <f>SUMIF(ATB!D:D,CS!B:B,ATB!I:I)+SUMIF(ATB!D:D,CS!B:B,ATB!K:K)</f>
        <v>0</v>
      </c>
      <c r="H275" s="212">
        <f>SUMIF(ATB!D:D,CS!B:B,ATB!L:L)</f>
        <v>0</v>
      </c>
      <c r="I275" s="213">
        <f>SUMIF(ATB!D:D,CS!B:B,ATB!M:M)</f>
        <v>0</v>
      </c>
    </row>
    <row r="276" spans="2:9" s="202" customFormat="1" x14ac:dyDescent="0.35">
      <c r="B276" s="208" t="s">
        <v>459</v>
      </c>
      <c r="C276" s="117"/>
      <c r="D276" s="200">
        <f>SUMIF(ATB!D:D,CS!B:B,ATB!F:F)</f>
        <v>0</v>
      </c>
      <c r="E276" s="200">
        <f>SUMIF(ATB!D:D,CS!B:B,ATB!G:G)</f>
        <v>0</v>
      </c>
      <c r="F276" s="200">
        <f>SUMIF(ATB!D:D,CS!B:B,ATB!H:H)+SUMIF(ATB!D:D,CS!B:B,ATB!J:J)</f>
        <v>0</v>
      </c>
      <c r="G276" s="200">
        <f>SUMIF(ATB!D:D,CS!B:B,ATB!I:I)+SUMIF(ATB!D:D,CS!B:B,ATB!K:K)</f>
        <v>0</v>
      </c>
      <c r="H276" s="212">
        <f>SUMIF(ATB!D:D,CS!B:B,ATB!L:L)</f>
        <v>0</v>
      </c>
      <c r="I276" s="213">
        <f>SUMIF(ATB!D:D,CS!B:B,ATB!M:M)</f>
        <v>0</v>
      </c>
    </row>
    <row r="277" spans="2:9" s="202" customFormat="1" x14ac:dyDescent="0.35">
      <c r="B277" s="208"/>
      <c r="C277" s="117"/>
      <c r="D277" s="200">
        <f>SUMIF(ATB!D:D,CS!B:B,ATB!F:F)</f>
        <v>0</v>
      </c>
      <c r="E277" s="200">
        <f>SUMIF(ATB!D:D,CS!B:B,ATB!G:G)</f>
        <v>0</v>
      </c>
      <c r="F277" s="200">
        <f>SUMIF(ATB!D:D,CS!B:B,ATB!H:H)+SUMIF(ATB!D:D,CS!B:B,ATB!J:J)</f>
        <v>0</v>
      </c>
      <c r="G277" s="200">
        <f>SUMIF(ATB!D:D,CS!B:B,ATB!I:I)+SUMIF(ATB!D:D,CS!B:B,ATB!K:K)</f>
        <v>0</v>
      </c>
      <c r="H277" s="212">
        <f>SUMIF(ATB!D:D,CS!B:B,ATB!L:L)</f>
        <v>0</v>
      </c>
      <c r="I277" s="213">
        <f>SUMIF(ATB!D:D,CS!B:B,ATB!M:M)</f>
        <v>0</v>
      </c>
    </row>
    <row r="278" spans="2:9" s="202" customFormat="1" x14ac:dyDescent="0.35">
      <c r="B278" s="208"/>
      <c r="C278" s="117"/>
      <c r="D278" s="200">
        <f>SUMIF(ATB!D:D,CS!B:B,ATB!F:F)</f>
        <v>0</v>
      </c>
      <c r="E278" s="200">
        <f>SUMIF(ATB!D:D,CS!B:B,ATB!G:G)</f>
        <v>0</v>
      </c>
      <c r="F278" s="200">
        <f>SUMIF(ATB!D:D,CS!B:B,ATB!H:H)+SUMIF(ATB!D:D,CS!B:B,ATB!J:J)</f>
        <v>0</v>
      </c>
      <c r="G278" s="200">
        <f>SUMIF(ATB!D:D,CS!B:B,ATB!I:I)+SUMIF(ATB!D:D,CS!B:B,ATB!K:K)</f>
        <v>0</v>
      </c>
      <c r="H278" s="212">
        <f>SUMIF(ATB!D:D,CS!B:B,ATB!L:L)</f>
        <v>0</v>
      </c>
      <c r="I278" s="213">
        <f>SUMIF(ATB!D:D,CS!B:B,ATB!M:M)</f>
        <v>0</v>
      </c>
    </row>
    <row r="279" spans="2:9" s="202" customFormat="1" x14ac:dyDescent="0.35">
      <c r="B279" s="207" t="s">
        <v>77</v>
      </c>
      <c r="C279" s="117"/>
      <c r="D279" s="200">
        <f>SUMIF(ATB!D:D,CS!B:B,ATB!F:F)</f>
        <v>0</v>
      </c>
      <c r="E279" s="200">
        <f>SUMIF(ATB!D:D,CS!B:B,ATB!G:G)</f>
        <v>0</v>
      </c>
      <c r="F279" s="200">
        <f>SUMIF(ATB!D:D,CS!B:B,ATB!H:H)+SUMIF(ATB!D:D,CS!B:B,ATB!J:J)</f>
        <v>0</v>
      </c>
      <c r="G279" s="200">
        <f>SUMIF(ATB!D:D,CS!B:B,ATB!I:I)+SUMIF(ATB!D:D,CS!B:B,ATB!K:K)</f>
        <v>0</v>
      </c>
      <c r="H279" s="212">
        <f>SUMIF(ATB!D:D,CS!B:B,ATB!L:L)</f>
        <v>0</v>
      </c>
      <c r="I279" s="213">
        <f>SUMIF(ATB!D:D,CS!B:B,ATB!M:M)</f>
        <v>0</v>
      </c>
    </row>
    <row r="280" spans="2:9" s="202" customFormat="1" x14ac:dyDescent="0.35">
      <c r="B280" s="208" t="s">
        <v>460</v>
      </c>
      <c r="C280" s="117"/>
      <c r="D280" s="200">
        <f>SUMIF(ATB!D:D,CS!B:B,ATB!F:F)</f>
        <v>0</v>
      </c>
      <c r="E280" s="200">
        <f>SUMIF(ATB!D:D,CS!B:B,ATB!G:G)</f>
        <v>0</v>
      </c>
      <c r="F280" s="200">
        <f>SUMIF(ATB!D:D,CS!B:B,ATB!H:H)+SUMIF(ATB!D:D,CS!B:B,ATB!J:J)</f>
        <v>0</v>
      </c>
      <c r="G280" s="200">
        <f>SUMIF(ATB!D:D,CS!B:B,ATB!I:I)+SUMIF(ATB!D:D,CS!B:B,ATB!K:K)</f>
        <v>0</v>
      </c>
      <c r="H280" s="212">
        <f>SUMIF(ATB!D:D,CS!B:B,ATB!L:L)</f>
        <v>0</v>
      </c>
      <c r="I280" s="213">
        <f>SUMIF(ATB!D:D,CS!B:B,ATB!M:M)</f>
        <v>0</v>
      </c>
    </row>
    <row r="281" spans="2:9" s="202" customFormat="1" x14ac:dyDescent="0.35">
      <c r="B281" s="208" t="s">
        <v>461</v>
      </c>
      <c r="C281" s="117"/>
      <c r="D281" s="200">
        <f>SUMIF(ATB!D:D,CS!B:B,ATB!F:F)</f>
        <v>0</v>
      </c>
      <c r="E281" s="200">
        <f>SUMIF(ATB!D:D,CS!B:B,ATB!G:G)</f>
        <v>0</v>
      </c>
      <c r="F281" s="200">
        <f>SUMIF(ATB!D:D,CS!B:B,ATB!H:H)+SUMIF(ATB!D:D,CS!B:B,ATB!J:J)</f>
        <v>0</v>
      </c>
      <c r="G281" s="200">
        <f>SUMIF(ATB!D:D,CS!B:B,ATB!I:I)+SUMIF(ATB!D:D,CS!B:B,ATB!K:K)</f>
        <v>0</v>
      </c>
      <c r="H281" s="212">
        <f>SUMIF(ATB!D:D,CS!B:B,ATB!L:L)</f>
        <v>0</v>
      </c>
      <c r="I281" s="213">
        <f>SUMIF(ATB!D:D,CS!B:B,ATB!M:M)</f>
        <v>0</v>
      </c>
    </row>
    <row r="282" spans="2:9" s="202" customFormat="1" x14ac:dyDescent="0.35">
      <c r="B282" s="208" t="s">
        <v>462</v>
      </c>
      <c r="C282" s="117"/>
      <c r="D282" s="200">
        <f>SUMIF(ATB!D:D,CS!B:B,ATB!F:F)</f>
        <v>0</v>
      </c>
      <c r="E282" s="200">
        <f>SUMIF(ATB!D:D,CS!B:B,ATB!G:G)</f>
        <v>0</v>
      </c>
      <c r="F282" s="200">
        <f>SUMIF(ATB!D:D,CS!B:B,ATB!H:H)+SUMIF(ATB!D:D,CS!B:B,ATB!J:J)</f>
        <v>0</v>
      </c>
      <c r="G282" s="200">
        <f>SUMIF(ATB!D:D,CS!B:B,ATB!I:I)+SUMIF(ATB!D:D,CS!B:B,ATB!K:K)</f>
        <v>0</v>
      </c>
      <c r="H282" s="212">
        <f>SUMIF(ATB!D:D,CS!B:B,ATB!L:L)</f>
        <v>0</v>
      </c>
      <c r="I282" s="213">
        <f>SUMIF(ATB!D:D,CS!B:B,ATB!M:M)</f>
        <v>0</v>
      </c>
    </row>
    <row r="283" spans="2:9" s="202" customFormat="1" x14ac:dyDescent="0.35">
      <c r="B283" s="208" t="s">
        <v>463</v>
      </c>
      <c r="C283" s="117"/>
      <c r="D283" s="200">
        <f>SUMIF(ATB!D:D,CS!B:B,ATB!F:F)</f>
        <v>0</v>
      </c>
      <c r="E283" s="200">
        <f>SUMIF(ATB!D:D,CS!B:B,ATB!G:G)</f>
        <v>0</v>
      </c>
      <c r="F283" s="200">
        <f>SUMIF(ATB!D:D,CS!B:B,ATB!H:H)+SUMIF(ATB!D:D,CS!B:B,ATB!J:J)</f>
        <v>0</v>
      </c>
      <c r="G283" s="200">
        <f>SUMIF(ATB!D:D,CS!B:B,ATB!I:I)+SUMIF(ATB!D:D,CS!B:B,ATB!K:K)</f>
        <v>0</v>
      </c>
      <c r="H283" s="212">
        <f>SUMIF(ATB!D:D,CS!B:B,ATB!L:L)</f>
        <v>0</v>
      </c>
      <c r="I283" s="213">
        <f>SUMIF(ATB!D:D,CS!B:B,ATB!M:M)</f>
        <v>0</v>
      </c>
    </row>
    <row r="284" spans="2:9" s="202" customFormat="1" x14ac:dyDescent="0.35">
      <c r="B284" s="208" t="s">
        <v>464</v>
      </c>
      <c r="C284" s="117"/>
      <c r="D284" s="200">
        <f>SUMIF(ATB!D:D,CS!B:B,ATB!F:F)</f>
        <v>0</v>
      </c>
      <c r="E284" s="200">
        <f>SUMIF(ATB!D:D,CS!B:B,ATB!G:G)</f>
        <v>0</v>
      </c>
      <c r="F284" s="200">
        <f>SUMIF(ATB!D:D,CS!B:B,ATB!H:H)+SUMIF(ATB!D:D,CS!B:B,ATB!J:J)</f>
        <v>0</v>
      </c>
      <c r="G284" s="200">
        <f>SUMIF(ATB!D:D,CS!B:B,ATB!I:I)+SUMIF(ATB!D:D,CS!B:B,ATB!K:K)</f>
        <v>0</v>
      </c>
      <c r="H284" s="212">
        <f>SUMIF(ATB!D:D,CS!B:B,ATB!L:L)</f>
        <v>0</v>
      </c>
      <c r="I284" s="213">
        <f>SUMIF(ATB!D:D,CS!B:B,ATB!M:M)</f>
        <v>0</v>
      </c>
    </row>
    <row r="285" spans="2:9" s="202" customFormat="1" x14ac:dyDescent="0.35">
      <c r="B285" s="208" t="s">
        <v>465</v>
      </c>
      <c r="C285" s="117"/>
      <c r="D285" s="200">
        <f>SUMIF(ATB!D:D,CS!B:B,ATB!F:F)</f>
        <v>0</v>
      </c>
      <c r="E285" s="200">
        <f>SUMIF(ATB!D:D,CS!B:B,ATB!G:G)</f>
        <v>0</v>
      </c>
      <c r="F285" s="200">
        <f>SUMIF(ATB!D:D,CS!B:B,ATB!H:H)+SUMIF(ATB!D:D,CS!B:B,ATB!J:J)</f>
        <v>0</v>
      </c>
      <c r="G285" s="200">
        <f>SUMIF(ATB!D:D,CS!B:B,ATB!I:I)+SUMIF(ATB!D:D,CS!B:B,ATB!K:K)</f>
        <v>0</v>
      </c>
      <c r="H285" s="212">
        <f>SUMIF(ATB!D:D,CS!B:B,ATB!L:L)</f>
        <v>0</v>
      </c>
      <c r="I285" s="213">
        <f>SUMIF(ATB!D:D,CS!B:B,ATB!M:M)</f>
        <v>0</v>
      </c>
    </row>
    <row r="286" spans="2:9" s="202" customFormat="1" x14ac:dyDescent="0.35">
      <c r="B286" s="208"/>
      <c r="C286" s="117"/>
      <c r="D286" s="200">
        <f>SUMIF(ATB!D:D,CS!B:B,ATB!F:F)</f>
        <v>0</v>
      </c>
      <c r="E286" s="200">
        <f>SUMIF(ATB!D:D,CS!B:B,ATB!G:G)</f>
        <v>0</v>
      </c>
      <c r="F286" s="200">
        <f>SUMIF(ATB!D:D,CS!B:B,ATB!H:H)+SUMIF(ATB!D:D,CS!B:B,ATB!J:J)</f>
        <v>0</v>
      </c>
      <c r="G286" s="200">
        <f>SUMIF(ATB!D:D,CS!B:B,ATB!I:I)+SUMIF(ATB!D:D,CS!B:B,ATB!K:K)</f>
        <v>0</v>
      </c>
      <c r="H286" s="212">
        <f>SUMIF(ATB!D:D,CS!B:B,ATB!L:L)</f>
        <v>0</v>
      </c>
      <c r="I286" s="213">
        <f>SUMIF(ATB!D:D,CS!B:B,ATB!M:M)</f>
        <v>0</v>
      </c>
    </row>
    <row r="287" spans="2:9" s="202" customFormat="1" x14ac:dyDescent="0.35">
      <c r="B287" s="208"/>
      <c r="C287" s="117"/>
      <c r="D287" s="200">
        <f>SUMIF(ATB!D:D,CS!B:B,ATB!F:F)</f>
        <v>0</v>
      </c>
      <c r="E287" s="200">
        <f>SUMIF(ATB!D:D,CS!B:B,ATB!G:G)</f>
        <v>0</v>
      </c>
      <c r="F287" s="200">
        <f>SUMIF(ATB!D:D,CS!B:B,ATB!H:H)+SUMIF(ATB!D:D,CS!B:B,ATB!J:J)</f>
        <v>0</v>
      </c>
      <c r="G287" s="200">
        <f>SUMIF(ATB!D:D,CS!B:B,ATB!I:I)+SUMIF(ATB!D:D,CS!B:B,ATB!K:K)</f>
        <v>0</v>
      </c>
      <c r="H287" s="212">
        <f>SUMIF(ATB!D:D,CS!B:B,ATB!L:L)</f>
        <v>0</v>
      </c>
      <c r="I287" s="213">
        <f>SUMIF(ATB!D:D,CS!B:B,ATB!M:M)</f>
        <v>0</v>
      </c>
    </row>
    <row r="288" spans="2:9" s="202" customFormat="1" x14ac:dyDescent="0.35">
      <c r="B288" s="207" t="s">
        <v>73</v>
      </c>
      <c r="C288" s="117"/>
      <c r="D288" s="200">
        <f>SUMIF(ATB!D:D,CS!B:B,ATB!F:F)</f>
        <v>0</v>
      </c>
      <c r="E288" s="200">
        <f>SUMIF(ATB!D:D,CS!B:B,ATB!G:G)</f>
        <v>0</v>
      </c>
      <c r="F288" s="200">
        <f>SUMIF(ATB!D:D,CS!B:B,ATB!H:H)+SUMIF(ATB!D:D,CS!B:B,ATB!J:J)</f>
        <v>0</v>
      </c>
      <c r="G288" s="200">
        <f>SUMIF(ATB!D:D,CS!B:B,ATB!I:I)+SUMIF(ATB!D:D,CS!B:B,ATB!K:K)</f>
        <v>0</v>
      </c>
      <c r="H288" s="212">
        <f>SUMIF(ATB!D:D,CS!B:B,ATB!L:L)</f>
        <v>0</v>
      </c>
      <c r="I288" s="213">
        <f>SUMIF(ATB!D:D,CS!B:B,ATB!M:M)</f>
        <v>0</v>
      </c>
    </row>
    <row r="289" spans="2:9" s="202" customFormat="1" x14ac:dyDescent="0.35">
      <c r="B289" s="208" t="s">
        <v>466</v>
      </c>
      <c r="C289" s="117"/>
      <c r="D289" s="200">
        <f>SUMIF(ATB!D:D,CS!B:B,ATB!F:F)</f>
        <v>0</v>
      </c>
      <c r="E289" s="200">
        <f>SUMIF(ATB!D:D,CS!B:B,ATB!G:G)</f>
        <v>0</v>
      </c>
      <c r="F289" s="200">
        <f>SUMIF(ATB!D:D,CS!B:B,ATB!H:H)+SUMIF(ATB!D:D,CS!B:B,ATB!J:J)</f>
        <v>0</v>
      </c>
      <c r="G289" s="200">
        <f>SUMIF(ATB!D:D,CS!B:B,ATB!I:I)+SUMIF(ATB!D:D,CS!B:B,ATB!K:K)</f>
        <v>0</v>
      </c>
      <c r="H289" s="212">
        <f>SUMIF(ATB!D:D,CS!B:B,ATB!L:L)</f>
        <v>0</v>
      </c>
      <c r="I289" s="213">
        <f>SUMIF(ATB!D:D,CS!B:B,ATB!M:M)</f>
        <v>0</v>
      </c>
    </row>
    <row r="290" spans="2:9" s="202" customFormat="1" x14ac:dyDescent="0.35">
      <c r="B290" s="208" t="s">
        <v>467</v>
      </c>
      <c r="C290" s="117"/>
      <c r="D290" s="200">
        <f>SUMIF(ATB!D:D,CS!B:B,ATB!F:F)</f>
        <v>0</v>
      </c>
      <c r="E290" s="200">
        <f>SUMIF(ATB!D:D,CS!B:B,ATB!G:G)</f>
        <v>0</v>
      </c>
      <c r="F290" s="200">
        <f>SUMIF(ATB!D:D,CS!B:B,ATB!H:H)+SUMIF(ATB!D:D,CS!B:B,ATB!J:J)</f>
        <v>0</v>
      </c>
      <c r="G290" s="200">
        <f>SUMIF(ATB!D:D,CS!B:B,ATB!I:I)+SUMIF(ATB!D:D,CS!B:B,ATB!K:K)</f>
        <v>0</v>
      </c>
      <c r="H290" s="212">
        <f>SUMIF(ATB!D:D,CS!B:B,ATB!L:L)</f>
        <v>0</v>
      </c>
      <c r="I290" s="213">
        <f>SUMIF(ATB!D:D,CS!B:B,ATB!M:M)</f>
        <v>0</v>
      </c>
    </row>
    <row r="291" spans="2:9" s="202" customFormat="1" x14ac:dyDescent="0.35">
      <c r="B291" s="208" t="s">
        <v>468</v>
      </c>
      <c r="C291" s="117"/>
      <c r="D291" s="200">
        <f>SUMIF(ATB!D:D,CS!B:B,ATB!F:F)</f>
        <v>0</v>
      </c>
      <c r="E291" s="200">
        <f>SUMIF(ATB!D:D,CS!B:B,ATB!G:G)</f>
        <v>0</v>
      </c>
      <c r="F291" s="200">
        <f>SUMIF(ATB!D:D,CS!B:B,ATB!H:H)+SUMIF(ATB!D:D,CS!B:B,ATB!J:J)</f>
        <v>0</v>
      </c>
      <c r="G291" s="200">
        <f>SUMIF(ATB!D:D,CS!B:B,ATB!I:I)+SUMIF(ATB!D:D,CS!B:B,ATB!K:K)</f>
        <v>0</v>
      </c>
      <c r="H291" s="212">
        <f>SUMIF(ATB!D:D,CS!B:B,ATB!L:L)</f>
        <v>0</v>
      </c>
      <c r="I291" s="213">
        <f>SUMIF(ATB!D:D,CS!B:B,ATB!M:M)</f>
        <v>0</v>
      </c>
    </row>
    <row r="292" spans="2:9" s="202" customFormat="1" x14ac:dyDescent="0.35">
      <c r="B292" s="208"/>
      <c r="C292" s="117"/>
      <c r="D292" s="200">
        <f>SUMIF(ATB!D:D,CS!B:B,ATB!F:F)</f>
        <v>0</v>
      </c>
      <c r="E292" s="200">
        <f>SUMIF(ATB!D:D,CS!B:B,ATB!G:G)</f>
        <v>0</v>
      </c>
      <c r="F292" s="200">
        <f>SUMIF(ATB!D:D,CS!B:B,ATB!H:H)+SUMIF(ATB!D:D,CS!B:B,ATB!J:J)</f>
        <v>0</v>
      </c>
      <c r="G292" s="200">
        <f>SUMIF(ATB!D:D,CS!B:B,ATB!I:I)+SUMIF(ATB!D:D,CS!B:B,ATB!K:K)</f>
        <v>0</v>
      </c>
      <c r="H292" s="212">
        <f>SUMIF(ATB!D:D,CS!B:B,ATB!L:L)</f>
        <v>0</v>
      </c>
      <c r="I292" s="213">
        <f>SUMIF(ATB!D:D,CS!B:B,ATB!M:M)</f>
        <v>0</v>
      </c>
    </row>
    <row r="293" spans="2:9" s="202" customFormat="1" x14ac:dyDescent="0.35">
      <c r="B293" s="208"/>
      <c r="C293" s="117"/>
      <c r="D293" s="200">
        <f>SUMIF(ATB!D:D,CS!B:B,ATB!F:F)</f>
        <v>0</v>
      </c>
      <c r="E293" s="200">
        <f>SUMIF(ATB!D:D,CS!B:B,ATB!G:G)</f>
        <v>0</v>
      </c>
      <c r="F293" s="200">
        <f>SUMIF(ATB!D:D,CS!B:B,ATB!H:H)+SUMIF(ATB!D:D,CS!B:B,ATB!J:J)</f>
        <v>0</v>
      </c>
      <c r="G293" s="200">
        <f>SUMIF(ATB!D:D,CS!B:B,ATB!I:I)+SUMIF(ATB!D:D,CS!B:B,ATB!K:K)</f>
        <v>0</v>
      </c>
      <c r="H293" s="212">
        <f>SUMIF(ATB!D:D,CS!B:B,ATB!L:L)</f>
        <v>0</v>
      </c>
      <c r="I293" s="213">
        <f>SUMIF(ATB!D:D,CS!B:B,ATB!M:M)</f>
        <v>0</v>
      </c>
    </row>
    <row r="294" spans="2:9" s="202" customFormat="1" x14ac:dyDescent="0.35">
      <c r="B294" s="207" t="s">
        <v>78</v>
      </c>
      <c r="C294" s="117"/>
      <c r="D294" s="200">
        <f>SUMIF(ATB!D:D,CS!B:B,ATB!F:F)</f>
        <v>0</v>
      </c>
      <c r="E294" s="200">
        <f>SUMIF(ATB!D:D,CS!B:B,ATB!G:G)</f>
        <v>0</v>
      </c>
      <c r="F294" s="200">
        <f>SUMIF(ATB!D:D,CS!B:B,ATB!H:H)+SUMIF(ATB!D:D,CS!B:B,ATB!J:J)</f>
        <v>0</v>
      </c>
      <c r="G294" s="200">
        <f>SUMIF(ATB!D:D,CS!B:B,ATB!I:I)+SUMIF(ATB!D:D,CS!B:B,ATB!K:K)</f>
        <v>0</v>
      </c>
      <c r="H294" s="212">
        <f>SUMIF(ATB!D:D,CS!B:B,ATB!L:L)</f>
        <v>0</v>
      </c>
      <c r="I294" s="213">
        <f>SUMIF(ATB!D:D,CS!B:B,ATB!M:M)</f>
        <v>0</v>
      </c>
    </row>
    <row r="295" spans="2:9" s="202" customFormat="1" x14ac:dyDescent="0.35">
      <c r="B295" s="208" t="s">
        <v>216</v>
      </c>
      <c r="C295" s="117"/>
      <c r="D295" s="200">
        <f>SUMIF(ATB!D:D,CS!B:B,ATB!F:F)</f>
        <v>0</v>
      </c>
      <c r="E295" s="200">
        <f>SUMIF(ATB!D:D,CS!B:B,ATB!G:G)</f>
        <v>0</v>
      </c>
      <c r="F295" s="200">
        <f>SUMIF(ATB!D:D,CS!B:B,ATB!H:H)+SUMIF(ATB!D:D,CS!B:B,ATB!J:J)</f>
        <v>0</v>
      </c>
      <c r="G295" s="200">
        <f>SUMIF(ATB!D:D,CS!B:B,ATB!I:I)+SUMIF(ATB!D:D,CS!B:B,ATB!K:K)</f>
        <v>0</v>
      </c>
      <c r="H295" s="212">
        <f>SUMIF(ATB!D:D,CS!B:B,ATB!L:L)</f>
        <v>0</v>
      </c>
      <c r="I295" s="213">
        <f>SUMIF(ATB!D:D,CS!B:B,ATB!M:M)</f>
        <v>0</v>
      </c>
    </row>
    <row r="296" spans="2:9" s="202" customFormat="1" x14ac:dyDescent="0.35">
      <c r="B296" s="208" t="s">
        <v>213</v>
      </c>
      <c r="C296" s="117"/>
      <c r="D296" s="200">
        <f>SUMIF(ATB!D:D,CS!B:B,ATB!F:F)</f>
        <v>0</v>
      </c>
      <c r="E296" s="200">
        <f>SUMIF(ATB!D:D,CS!B:B,ATB!G:G)</f>
        <v>0</v>
      </c>
      <c r="F296" s="200">
        <f>SUMIF(ATB!D:D,CS!B:B,ATB!H:H)+SUMIF(ATB!D:D,CS!B:B,ATB!J:J)</f>
        <v>0</v>
      </c>
      <c r="G296" s="200">
        <f>SUMIF(ATB!D:D,CS!B:B,ATB!I:I)+SUMIF(ATB!D:D,CS!B:B,ATB!K:K)</f>
        <v>0</v>
      </c>
      <c r="H296" s="212">
        <f>SUMIF(ATB!D:D,CS!B:B,ATB!L:L)</f>
        <v>0</v>
      </c>
      <c r="I296" s="213">
        <f>SUMIF(ATB!D:D,CS!B:B,ATB!M:M)</f>
        <v>0</v>
      </c>
    </row>
    <row r="297" spans="2:9" s="202" customFormat="1" x14ac:dyDescent="0.35">
      <c r="B297" s="208" t="s">
        <v>214</v>
      </c>
      <c r="C297" s="117"/>
      <c r="D297" s="200">
        <f>SUMIF(ATB!D:D,CS!B:B,ATB!F:F)</f>
        <v>0</v>
      </c>
      <c r="E297" s="200">
        <f>SUMIF(ATB!D:D,CS!B:B,ATB!G:G)</f>
        <v>0</v>
      </c>
      <c r="F297" s="200">
        <f>SUMIF(ATB!D:D,CS!B:B,ATB!H:H)+SUMIF(ATB!D:D,CS!B:B,ATB!J:J)</f>
        <v>0</v>
      </c>
      <c r="G297" s="200">
        <f>SUMIF(ATB!D:D,CS!B:B,ATB!I:I)+SUMIF(ATB!D:D,CS!B:B,ATB!K:K)</f>
        <v>0</v>
      </c>
      <c r="H297" s="212">
        <f>SUMIF(ATB!D:D,CS!B:B,ATB!L:L)</f>
        <v>0</v>
      </c>
      <c r="I297" s="213">
        <f>SUMIF(ATB!D:D,CS!B:B,ATB!M:M)</f>
        <v>0</v>
      </c>
    </row>
    <row r="298" spans="2:9" s="202" customFormat="1" x14ac:dyDescent="0.35">
      <c r="B298" s="208" t="s">
        <v>215</v>
      </c>
      <c r="C298" s="117"/>
      <c r="D298" s="200">
        <f>SUMIF(ATB!D:D,CS!B:B,ATB!F:F)</f>
        <v>0</v>
      </c>
      <c r="E298" s="200">
        <f>SUMIF(ATB!D:D,CS!B:B,ATB!G:G)</f>
        <v>0</v>
      </c>
      <c r="F298" s="200">
        <f>SUMIF(ATB!D:D,CS!B:B,ATB!H:H)+SUMIF(ATB!D:D,CS!B:B,ATB!J:J)</f>
        <v>0</v>
      </c>
      <c r="G298" s="200">
        <f>SUMIF(ATB!D:D,CS!B:B,ATB!I:I)+SUMIF(ATB!D:D,CS!B:B,ATB!K:K)</f>
        <v>0</v>
      </c>
      <c r="H298" s="212">
        <f>SUMIF(ATB!D:D,CS!B:B,ATB!L:L)</f>
        <v>0</v>
      </c>
      <c r="I298" s="213">
        <f>SUMIF(ATB!D:D,CS!B:B,ATB!M:M)</f>
        <v>0</v>
      </c>
    </row>
    <row r="299" spans="2:9" s="202" customFormat="1" x14ac:dyDescent="0.35">
      <c r="B299" s="117"/>
      <c r="C299" s="117"/>
      <c r="D299" s="200">
        <f>SUMIF(ATB!D:D,CS!B:B,ATB!F:F)</f>
        <v>0</v>
      </c>
      <c r="E299" s="200">
        <f>SUMIF(ATB!D:D,CS!B:B,ATB!G:G)</f>
        <v>0</v>
      </c>
      <c r="F299" s="200">
        <f>SUMIF(ATB!D:D,CS!B:B,ATB!H:H)+SUMIF(ATB!D:D,CS!B:B,ATB!J:J)</f>
        <v>0</v>
      </c>
      <c r="G299" s="200">
        <f>SUMIF(ATB!D:D,CS!B:B,ATB!I:I)+SUMIF(ATB!D:D,CS!B:B,ATB!K:K)</f>
        <v>0</v>
      </c>
      <c r="H299" s="212">
        <f>SUMIF(ATB!D:D,CS!B:B,ATB!L:L)</f>
        <v>0</v>
      </c>
      <c r="I299" s="213">
        <f>SUMIF(ATB!D:D,CS!B:B,ATB!M:M)</f>
        <v>0</v>
      </c>
    </row>
    <row r="300" spans="2:9" s="202" customFormat="1" x14ac:dyDescent="0.35">
      <c r="B300" s="117"/>
      <c r="C300" s="117"/>
      <c r="D300" s="200">
        <f>SUMIF(ATB!D:D,CS!B:B,ATB!F:F)</f>
        <v>0</v>
      </c>
      <c r="E300" s="200">
        <f>SUMIF(ATB!D:D,CS!B:B,ATB!G:G)</f>
        <v>0</v>
      </c>
      <c r="F300" s="200">
        <f>SUMIF(ATB!D:D,CS!B:B,ATB!H:H)+SUMIF(ATB!D:D,CS!B:B,ATB!J:J)</f>
        <v>0</v>
      </c>
      <c r="G300" s="200">
        <f>SUMIF(ATB!D:D,CS!B:B,ATB!I:I)+SUMIF(ATB!D:D,CS!B:B,ATB!K:K)</f>
        <v>0</v>
      </c>
      <c r="H300" s="212">
        <f>SUMIF(ATB!D:D,CS!B:B,ATB!L:L)</f>
        <v>0</v>
      </c>
      <c r="I300" s="213">
        <f>SUMIF(ATB!D:D,CS!B:B,ATB!M:M)</f>
        <v>0</v>
      </c>
    </row>
    <row r="301" spans="2:9" s="202" customFormat="1" x14ac:dyDescent="0.35">
      <c r="B301" s="117" t="s">
        <v>692</v>
      </c>
      <c r="C301" s="117"/>
      <c r="D301" s="200">
        <f>SUMIF(ATB!D:D,CS!B:B,ATB!F:F)</f>
        <v>0</v>
      </c>
      <c r="E301" s="200">
        <f>SUMIF(ATB!D:D,CS!B:B,ATB!G:G)</f>
        <v>0</v>
      </c>
      <c r="F301" s="200">
        <f>SUMIF(ATB!D:D,CS!B:B,ATB!H:H)+SUMIF(ATB!D:D,CS!B:B,ATB!J:J)</f>
        <v>0</v>
      </c>
      <c r="G301" s="200">
        <f>SUMIF(ATB!D:D,CS!B:B,ATB!I:I)+SUMIF(ATB!D:D,CS!B:B,ATB!K:K)</f>
        <v>0</v>
      </c>
      <c r="H301" s="212">
        <f>SUMIF(ATB!D:D,CS!B:B,ATB!L:L)</f>
        <v>0</v>
      </c>
      <c r="I301" s="213">
        <f>SUMIF(ATB!D:D,CS!B:B,ATB!M:M)</f>
        <v>0</v>
      </c>
    </row>
    <row r="302" spans="2:9" s="202" customFormat="1" x14ac:dyDescent="0.35">
      <c r="B302" s="117" t="s">
        <v>693</v>
      </c>
      <c r="C302" s="117"/>
      <c r="D302" s="200">
        <f>SUMIF(ATB!D:D,CS!B:B,ATB!F:F)</f>
        <v>0</v>
      </c>
      <c r="E302" s="200">
        <f>SUMIF(ATB!D:D,CS!B:B,ATB!G:G)</f>
        <v>0</v>
      </c>
      <c r="F302" s="200">
        <f>SUMIF(ATB!D:D,CS!B:B,ATB!H:H)+SUMIF(ATB!D:D,CS!B:B,ATB!J:J)</f>
        <v>0</v>
      </c>
      <c r="G302" s="200">
        <f>SUMIF(ATB!D:D,CS!B:B,ATB!I:I)+SUMIF(ATB!D:D,CS!B:B,ATB!K:K)</f>
        <v>0</v>
      </c>
      <c r="H302" s="212">
        <f>SUMIF(ATB!D:D,CS!B:B,ATB!L:L)</f>
        <v>0</v>
      </c>
      <c r="I302" s="213">
        <f>SUMIF(ATB!D:D,CS!B:B,ATB!M:M)</f>
        <v>0</v>
      </c>
    </row>
    <row r="303" spans="2:9" s="202" customFormat="1" x14ac:dyDescent="0.35">
      <c r="B303" s="117" t="s">
        <v>694</v>
      </c>
      <c r="C303" s="117"/>
      <c r="D303" s="200">
        <f>SUMIF(ATB!D:D,CS!B:B,ATB!F:F)</f>
        <v>0</v>
      </c>
      <c r="E303" s="200">
        <f>SUMIF(ATB!D:D,CS!B:B,ATB!G:G)</f>
        <v>0</v>
      </c>
      <c r="F303" s="200">
        <f>SUMIF(ATB!D:D,CS!B:B,ATB!H:H)+SUMIF(ATB!D:D,CS!B:B,ATB!J:J)</f>
        <v>0</v>
      </c>
      <c r="G303" s="200">
        <f>SUMIF(ATB!D:D,CS!B:B,ATB!I:I)+SUMIF(ATB!D:D,CS!B:B,ATB!K:K)</f>
        <v>0</v>
      </c>
      <c r="H303" s="212">
        <f>SUMIF(ATB!D:D,CS!B:B,ATB!L:L)</f>
        <v>0</v>
      </c>
      <c r="I303" s="213">
        <f>SUMIF(ATB!D:D,CS!B:B,ATB!M:M)</f>
        <v>0</v>
      </c>
    </row>
    <row r="304" spans="2:9" s="202" customFormat="1" x14ac:dyDescent="0.35">
      <c r="B304" s="117"/>
      <c r="C304" s="117"/>
      <c r="D304" s="200">
        <f>SUMIF(ATB!D:D,CS!B:B,ATB!F:F)</f>
        <v>0</v>
      </c>
      <c r="E304" s="200">
        <f>SUMIF(ATB!D:D,CS!B:B,ATB!G:G)</f>
        <v>0</v>
      </c>
      <c r="F304" s="200">
        <f>SUMIF(ATB!D:D,CS!B:B,ATB!H:H)+SUMIF(ATB!D:D,CS!B:B,ATB!J:J)</f>
        <v>0</v>
      </c>
      <c r="G304" s="200">
        <f>SUMIF(ATB!D:D,CS!B:B,ATB!I:I)+SUMIF(ATB!D:D,CS!B:B,ATB!K:K)</f>
        <v>0</v>
      </c>
      <c r="H304" s="212">
        <f>SUMIF(ATB!D:D,CS!B:B,ATB!L:L)</f>
        <v>0</v>
      </c>
      <c r="I304" s="213">
        <f>SUMIF(ATB!D:D,CS!B:B,ATB!M:M)</f>
        <v>0</v>
      </c>
    </row>
    <row r="305" spans="1:10" s="202" customFormat="1" x14ac:dyDescent="0.35">
      <c r="B305" s="117"/>
      <c r="C305" s="117"/>
      <c r="D305" s="200">
        <f>SUMIF(ATB!D:D,CS!B:B,ATB!F:F)</f>
        <v>0</v>
      </c>
      <c r="E305" s="200">
        <f>SUMIF(ATB!D:D,CS!B:B,ATB!G:G)</f>
        <v>0</v>
      </c>
      <c r="F305" s="200"/>
      <c r="G305" s="200"/>
      <c r="H305" s="212"/>
      <c r="I305" s="213"/>
    </row>
    <row r="306" spans="1:10" s="202" customFormat="1" x14ac:dyDescent="0.35">
      <c r="A306" s="216"/>
      <c r="B306" s="217"/>
      <c r="C306" s="217"/>
      <c r="D306" s="218">
        <f t="shared" ref="D306:I306" si="1">SUM(D10:D305)</f>
        <v>0</v>
      </c>
      <c r="E306" s="218">
        <f t="shared" si="1"/>
        <v>0</v>
      </c>
      <c r="F306" s="218">
        <f t="shared" si="1"/>
        <v>0</v>
      </c>
      <c r="G306" s="218">
        <f t="shared" si="1"/>
        <v>0</v>
      </c>
      <c r="H306" s="218">
        <f t="shared" si="1"/>
        <v>0</v>
      </c>
      <c r="I306" s="218">
        <f t="shared" si="1"/>
        <v>0</v>
      </c>
      <c r="J306" s="216"/>
    </row>
    <row r="307" spans="1:10" s="202" customFormat="1" x14ac:dyDescent="0.35">
      <c r="B307" s="6"/>
      <c r="C307" s="6"/>
      <c r="D307" s="201"/>
      <c r="E307" s="201">
        <f>D306-E306</f>
        <v>0</v>
      </c>
      <c r="F307" s="201"/>
      <c r="G307" s="201">
        <f>F306-G306</f>
        <v>0</v>
      </c>
      <c r="H307" s="219"/>
      <c r="I307" s="220">
        <f>H306-I306</f>
        <v>0</v>
      </c>
    </row>
    <row r="308" spans="1:10" x14ac:dyDescent="0.3">
      <c r="H308" s="209"/>
      <c r="I308" s="210"/>
    </row>
    <row r="309" spans="1:10" x14ac:dyDescent="0.3">
      <c r="H309" s="209"/>
      <c r="I309" s="210"/>
    </row>
    <row r="310" spans="1:10" hidden="1" x14ac:dyDescent="0.3">
      <c r="H310" s="209"/>
      <c r="I310" s="210"/>
    </row>
    <row r="311" spans="1:10" hidden="1" x14ac:dyDescent="0.3">
      <c r="H311" s="209"/>
      <c r="I311" s="210"/>
    </row>
    <row r="312" spans="1:10" hidden="1" x14ac:dyDescent="0.3">
      <c r="H312" s="209"/>
      <c r="I312" s="210"/>
    </row>
    <row r="313" spans="1:10" hidden="1" x14ac:dyDescent="0.3">
      <c r="H313" s="209"/>
      <c r="I313" s="210"/>
    </row>
    <row r="314" spans="1:10" hidden="1" x14ac:dyDescent="0.3">
      <c r="H314" s="209"/>
      <c r="I314" s="210"/>
    </row>
    <row r="315" spans="1:10" hidden="1" x14ac:dyDescent="0.3">
      <c r="H315" s="209"/>
      <c r="I315" s="210"/>
    </row>
    <row r="316" spans="1:10" hidden="1" x14ac:dyDescent="0.3">
      <c r="H316" s="209"/>
      <c r="I316" s="210"/>
    </row>
    <row r="317" spans="1:10" hidden="1" x14ac:dyDescent="0.3">
      <c r="H317" s="209"/>
      <c r="I317" s="210"/>
    </row>
    <row r="318" spans="1:10" hidden="1" x14ac:dyDescent="0.3">
      <c r="H318" s="209"/>
      <c r="I318" s="210"/>
    </row>
    <row r="319" spans="1:10" hidden="1" x14ac:dyDescent="0.3">
      <c r="H319" s="209"/>
      <c r="I319" s="210"/>
    </row>
    <row r="320" spans="1:10" hidden="1" x14ac:dyDescent="0.3">
      <c r="H320" s="209"/>
      <c r="I320" s="210"/>
    </row>
    <row r="321" spans="8:9" hidden="1" x14ac:dyDescent="0.3">
      <c r="H321" s="209"/>
      <c r="I321" s="210"/>
    </row>
    <row r="322" spans="8:9" hidden="1" x14ac:dyDescent="0.3">
      <c r="H322" s="209"/>
      <c r="I322" s="210"/>
    </row>
    <row r="323" spans="8:9" hidden="1" x14ac:dyDescent="0.3">
      <c r="H323" s="209"/>
      <c r="I323" s="210"/>
    </row>
    <row r="324" spans="8:9" hidden="1" x14ac:dyDescent="0.3">
      <c r="H324" s="209"/>
      <c r="I324" s="210"/>
    </row>
    <row r="325" spans="8:9" hidden="1" x14ac:dyDescent="0.3">
      <c r="H325" s="209"/>
      <c r="I325" s="210"/>
    </row>
    <row r="326" spans="8:9" hidden="1" x14ac:dyDescent="0.3">
      <c r="H326" s="209"/>
      <c r="I326" s="210"/>
    </row>
    <row r="327" spans="8:9" hidden="1" x14ac:dyDescent="0.3">
      <c r="H327" s="209"/>
      <c r="I327" s="210"/>
    </row>
    <row r="328" spans="8:9" hidden="1" x14ac:dyDescent="0.3">
      <c r="H328" s="209"/>
      <c r="I328" s="210"/>
    </row>
    <row r="329" spans="8:9" hidden="1" x14ac:dyDescent="0.3">
      <c r="H329" s="209"/>
      <c r="I329" s="210"/>
    </row>
    <row r="330" spans="8:9" hidden="1" x14ac:dyDescent="0.3">
      <c r="H330" s="209"/>
      <c r="I330" s="210"/>
    </row>
    <row r="331" spans="8:9" hidden="1" x14ac:dyDescent="0.3">
      <c r="H331" s="209"/>
      <c r="I331" s="210"/>
    </row>
    <row r="332" spans="8:9" hidden="1" x14ac:dyDescent="0.3">
      <c r="H332" s="209"/>
      <c r="I332" s="210"/>
    </row>
    <row r="333" spans="8:9" hidden="1" x14ac:dyDescent="0.3">
      <c r="H333" s="209"/>
      <c r="I333" s="210"/>
    </row>
    <row r="334" spans="8:9" hidden="1" x14ac:dyDescent="0.3">
      <c r="H334" s="209"/>
      <c r="I334" s="210"/>
    </row>
    <row r="335" spans="8:9" hidden="1" x14ac:dyDescent="0.3">
      <c r="H335" s="209"/>
      <c r="I335" s="210"/>
    </row>
    <row r="336" spans="8:9" hidden="1" x14ac:dyDescent="0.3">
      <c r="H336" s="209"/>
      <c r="I336" s="210"/>
    </row>
    <row r="337" spans="8:9" hidden="1" x14ac:dyDescent="0.3">
      <c r="H337" s="209"/>
      <c r="I337" s="210"/>
    </row>
    <row r="338" spans="8:9" hidden="1" x14ac:dyDescent="0.3">
      <c r="H338" s="209"/>
      <c r="I338" s="210"/>
    </row>
    <row r="339" spans="8:9" hidden="1" x14ac:dyDescent="0.3">
      <c r="H339" s="209"/>
      <c r="I339" s="210"/>
    </row>
    <row r="340" spans="8:9" hidden="1" x14ac:dyDescent="0.3">
      <c r="H340" s="209"/>
      <c r="I340" s="210"/>
    </row>
    <row r="341" spans="8:9" hidden="1" x14ac:dyDescent="0.3">
      <c r="H341" s="209"/>
      <c r="I341" s="210"/>
    </row>
    <row r="342" spans="8:9" hidden="1" x14ac:dyDescent="0.3">
      <c r="H342" s="209"/>
      <c r="I342" s="210"/>
    </row>
    <row r="343" spans="8:9" hidden="1" x14ac:dyDescent="0.3">
      <c r="H343" s="209"/>
      <c r="I343" s="210"/>
    </row>
    <row r="344" spans="8:9" hidden="1" x14ac:dyDescent="0.3">
      <c r="H344" s="209"/>
      <c r="I344" s="210"/>
    </row>
    <row r="345" spans="8:9" hidden="1" x14ac:dyDescent="0.3">
      <c r="H345" s="209"/>
      <c r="I345" s="210"/>
    </row>
    <row r="346" spans="8:9" hidden="1" x14ac:dyDescent="0.3">
      <c r="H346" s="209"/>
      <c r="I346" s="210"/>
    </row>
    <row r="347" spans="8:9" hidden="1" x14ac:dyDescent="0.3">
      <c r="H347" s="209"/>
      <c r="I347" s="210"/>
    </row>
    <row r="348" spans="8:9" hidden="1" x14ac:dyDescent="0.3">
      <c r="H348" s="209"/>
      <c r="I348" s="210"/>
    </row>
    <row r="349" spans="8:9" hidden="1" x14ac:dyDescent="0.3">
      <c r="H349" s="209"/>
      <c r="I349" s="210"/>
    </row>
    <row r="350" spans="8:9" hidden="1" x14ac:dyDescent="0.3">
      <c r="H350" s="209"/>
      <c r="I350" s="210"/>
    </row>
    <row r="351" spans="8:9" hidden="1" x14ac:dyDescent="0.3">
      <c r="H351" s="209"/>
      <c r="I351" s="210"/>
    </row>
    <row r="352" spans="8:9" hidden="1" x14ac:dyDescent="0.3">
      <c r="H352" s="209"/>
      <c r="I352" s="210"/>
    </row>
    <row r="353" spans="8:9" hidden="1" x14ac:dyDescent="0.3">
      <c r="H353" s="209"/>
      <c r="I353" s="210"/>
    </row>
    <row r="354" spans="8:9" hidden="1" x14ac:dyDescent="0.3">
      <c r="H354" s="209"/>
      <c r="I354" s="210"/>
    </row>
    <row r="355" spans="8:9" hidden="1" x14ac:dyDescent="0.3">
      <c r="H355" s="209"/>
      <c r="I355" s="210"/>
    </row>
    <row r="356" spans="8:9" hidden="1" x14ac:dyDescent="0.3">
      <c r="H356" s="209"/>
      <c r="I356" s="210"/>
    </row>
    <row r="357" spans="8:9" hidden="1" x14ac:dyDescent="0.3">
      <c r="H357" s="209"/>
      <c r="I357" s="210"/>
    </row>
    <row r="358" spans="8:9" hidden="1" x14ac:dyDescent="0.3">
      <c r="H358" s="209"/>
      <c r="I358" s="210"/>
    </row>
    <row r="359" spans="8:9" hidden="1" x14ac:dyDescent="0.3">
      <c r="H359" s="209"/>
      <c r="I359" s="210"/>
    </row>
    <row r="360" spans="8:9" hidden="1" x14ac:dyDescent="0.3">
      <c r="H360" s="209"/>
      <c r="I360" s="210"/>
    </row>
    <row r="361" spans="8:9" hidden="1" x14ac:dyDescent="0.3">
      <c r="H361" s="209"/>
      <c r="I361" s="210"/>
    </row>
    <row r="362" spans="8:9" hidden="1" x14ac:dyDescent="0.3">
      <c r="H362" s="209"/>
      <c r="I362" s="210"/>
    </row>
    <row r="363" spans="8:9" hidden="1" x14ac:dyDescent="0.3">
      <c r="H363" s="209"/>
      <c r="I363" s="210"/>
    </row>
    <row r="364" spans="8:9" hidden="1" x14ac:dyDescent="0.3">
      <c r="H364" s="209"/>
      <c r="I364" s="210"/>
    </row>
    <row r="365" spans="8:9" hidden="1" x14ac:dyDescent="0.3">
      <c r="H365" s="209"/>
      <c r="I365" s="210"/>
    </row>
    <row r="366" spans="8:9" hidden="1" x14ac:dyDescent="0.3">
      <c r="H366" s="209"/>
      <c r="I366" s="210"/>
    </row>
    <row r="367" spans="8:9" hidden="1" x14ac:dyDescent="0.3">
      <c r="H367" s="209"/>
      <c r="I367" s="210"/>
    </row>
    <row r="368" spans="8:9" hidden="1" x14ac:dyDescent="0.3">
      <c r="H368" s="209"/>
      <c r="I368" s="210"/>
    </row>
    <row r="369" spans="8:9" hidden="1" x14ac:dyDescent="0.3">
      <c r="H369" s="209"/>
      <c r="I369" s="210"/>
    </row>
    <row r="370" spans="8:9" hidden="1" x14ac:dyDescent="0.3">
      <c r="H370" s="209"/>
      <c r="I370" s="210"/>
    </row>
    <row r="371" spans="8:9" hidden="1" x14ac:dyDescent="0.3">
      <c r="H371" s="209"/>
      <c r="I371" s="210"/>
    </row>
    <row r="372" spans="8:9" hidden="1" x14ac:dyDescent="0.3">
      <c r="H372" s="209"/>
      <c r="I372" s="210"/>
    </row>
    <row r="373" spans="8:9" hidden="1" x14ac:dyDescent="0.3">
      <c r="H373" s="209"/>
      <c r="I373" s="210"/>
    </row>
    <row r="374" spans="8:9" hidden="1" x14ac:dyDescent="0.3">
      <c r="H374" s="209"/>
      <c r="I374" s="210"/>
    </row>
    <row r="375" spans="8:9" hidden="1" x14ac:dyDescent="0.3">
      <c r="H375" s="209"/>
      <c r="I375" s="210"/>
    </row>
    <row r="376" spans="8:9" hidden="1" x14ac:dyDescent="0.3">
      <c r="H376" s="209"/>
      <c r="I376" s="210"/>
    </row>
    <row r="377" spans="8:9" hidden="1" x14ac:dyDescent="0.3">
      <c r="H377" s="209"/>
      <c r="I377" s="210"/>
    </row>
    <row r="378" spans="8:9" hidden="1" x14ac:dyDescent="0.3">
      <c r="H378" s="209"/>
      <c r="I378" s="210"/>
    </row>
    <row r="379" spans="8:9" hidden="1" x14ac:dyDescent="0.3">
      <c r="H379" s="209"/>
      <c r="I379" s="210"/>
    </row>
    <row r="380" spans="8:9" hidden="1" x14ac:dyDescent="0.3">
      <c r="H380" s="209"/>
      <c r="I380" s="210"/>
    </row>
    <row r="381" spans="8:9" hidden="1" x14ac:dyDescent="0.3">
      <c r="H381" s="209"/>
      <c r="I381" s="210"/>
    </row>
    <row r="382" spans="8:9" hidden="1" x14ac:dyDescent="0.3">
      <c r="H382" s="209"/>
      <c r="I382" s="210"/>
    </row>
    <row r="383" spans="8:9" hidden="1" x14ac:dyDescent="0.3">
      <c r="H383" s="209"/>
      <c r="I383" s="210"/>
    </row>
    <row r="384" spans="8:9" hidden="1" x14ac:dyDescent="0.3">
      <c r="H384" s="209"/>
      <c r="I384" s="210"/>
    </row>
    <row r="385" spans="8:9" hidden="1" x14ac:dyDescent="0.3">
      <c r="H385" s="209"/>
      <c r="I385" s="210"/>
    </row>
    <row r="386" spans="8:9" hidden="1" x14ac:dyDescent="0.3">
      <c r="H386" s="209"/>
      <c r="I386" s="210"/>
    </row>
    <row r="387" spans="8:9" hidden="1" x14ac:dyDescent="0.3">
      <c r="H387" s="209"/>
      <c r="I387" s="210"/>
    </row>
    <row r="388" spans="8:9" hidden="1" x14ac:dyDescent="0.3">
      <c r="H388" s="209"/>
      <c r="I388" s="210"/>
    </row>
    <row r="389" spans="8:9" hidden="1" x14ac:dyDescent="0.3">
      <c r="H389" s="209"/>
      <c r="I389" s="210"/>
    </row>
    <row r="390" spans="8:9" hidden="1" x14ac:dyDescent="0.3">
      <c r="H390" s="209"/>
      <c r="I390" s="210"/>
    </row>
    <row r="391" spans="8:9" hidden="1" x14ac:dyDescent="0.3">
      <c r="H391" s="209"/>
      <c r="I391" s="210"/>
    </row>
    <row r="392" spans="8:9" hidden="1" x14ac:dyDescent="0.3">
      <c r="H392" s="209"/>
      <c r="I392" s="210"/>
    </row>
    <row r="393" spans="8:9" hidden="1" x14ac:dyDescent="0.3">
      <c r="H393" s="209"/>
      <c r="I393" s="210"/>
    </row>
    <row r="394" spans="8:9" hidden="1" x14ac:dyDescent="0.3">
      <c r="H394" s="209"/>
      <c r="I394" s="210"/>
    </row>
    <row r="395" spans="8:9" hidden="1" x14ac:dyDescent="0.3">
      <c r="H395" s="209"/>
      <c r="I395" s="210"/>
    </row>
    <row r="396" spans="8:9" hidden="1" x14ac:dyDescent="0.3">
      <c r="H396" s="209"/>
      <c r="I396" s="210"/>
    </row>
    <row r="397" spans="8:9" hidden="1" x14ac:dyDescent="0.3">
      <c r="H397" s="209"/>
      <c r="I397" s="210"/>
    </row>
    <row r="398" spans="8:9" hidden="1" x14ac:dyDescent="0.3">
      <c r="H398" s="209"/>
      <c r="I398" s="210"/>
    </row>
    <row r="399" spans="8:9" hidden="1" x14ac:dyDescent="0.3">
      <c r="H399" s="209"/>
      <c r="I399" s="210"/>
    </row>
    <row r="400" spans="8:9" hidden="1" x14ac:dyDescent="0.3">
      <c r="H400" s="209"/>
      <c r="I400" s="210"/>
    </row>
    <row r="401" spans="8:9" hidden="1" x14ac:dyDescent="0.3">
      <c r="H401" s="209"/>
      <c r="I401" s="210"/>
    </row>
    <row r="402" spans="8:9" hidden="1" x14ac:dyDescent="0.3">
      <c r="H402" s="209"/>
      <c r="I402" s="210"/>
    </row>
    <row r="403" spans="8:9" hidden="1" x14ac:dyDescent="0.3">
      <c r="H403" s="209"/>
      <c r="I403" s="210"/>
    </row>
    <row r="404" spans="8:9" hidden="1" x14ac:dyDescent="0.3">
      <c r="H404" s="209"/>
      <c r="I404" s="210"/>
    </row>
    <row r="405" spans="8:9" hidden="1" x14ac:dyDescent="0.3">
      <c r="H405" s="209"/>
      <c r="I405" s="210"/>
    </row>
    <row r="406" spans="8:9" hidden="1" x14ac:dyDescent="0.3">
      <c r="H406" s="209"/>
      <c r="I406" s="210"/>
    </row>
    <row r="407" spans="8:9" hidden="1" x14ac:dyDescent="0.3">
      <c r="H407" s="209"/>
      <c r="I407" s="210"/>
    </row>
    <row r="408" spans="8:9" hidden="1" x14ac:dyDescent="0.3">
      <c r="H408" s="209"/>
      <c r="I408" s="210"/>
    </row>
    <row r="409" spans="8:9" hidden="1" x14ac:dyDescent="0.3">
      <c r="H409" s="209"/>
      <c r="I409" s="210"/>
    </row>
    <row r="410" spans="8:9" hidden="1" x14ac:dyDescent="0.3">
      <c r="H410" s="209"/>
      <c r="I410" s="210"/>
    </row>
    <row r="411" spans="8:9" hidden="1" x14ac:dyDescent="0.3">
      <c r="H411" s="209"/>
      <c r="I411" s="210"/>
    </row>
    <row r="412" spans="8:9" hidden="1" x14ac:dyDescent="0.3">
      <c r="H412" s="209"/>
      <c r="I412" s="210"/>
    </row>
    <row r="413" spans="8:9" hidden="1" x14ac:dyDescent="0.3">
      <c r="H413" s="209"/>
      <c r="I413" s="210"/>
    </row>
    <row r="414" spans="8:9" hidden="1" x14ac:dyDescent="0.3">
      <c r="H414" s="209"/>
      <c r="I414" s="210"/>
    </row>
    <row r="415" spans="8:9" hidden="1" x14ac:dyDescent="0.3">
      <c r="H415" s="209"/>
      <c r="I415" s="210"/>
    </row>
    <row r="416" spans="8:9" hidden="1" x14ac:dyDescent="0.3">
      <c r="H416" s="209"/>
      <c r="I416" s="210"/>
    </row>
    <row r="417" spans="8:9" hidden="1" x14ac:dyDescent="0.3">
      <c r="H417" s="209"/>
      <c r="I417" s="210"/>
    </row>
    <row r="418" spans="8:9" hidden="1" x14ac:dyDescent="0.3">
      <c r="H418" s="209"/>
      <c r="I418" s="210"/>
    </row>
    <row r="419" spans="8:9" hidden="1" x14ac:dyDescent="0.3">
      <c r="H419" s="209"/>
      <c r="I419" s="210"/>
    </row>
    <row r="420" spans="8:9" hidden="1" x14ac:dyDescent="0.3">
      <c r="H420" s="209"/>
      <c r="I420" s="210"/>
    </row>
    <row r="421" spans="8:9" hidden="1" x14ac:dyDescent="0.3">
      <c r="H421" s="209"/>
      <c r="I421" s="210"/>
    </row>
    <row r="422" spans="8:9" hidden="1" x14ac:dyDescent="0.3">
      <c r="H422" s="209"/>
      <c r="I422" s="210"/>
    </row>
    <row r="423" spans="8:9" hidden="1" x14ac:dyDescent="0.3">
      <c r="H423" s="209"/>
      <c r="I423" s="210"/>
    </row>
    <row r="424" spans="8:9" hidden="1" x14ac:dyDescent="0.3">
      <c r="H424" s="209"/>
      <c r="I424" s="210"/>
    </row>
    <row r="425" spans="8:9" hidden="1" x14ac:dyDescent="0.3">
      <c r="H425" s="209"/>
      <c r="I425" s="210"/>
    </row>
    <row r="426" spans="8:9" hidden="1" x14ac:dyDescent="0.3">
      <c r="H426" s="209"/>
      <c r="I426" s="210"/>
    </row>
    <row r="427" spans="8:9" hidden="1" x14ac:dyDescent="0.3">
      <c r="H427" s="209"/>
      <c r="I427" s="210"/>
    </row>
    <row r="428" spans="8:9" hidden="1" x14ac:dyDescent="0.3">
      <c r="H428" s="209"/>
      <c r="I428" s="210"/>
    </row>
    <row r="429" spans="8:9" hidden="1" x14ac:dyDescent="0.3">
      <c r="H429" s="209"/>
      <c r="I429" s="210"/>
    </row>
    <row r="430" spans="8:9" hidden="1" x14ac:dyDescent="0.3">
      <c r="H430" s="209"/>
      <c r="I430" s="210"/>
    </row>
    <row r="431" spans="8:9" hidden="1" x14ac:dyDescent="0.3">
      <c r="H431" s="209"/>
      <c r="I431" s="210"/>
    </row>
    <row r="432" spans="8:9" hidden="1" x14ac:dyDescent="0.3">
      <c r="H432" s="209"/>
      <c r="I432" s="210"/>
    </row>
    <row r="433" spans="8:9" hidden="1" x14ac:dyDescent="0.3">
      <c r="H433" s="209"/>
      <c r="I433" s="210"/>
    </row>
    <row r="434" spans="8:9" hidden="1" x14ac:dyDescent="0.3">
      <c r="H434" s="209"/>
      <c r="I434" s="210"/>
    </row>
    <row r="435" spans="8:9" hidden="1" x14ac:dyDescent="0.3">
      <c r="H435" s="209"/>
      <c r="I435" s="210"/>
    </row>
    <row r="436" spans="8:9" hidden="1" x14ac:dyDescent="0.3">
      <c r="H436" s="209"/>
      <c r="I436" s="210"/>
    </row>
    <row r="437" spans="8:9" hidden="1" x14ac:dyDescent="0.3">
      <c r="H437" s="209"/>
      <c r="I437" s="210"/>
    </row>
    <row r="438" spans="8:9" hidden="1" x14ac:dyDescent="0.3">
      <c r="H438" s="209"/>
      <c r="I438" s="210"/>
    </row>
    <row r="439" spans="8:9" hidden="1" x14ac:dyDescent="0.3">
      <c r="H439" s="209"/>
      <c r="I439" s="210"/>
    </row>
    <row r="440" spans="8:9" hidden="1" x14ac:dyDescent="0.3">
      <c r="H440" s="209"/>
      <c r="I440" s="210"/>
    </row>
    <row r="441" spans="8:9" hidden="1" x14ac:dyDescent="0.3">
      <c r="H441" s="209"/>
      <c r="I441" s="210"/>
    </row>
    <row r="442" spans="8:9" hidden="1" x14ac:dyDescent="0.3">
      <c r="H442" s="209"/>
      <c r="I442" s="210"/>
    </row>
    <row r="443" spans="8:9" hidden="1" x14ac:dyDescent="0.3">
      <c r="H443" s="209"/>
      <c r="I443" s="210"/>
    </row>
    <row r="444" spans="8:9" hidden="1" x14ac:dyDescent="0.3">
      <c r="H444" s="209"/>
      <c r="I444" s="210"/>
    </row>
    <row r="445" spans="8:9" hidden="1" x14ac:dyDescent="0.3">
      <c r="H445" s="209"/>
      <c r="I445" s="210"/>
    </row>
    <row r="446" spans="8:9" hidden="1" x14ac:dyDescent="0.3">
      <c r="H446" s="209"/>
      <c r="I446" s="210"/>
    </row>
    <row r="447" spans="8:9" hidden="1" x14ac:dyDescent="0.3">
      <c r="H447" s="209"/>
      <c r="I447" s="210"/>
    </row>
    <row r="448" spans="8:9" hidden="1" x14ac:dyDescent="0.3">
      <c r="H448" s="209"/>
      <c r="I448" s="210"/>
    </row>
    <row r="449" spans="8:9" hidden="1" x14ac:dyDescent="0.3">
      <c r="H449" s="209"/>
      <c r="I449" s="210"/>
    </row>
    <row r="450" spans="8:9" hidden="1" x14ac:dyDescent="0.3">
      <c r="H450" s="209"/>
      <c r="I450" s="210"/>
    </row>
    <row r="451" spans="8:9" hidden="1" x14ac:dyDescent="0.3">
      <c r="H451" s="209"/>
      <c r="I451" s="210"/>
    </row>
    <row r="452" spans="8:9" hidden="1" x14ac:dyDescent="0.3">
      <c r="H452" s="209"/>
      <c r="I452" s="210"/>
    </row>
    <row r="453" spans="8:9" hidden="1" x14ac:dyDescent="0.3">
      <c r="H453" s="209"/>
      <c r="I453" s="210"/>
    </row>
    <row r="454" spans="8:9" hidden="1" x14ac:dyDescent="0.3">
      <c r="H454" s="209"/>
      <c r="I454" s="210"/>
    </row>
    <row r="455" spans="8:9" hidden="1" x14ac:dyDescent="0.3">
      <c r="H455" s="209"/>
      <c r="I455" s="210"/>
    </row>
    <row r="456" spans="8:9" hidden="1" x14ac:dyDescent="0.3">
      <c r="H456" s="209"/>
      <c r="I456" s="210"/>
    </row>
    <row r="457" spans="8:9" hidden="1" x14ac:dyDescent="0.3">
      <c r="H457" s="209"/>
      <c r="I457" s="210"/>
    </row>
    <row r="458" spans="8:9" hidden="1" x14ac:dyDescent="0.3">
      <c r="H458" s="209"/>
      <c r="I458" s="210"/>
    </row>
    <row r="459" spans="8:9" hidden="1" x14ac:dyDescent="0.3">
      <c r="H459" s="209"/>
      <c r="I459" s="210"/>
    </row>
    <row r="460" spans="8:9" hidden="1" x14ac:dyDescent="0.3">
      <c r="H460" s="209"/>
      <c r="I460" s="210"/>
    </row>
    <row r="461" spans="8:9" hidden="1" x14ac:dyDescent="0.3">
      <c r="H461" s="209"/>
      <c r="I461" s="210"/>
    </row>
    <row r="462" spans="8:9" hidden="1" x14ac:dyDescent="0.3">
      <c r="H462" s="209"/>
      <c r="I462" s="210"/>
    </row>
    <row r="463" spans="8:9" hidden="1" x14ac:dyDescent="0.3">
      <c r="H463" s="209"/>
      <c r="I463" s="210"/>
    </row>
    <row r="464" spans="8:9" hidden="1" x14ac:dyDescent="0.3">
      <c r="H464" s="209"/>
      <c r="I464" s="210"/>
    </row>
    <row r="465" spans="8:9" hidden="1" x14ac:dyDescent="0.3">
      <c r="H465" s="209"/>
      <c r="I465" s="210"/>
    </row>
    <row r="466" spans="8:9" hidden="1" x14ac:dyDescent="0.3">
      <c r="H466" s="209"/>
      <c r="I466" s="210"/>
    </row>
    <row r="467" spans="8:9" hidden="1" x14ac:dyDescent="0.3">
      <c r="H467" s="209"/>
      <c r="I467" s="210"/>
    </row>
    <row r="468" spans="8:9" hidden="1" x14ac:dyDescent="0.3">
      <c r="H468" s="209"/>
      <c r="I468" s="210"/>
    </row>
    <row r="469" spans="8:9" hidden="1" x14ac:dyDescent="0.3">
      <c r="H469" s="209"/>
      <c r="I469" s="210"/>
    </row>
    <row r="470" spans="8:9" hidden="1" x14ac:dyDescent="0.3">
      <c r="H470" s="209"/>
      <c r="I470" s="210"/>
    </row>
    <row r="471" spans="8:9" hidden="1" x14ac:dyDescent="0.3">
      <c r="H471" s="209"/>
      <c r="I471" s="210"/>
    </row>
    <row r="472" spans="8:9" hidden="1" x14ac:dyDescent="0.3">
      <c r="H472" s="209"/>
      <c r="I472" s="210"/>
    </row>
    <row r="473" spans="8:9" hidden="1" x14ac:dyDescent="0.3">
      <c r="H473" s="209"/>
      <c r="I473" s="210"/>
    </row>
    <row r="474" spans="8:9" hidden="1" x14ac:dyDescent="0.3">
      <c r="H474" s="209"/>
      <c r="I474" s="210"/>
    </row>
    <row r="475" spans="8:9" hidden="1" x14ac:dyDescent="0.3">
      <c r="H475" s="209"/>
      <c r="I475" s="210"/>
    </row>
    <row r="476" spans="8:9" hidden="1" x14ac:dyDescent="0.3">
      <c r="H476" s="209"/>
      <c r="I476" s="210"/>
    </row>
    <row r="477" spans="8:9" hidden="1" x14ac:dyDescent="0.3">
      <c r="H477" s="209"/>
      <c r="I477" s="210"/>
    </row>
    <row r="478" spans="8:9" hidden="1" x14ac:dyDescent="0.3">
      <c r="H478" s="209"/>
      <c r="I478" s="210"/>
    </row>
    <row r="479" spans="8:9" hidden="1" x14ac:dyDescent="0.3">
      <c r="H479" s="209"/>
      <c r="I479" s="210"/>
    </row>
    <row r="480" spans="8:9" hidden="1" x14ac:dyDescent="0.3">
      <c r="H480" s="209"/>
      <c r="I480" s="210"/>
    </row>
    <row r="481" spans="8:9" hidden="1" x14ac:dyDescent="0.3">
      <c r="H481" s="209"/>
      <c r="I481" s="210"/>
    </row>
    <row r="482" spans="8:9" hidden="1" x14ac:dyDescent="0.3">
      <c r="H482" s="209"/>
      <c r="I482" s="210"/>
    </row>
    <row r="483" spans="8:9" hidden="1" x14ac:dyDescent="0.3">
      <c r="H483" s="209"/>
      <c r="I483" s="210"/>
    </row>
    <row r="484" spans="8:9" hidden="1" x14ac:dyDescent="0.3">
      <c r="H484" s="209"/>
      <c r="I484" s="210"/>
    </row>
    <row r="485" spans="8:9" hidden="1" x14ac:dyDescent="0.3">
      <c r="H485" s="209"/>
      <c r="I485" s="210"/>
    </row>
    <row r="486" spans="8:9" hidden="1" x14ac:dyDescent="0.3">
      <c r="H486" s="209"/>
      <c r="I486" s="210"/>
    </row>
    <row r="487" spans="8:9" hidden="1" x14ac:dyDescent="0.3">
      <c r="H487" s="209"/>
      <c r="I487" s="210"/>
    </row>
    <row r="488" spans="8:9" hidden="1" x14ac:dyDescent="0.3">
      <c r="H488" s="209"/>
      <c r="I488" s="210"/>
    </row>
    <row r="489" spans="8:9" hidden="1" x14ac:dyDescent="0.3">
      <c r="H489" s="209"/>
      <c r="I489" s="210"/>
    </row>
    <row r="490" spans="8:9" hidden="1" x14ac:dyDescent="0.3">
      <c r="H490" s="209"/>
      <c r="I490" s="210"/>
    </row>
    <row r="491" spans="8:9" hidden="1" x14ac:dyDescent="0.3">
      <c r="H491" s="209"/>
      <c r="I491" s="210"/>
    </row>
    <row r="492" spans="8:9" hidden="1" x14ac:dyDescent="0.3">
      <c r="H492" s="209"/>
      <c r="I492" s="210"/>
    </row>
    <row r="493" spans="8:9" hidden="1" x14ac:dyDescent="0.3">
      <c r="H493" s="209"/>
      <c r="I493" s="210"/>
    </row>
    <row r="494" spans="8:9" hidden="1" x14ac:dyDescent="0.3">
      <c r="H494" s="209"/>
      <c r="I494" s="210"/>
    </row>
    <row r="495" spans="8:9" hidden="1" x14ac:dyDescent="0.3">
      <c r="H495" s="209"/>
      <c r="I495" s="210"/>
    </row>
    <row r="496" spans="8:9" hidden="1" x14ac:dyDescent="0.3">
      <c r="H496" s="209"/>
      <c r="I496" s="210"/>
    </row>
    <row r="497" spans="8:9" hidden="1" x14ac:dyDescent="0.3">
      <c r="H497" s="209"/>
      <c r="I497" s="210"/>
    </row>
    <row r="498" spans="8:9" hidden="1" x14ac:dyDescent="0.3">
      <c r="H498" s="209"/>
      <c r="I498" s="210"/>
    </row>
    <row r="499" spans="8:9" hidden="1" x14ac:dyDescent="0.3">
      <c r="H499" s="209"/>
      <c r="I499" s="210"/>
    </row>
    <row r="500" spans="8:9" hidden="1" x14ac:dyDescent="0.3">
      <c r="H500" s="209"/>
      <c r="I500" s="210"/>
    </row>
    <row r="501" spans="8:9" hidden="1" x14ac:dyDescent="0.3">
      <c r="H501" s="209"/>
      <c r="I501" s="210"/>
    </row>
    <row r="502" spans="8:9" hidden="1" x14ac:dyDescent="0.3">
      <c r="H502" s="209"/>
      <c r="I502" s="210"/>
    </row>
    <row r="503" spans="8:9" hidden="1" x14ac:dyDescent="0.3">
      <c r="H503" s="209"/>
      <c r="I503" s="210"/>
    </row>
    <row r="504" spans="8:9" hidden="1" x14ac:dyDescent="0.3">
      <c r="H504" s="209"/>
      <c r="I504" s="210"/>
    </row>
    <row r="505" spans="8:9" hidden="1" x14ac:dyDescent="0.3">
      <c r="H505" s="209"/>
      <c r="I505" s="210"/>
    </row>
    <row r="506" spans="8:9" hidden="1" x14ac:dyDescent="0.3">
      <c r="H506" s="209"/>
      <c r="I506" s="210"/>
    </row>
    <row r="507" spans="8:9" hidden="1" x14ac:dyDescent="0.3">
      <c r="H507" s="209"/>
      <c r="I507" s="210"/>
    </row>
    <row r="508" spans="8:9" hidden="1" x14ac:dyDescent="0.3">
      <c r="H508" s="209"/>
      <c r="I508" s="210"/>
    </row>
    <row r="509" spans="8:9" hidden="1" x14ac:dyDescent="0.3">
      <c r="H509" s="209"/>
      <c r="I509" s="210"/>
    </row>
    <row r="510" spans="8:9" hidden="1" x14ac:dyDescent="0.3">
      <c r="H510" s="209"/>
      <c r="I510" s="210"/>
    </row>
    <row r="511" spans="8:9" hidden="1" x14ac:dyDescent="0.3">
      <c r="H511" s="209"/>
      <c r="I511" s="210"/>
    </row>
    <row r="512" spans="8:9" hidden="1" x14ac:dyDescent="0.3">
      <c r="H512" s="209"/>
      <c r="I512" s="210"/>
    </row>
    <row r="513" spans="8:9" hidden="1" x14ac:dyDescent="0.3">
      <c r="H513" s="209"/>
      <c r="I513" s="210"/>
    </row>
    <row r="514" spans="8:9" hidden="1" x14ac:dyDescent="0.3">
      <c r="H514" s="209"/>
      <c r="I514" s="210"/>
    </row>
    <row r="515" spans="8:9" hidden="1" x14ac:dyDescent="0.3">
      <c r="H515" s="209"/>
      <c r="I515" s="210"/>
    </row>
    <row r="516" spans="8:9" hidden="1" x14ac:dyDescent="0.3">
      <c r="H516" s="209"/>
      <c r="I516" s="210"/>
    </row>
    <row r="517" spans="8:9" hidden="1" x14ac:dyDescent="0.3">
      <c r="H517" s="209"/>
      <c r="I517" s="210"/>
    </row>
    <row r="518" spans="8:9" hidden="1" x14ac:dyDescent="0.3">
      <c r="H518" s="209"/>
      <c r="I518" s="210"/>
    </row>
    <row r="519" spans="8:9" hidden="1" x14ac:dyDescent="0.3">
      <c r="H519" s="209"/>
      <c r="I519" s="210"/>
    </row>
    <row r="520" spans="8:9" hidden="1" x14ac:dyDescent="0.3">
      <c r="H520" s="209"/>
      <c r="I520" s="210"/>
    </row>
    <row r="521" spans="8:9" hidden="1" x14ac:dyDescent="0.3">
      <c r="H521" s="209"/>
      <c r="I521" s="210"/>
    </row>
    <row r="522" spans="8:9" hidden="1" x14ac:dyDescent="0.3">
      <c r="H522" s="209"/>
      <c r="I522" s="210"/>
    </row>
    <row r="523" spans="8:9" hidden="1" x14ac:dyDescent="0.3">
      <c r="H523" s="209"/>
      <c r="I523" s="210"/>
    </row>
    <row r="524" spans="8:9" hidden="1" x14ac:dyDescent="0.3">
      <c r="H524" s="209"/>
      <c r="I524" s="210"/>
    </row>
    <row r="525" spans="8:9" hidden="1" x14ac:dyDescent="0.3">
      <c r="H525" s="209"/>
      <c r="I525" s="210"/>
    </row>
    <row r="526" spans="8:9" hidden="1" x14ac:dyDescent="0.3">
      <c r="H526" s="209"/>
      <c r="I526" s="210"/>
    </row>
    <row r="527" spans="8:9" hidden="1" x14ac:dyDescent="0.3">
      <c r="H527" s="209"/>
      <c r="I527" s="210"/>
    </row>
    <row r="528" spans="8:9" hidden="1" x14ac:dyDescent="0.3">
      <c r="H528" s="209"/>
      <c r="I528" s="210"/>
    </row>
    <row r="529" spans="8:9" hidden="1" x14ac:dyDescent="0.3">
      <c r="H529" s="209"/>
      <c r="I529" s="210"/>
    </row>
    <row r="530" spans="8:9" hidden="1" x14ac:dyDescent="0.3">
      <c r="H530" s="209"/>
      <c r="I530" s="210"/>
    </row>
    <row r="531" spans="8:9" hidden="1" x14ac:dyDescent="0.3">
      <c r="H531" s="209"/>
      <c r="I531" s="210"/>
    </row>
    <row r="532" spans="8:9" hidden="1" x14ac:dyDescent="0.3">
      <c r="H532" s="209"/>
      <c r="I532" s="210"/>
    </row>
    <row r="533" spans="8:9" hidden="1" x14ac:dyDescent="0.3">
      <c r="H533" s="209"/>
      <c r="I533" s="210"/>
    </row>
    <row r="534" spans="8:9" hidden="1" x14ac:dyDescent="0.3">
      <c r="H534" s="209"/>
      <c r="I534" s="210"/>
    </row>
    <row r="535" spans="8:9" hidden="1" x14ac:dyDescent="0.3">
      <c r="H535" s="209"/>
      <c r="I535" s="210"/>
    </row>
    <row r="536" spans="8:9" hidden="1" x14ac:dyDescent="0.3">
      <c r="H536" s="209"/>
      <c r="I536" s="210"/>
    </row>
    <row r="537" spans="8:9" hidden="1" x14ac:dyDescent="0.3">
      <c r="H537" s="209"/>
      <c r="I537" s="210"/>
    </row>
    <row r="538" spans="8:9" hidden="1" x14ac:dyDescent="0.3">
      <c r="H538" s="209"/>
      <c r="I538" s="210"/>
    </row>
    <row r="539" spans="8:9" hidden="1" x14ac:dyDescent="0.3">
      <c r="H539" s="209"/>
      <c r="I539" s="210"/>
    </row>
    <row r="540" spans="8:9" hidden="1" x14ac:dyDescent="0.3">
      <c r="H540" s="209"/>
      <c r="I540" s="210"/>
    </row>
    <row r="541" spans="8:9" hidden="1" x14ac:dyDescent="0.3">
      <c r="H541" s="209"/>
      <c r="I541" s="210"/>
    </row>
    <row r="542" spans="8:9" hidden="1" x14ac:dyDescent="0.3">
      <c r="H542" s="209"/>
      <c r="I542" s="210"/>
    </row>
    <row r="543" spans="8:9" hidden="1" x14ac:dyDescent="0.3">
      <c r="H543" s="209"/>
      <c r="I543" s="210"/>
    </row>
    <row r="544" spans="8:9" hidden="1" x14ac:dyDescent="0.3">
      <c r="H544" s="209"/>
      <c r="I544" s="210"/>
    </row>
    <row r="545" spans="8:9" hidden="1" x14ac:dyDescent="0.3">
      <c r="H545" s="209"/>
      <c r="I545" s="210"/>
    </row>
    <row r="546" spans="8:9" hidden="1" x14ac:dyDescent="0.3">
      <c r="H546" s="209"/>
      <c r="I546" s="210"/>
    </row>
    <row r="547" spans="8:9" hidden="1" x14ac:dyDescent="0.3">
      <c r="H547" s="209"/>
      <c r="I547" s="210"/>
    </row>
    <row r="548" spans="8:9" hidden="1" x14ac:dyDescent="0.3">
      <c r="H548" s="209"/>
      <c r="I548" s="210"/>
    </row>
    <row r="549" spans="8:9" hidden="1" x14ac:dyDescent="0.3">
      <c r="H549" s="209"/>
      <c r="I549" s="210"/>
    </row>
    <row r="550" spans="8:9" hidden="1" x14ac:dyDescent="0.3">
      <c r="H550" s="209"/>
      <c r="I550" s="210"/>
    </row>
    <row r="551" spans="8:9" hidden="1" x14ac:dyDescent="0.3">
      <c r="H551" s="209"/>
      <c r="I551" s="210"/>
    </row>
    <row r="552" spans="8:9" hidden="1" x14ac:dyDescent="0.3">
      <c r="H552" s="209"/>
      <c r="I552" s="210"/>
    </row>
    <row r="553" spans="8:9" hidden="1" x14ac:dyDescent="0.3">
      <c r="H553" s="209"/>
      <c r="I553" s="210"/>
    </row>
    <row r="554" spans="8:9" hidden="1" x14ac:dyDescent="0.3">
      <c r="H554" s="209"/>
      <c r="I554" s="210"/>
    </row>
    <row r="555" spans="8:9" hidden="1" x14ac:dyDescent="0.3">
      <c r="H555" s="209"/>
      <c r="I555" s="210"/>
    </row>
    <row r="556" spans="8:9" hidden="1" x14ac:dyDescent="0.3">
      <c r="H556" s="209"/>
      <c r="I556" s="210"/>
    </row>
    <row r="557" spans="8:9" hidden="1" x14ac:dyDescent="0.3">
      <c r="H557" s="209"/>
      <c r="I557" s="210"/>
    </row>
    <row r="558" spans="8:9" hidden="1" x14ac:dyDescent="0.3">
      <c r="H558" s="209"/>
      <c r="I558" s="210"/>
    </row>
    <row r="559" spans="8:9" hidden="1" x14ac:dyDescent="0.3">
      <c r="H559" s="209"/>
      <c r="I559" s="210"/>
    </row>
    <row r="560" spans="8:9" hidden="1" x14ac:dyDescent="0.3">
      <c r="H560" s="209"/>
      <c r="I560" s="210"/>
    </row>
    <row r="561" spans="8:9" hidden="1" x14ac:dyDescent="0.3">
      <c r="H561" s="209"/>
      <c r="I561" s="210"/>
    </row>
    <row r="562" spans="8:9" hidden="1" x14ac:dyDescent="0.3">
      <c r="H562" s="209"/>
      <c r="I562" s="210"/>
    </row>
    <row r="563" spans="8:9" hidden="1" x14ac:dyDescent="0.3">
      <c r="H563" s="209"/>
      <c r="I563" s="210"/>
    </row>
    <row r="564" spans="8:9" hidden="1" x14ac:dyDescent="0.3">
      <c r="H564" s="209"/>
      <c r="I564" s="210"/>
    </row>
    <row r="565" spans="8:9" hidden="1" x14ac:dyDescent="0.3">
      <c r="H565" s="209"/>
      <c r="I565" s="210"/>
    </row>
    <row r="566" spans="8:9" hidden="1" x14ac:dyDescent="0.3">
      <c r="H566" s="209"/>
      <c r="I566" s="210"/>
    </row>
    <row r="567" spans="8:9" hidden="1" x14ac:dyDescent="0.3">
      <c r="H567" s="209"/>
      <c r="I567" s="210"/>
    </row>
    <row r="568" spans="8:9" hidden="1" x14ac:dyDescent="0.3">
      <c r="H568" s="209"/>
      <c r="I568" s="210"/>
    </row>
    <row r="569" spans="8:9" hidden="1" x14ac:dyDescent="0.3">
      <c r="H569" s="209"/>
      <c r="I569" s="210"/>
    </row>
    <row r="570" spans="8:9" hidden="1" x14ac:dyDescent="0.3">
      <c r="H570" s="209"/>
      <c r="I570" s="210"/>
    </row>
    <row r="571" spans="8:9" hidden="1" x14ac:dyDescent="0.3">
      <c r="H571" s="209"/>
      <c r="I571" s="210"/>
    </row>
    <row r="572" spans="8:9" hidden="1" x14ac:dyDescent="0.3">
      <c r="H572" s="209"/>
      <c r="I572" s="210"/>
    </row>
    <row r="573" spans="8:9" hidden="1" x14ac:dyDescent="0.3">
      <c r="H573" s="209"/>
      <c r="I573" s="210"/>
    </row>
    <row r="574" spans="8:9" hidden="1" x14ac:dyDescent="0.3">
      <c r="H574" s="209"/>
      <c r="I574" s="210"/>
    </row>
    <row r="575" spans="8:9" hidden="1" x14ac:dyDescent="0.3">
      <c r="H575" s="209"/>
      <c r="I575" s="210"/>
    </row>
    <row r="576" spans="8:9" hidden="1" x14ac:dyDescent="0.3">
      <c r="H576" s="209"/>
      <c r="I576" s="210"/>
    </row>
    <row r="577" spans="8:9" hidden="1" x14ac:dyDescent="0.3">
      <c r="H577" s="209"/>
      <c r="I577" s="210"/>
    </row>
    <row r="578" spans="8:9" hidden="1" x14ac:dyDescent="0.3">
      <c r="H578" s="209"/>
      <c r="I578" s="210"/>
    </row>
    <row r="579" spans="8:9" hidden="1" x14ac:dyDescent="0.3">
      <c r="H579" s="209"/>
      <c r="I579" s="210"/>
    </row>
    <row r="580" spans="8:9" hidden="1" x14ac:dyDescent="0.3">
      <c r="H580" s="209"/>
      <c r="I580" s="210"/>
    </row>
    <row r="581" spans="8:9" hidden="1" x14ac:dyDescent="0.3">
      <c r="H581" s="209"/>
      <c r="I581" s="210"/>
    </row>
    <row r="582" spans="8:9" hidden="1" x14ac:dyDescent="0.3">
      <c r="H582" s="209"/>
      <c r="I582" s="210"/>
    </row>
    <row r="583" spans="8:9" hidden="1" x14ac:dyDescent="0.3">
      <c r="H583" s="209"/>
      <c r="I583" s="210"/>
    </row>
    <row r="584" spans="8:9" hidden="1" x14ac:dyDescent="0.3">
      <c r="H584" s="209"/>
      <c r="I584" s="210"/>
    </row>
    <row r="585" spans="8:9" hidden="1" x14ac:dyDescent="0.3">
      <c r="H585" s="209"/>
      <c r="I585" s="210"/>
    </row>
    <row r="586" spans="8:9" hidden="1" x14ac:dyDescent="0.3">
      <c r="H586" s="209"/>
      <c r="I586" s="210"/>
    </row>
    <row r="587" spans="8:9" hidden="1" x14ac:dyDescent="0.3">
      <c r="H587" s="209"/>
      <c r="I587" s="210"/>
    </row>
    <row r="588" spans="8:9" hidden="1" x14ac:dyDescent="0.3">
      <c r="H588" s="209"/>
      <c r="I588" s="210"/>
    </row>
    <row r="589" spans="8:9" hidden="1" x14ac:dyDescent="0.3">
      <c r="H589" s="209"/>
      <c r="I589" s="210"/>
    </row>
    <row r="590" spans="8:9" hidden="1" x14ac:dyDescent="0.3">
      <c r="H590" s="209"/>
      <c r="I590" s="210"/>
    </row>
    <row r="591" spans="8:9" hidden="1" x14ac:dyDescent="0.3">
      <c r="H591" s="209"/>
      <c r="I591" s="210"/>
    </row>
    <row r="592" spans="8:9" hidden="1" x14ac:dyDescent="0.3">
      <c r="H592" s="209"/>
      <c r="I592" s="210"/>
    </row>
    <row r="593" spans="8:9" hidden="1" x14ac:dyDescent="0.3">
      <c r="H593" s="209"/>
      <c r="I593" s="210"/>
    </row>
    <row r="594" spans="8:9" hidden="1" x14ac:dyDescent="0.3">
      <c r="H594" s="209"/>
      <c r="I594" s="210"/>
    </row>
    <row r="595" spans="8:9" hidden="1" x14ac:dyDescent="0.3">
      <c r="H595" s="209"/>
      <c r="I595" s="210"/>
    </row>
    <row r="596" spans="8:9" hidden="1" x14ac:dyDescent="0.3">
      <c r="H596" s="209"/>
      <c r="I596" s="210"/>
    </row>
    <row r="597" spans="8:9" hidden="1" x14ac:dyDescent="0.3">
      <c r="H597" s="209"/>
      <c r="I597" s="210"/>
    </row>
    <row r="598" spans="8:9" hidden="1" x14ac:dyDescent="0.3">
      <c r="H598" s="209"/>
      <c r="I598" s="210"/>
    </row>
    <row r="599" spans="8:9" hidden="1" x14ac:dyDescent="0.3">
      <c r="H599" s="209"/>
      <c r="I599" s="210"/>
    </row>
    <row r="600" spans="8:9" hidden="1" x14ac:dyDescent="0.3">
      <c r="H600" s="209"/>
      <c r="I600" s="210"/>
    </row>
    <row r="601" spans="8:9" hidden="1" x14ac:dyDescent="0.3">
      <c r="H601" s="209"/>
      <c r="I601" s="210"/>
    </row>
    <row r="602" spans="8:9" hidden="1" x14ac:dyDescent="0.3">
      <c r="H602" s="209"/>
      <c r="I602" s="210"/>
    </row>
    <row r="603" spans="8:9" hidden="1" x14ac:dyDescent="0.3">
      <c r="H603" s="209"/>
      <c r="I603" s="210"/>
    </row>
    <row r="604" spans="8:9" hidden="1" x14ac:dyDescent="0.3">
      <c r="H604" s="209"/>
      <c r="I604" s="210"/>
    </row>
    <row r="605" spans="8:9" hidden="1" x14ac:dyDescent="0.3">
      <c r="H605" s="209"/>
      <c r="I605" s="210"/>
    </row>
    <row r="606" spans="8:9" hidden="1" x14ac:dyDescent="0.3">
      <c r="H606" s="209"/>
      <c r="I606" s="210"/>
    </row>
    <row r="607" spans="8:9" hidden="1" x14ac:dyDescent="0.3">
      <c r="H607" s="209"/>
      <c r="I607" s="210"/>
    </row>
    <row r="608" spans="8:9" hidden="1" x14ac:dyDescent="0.3">
      <c r="H608" s="209"/>
      <c r="I608" s="210"/>
    </row>
    <row r="609" spans="8:9" hidden="1" x14ac:dyDescent="0.3">
      <c r="H609" s="209"/>
      <c r="I609" s="210"/>
    </row>
    <row r="610" spans="8:9" hidden="1" x14ac:dyDescent="0.3">
      <c r="H610" s="209"/>
      <c r="I610" s="210"/>
    </row>
    <row r="611" spans="8:9" hidden="1" x14ac:dyDescent="0.3">
      <c r="H611" s="209"/>
      <c r="I611" s="210"/>
    </row>
    <row r="612" spans="8:9" hidden="1" x14ac:dyDescent="0.3">
      <c r="H612" s="209"/>
      <c r="I612" s="210"/>
    </row>
    <row r="613" spans="8:9" hidden="1" x14ac:dyDescent="0.3">
      <c r="H613" s="209"/>
      <c r="I613" s="210"/>
    </row>
    <row r="614" spans="8:9" hidden="1" x14ac:dyDescent="0.3">
      <c r="H614" s="209"/>
      <c r="I614" s="210"/>
    </row>
    <row r="615" spans="8:9" hidden="1" x14ac:dyDescent="0.3">
      <c r="H615" s="209"/>
      <c r="I615" s="210"/>
    </row>
    <row r="616" spans="8:9" hidden="1" x14ac:dyDescent="0.3">
      <c r="H616" s="209"/>
      <c r="I616" s="210"/>
    </row>
    <row r="617" spans="8:9" hidden="1" x14ac:dyDescent="0.3">
      <c r="H617" s="209"/>
      <c r="I617" s="210"/>
    </row>
    <row r="618" spans="8:9" hidden="1" x14ac:dyDescent="0.3">
      <c r="H618" s="209"/>
      <c r="I618" s="210"/>
    </row>
    <row r="619" spans="8:9" hidden="1" x14ac:dyDescent="0.3">
      <c r="H619" s="209"/>
      <c r="I619" s="210"/>
    </row>
    <row r="620" spans="8:9" hidden="1" x14ac:dyDescent="0.3">
      <c r="H620" s="209"/>
      <c r="I620" s="210"/>
    </row>
    <row r="621" spans="8:9" hidden="1" x14ac:dyDescent="0.3">
      <c r="H621" s="209"/>
      <c r="I621" s="210"/>
    </row>
    <row r="622" spans="8:9" hidden="1" x14ac:dyDescent="0.3">
      <c r="H622" s="209"/>
      <c r="I622" s="210"/>
    </row>
    <row r="623" spans="8:9" hidden="1" x14ac:dyDescent="0.3">
      <c r="H623" s="209"/>
      <c r="I623" s="210"/>
    </row>
    <row r="624" spans="8:9" hidden="1" x14ac:dyDescent="0.3">
      <c r="H624" s="209"/>
      <c r="I624" s="210"/>
    </row>
    <row r="625" spans="8:9" hidden="1" x14ac:dyDescent="0.3">
      <c r="H625" s="209"/>
      <c r="I625" s="210"/>
    </row>
    <row r="626" spans="8:9" hidden="1" x14ac:dyDescent="0.3">
      <c r="H626" s="209"/>
      <c r="I626" s="210"/>
    </row>
    <row r="627" spans="8:9" hidden="1" x14ac:dyDescent="0.3">
      <c r="H627" s="209"/>
      <c r="I627" s="210"/>
    </row>
    <row r="628" spans="8:9" hidden="1" x14ac:dyDescent="0.3">
      <c r="H628" s="209"/>
      <c r="I628" s="210"/>
    </row>
    <row r="629" spans="8:9" hidden="1" x14ac:dyDescent="0.3">
      <c r="H629" s="209"/>
      <c r="I629" s="210"/>
    </row>
    <row r="630" spans="8:9" hidden="1" x14ac:dyDescent="0.3">
      <c r="H630" s="209"/>
      <c r="I630" s="210"/>
    </row>
    <row r="631" spans="8:9" hidden="1" x14ac:dyDescent="0.3">
      <c r="H631" s="209"/>
      <c r="I631" s="210"/>
    </row>
    <row r="632" spans="8:9" hidden="1" x14ac:dyDescent="0.3">
      <c r="H632" s="209"/>
      <c r="I632" s="210"/>
    </row>
    <row r="633" spans="8:9" hidden="1" x14ac:dyDescent="0.3">
      <c r="H633" s="209"/>
      <c r="I633" s="210"/>
    </row>
    <row r="634" spans="8:9" hidden="1" x14ac:dyDescent="0.3">
      <c r="H634" s="209"/>
      <c r="I634" s="210"/>
    </row>
    <row r="635" spans="8:9" hidden="1" x14ac:dyDescent="0.3">
      <c r="H635" s="209"/>
      <c r="I635" s="210"/>
    </row>
    <row r="636" spans="8:9" hidden="1" x14ac:dyDescent="0.3">
      <c r="H636" s="209"/>
      <c r="I636" s="210"/>
    </row>
    <row r="637" spans="8:9" hidden="1" x14ac:dyDescent="0.3">
      <c r="H637" s="209"/>
      <c r="I637" s="210"/>
    </row>
    <row r="638" spans="8:9" hidden="1" x14ac:dyDescent="0.3">
      <c r="H638" s="209"/>
      <c r="I638" s="210"/>
    </row>
    <row r="639" spans="8:9" hidden="1" x14ac:dyDescent="0.3">
      <c r="H639" s="209"/>
      <c r="I639" s="210"/>
    </row>
    <row r="640" spans="8:9" hidden="1" x14ac:dyDescent="0.3">
      <c r="H640" s="209"/>
      <c r="I640" s="210"/>
    </row>
    <row r="641" spans="8:9" hidden="1" x14ac:dyDescent="0.3">
      <c r="H641" s="209"/>
      <c r="I641" s="210"/>
    </row>
    <row r="642" spans="8:9" hidden="1" x14ac:dyDescent="0.3">
      <c r="H642" s="209"/>
      <c r="I642" s="210"/>
    </row>
    <row r="643" spans="8:9" hidden="1" x14ac:dyDescent="0.3">
      <c r="H643" s="209"/>
      <c r="I643" s="210"/>
    </row>
    <row r="644" spans="8:9" hidden="1" x14ac:dyDescent="0.3">
      <c r="H644" s="209"/>
      <c r="I644" s="210"/>
    </row>
    <row r="645" spans="8:9" hidden="1" x14ac:dyDescent="0.3">
      <c r="H645" s="209"/>
      <c r="I645" s="210"/>
    </row>
    <row r="646" spans="8:9" hidden="1" x14ac:dyDescent="0.3">
      <c r="H646" s="209"/>
      <c r="I646" s="210"/>
    </row>
    <row r="647" spans="8:9" hidden="1" x14ac:dyDescent="0.3">
      <c r="H647" s="209"/>
      <c r="I647" s="210"/>
    </row>
    <row r="648" spans="8:9" hidden="1" x14ac:dyDescent="0.3">
      <c r="H648" s="209"/>
      <c r="I648" s="210"/>
    </row>
    <row r="649" spans="8:9" hidden="1" x14ac:dyDescent="0.3">
      <c r="H649" s="209"/>
      <c r="I649" s="210"/>
    </row>
    <row r="650" spans="8:9" hidden="1" x14ac:dyDescent="0.3">
      <c r="H650" s="209"/>
      <c r="I650" s="210"/>
    </row>
    <row r="651" spans="8:9" hidden="1" x14ac:dyDescent="0.3">
      <c r="H651" s="209"/>
      <c r="I651" s="210"/>
    </row>
    <row r="652" spans="8:9" hidden="1" x14ac:dyDescent="0.3">
      <c r="H652" s="209"/>
      <c r="I652" s="210"/>
    </row>
    <row r="653" spans="8:9" hidden="1" x14ac:dyDescent="0.3">
      <c r="H653" s="209"/>
      <c r="I653" s="210"/>
    </row>
    <row r="654" spans="8:9" hidden="1" x14ac:dyDescent="0.3">
      <c r="H654" s="209"/>
      <c r="I654" s="210"/>
    </row>
    <row r="655" spans="8:9" hidden="1" x14ac:dyDescent="0.3">
      <c r="H655" s="209"/>
      <c r="I655" s="210"/>
    </row>
    <row r="656" spans="8:9" hidden="1" x14ac:dyDescent="0.3">
      <c r="H656" s="209"/>
      <c r="I656" s="210"/>
    </row>
    <row r="657" spans="8:9" hidden="1" x14ac:dyDescent="0.3">
      <c r="H657" s="209"/>
      <c r="I657" s="210"/>
    </row>
    <row r="658" spans="8:9" hidden="1" x14ac:dyDescent="0.3">
      <c r="H658" s="209"/>
      <c r="I658" s="210"/>
    </row>
    <row r="659" spans="8:9" hidden="1" x14ac:dyDescent="0.3">
      <c r="H659" s="209"/>
      <c r="I659" s="210"/>
    </row>
    <row r="660" spans="8:9" hidden="1" x14ac:dyDescent="0.3">
      <c r="H660" s="209"/>
      <c r="I660" s="210"/>
    </row>
    <row r="661" spans="8:9" hidden="1" x14ac:dyDescent="0.3">
      <c r="H661" s="209"/>
      <c r="I661" s="210"/>
    </row>
    <row r="662" spans="8:9" hidden="1" x14ac:dyDescent="0.3">
      <c r="H662" s="209"/>
      <c r="I662" s="210"/>
    </row>
    <row r="663" spans="8:9" hidden="1" x14ac:dyDescent="0.3">
      <c r="H663" s="209"/>
      <c r="I663" s="210"/>
    </row>
    <row r="664" spans="8:9" hidden="1" x14ac:dyDescent="0.3">
      <c r="H664" s="209"/>
      <c r="I664" s="210"/>
    </row>
    <row r="665" spans="8:9" hidden="1" x14ac:dyDescent="0.3">
      <c r="H665" s="209"/>
      <c r="I665" s="210"/>
    </row>
    <row r="666" spans="8:9" hidden="1" x14ac:dyDescent="0.3">
      <c r="H666" s="209"/>
      <c r="I666" s="210"/>
    </row>
    <row r="667" spans="8:9" hidden="1" x14ac:dyDescent="0.3">
      <c r="H667" s="209"/>
      <c r="I667" s="210"/>
    </row>
    <row r="668" spans="8:9" hidden="1" x14ac:dyDescent="0.3">
      <c r="H668" s="209"/>
      <c r="I668" s="210"/>
    </row>
    <row r="669" spans="8:9" hidden="1" x14ac:dyDescent="0.3">
      <c r="H669" s="209"/>
      <c r="I669" s="210"/>
    </row>
    <row r="670" spans="8:9" hidden="1" x14ac:dyDescent="0.3">
      <c r="H670" s="209"/>
      <c r="I670" s="210"/>
    </row>
    <row r="671" spans="8:9" hidden="1" x14ac:dyDescent="0.3">
      <c r="H671" s="209"/>
      <c r="I671" s="210"/>
    </row>
    <row r="672" spans="8:9" hidden="1" x14ac:dyDescent="0.3">
      <c r="H672" s="209"/>
      <c r="I672" s="210"/>
    </row>
    <row r="673" spans="8:9" hidden="1" x14ac:dyDescent="0.3">
      <c r="H673" s="209"/>
      <c r="I673" s="210"/>
    </row>
    <row r="674" spans="8:9" hidden="1" x14ac:dyDescent="0.3">
      <c r="H674" s="209"/>
      <c r="I674" s="210"/>
    </row>
    <row r="675" spans="8:9" hidden="1" x14ac:dyDescent="0.3">
      <c r="H675" s="209"/>
      <c r="I675" s="210"/>
    </row>
    <row r="676" spans="8:9" hidden="1" x14ac:dyDescent="0.3">
      <c r="H676" s="209"/>
      <c r="I676" s="210"/>
    </row>
    <row r="677" spans="8:9" hidden="1" x14ac:dyDescent="0.3">
      <c r="H677" s="209"/>
      <c r="I677" s="210"/>
    </row>
    <row r="678" spans="8:9" hidden="1" x14ac:dyDescent="0.3">
      <c r="H678" s="209"/>
      <c r="I678" s="210"/>
    </row>
    <row r="679" spans="8:9" hidden="1" x14ac:dyDescent="0.3">
      <c r="H679" s="209"/>
      <c r="I679" s="210"/>
    </row>
    <row r="680" spans="8:9" hidden="1" x14ac:dyDescent="0.3">
      <c r="H680" s="209"/>
      <c r="I680" s="210"/>
    </row>
    <row r="681" spans="8:9" hidden="1" x14ac:dyDescent="0.3">
      <c r="H681" s="209"/>
      <c r="I681" s="210"/>
    </row>
    <row r="682" spans="8:9" hidden="1" x14ac:dyDescent="0.3">
      <c r="H682" s="209"/>
      <c r="I682" s="210"/>
    </row>
    <row r="683" spans="8:9" hidden="1" x14ac:dyDescent="0.3">
      <c r="H683" s="209"/>
      <c r="I683" s="210"/>
    </row>
    <row r="684" spans="8:9" hidden="1" x14ac:dyDescent="0.3">
      <c r="H684" s="209"/>
      <c r="I684" s="210"/>
    </row>
    <row r="685" spans="8:9" hidden="1" x14ac:dyDescent="0.3">
      <c r="H685" s="209"/>
      <c r="I685" s="210"/>
    </row>
    <row r="686" spans="8:9" hidden="1" x14ac:dyDescent="0.3">
      <c r="H686" s="209"/>
      <c r="I686" s="210"/>
    </row>
    <row r="687" spans="8:9" hidden="1" x14ac:dyDescent="0.3">
      <c r="H687" s="209"/>
      <c r="I687" s="210"/>
    </row>
    <row r="688" spans="8:9" hidden="1" x14ac:dyDescent="0.3">
      <c r="H688" s="209"/>
      <c r="I688" s="210"/>
    </row>
    <row r="689" spans="8:9" hidden="1" x14ac:dyDescent="0.3">
      <c r="H689" s="209"/>
      <c r="I689" s="210"/>
    </row>
    <row r="690" spans="8:9" hidden="1" x14ac:dyDescent="0.3">
      <c r="H690" s="209"/>
      <c r="I690" s="210"/>
    </row>
    <row r="691" spans="8:9" hidden="1" x14ac:dyDescent="0.3">
      <c r="H691" s="209"/>
      <c r="I691" s="210"/>
    </row>
    <row r="692" spans="8:9" hidden="1" x14ac:dyDescent="0.3">
      <c r="H692" s="209"/>
      <c r="I692" s="210"/>
    </row>
    <row r="693" spans="8:9" hidden="1" x14ac:dyDescent="0.3">
      <c r="H693" s="209"/>
      <c r="I693" s="210"/>
    </row>
    <row r="694" spans="8:9" hidden="1" x14ac:dyDescent="0.3">
      <c r="H694" s="209"/>
      <c r="I694" s="210"/>
    </row>
    <row r="695" spans="8:9" hidden="1" x14ac:dyDescent="0.3">
      <c r="H695" s="209"/>
      <c r="I695" s="210"/>
    </row>
    <row r="696" spans="8:9" hidden="1" x14ac:dyDescent="0.3">
      <c r="H696" s="209"/>
      <c r="I696" s="210"/>
    </row>
    <row r="697" spans="8:9" hidden="1" x14ac:dyDescent="0.3">
      <c r="H697" s="209"/>
      <c r="I697" s="210"/>
    </row>
    <row r="698" spans="8:9" hidden="1" x14ac:dyDescent="0.3">
      <c r="H698" s="209"/>
      <c r="I698" s="210"/>
    </row>
    <row r="699" spans="8:9" hidden="1" x14ac:dyDescent="0.3">
      <c r="H699" s="209"/>
      <c r="I699" s="210"/>
    </row>
    <row r="700" spans="8:9" hidden="1" x14ac:dyDescent="0.3">
      <c r="H700" s="209"/>
      <c r="I700" s="210"/>
    </row>
    <row r="701" spans="8:9" hidden="1" x14ac:dyDescent="0.3">
      <c r="H701" s="209"/>
      <c r="I701" s="210"/>
    </row>
    <row r="702" spans="8:9" hidden="1" x14ac:dyDescent="0.3">
      <c r="H702" s="209"/>
      <c r="I702" s="210"/>
    </row>
    <row r="703" spans="8:9" hidden="1" x14ac:dyDescent="0.3">
      <c r="H703" s="209"/>
      <c r="I703" s="210"/>
    </row>
    <row r="704" spans="8:9" hidden="1" x14ac:dyDescent="0.3">
      <c r="H704" s="209"/>
      <c r="I704" s="210"/>
    </row>
    <row r="705" spans="8:9" hidden="1" x14ac:dyDescent="0.3">
      <c r="H705" s="209"/>
      <c r="I705" s="210"/>
    </row>
    <row r="706" spans="8:9" hidden="1" x14ac:dyDescent="0.3">
      <c r="H706" s="209"/>
      <c r="I706" s="210"/>
    </row>
    <row r="707" spans="8:9" hidden="1" x14ac:dyDescent="0.3">
      <c r="H707" s="209"/>
      <c r="I707" s="210"/>
    </row>
    <row r="708" spans="8:9" hidden="1" x14ac:dyDescent="0.3">
      <c r="H708" s="209"/>
      <c r="I708" s="210"/>
    </row>
    <row r="709" spans="8:9" hidden="1" x14ac:dyDescent="0.3">
      <c r="H709" s="209"/>
      <c r="I709" s="210"/>
    </row>
    <row r="710" spans="8:9" hidden="1" x14ac:dyDescent="0.3">
      <c r="H710" s="209"/>
      <c r="I710" s="210"/>
    </row>
    <row r="711" spans="8:9" hidden="1" x14ac:dyDescent="0.3">
      <c r="H711" s="209"/>
      <c r="I711" s="210"/>
    </row>
    <row r="712" spans="8:9" hidden="1" x14ac:dyDescent="0.3">
      <c r="H712" s="209"/>
      <c r="I712" s="210"/>
    </row>
    <row r="713" spans="8:9" hidden="1" x14ac:dyDescent="0.3">
      <c r="H713" s="209"/>
      <c r="I713" s="210"/>
    </row>
    <row r="714" spans="8:9" hidden="1" x14ac:dyDescent="0.3">
      <c r="H714" s="209"/>
      <c r="I714" s="210"/>
    </row>
    <row r="715" spans="8:9" hidden="1" x14ac:dyDescent="0.3">
      <c r="H715" s="209"/>
      <c r="I715" s="210"/>
    </row>
    <row r="716" spans="8:9" hidden="1" x14ac:dyDescent="0.3">
      <c r="H716" s="209"/>
      <c r="I716" s="210"/>
    </row>
    <row r="717" spans="8:9" hidden="1" x14ac:dyDescent="0.3">
      <c r="H717" s="209"/>
      <c r="I717" s="210"/>
    </row>
    <row r="718" spans="8:9" hidden="1" x14ac:dyDescent="0.3">
      <c r="H718" s="209"/>
      <c r="I718" s="210"/>
    </row>
    <row r="719" spans="8:9" hidden="1" x14ac:dyDescent="0.3">
      <c r="H719" s="209"/>
      <c r="I719" s="210"/>
    </row>
    <row r="720" spans="8:9" hidden="1" x14ac:dyDescent="0.3">
      <c r="H720" s="209"/>
      <c r="I720" s="210"/>
    </row>
    <row r="721" spans="8:9" hidden="1" x14ac:dyDescent="0.3">
      <c r="H721" s="209"/>
      <c r="I721" s="210"/>
    </row>
    <row r="722" spans="8:9" hidden="1" x14ac:dyDescent="0.3">
      <c r="H722" s="209"/>
      <c r="I722" s="210"/>
    </row>
    <row r="723" spans="8:9" hidden="1" x14ac:dyDescent="0.3">
      <c r="H723" s="209"/>
      <c r="I723" s="210"/>
    </row>
    <row r="724" spans="8:9" hidden="1" x14ac:dyDescent="0.3">
      <c r="H724" s="209"/>
      <c r="I724" s="210"/>
    </row>
    <row r="725" spans="8:9" hidden="1" x14ac:dyDescent="0.3">
      <c r="H725" s="209"/>
      <c r="I725" s="210"/>
    </row>
    <row r="726" spans="8:9" hidden="1" x14ac:dyDescent="0.3">
      <c r="H726" s="209"/>
      <c r="I726" s="210"/>
    </row>
    <row r="727" spans="8:9" hidden="1" x14ac:dyDescent="0.3">
      <c r="H727" s="209"/>
      <c r="I727" s="210"/>
    </row>
    <row r="728" spans="8:9" hidden="1" x14ac:dyDescent="0.3">
      <c r="H728" s="209"/>
      <c r="I728" s="210"/>
    </row>
    <row r="729" spans="8:9" hidden="1" x14ac:dyDescent="0.3">
      <c r="H729" s="209"/>
      <c r="I729" s="210"/>
    </row>
    <row r="730" spans="8:9" hidden="1" x14ac:dyDescent="0.3">
      <c r="H730" s="209"/>
      <c r="I730" s="210"/>
    </row>
    <row r="731" spans="8:9" hidden="1" x14ac:dyDescent="0.3">
      <c r="H731" s="209"/>
      <c r="I731" s="210"/>
    </row>
    <row r="732" spans="8:9" hidden="1" x14ac:dyDescent="0.3">
      <c r="H732" s="209"/>
      <c r="I732" s="210"/>
    </row>
    <row r="733" spans="8:9" hidden="1" x14ac:dyDescent="0.3">
      <c r="H733" s="209"/>
      <c r="I733" s="210"/>
    </row>
    <row r="734" spans="8:9" hidden="1" x14ac:dyDescent="0.3">
      <c r="H734" s="209"/>
      <c r="I734" s="210"/>
    </row>
    <row r="735" spans="8:9" hidden="1" x14ac:dyDescent="0.3">
      <c r="H735" s="209"/>
      <c r="I735" s="210"/>
    </row>
    <row r="736" spans="8:9" hidden="1" x14ac:dyDescent="0.3">
      <c r="H736" s="209"/>
      <c r="I736" s="210"/>
    </row>
    <row r="737" spans="8:9" hidden="1" x14ac:dyDescent="0.3">
      <c r="H737" s="209"/>
      <c r="I737" s="210"/>
    </row>
    <row r="738" spans="8:9" hidden="1" x14ac:dyDescent="0.3">
      <c r="H738" s="209"/>
      <c r="I738" s="210"/>
    </row>
    <row r="739" spans="8:9" hidden="1" x14ac:dyDescent="0.3">
      <c r="H739" s="209"/>
      <c r="I739" s="210"/>
    </row>
    <row r="740" spans="8:9" hidden="1" x14ac:dyDescent="0.3">
      <c r="H740" s="209"/>
      <c r="I740" s="210"/>
    </row>
    <row r="741" spans="8:9" hidden="1" x14ac:dyDescent="0.3">
      <c r="H741" s="209"/>
      <c r="I741" s="210"/>
    </row>
    <row r="742" spans="8:9" hidden="1" x14ac:dyDescent="0.3">
      <c r="H742" s="209"/>
      <c r="I742" s="210"/>
    </row>
    <row r="743" spans="8:9" hidden="1" x14ac:dyDescent="0.3">
      <c r="H743" s="209"/>
      <c r="I743" s="210"/>
    </row>
    <row r="744" spans="8:9" hidden="1" x14ac:dyDescent="0.3">
      <c r="H744" s="209"/>
      <c r="I744" s="210"/>
    </row>
    <row r="745" spans="8:9" hidden="1" x14ac:dyDescent="0.3">
      <c r="H745" s="209"/>
      <c r="I745" s="210"/>
    </row>
    <row r="746" spans="8:9" hidden="1" x14ac:dyDescent="0.3">
      <c r="H746" s="209"/>
      <c r="I746" s="210"/>
    </row>
    <row r="747" spans="8:9" hidden="1" x14ac:dyDescent="0.3">
      <c r="H747" s="209"/>
      <c r="I747" s="210"/>
    </row>
    <row r="748" spans="8:9" hidden="1" x14ac:dyDescent="0.3">
      <c r="H748" s="209"/>
      <c r="I748" s="210"/>
    </row>
    <row r="749" spans="8:9" hidden="1" x14ac:dyDescent="0.3">
      <c r="H749" s="209"/>
      <c r="I749" s="210"/>
    </row>
    <row r="750" spans="8:9" hidden="1" x14ac:dyDescent="0.3">
      <c r="H750" s="209"/>
      <c r="I750" s="210"/>
    </row>
    <row r="751" spans="8:9" hidden="1" x14ac:dyDescent="0.3">
      <c r="H751" s="209"/>
      <c r="I751" s="210"/>
    </row>
    <row r="752" spans="8:9" hidden="1" x14ac:dyDescent="0.3">
      <c r="H752" s="209"/>
      <c r="I752" s="210"/>
    </row>
    <row r="753" spans="8:9" hidden="1" x14ac:dyDescent="0.3">
      <c r="H753" s="209"/>
      <c r="I753" s="210"/>
    </row>
    <row r="754" spans="8:9" hidden="1" x14ac:dyDescent="0.3">
      <c r="H754" s="209"/>
      <c r="I754" s="210"/>
    </row>
    <row r="755" spans="8:9" hidden="1" x14ac:dyDescent="0.3">
      <c r="H755" s="209"/>
      <c r="I755" s="210"/>
    </row>
    <row r="756" spans="8:9" hidden="1" x14ac:dyDescent="0.3">
      <c r="H756" s="209"/>
      <c r="I756" s="210"/>
    </row>
    <row r="757" spans="8:9" hidden="1" x14ac:dyDescent="0.3">
      <c r="H757" s="209"/>
      <c r="I757" s="210"/>
    </row>
    <row r="758" spans="8:9" hidden="1" x14ac:dyDescent="0.3">
      <c r="H758" s="209"/>
      <c r="I758" s="210"/>
    </row>
    <row r="759" spans="8:9" hidden="1" x14ac:dyDescent="0.3">
      <c r="H759" s="209"/>
      <c r="I759" s="210"/>
    </row>
    <row r="760" spans="8:9" hidden="1" x14ac:dyDescent="0.3">
      <c r="H760" s="209"/>
      <c r="I760" s="210"/>
    </row>
    <row r="761" spans="8:9" hidden="1" x14ac:dyDescent="0.3">
      <c r="H761" s="209"/>
      <c r="I761" s="210"/>
    </row>
    <row r="762" spans="8:9" hidden="1" x14ac:dyDescent="0.3">
      <c r="H762" s="209"/>
      <c r="I762" s="210"/>
    </row>
    <row r="763" spans="8:9" hidden="1" x14ac:dyDescent="0.3">
      <c r="H763" s="209"/>
      <c r="I763" s="210"/>
    </row>
    <row r="764" spans="8:9" hidden="1" x14ac:dyDescent="0.3">
      <c r="H764" s="209"/>
      <c r="I764" s="210"/>
    </row>
    <row r="765" spans="8:9" hidden="1" x14ac:dyDescent="0.3">
      <c r="H765" s="209"/>
      <c r="I765" s="210"/>
    </row>
    <row r="766" spans="8:9" hidden="1" x14ac:dyDescent="0.3">
      <c r="H766" s="209"/>
      <c r="I766" s="210"/>
    </row>
    <row r="767" spans="8:9" hidden="1" x14ac:dyDescent="0.3">
      <c r="H767" s="209"/>
      <c r="I767" s="210"/>
    </row>
    <row r="768" spans="8:9" hidden="1" x14ac:dyDescent="0.3">
      <c r="H768" s="209"/>
      <c r="I768" s="210"/>
    </row>
    <row r="769" spans="8:9" hidden="1" x14ac:dyDescent="0.3">
      <c r="H769" s="209"/>
      <c r="I769" s="210"/>
    </row>
    <row r="770" spans="8:9" hidden="1" x14ac:dyDescent="0.3">
      <c r="H770" s="209"/>
      <c r="I770" s="210"/>
    </row>
    <row r="771" spans="8:9" hidden="1" x14ac:dyDescent="0.3">
      <c r="H771" s="209"/>
      <c r="I771" s="210"/>
    </row>
    <row r="772" spans="8:9" hidden="1" x14ac:dyDescent="0.3">
      <c r="H772" s="209"/>
      <c r="I772" s="210"/>
    </row>
    <row r="773" spans="8:9" hidden="1" x14ac:dyDescent="0.3">
      <c r="H773" s="209"/>
      <c r="I773" s="210"/>
    </row>
    <row r="774" spans="8:9" hidden="1" x14ac:dyDescent="0.3">
      <c r="H774" s="209"/>
      <c r="I774" s="210"/>
    </row>
    <row r="775" spans="8:9" hidden="1" x14ac:dyDescent="0.3">
      <c r="H775" s="209"/>
      <c r="I775" s="210"/>
    </row>
    <row r="776" spans="8:9" hidden="1" x14ac:dyDescent="0.3">
      <c r="H776" s="209"/>
      <c r="I776" s="210"/>
    </row>
    <row r="777" spans="8:9" hidden="1" x14ac:dyDescent="0.3">
      <c r="H777" s="209"/>
      <c r="I777" s="210"/>
    </row>
    <row r="778" spans="8:9" hidden="1" x14ac:dyDescent="0.3">
      <c r="H778" s="209"/>
      <c r="I778" s="210"/>
    </row>
    <row r="779" spans="8:9" hidden="1" x14ac:dyDescent="0.3">
      <c r="H779" s="209"/>
      <c r="I779" s="210"/>
    </row>
    <row r="780" spans="8:9" hidden="1" x14ac:dyDescent="0.3">
      <c r="H780" s="209"/>
      <c r="I780" s="210"/>
    </row>
    <row r="781" spans="8:9" hidden="1" x14ac:dyDescent="0.3">
      <c r="H781" s="209"/>
      <c r="I781" s="210"/>
    </row>
    <row r="782" spans="8:9" hidden="1" x14ac:dyDescent="0.3">
      <c r="H782" s="209"/>
      <c r="I782" s="210"/>
    </row>
    <row r="783" spans="8:9" hidden="1" x14ac:dyDescent="0.3">
      <c r="H783" s="209"/>
      <c r="I783" s="210"/>
    </row>
    <row r="784" spans="8:9" hidden="1" x14ac:dyDescent="0.3">
      <c r="H784" s="209"/>
      <c r="I784" s="210"/>
    </row>
    <row r="785" spans="8:9" hidden="1" x14ac:dyDescent="0.3">
      <c r="H785" s="209"/>
      <c r="I785" s="210"/>
    </row>
    <row r="786" spans="8:9" hidden="1" x14ac:dyDescent="0.3">
      <c r="H786" s="209"/>
      <c r="I786" s="210"/>
    </row>
    <row r="787" spans="8:9" hidden="1" x14ac:dyDescent="0.3">
      <c r="H787" s="209"/>
      <c r="I787" s="210"/>
    </row>
    <row r="788" spans="8:9" hidden="1" x14ac:dyDescent="0.3">
      <c r="H788" s="209"/>
      <c r="I788" s="210"/>
    </row>
    <row r="789" spans="8:9" hidden="1" x14ac:dyDescent="0.3">
      <c r="H789" s="209"/>
      <c r="I789" s="210"/>
    </row>
    <row r="790" spans="8:9" hidden="1" x14ac:dyDescent="0.3">
      <c r="H790" s="209"/>
      <c r="I790" s="210"/>
    </row>
    <row r="791" spans="8:9" hidden="1" x14ac:dyDescent="0.3">
      <c r="H791" s="209"/>
      <c r="I791" s="210"/>
    </row>
    <row r="792" spans="8:9" hidden="1" x14ac:dyDescent="0.3">
      <c r="H792" s="209"/>
      <c r="I792" s="210"/>
    </row>
    <row r="793" spans="8:9" hidden="1" x14ac:dyDescent="0.3">
      <c r="H793" s="209"/>
      <c r="I793" s="210"/>
    </row>
    <row r="794" spans="8:9" hidden="1" x14ac:dyDescent="0.3">
      <c r="H794" s="209"/>
      <c r="I794" s="210"/>
    </row>
    <row r="795" spans="8:9" hidden="1" x14ac:dyDescent="0.3">
      <c r="H795" s="209"/>
      <c r="I795" s="210"/>
    </row>
    <row r="796" spans="8:9" hidden="1" x14ac:dyDescent="0.3">
      <c r="H796" s="209"/>
      <c r="I796" s="210"/>
    </row>
    <row r="797" spans="8:9" hidden="1" x14ac:dyDescent="0.3">
      <c r="H797" s="209"/>
      <c r="I797" s="210"/>
    </row>
    <row r="798" spans="8:9" hidden="1" x14ac:dyDescent="0.3">
      <c r="H798" s="209"/>
      <c r="I798" s="210"/>
    </row>
    <row r="799" spans="8:9" hidden="1" x14ac:dyDescent="0.3">
      <c r="H799" s="209"/>
      <c r="I799" s="210"/>
    </row>
    <row r="800" spans="8:9" hidden="1" x14ac:dyDescent="0.3">
      <c r="H800" s="209"/>
      <c r="I800" s="210"/>
    </row>
    <row r="801" spans="8:9" hidden="1" x14ac:dyDescent="0.3">
      <c r="H801" s="209"/>
      <c r="I801" s="210"/>
    </row>
    <row r="802" spans="8:9" hidden="1" x14ac:dyDescent="0.3">
      <c r="H802" s="209"/>
      <c r="I802" s="210"/>
    </row>
    <row r="803" spans="8:9" hidden="1" x14ac:dyDescent="0.3">
      <c r="H803" s="209"/>
      <c r="I803" s="210"/>
    </row>
    <row r="804" spans="8:9" hidden="1" x14ac:dyDescent="0.3">
      <c r="H804" s="209"/>
      <c r="I804" s="210"/>
    </row>
    <row r="805" spans="8:9" hidden="1" x14ac:dyDescent="0.3">
      <c r="H805" s="209"/>
      <c r="I805" s="210"/>
    </row>
    <row r="806" spans="8:9" hidden="1" x14ac:dyDescent="0.3">
      <c r="H806" s="209"/>
      <c r="I806" s="210"/>
    </row>
    <row r="807" spans="8:9" hidden="1" x14ac:dyDescent="0.3">
      <c r="H807" s="209"/>
      <c r="I807" s="210"/>
    </row>
    <row r="808" spans="8:9" hidden="1" x14ac:dyDescent="0.3">
      <c r="H808" s="209"/>
      <c r="I808" s="210"/>
    </row>
    <row r="809" spans="8:9" hidden="1" x14ac:dyDescent="0.3">
      <c r="H809" s="209"/>
      <c r="I809" s="210"/>
    </row>
    <row r="810" spans="8:9" hidden="1" x14ac:dyDescent="0.3">
      <c r="H810" s="209"/>
      <c r="I810" s="210"/>
    </row>
    <row r="811" spans="8:9" hidden="1" x14ac:dyDescent="0.3">
      <c r="H811" s="209"/>
      <c r="I811" s="210"/>
    </row>
    <row r="812" spans="8:9" hidden="1" x14ac:dyDescent="0.3">
      <c r="H812" s="209"/>
      <c r="I812" s="210"/>
    </row>
    <row r="813" spans="8:9" hidden="1" x14ac:dyDescent="0.3">
      <c r="H813" s="209"/>
      <c r="I813" s="210"/>
    </row>
    <row r="814" spans="8:9" hidden="1" x14ac:dyDescent="0.3">
      <c r="H814" s="209"/>
      <c r="I814" s="210"/>
    </row>
    <row r="815" spans="8:9" hidden="1" x14ac:dyDescent="0.3">
      <c r="H815" s="209"/>
      <c r="I815" s="210"/>
    </row>
    <row r="816" spans="8:9" hidden="1" x14ac:dyDescent="0.3">
      <c r="H816" s="209"/>
      <c r="I816" s="210"/>
    </row>
    <row r="817" spans="8:9" hidden="1" x14ac:dyDescent="0.3">
      <c r="H817" s="209"/>
      <c r="I817" s="210"/>
    </row>
    <row r="818" spans="8:9" hidden="1" x14ac:dyDescent="0.3">
      <c r="H818" s="209"/>
      <c r="I818" s="210"/>
    </row>
    <row r="819" spans="8:9" hidden="1" x14ac:dyDescent="0.3">
      <c r="H819" s="209"/>
      <c r="I819" s="210"/>
    </row>
    <row r="820" spans="8:9" hidden="1" x14ac:dyDescent="0.3">
      <c r="H820" s="209"/>
      <c r="I820" s="210"/>
    </row>
    <row r="821" spans="8:9" hidden="1" x14ac:dyDescent="0.3">
      <c r="H821" s="209"/>
      <c r="I821" s="210"/>
    </row>
    <row r="822" spans="8:9" hidden="1" x14ac:dyDescent="0.3">
      <c r="H822" s="209"/>
      <c r="I822" s="210"/>
    </row>
    <row r="823" spans="8:9" hidden="1" x14ac:dyDescent="0.3">
      <c r="H823" s="209"/>
      <c r="I823" s="210"/>
    </row>
    <row r="824" spans="8:9" hidden="1" x14ac:dyDescent="0.3">
      <c r="H824" s="209"/>
      <c r="I824" s="210"/>
    </row>
    <row r="825" spans="8:9" hidden="1" x14ac:dyDescent="0.3">
      <c r="H825" s="209"/>
      <c r="I825" s="210"/>
    </row>
    <row r="826" spans="8:9" hidden="1" x14ac:dyDescent="0.3">
      <c r="H826" s="209"/>
      <c r="I826" s="210"/>
    </row>
    <row r="827" spans="8:9" hidden="1" x14ac:dyDescent="0.3">
      <c r="H827" s="209"/>
      <c r="I827" s="210"/>
    </row>
    <row r="828" spans="8:9" hidden="1" x14ac:dyDescent="0.3">
      <c r="H828" s="209"/>
      <c r="I828" s="210"/>
    </row>
    <row r="829" spans="8:9" hidden="1" x14ac:dyDescent="0.3">
      <c r="H829" s="209"/>
      <c r="I829" s="210"/>
    </row>
    <row r="830" spans="8:9" hidden="1" x14ac:dyDescent="0.3">
      <c r="H830" s="209"/>
      <c r="I830" s="210"/>
    </row>
    <row r="831" spans="8:9" hidden="1" x14ac:dyDescent="0.3">
      <c r="H831" s="209"/>
      <c r="I831" s="210"/>
    </row>
    <row r="832" spans="8:9" hidden="1" x14ac:dyDescent="0.3">
      <c r="H832" s="209"/>
      <c r="I832" s="210"/>
    </row>
    <row r="833" spans="8:9" hidden="1" x14ac:dyDescent="0.3">
      <c r="H833" s="209"/>
      <c r="I833" s="210"/>
    </row>
    <row r="834" spans="8:9" hidden="1" x14ac:dyDescent="0.3">
      <c r="H834" s="209"/>
      <c r="I834" s="210"/>
    </row>
    <row r="835" spans="8:9" hidden="1" x14ac:dyDescent="0.3">
      <c r="H835" s="209"/>
      <c r="I835" s="210"/>
    </row>
    <row r="836" spans="8:9" hidden="1" x14ac:dyDescent="0.3">
      <c r="H836" s="209"/>
      <c r="I836" s="210"/>
    </row>
    <row r="837" spans="8:9" hidden="1" x14ac:dyDescent="0.3">
      <c r="H837" s="209"/>
      <c r="I837" s="210"/>
    </row>
    <row r="838" spans="8:9" hidden="1" x14ac:dyDescent="0.3">
      <c r="H838" s="209"/>
      <c r="I838" s="210"/>
    </row>
    <row r="839" spans="8:9" hidden="1" x14ac:dyDescent="0.3">
      <c r="H839" s="209"/>
      <c r="I839" s="210"/>
    </row>
    <row r="840" spans="8:9" hidden="1" x14ac:dyDescent="0.3">
      <c r="H840" s="209"/>
      <c r="I840" s="210"/>
    </row>
    <row r="841" spans="8:9" hidden="1" x14ac:dyDescent="0.3">
      <c r="H841" s="209"/>
      <c r="I841" s="210"/>
    </row>
    <row r="842" spans="8:9" hidden="1" x14ac:dyDescent="0.3">
      <c r="H842" s="209"/>
      <c r="I842" s="210"/>
    </row>
    <row r="843" spans="8:9" hidden="1" x14ac:dyDescent="0.3">
      <c r="H843" s="209"/>
      <c r="I843" s="210"/>
    </row>
    <row r="844" spans="8:9" hidden="1" x14ac:dyDescent="0.3">
      <c r="H844" s="209"/>
      <c r="I844" s="210"/>
    </row>
    <row r="845" spans="8:9" hidden="1" x14ac:dyDescent="0.3">
      <c r="H845" s="209"/>
      <c r="I845" s="210"/>
    </row>
    <row r="846" spans="8:9" hidden="1" x14ac:dyDescent="0.3">
      <c r="H846" s="209"/>
      <c r="I846" s="210"/>
    </row>
    <row r="847" spans="8:9" hidden="1" x14ac:dyDescent="0.3">
      <c r="H847" s="209"/>
      <c r="I847" s="210"/>
    </row>
    <row r="848" spans="8:9" hidden="1" x14ac:dyDescent="0.3">
      <c r="H848" s="209"/>
      <c r="I848" s="210"/>
    </row>
    <row r="849" spans="8:9" hidden="1" x14ac:dyDescent="0.3">
      <c r="H849" s="209"/>
      <c r="I849" s="210"/>
    </row>
    <row r="850" spans="8:9" hidden="1" x14ac:dyDescent="0.3">
      <c r="H850" s="209"/>
      <c r="I850" s="210"/>
    </row>
    <row r="851" spans="8:9" hidden="1" x14ac:dyDescent="0.3">
      <c r="H851" s="209"/>
      <c r="I851" s="210"/>
    </row>
    <row r="852" spans="8:9" hidden="1" x14ac:dyDescent="0.3">
      <c r="H852" s="209"/>
      <c r="I852" s="210"/>
    </row>
    <row r="853" spans="8:9" hidden="1" x14ac:dyDescent="0.3">
      <c r="H853" s="209"/>
      <c r="I853" s="210"/>
    </row>
    <row r="854" spans="8:9" hidden="1" x14ac:dyDescent="0.3">
      <c r="H854" s="209"/>
      <c r="I854" s="210"/>
    </row>
    <row r="855" spans="8:9" hidden="1" x14ac:dyDescent="0.3">
      <c r="H855" s="209"/>
      <c r="I855" s="210"/>
    </row>
    <row r="856" spans="8:9" hidden="1" x14ac:dyDescent="0.3">
      <c r="H856" s="209"/>
      <c r="I856" s="210"/>
    </row>
    <row r="857" spans="8:9" hidden="1" x14ac:dyDescent="0.3">
      <c r="H857" s="209"/>
      <c r="I857" s="210"/>
    </row>
    <row r="858" spans="8:9" hidden="1" x14ac:dyDescent="0.3">
      <c r="H858" s="209"/>
      <c r="I858" s="210"/>
    </row>
    <row r="859" spans="8:9" hidden="1" x14ac:dyDescent="0.3">
      <c r="H859" s="209"/>
      <c r="I859" s="210"/>
    </row>
    <row r="860" spans="8:9" hidden="1" x14ac:dyDescent="0.3">
      <c r="H860" s="209"/>
      <c r="I860" s="210"/>
    </row>
    <row r="861" spans="8:9" hidden="1" x14ac:dyDescent="0.3">
      <c r="H861" s="209"/>
      <c r="I861" s="210"/>
    </row>
    <row r="862" spans="8:9" hidden="1" x14ac:dyDescent="0.3">
      <c r="H862" s="209"/>
      <c r="I862" s="210"/>
    </row>
    <row r="863" spans="8:9" hidden="1" x14ac:dyDescent="0.3">
      <c r="H863" s="209"/>
      <c r="I863" s="210"/>
    </row>
    <row r="864" spans="8:9" hidden="1" x14ac:dyDescent="0.3">
      <c r="H864" s="209"/>
      <c r="I864" s="210"/>
    </row>
    <row r="865" spans="8:9" hidden="1" x14ac:dyDescent="0.3">
      <c r="H865" s="209"/>
      <c r="I865" s="210"/>
    </row>
    <row r="866" spans="8:9" hidden="1" x14ac:dyDescent="0.3">
      <c r="H866" s="209"/>
      <c r="I866" s="210"/>
    </row>
    <row r="867" spans="8:9" hidden="1" x14ac:dyDescent="0.3">
      <c r="H867" s="209"/>
      <c r="I867" s="210"/>
    </row>
    <row r="868" spans="8:9" hidden="1" x14ac:dyDescent="0.3">
      <c r="H868" s="209"/>
      <c r="I868" s="210"/>
    </row>
    <row r="869" spans="8:9" hidden="1" x14ac:dyDescent="0.3">
      <c r="H869" s="209"/>
      <c r="I869" s="210"/>
    </row>
    <row r="870" spans="8:9" hidden="1" x14ac:dyDescent="0.3">
      <c r="H870" s="209"/>
      <c r="I870" s="210"/>
    </row>
    <row r="871" spans="8:9" hidden="1" x14ac:dyDescent="0.3">
      <c r="H871" s="209"/>
      <c r="I871" s="210"/>
    </row>
    <row r="872" spans="8:9" hidden="1" x14ac:dyDescent="0.3">
      <c r="H872" s="209"/>
      <c r="I872" s="210"/>
    </row>
    <row r="873" spans="8:9" hidden="1" x14ac:dyDescent="0.3">
      <c r="H873" s="209"/>
      <c r="I873" s="210"/>
    </row>
    <row r="874" spans="8:9" hidden="1" x14ac:dyDescent="0.3">
      <c r="H874" s="209"/>
      <c r="I874" s="210"/>
    </row>
    <row r="875" spans="8:9" hidden="1" x14ac:dyDescent="0.3">
      <c r="H875" s="209"/>
      <c r="I875" s="210"/>
    </row>
    <row r="876" spans="8:9" hidden="1" x14ac:dyDescent="0.3">
      <c r="H876" s="209"/>
      <c r="I876" s="210"/>
    </row>
    <row r="877" spans="8:9" hidden="1" x14ac:dyDescent="0.3">
      <c r="H877" s="209"/>
      <c r="I877" s="210"/>
    </row>
    <row r="878" spans="8:9" hidden="1" x14ac:dyDescent="0.3">
      <c r="H878" s="209"/>
      <c r="I878" s="210"/>
    </row>
    <row r="879" spans="8:9" hidden="1" x14ac:dyDescent="0.3">
      <c r="H879" s="209"/>
      <c r="I879" s="210"/>
    </row>
    <row r="880" spans="8:9" hidden="1" x14ac:dyDescent="0.3">
      <c r="H880" s="209"/>
      <c r="I880" s="210"/>
    </row>
    <row r="881" spans="8:9" hidden="1" x14ac:dyDescent="0.3">
      <c r="H881" s="209"/>
      <c r="I881" s="210"/>
    </row>
    <row r="882" spans="8:9" hidden="1" x14ac:dyDescent="0.3">
      <c r="H882" s="209"/>
      <c r="I882" s="210"/>
    </row>
    <row r="883" spans="8:9" hidden="1" x14ac:dyDescent="0.3">
      <c r="H883" s="209"/>
      <c r="I883" s="210"/>
    </row>
    <row r="884" spans="8:9" hidden="1" x14ac:dyDescent="0.3">
      <c r="H884" s="209"/>
      <c r="I884" s="210"/>
    </row>
    <row r="885" spans="8:9" hidden="1" x14ac:dyDescent="0.3">
      <c r="H885" s="209"/>
      <c r="I885" s="210"/>
    </row>
    <row r="886" spans="8:9" hidden="1" x14ac:dyDescent="0.3">
      <c r="H886" s="209"/>
      <c r="I886" s="210"/>
    </row>
    <row r="887" spans="8:9" hidden="1" x14ac:dyDescent="0.3">
      <c r="H887" s="209"/>
      <c r="I887" s="210"/>
    </row>
    <row r="888" spans="8:9" hidden="1" x14ac:dyDescent="0.3">
      <c r="H888" s="209"/>
      <c r="I888" s="210"/>
    </row>
    <row r="889" spans="8:9" hidden="1" x14ac:dyDescent="0.3">
      <c r="H889" s="209"/>
      <c r="I889" s="210"/>
    </row>
    <row r="890" spans="8:9" hidden="1" x14ac:dyDescent="0.3">
      <c r="H890" s="209"/>
      <c r="I890" s="210"/>
    </row>
    <row r="891" spans="8:9" hidden="1" x14ac:dyDescent="0.3">
      <c r="H891" s="209"/>
      <c r="I891" s="210"/>
    </row>
    <row r="892" spans="8:9" hidden="1" x14ac:dyDescent="0.3">
      <c r="H892" s="209"/>
      <c r="I892" s="210"/>
    </row>
    <row r="893" spans="8:9" hidden="1" x14ac:dyDescent="0.3">
      <c r="H893" s="209"/>
      <c r="I893" s="210"/>
    </row>
    <row r="894" spans="8:9" hidden="1" x14ac:dyDescent="0.3">
      <c r="H894" s="209"/>
      <c r="I894" s="210"/>
    </row>
    <row r="895" spans="8:9" hidden="1" x14ac:dyDescent="0.3">
      <c r="H895" s="209"/>
      <c r="I895" s="210"/>
    </row>
    <row r="896" spans="8:9" hidden="1" x14ac:dyDescent="0.3">
      <c r="H896" s="209"/>
      <c r="I896" s="210"/>
    </row>
    <row r="897" spans="8:9" hidden="1" x14ac:dyDescent="0.3">
      <c r="H897" s="209"/>
      <c r="I897" s="210"/>
    </row>
    <row r="898" spans="8:9" hidden="1" x14ac:dyDescent="0.3">
      <c r="H898" s="209"/>
      <c r="I898" s="210"/>
    </row>
    <row r="899" spans="8:9" hidden="1" x14ac:dyDescent="0.3">
      <c r="H899" s="209"/>
      <c r="I899" s="210"/>
    </row>
    <row r="900" spans="8:9" hidden="1" x14ac:dyDescent="0.3">
      <c r="H900" s="209"/>
      <c r="I900" s="210"/>
    </row>
    <row r="901" spans="8:9" hidden="1" x14ac:dyDescent="0.3">
      <c r="H901" s="209"/>
      <c r="I901" s="210"/>
    </row>
    <row r="902" spans="8:9" hidden="1" x14ac:dyDescent="0.3">
      <c r="H902" s="209"/>
      <c r="I902" s="210"/>
    </row>
    <row r="903" spans="8:9" hidden="1" x14ac:dyDescent="0.3">
      <c r="H903" s="209"/>
      <c r="I903" s="210"/>
    </row>
    <row r="904" spans="8:9" hidden="1" x14ac:dyDescent="0.3">
      <c r="H904" s="209"/>
      <c r="I904" s="210"/>
    </row>
    <row r="905" spans="8:9" hidden="1" x14ac:dyDescent="0.3">
      <c r="H905" s="209"/>
      <c r="I905" s="210"/>
    </row>
    <row r="906" spans="8:9" hidden="1" x14ac:dyDescent="0.3">
      <c r="H906" s="209"/>
      <c r="I906" s="210"/>
    </row>
    <row r="907" spans="8:9" hidden="1" x14ac:dyDescent="0.3">
      <c r="H907" s="209"/>
      <c r="I907" s="210"/>
    </row>
    <row r="908" spans="8:9" hidden="1" x14ac:dyDescent="0.3">
      <c r="H908" s="209"/>
      <c r="I908" s="210"/>
    </row>
    <row r="909" spans="8:9" hidden="1" x14ac:dyDescent="0.3">
      <c r="H909" s="209"/>
      <c r="I909" s="210"/>
    </row>
    <row r="910" spans="8:9" hidden="1" x14ac:dyDescent="0.3">
      <c r="H910" s="209"/>
      <c r="I910" s="210"/>
    </row>
    <row r="911" spans="8:9" hidden="1" x14ac:dyDescent="0.3">
      <c r="H911" s="209"/>
      <c r="I911" s="210"/>
    </row>
    <row r="912" spans="8:9" hidden="1" x14ac:dyDescent="0.3">
      <c r="H912" s="209"/>
      <c r="I912" s="210"/>
    </row>
    <row r="913" spans="8:9" hidden="1" x14ac:dyDescent="0.3">
      <c r="H913" s="209"/>
      <c r="I913" s="210"/>
    </row>
    <row r="914" spans="8:9" hidden="1" x14ac:dyDescent="0.3">
      <c r="H914" s="209"/>
      <c r="I914" s="210"/>
    </row>
    <row r="915" spans="8:9" hidden="1" x14ac:dyDescent="0.3">
      <c r="H915" s="209"/>
      <c r="I915" s="210"/>
    </row>
    <row r="916" spans="8:9" hidden="1" x14ac:dyDescent="0.3">
      <c r="H916" s="209"/>
      <c r="I916" s="210"/>
    </row>
    <row r="917" spans="8:9" hidden="1" x14ac:dyDescent="0.3">
      <c r="H917" s="209"/>
      <c r="I917" s="210"/>
    </row>
    <row r="918" spans="8:9" hidden="1" x14ac:dyDescent="0.3">
      <c r="H918" s="209"/>
      <c r="I918" s="210"/>
    </row>
    <row r="919" spans="8:9" hidden="1" x14ac:dyDescent="0.3">
      <c r="H919" s="209"/>
      <c r="I919" s="210"/>
    </row>
    <row r="920" spans="8:9" hidden="1" x14ac:dyDescent="0.3">
      <c r="H920" s="209"/>
      <c r="I920" s="210"/>
    </row>
    <row r="921" spans="8:9" hidden="1" x14ac:dyDescent="0.3">
      <c r="H921" s="209"/>
      <c r="I921" s="210"/>
    </row>
    <row r="922" spans="8:9" hidden="1" x14ac:dyDescent="0.3">
      <c r="H922" s="209"/>
      <c r="I922" s="210"/>
    </row>
    <row r="923" spans="8:9" hidden="1" x14ac:dyDescent="0.3">
      <c r="H923" s="209"/>
      <c r="I923" s="210"/>
    </row>
    <row r="924" spans="8:9" hidden="1" x14ac:dyDescent="0.3">
      <c r="H924" s="209"/>
      <c r="I924" s="210"/>
    </row>
    <row r="925" spans="8:9" hidden="1" x14ac:dyDescent="0.3">
      <c r="H925" s="209"/>
      <c r="I925" s="210"/>
    </row>
    <row r="926" spans="8:9" hidden="1" x14ac:dyDescent="0.3">
      <c r="H926" s="209"/>
      <c r="I926" s="210"/>
    </row>
    <row r="927" spans="8:9" hidden="1" x14ac:dyDescent="0.3">
      <c r="H927" s="209"/>
      <c r="I927" s="210"/>
    </row>
    <row r="928" spans="8:9" hidden="1" x14ac:dyDescent="0.3">
      <c r="H928" s="209"/>
      <c r="I928" s="210"/>
    </row>
    <row r="929" spans="8:9" hidden="1" x14ac:dyDescent="0.3">
      <c r="H929" s="209"/>
      <c r="I929" s="210"/>
    </row>
    <row r="930" spans="8:9" hidden="1" x14ac:dyDescent="0.3">
      <c r="H930" s="209"/>
      <c r="I930" s="210"/>
    </row>
    <row r="931" spans="8:9" hidden="1" x14ac:dyDescent="0.3">
      <c r="H931" s="209"/>
      <c r="I931" s="210"/>
    </row>
    <row r="932" spans="8:9" hidden="1" x14ac:dyDescent="0.3">
      <c r="H932" s="209"/>
      <c r="I932" s="210"/>
    </row>
    <row r="933" spans="8:9" hidden="1" x14ac:dyDescent="0.3">
      <c r="H933" s="209"/>
      <c r="I933" s="210"/>
    </row>
    <row r="934" spans="8:9" hidden="1" x14ac:dyDescent="0.3">
      <c r="H934" s="209"/>
      <c r="I934" s="210"/>
    </row>
    <row r="935" spans="8:9" hidden="1" x14ac:dyDescent="0.3">
      <c r="H935" s="209"/>
      <c r="I935" s="210"/>
    </row>
    <row r="936" spans="8:9" hidden="1" x14ac:dyDescent="0.3">
      <c r="H936" s="209"/>
      <c r="I936" s="210"/>
    </row>
    <row r="937" spans="8:9" hidden="1" x14ac:dyDescent="0.3">
      <c r="H937" s="209"/>
      <c r="I937" s="210"/>
    </row>
    <row r="938" spans="8:9" hidden="1" x14ac:dyDescent="0.3">
      <c r="H938" s="209"/>
      <c r="I938" s="210"/>
    </row>
    <row r="939" spans="8:9" hidden="1" x14ac:dyDescent="0.3">
      <c r="H939" s="209"/>
      <c r="I939" s="210"/>
    </row>
    <row r="940" spans="8:9" hidden="1" x14ac:dyDescent="0.3">
      <c r="H940" s="209"/>
      <c r="I940" s="210"/>
    </row>
    <row r="941" spans="8:9" hidden="1" x14ac:dyDescent="0.3">
      <c r="H941" s="209"/>
      <c r="I941" s="210"/>
    </row>
    <row r="942" spans="8:9" hidden="1" x14ac:dyDescent="0.3">
      <c r="H942" s="209"/>
      <c r="I942" s="210"/>
    </row>
    <row r="943" spans="8:9" hidden="1" x14ac:dyDescent="0.3">
      <c r="H943" s="209"/>
      <c r="I943" s="210"/>
    </row>
    <row r="944" spans="8:9" hidden="1" x14ac:dyDescent="0.3">
      <c r="H944" s="209"/>
      <c r="I944" s="210"/>
    </row>
    <row r="945" spans="8:9" hidden="1" x14ac:dyDescent="0.3">
      <c r="H945" s="209"/>
      <c r="I945" s="210"/>
    </row>
    <row r="946" spans="8:9" hidden="1" x14ac:dyDescent="0.3">
      <c r="H946" s="209"/>
      <c r="I946" s="210"/>
    </row>
    <row r="947" spans="8:9" hidden="1" x14ac:dyDescent="0.3">
      <c r="H947" s="209"/>
      <c r="I947" s="210"/>
    </row>
    <row r="948" spans="8:9" hidden="1" x14ac:dyDescent="0.3">
      <c r="H948" s="209"/>
      <c r="I948" s="210"/>
    </row>
    <row r="949" spans="8:9" hidden="1" x14ac:dyDescent="0.3">
      <c r="H949" s="209"/>
      <c r="I949" s="210"/>
    </row>
    <row r="950" spans="8:9" hidden="1" x14ac:dyDescent="0.3">
      <c r="H950" s="209"/>
      <c r="I950" s="210"/>
    </row>
    <row r="951" spans="8:9" hidden="1" x14ac:dyDescent="0.3">
      <c r="H951" s="209"/>
      <c r="I951" s="210"/>
    </row>
    <row r="952" spans="8:9" hidden="1" x14ac:dyDescent="0.3">
      <c r="H952" s="209"/>
      <c r="I952" s="210"/>
    </row>
    <row r="953" spans="8:9" hidden="1" x14ac:dyDescent="0.3">
      <c r="H953" s="209"/>
      <c r="I953" s="210"/>
    </row>
    <row r="954" spans="8:9" hidden="1" x14ac:dyDescent="0.3">
      <c r="H954" s="209"/>
      <c r="I954" s="210"/>
    </row>
    <row r="955" spans="8:9" hidden="1" x14ac:dyDescent="0.3">
      <c r="H955" s="209"/>
      <c r="I955" s="210"/>
    </row>
    <row r="956" spans="8:9" hidden="1" x14ac:dyDescent="0.3">
      <c r="H956" s="209"/>
      <c r="I956" s="210"/>
    </row>
    <row r="957" spans="8:9" hidden="1" x14ac:dyDescent="0.3">
      <c r="H957" s="209"/>
      <c r="I957" s="210"/>
    </row>
    <row r="958" spans="8:9" hidden="1" x14ac:dyDescent="0.3">
      <c r="H958" s="209"/>
      <c r="I958" s="210"/>
    </row>
    <row r="959" spans="8:9" hidden="1" x14ac:dyDescent="0.3">
      <c r="H959" s="209"/>
      <c r="I959" s="210"/>
    </row>
    <row r="960" spans="8:9" hidden="1" x14ac:dyDescent="0.3">
      <c r="H960" s="209"/>
      <c r="I960" s="210"/>
    </row>
    <row r="961" spans="8:9" hidden="1" x14ac:dyDescent="0.3">
      <c r="H961" s="209"/>
      <c r="I961" s="210"/>
    </row>
    <row r="962" spans="8:9" hidden="1" x14ac:dyDescent="0.3">
      <c r="H962" s="209"/>
      <c r="I962" s="210"/>
    </row>
    <row r="963" spans="8:9" hidden="1" x14ac:dyDescent="0.3">
      <c r="H963" s="209"/>
      <c r="I963" s="210"/>
    </row>
    <row r="964" spans="8:9" hidden="1" x14ac:dyDescent="0.3">
      <c r="H964" s="209"/>
      <c r="I964" s="210"/>
    </row>
    <row r="965" spans="8:9" hidden="1" x14ac:dyDescent="0.3">
      <c r="H965" s="209"/>
      <c r="I965" s="210"/>
    </row>
    <row r="966" spans="8:9" hidden="1" x14ac:dyDescent="0.3">
      <c r="H966" s="209"/>
      <c r="I966" s="210"/>
    </row>
    <row r="967" spans="8:9" hidden="1" x14ac:dyDescent="0.3">
      <c r="H967" s="209"/>
      <c r="I967" s="210"/>
    </row>
    <row r="968" spans="8:9" hidden="1" x14ac:dyDescent="0.3">
      <c r="H968" s="209"/>
      <c r="I968" s="210"/>
    </row>
    <row r="969" spans="8:9" hidden="1" x14ac:dyDescent="0.3">
      <c r="H969" s="209"/>
      <c r="I969" s="210"/>
    </row>
    <row r="970" spans="8:9" hidden="1" x14ac:dyDescent="0.3">
      <c r="H970" s="209"/>
      <c r="I970" s="210"/>
    </row>
    <row r="971" spans="8:9" hidden="1" x14ac:dyDescent="0.3">
      <c r="H971" s="209"/>
      <c r="I971" s="210"/>
    </row>
    <row r="972" spans="8:9" hidden="1" x14ac:dyDescent="0.3">
      <c r="H972" s="209"/>
      <c r="I972" s="210"/>
    </row>
    <row r="973" spans="8:9" hidden="1" x14ac:dyDescent="0.3">
      <c r="H973" s="209"/>
      <c r="I973" s="210"/>
    </row>
    <row r="974" spans="8:9" hidden="1" x14ac:dyDescent="0.3">
      <c r="H974" s="209"/>
      <c r="I974" s="210"/>
    </row>
    <row r="975" spans="8:9" hidden="1" x14ac:dyDescent="0.3">
      <c r="H975" s="209"/>
      <c r="I975" s="210"/>
    </row>
    <row r="976" spans="8:9" hidden="1" x14ac:dyDescent="0.3">
      <c r="H976" s="209"/>
      <c r="I976" s="210"/>
    </row>
    <row r="977" spans="8:9" hidden="1" x14ac:dyDescent="0.3">
      <c r="H977" s="209"/>
      <c r="I977" s="210"/>
    </row>
    <row r="978" spans="8:9" hidden="1" x14ac:dyDescent="0.3">
      <c r="H978" s="209"/>
      <c r="I978" s="210"/>
    </row>
    <row r="979" spans="8:9" hidden="1" x14ac:dyDescent="0.3">
      <c r="H979" s="209"/>
      <c r="I979" s="210"/>
    </row>
    <row r="980" spans="8:9" hidden="1" x14ac:dyDescent="0.3">
      <c r="H980" s="209"/>
      <c r="I980" s="210"/>
    </row>
    <row r="981" spans="8:9" hidden="1" x14ac:dyDescent="0.3">
      <c r="H981" s="209"/>
      <c r="I981" s="210"/>
    </row>
    <row r="982" spans="8:9" hidden="1" x14ac:dyDescent="0.3">
      <c r="H982" s="209"/>
      <c r="I982" s="210"/>
    </row>
    <row r="983" spans="8:9" hidden="1" x14ac:dyDescent="0.3">
      <c r="H983" s="209"/>
      <c r="I983" s="210"/>
    </row>
    <row r="984" spans="8:9" hidden="1" x14ac:dyDescent="0.3">
      <c r="H984" s="209"/>
      <c r="I984" s="210"/>
    </row>
    <row r="985" spans="8:9" hidden="1" x14ac:dyDescent="0.3">
      <c r="H985" s="209"/>
      <c r="I985" s="210"/>
    </row>
    <row r="986" spans="8:9" hidden="1" x14ac:dyDescent="0.3">
      <c r="H986" s="209"/>
      <c r="I986" s="210"/>
    </row>
    <row r="987" spans="8:9" hidden="1" x14ac:dyDescent="0.3">
      <c r="H987" s="209"/>
      <c r="I987" s="210"/>
    </row>
    <row r="988" spans="8:9" hidden="1" x14ac:dyDescent="0.3">
      <c r="H988" s="209"/>
      <c r="I988" s="210"/>
    </row>
    <row r="989" spans="8:9" hidden="1" x14ac:dyDescent="0.3">
      <c r="H989" s="209"/>
      <c r="I989" s="210"/>
    </row>
    <row r="990" spans="8:9" hidden="1" x14ac:dyDescent="0.3">
      <c r="H990" s="209"/>
      <c r="I990" s="210"/>
    </row>
    <row r="991" spans="8:9" hidden="1" x14ac:dyDescent="0.3">
      <c r="H991" s="209"/>
      <c r="I991" s="210"/>
    </row>
    <row r="992" spans="8:9" hidden="1" x14ac:dyDescent="0.3">
      <c r="H992" s="209"/>
      <c r="I992" s="210"/>
    </row>
    <row r="993" spans="8:9" hidden="1" x14ac:dyDescent="0.3">
      <c r="H993" s="209"/>
      <c r="I993" s="210"/>
    </row>
    <row r="994" spans="8:9" hidden="1" x14ac:dyDescent="0.3">
      <c r="H994" s="209"/>
      <c r="I994" s="210"/>
    </row>
    <row r="995" spans="8:9" hidden="1" x14ac:dyDescent="0.3">
      <c r="H995" s="209"/>
      <c r="I995" s="210"/>
    </row>
    <row r="996" spans="8:9" hidden="1" x14ac:dyDescent="0.3">
      <c r="H996" s="209"/>
      <c r="I996" s="210"/>
    </row>
    <row r="997" spans="8:9" hidden="1" x14ac:dyDescent="0.3">
      <c r="H997" s="209"/>
      <c r="I997" s="210"/>
    </row>
    <row r="998" spans="8:9" hidden="1" x14ac:dyDescent="0.3">
      <c r="H998" s="209"/>
      <c r="I998" s="210"/>
    </row>
    <row r="999" spans="8:9" hidden="1" x14ac:dyDescent="0.3">
      <c r="H999" s="209"/>
      <c r="I999" s="210"/>
    </row>
    <row r="1000" spans="8:9" hidden="1" x14ac:dyDescent="0.3">
      <c r="H1000" s="209"/>
      <c r="I1000" s="210"/>
    </row>
    <row r="1001" spans="8:9" hidden="1" x14ac:dyDescent="0.3">
      <c r="H1001" s="209"/>
      <c r="I1001" s="210"/>
    </row>
    <row r="1002" spans="8:9" hidden="1" x14ac:dyDescent="0.3">
      <c r="H1002" s="209"/>
      <c r="I1002" s="210"/>
    </row>
    <row r="1003" spans="8:9" hidden="1" x14ac:dyDescent="0.3">
      <c r="H1003" s="209"/>
      <c r="I1003" s="210"/>
    </row>
    <row r="1004" spans="8:9" hidden="1" x14ac:dyDescent="0.3">
      <c r="H1004" s="209"/>
      <c r="I1004" s="210"/>
    </row>
    <row r="1005" spans="8:9" hidden="1" x14ac:dyDescent="0.3">
      <c r="H1005" s="209"/>
      <c r="I1005" s="210"/>
    </row>
    <row r="1006" spans="8:9" hidden="1" x14ac:dyDescent="0.3">
      <c r="H1006" s="209"/>
      <c r="I1006" s="210"/>
    </row>
    <row r="1007" spans="8:9" hidden="1" x14ac:dyDescent="0.3">
      <c r="H1007" s="209"/>
      <c r="I1007" s="210"/>
    </row>
    <row r="1008" spans="8:9" hidden="1" x14ac:dyDescent="0.3">
      <c r="H1008" s="209"/>
      <c r="I1008" s="210"/>
    </row>
    <row r="1009" spans="8:9" hidden="1" x14ac:dyDescent="0.3">
      <c r="H1009" s="209"/>
      <c r="I1009" s="210"/>
    </row>
    <row r="1010" spans="8:9" hidden="1" x14ac:dyDescent="0.3">
      <c r="H1010" s="209"/>
      <c r="I1010" s="210"/>
    </row>
    <row r="1011" spans="8:9" hidden="1" x14ac:dyDescent="0.3">
      <c r="H1011" s="209"/>
      <c r="I1011" s="210"/>
    </row>
    <row r="1012" spans="8:9" hidden="1" x14ac:dyDescent="0.3">
      <c r="H1012" s="209"/>
      <c r="I1012" s="210"/>
    </row>
    <row r="1013" spans="8:9" hidden="1" x14ac:dyDescent="0.3">
      <c r="H1013" s="209"/>
      <c r="I1013" s="210"/>
    </row>
    <row r="1014" spans="8:9" hidden="1" x14ac:dyDescent="0.3">
      <c r="H1014" s="209"/>
      <c r="I1014" s="210"/>
    </row>
    <row r="1015" spans="8:9" hidden="1" x14ac:dyDescent="0.3">
      <c r="H1015" s="209"/>
      <c r="I1015" s="210"/>
    </row>
    <row r="1016" spans="8:9" hidden="1" x14ac:dyDescent="0.3">
      <c r="H1016" s="209"/>
      <c r="I1016" s="210"/>
    </row>
    <row r="1017" spans="8:9" hidden="1" x14ac:dyDescent="0.3">
      <c r="H1017" s="209"/>
      <c r="I1017" s="210"/>
    </row>
    <row r="1018" spans="8:9" hidden="1" x14ac:dyDescent="0.3">
      <c r="H1018" s="209"/>
      <c r="I1018" s="210"/>
    </row>
    <row r="1019" spans="8:9" hidden="1" x14ac:dyDescent="0.3">
      <c r="H1019" s="209"/>
      <c r="I1019" s="210"/>
    </row>
    <row r="1020" spans="8:9" hidden="1" x14ac:dyDescent="0.3">
      <c r="H1020" s="209"/>
      <c r="I1020" s="210"/>
    </row>
    <row r="1021" spans="8:9" hidden="1" x14ac:dyDescent="0.3">
      <c r="H1021" s="209"/>
      <c r="I1021" s="210"/>
    </row>
    <row r="1022" spans="8:9" hidden="1" x14ac:dyDescent="0.3">
      <c r="H1022" s="209"/>
      <c r="I1022" s="210"/>
    </row>
    <row r="1023" spans="8:9" hidden="1" x14ac:dyDescent="0.3">
      <c r="H1023" s="209"/>
      <c r="I1023" s="210"/>
    </row>
    <row r="1024" spans="8:9" hidden="1" x14ac:dyDescent="0.3">
      <c r="H1024" s="209"/>
      <c r="I1024" s="210"/>
    </row>
    <row r="1025" spans="8:9" hidden="1" x14ac:dyDescent="0.3">
      <c r="H1025" s="209"/>
      <c r="I1025" s="210"/>
    </row>
    <row r="1026" spans="8:9" hidden="1" x14ac:dyDescent="0.3">
      <c r="H1026" s="209"/>
      <c r="I1026" s="210"/>
    </row>
    <row r="1027" spans="8:9" hidden="1" x14ac:dyDescent="0.3">
      <c r="H1027" s="209"/>
      <c r="I1027" s="210"/>
    </row>
    <row r="1028" spans="8:9" hidden="1" x14ac:dyDescent="0.3">
      <c r="H1028" s="209"/>
      <c r="I1028" s="210"/>
    </row>
    <row r="1029" spans="8:9" hidden="1" x14ac:dyDescent="0.3">
      <c r="H1029" s="209"/>
      <c r="I1029" s="210"/>
    </row>
    <row r="1030" spans="8:9" hidden="1" x14ac:dyDescent="0.3">
      <c r="H1030" s="209"/>
      <c r="I1030" s="210"/>
    </row>
    <row r="1031" spans="8:9" hidden="1" x14ac:dyDescent="0.3">
      <c r="H1031" s="209"/>
      <c r="I1031" s="210"/>
    </row>
    <row r="1032" spans="8:9" hidden="1" x14ac:dyDescent="0.3">
      <c r="H1032" s="209"/>
      <c r="I1032" s="210"/>
    </row>
    <row r="1033" spans="8:9" hidden="1" x14ac:dyDescent="0.3">
      <c r="H1033" s="209"/>
      <c r="I1033" s="210"/>
    </row>
    <row r="1034" spans="8:9" hidden="1" x14ac:dyDescent="0.3">
      <c r="H1034" s="209"/>
      <c r="I1034" s="210"/>
    </row>
    <row r="1035" spans="8:9" hidden="1" x14ac:dyDescent="0.3">
      <c r="H1035" s="209"/>
      <c r="I1035" s="210"/>
    </row>
    <row r="1036" spans="8:9" hidden="1" x14ac:dyDescent="0.3">
      <c r="H1036" s="209"/>
      <c r="I1036" s="210"/>
    </row>
    <row r="1037" spans="8:9" hidden="1" x14ac:dyDescent="0.3">
      <c r="H1037" s="209"/>
      <c r="I1037" s="210"/>
    </row>
    <row r="1038" spans="8:9" hidden="1" x14ac:dyDescent="0.3">
      <c r="H1038" s="209"/>
      <c r="I1038" s="210"/>
    </row>
    <row r="1039" spans="8:9" hidden="1" x14ac:dyDescent="0.3">
      <c r="H1039" s="209"/>
      <c r="I1039" s="210"/>
    </row>
    <row r="1040" spans="8:9" hidden="1" x14ac:dyDescent="0.3">
      <c r="H1040" s="209"/>
      <c r="I1040" s="210"/>
    </row>
    <row r="1041" spans="8:9" hidden="1" x14ac:dyDescent="0.3">
      <c r="H1041" s="209"/>
      <c r="I1041" s="210"/>
    </row>
    <row r="1042" spans="8:9" hidden="1" x14ac:dyDescent="0.3">
      <c r="H1042" s="209"/>
      <c r="I1042" s="210"/>
    </row>
    <row r="1043" spans="8:9" hidden="1" x14ac:dyDescent="0.3">
      <c r="H1043" s="209"/>
      <c r="I1043" s="210"/>
    </row>
    <row r="1044" spans="8:9" hidden="1" x14ac:dyDescent="0.3">
      <c r="H1044" s="209"/>
      <c r="I1044" s="210"/>
    </row>
    <row r="1045" spans="8:9" hidden="1" x14ac:dyDescent="0.3">
      <c r="H1045" s="209"/>
      <c r="I1045" s="210"/>
    </row>
    <row r="1046" spans="8:9" hidden="1" x14ac:dyDescent="0.3">
      <c r="H1046" s="209"/>
      <c r="I1046" s="210"/>
    </row>
    <row r="1047" spans="8:9" hidden="1" x14ac:dyDescent="0.3">
      <c r="H1047" s="209"/>
      <c r="I1047" s="210"/>
    </row>
    <row r="1048" spans="8:9" hidden="1" x14ac:dyDescent="0.3">
      <c r="H1048" s="209"/>
      <c r="I1048" s="210"/>
    </row>
    <row r="1049" spans="8:9" hidden="1" x14ac:dyDescent="0.3">
      <c r="H1049" s="209"/>
      <c r="I1049" s="210"/>
    </row>
    <row r="1050" spans="8:9" hidden="1" x14ac:dyDescent="0.3">
      <c r="H1050" s="209"/>
      <c r="I1050" s="210"/>
    </row>
    <row r="1051" spans="8:9" hidden="1" x14ac:dyDescent="0.3">
      <c r="H1051" s="209"/>
      <c r="I1051" s="210"/>
    </row>
    <row r="1052" spans="8:9" hidden="1" x14ac:dyDescent="0.3">
      <c r="H1052" s="209"/>
      <c r="I1052" s="210"/>
    </row>
    <row r="1053" spans="8:9" hidden="1" x14ac:dyDescent="0.3">
      <c r="H1053" s="209"/>
      <c r="I1053" s="210"/>
    </row>
    <row r="1054" spans="8:9" hidden="1" x14ac:dyDescent="0.3">
      <c r="H1054" s="209"/>
      <c r="I1054" s="210"/>
    </row>
    <row r="1055" spans="8:9" hidden="1" x14ac:dyDescent="0.3">
      <c r="H1055" s="209"/>
      <c r="I1055" s="210"/>
    </row>
    <row r="1056" spans="8:9" hidden="1" x14ac:dyDescent="0.3">
      <c r="H1056" s="209"/>
      <c r="I1056" s="210"/>
    </row>
    <row r="1057" spans="8:9" hidden="1" x14ac:dyDescent="0.3">
      <c r="H1057" s="209"/>
      <c r="I1057" s="210"/>
    </row>
    <row r="1058" spans="8:9" hidden="1" x14ac:dyDescent="0.3">
      <c r="H1058" s="209"/>
      <c r="I1058" s="210"/>
    </row>
    <row r="1059" spans="8:9" hidden="1" x14ac:dyDescent="0.3">
      <c r="H1059" s="209"/>
      <c r="I1059" s="210"/>
    </row>
    <row r="1060" spans="8:9" hidden="1" x14ac:dyDescent="0.3">
      <c r="H1060" s="209"/>
      <c r="I1060" s="210"/>
    </row>
    <row r="1061" spans="8:9" hidden="1" x14ac:dyDescent="0.3">
      <c r="H1061" s="209"/>
      <c r="I1061" s="210"/>
    </row>
    <row r="1062" spans="8:9" hidden="1" x14ac:dyDescent="0.3">
      <c r="H1062" s="209"/>
      <c r="I1062" s="210"/>
    </row>
    <row r="1063" spans="8:9" hidden="1" x14ac:dyDescent="0.3">
      <c r="H1063" s="209"/>
      <c r="I1063" s="210"/>
    </row>
    <row r="1064" spans="8:9" hidden="1" x14ac:dyDescent="0.3">
      <c r="H1064" s="209"/>
      <c r="I1064" s="210"/>
    </row>
    <row r="1065" spans="8:9" hidden="1" x14ac:dyDescent="0.3">
      <c r="H1065" s="209"/>
      <c r="I1065" s="210"/>
    </row>
    <row r="1066" spans="8:9" hidden="1" x14ac:dyDescent="0.3">
      <c r="H1066" s="209"/>
      <c r="I1066" s="210"/>
    </row>
    <row r="1067" spans="8:9" hidden="1" x14ac:dyDescent="0.3">
      <c r="H1067" s="209"/>
      <c r="I1067" s="210"/>
    </row>
    <row r="1068" spans="8:9" hidden="1" x14ac:dyDescent="0.3">
      <c r="H1068" s="209"/>
      <c r="I1068" s="210"/>
    </row>
    <row r="1069" spans="8:9" hidden="1" x14ac:dyDescent="0.3">
      <c r="H1069" s="209"/>
      <c r="I1069" s="210"/>
    </row>
    <row r="1070" spans="8:9" hidden="1" x14ac:dyDescent="0.3">
      <c r="H1070" s="209"/>
      <c r="I1070" s="210"/>
    </row>
    <row r="1071" spans="8:9" hidden="1" x14ac:dyDescent="0.3">
      <c r="H1071" s="209"/>
      <c r="I1071" s="210"/>
    </row>
    <row r="1072" spans="8:9" hidden="1" x14ac:dyDescent="0.3">
      <c r="H1072" s="209"/>
      <c r="I1072" s="210"/>
    </row>
    <row r="1073" spans="8:9" hidden="1" x14ac:dyDescent="0.3">
      <c r="H1073" s="209"/>
      <c r="I1073" s="210"/>
    </row>
    <row r="1074" spans="8:9" hidden="1" x14ac:dyDescent="0.3">
      <c r="H1074" s="209"/>
      <c r="I1074" s="210"/>
    </row>
    <row r="1075" spans="8:9" hidden="1" x14ac:dyDescent="0.3">
      <c r="H1075" s="209"/>
      <c r="I1075" s="210"/>
    </row>
    <row r="1076" spans="8:9" hidden="1" x14ac:dyDescent="0.3">
      <c r="H1076" s="209"/>
      <c r="I1076" s="210"/>
    </row>
    <row r="1077" spans="8:9" hidden="1" x14ac:dyDescent="0.3">
      <c r="H1077" s="209"/>
      <c r="I1077" s="210"/>
    </row>
    <row r="1078" spans="8:9" hidden="1" x14ac:dyDescent="0.3">
      <c r="H1078" s="209"/>
      <c r="I1078" s="210"/>
    </row>
    <row r="1079" spans="8:9" hidden="1" x14ac:dyDescent="0.3">
      <c r="H1079" s="209"/>
      <c r="I1079" s="210"/>
    </row>
    <row r="1080" spans="8:9" hidden="1" x14ac:dyDescent="0.3">
      <c r="H1080" s="209"/>
      <c r="I1080" s="210"/>
    </row>
    <row r="1081" spans="8:9" hidden="1" x14ac:dyDescent="0.3">
      <c r="H1081" s="209"/>
      <c r="I1081" s="210"/>
    </row>
    <row r="1082" spans="8:9" hidden="1" x14ac:dyDescent="0.3">
      <c r="H1082" s="209"/>
      <c r="I1082" s="210"/>
    </row>
    <row r="1083" spans="8:9" hidden="1" x14ac:dyDescent="0.3">
      <c r="H1083" s="209"/>
      <c r="I1083" s="210"/>
    </row>
    <row r="1084" spans="8:9" hidden="1" x14ac:dyDescent="0.3">
      <c r="H1084" s="209"/>
      <c r="I1084" s="210"/>
    </row>
    <row r="1085" spans="8:9" hidden="1" x14ac:dyDescent="0.3">
      <c r="H1085" s="209"/>
      <c r="I1085" s="210"/>
    </row>
    <row r="1086" spans="8:9" hidden="1" x14ac:dyDescent="0.3">
      <c r="H1086" s="209"/>
      <c r="I1086" s="210"/>
    </row>
    <row r="1087" spans="8:9" hidden="1" x14ac:dyDescent="0.3">
      <c r="H1087" s="209"/>
      <c r="I1087" s="210"/>
    </row>
    <row r="1088" spans="8:9" hidden="1" x14ac:dyDescent="0.3">
      <c r="H1088" s="209"/>
      <c r="I1088" s="210"/>
    </row>
    <row r="1089" spans="8:9" hidden="1" x14ac:dyDescent="0.3">
      <c r="H1089" s="209"/>
      <c r="I1089" s="210"/>
    </row>
    <row r="1090" spans="8:9" hidden="1" x14ac:dyDescent="0.3">
      <c r="H1090" s="209"/>
      <c r="I1090" s="210"/>
    </row>
    <row r="1091" spans="8:9" hidden="1" x14ac:dyDescent="0.3">
      <c r="H1091" s="209"/>
      <c r="I1091" s="210"/>
    </row>
    <row r="1092" spans="8:9" hidden="1" x14ac:dyDescent="0.3">
      <c r="H1092" s="209"/>
      <c r="I1092" s="210"/>
    </row>
    <row r="1093" spans="8:9" hidden="1" x14ac:dyDescent="0.3">
      <c r="H1093" s="209"/>
      <c r="I1093" s="210"/>
    </row>
    <row r="1094" spans="8:9" hidden="1" x14ac:dyDescent="0.3">
      <c r="H1094" s="209"/>
      <c r="I1094" s="210"/>
    </row>
    <row r="1095" spans="8:9" hidden="1" x14ac:dyDescent="0.3">
      <c r="H1095" s="209"/>
      <c r="I1095" s="210"/>
    </row>
    <row r="1096" spans="8:9" hidden="1" x14ac:dyDescent="0.3">
      <c r="H1096" s="209"/>
      <c r="I1096" s="210"/>
    </row>
    <row r="1097" spans="8:9" hidden="1" x14ac:dyDescent="0.3">
      <c r="H1097" s="209"/>
      <c r="I1097" s="210"/>
    </row>
    <row r="1098" spans="8:9" hidden="1" x14ac:dyDescent="0.3">
      <c r="H1098" s="209"/>
      <c r="I1098" s="210"/>
    </row>
    <row r="1099" spans="8:9" hidden="1" x14ac:dyDescent="0.3">
      <c r="H1099" s="209"/>
      <c r="I1099" s="210"/>
    </row>
    <row r="1100" spans="8:9" hidden="1" x14ac:dyDescent="0.3">
      <c r="H1100" s="209"/>
      <c r="I1100" s="210"/>
    </row>
    <row r="1101" spans="8:9" hidden="1" x14ac:dyDescent="0.3">
      <c r="H1101" s="209"/>
      <c r="I1101" s="210"/>
    </row>
    <row r="1102" spans="8:9" hidden="1" x14ac:dyDescent="0.3">
      <c r="H1102" s="209"/>
      <c r="I1102" s="210"/>
    </row>
    <row r="1103" spans="8:9" hidden="1" x14ac:dyDescent="0.3">
      <c r="H1103" s="209"/>
      <c r="I1103" s="210"/>
    </row>
    <row r="1104" spans="8:9" hidden="1" x14ac:dyDescent="0.3">
      <c r="H1104" s="209"/>
      <c r="I1104" s="210"/>
    </row>
    <row r="1105" spans="8:9" hidden="1" x14ac:dyDescent="0.3">
      <c r="H1105" s="209"/>
      <c r="I1105" s="210"/>
    </row>
    <row r="1106" spans="8:9" hidden="1" x14ac:dyDescent="0.3">
      <c r="H1106" s="209"/>
      <c r="I1106" s="210"/>
    </row>
    <row r="1107" spans="8:9" hidden="1" x14ac:dyDescent="0.3">
      <c r="H1107" s="209"/>
      <c r="I1107" s="210"/>
    </row>
    <row r="1108" spans="8:9" hidden="1" x14ac:dyDescent="0.3">
      <c r="H1108" s="209"/>
      <c r="I1108" s="210"/>
    </row>
    <row r="1109" spans="8:9" hidden="1" x14ac:dyDescent="0.3">
      <c r="H1109" s="209"/>
      <c r="I1109" s="210"/>
    </row>
    <row r="1110" spans="8:9" hidden="1" x14ac:dyDescent="0.3">
      <c r="H1110" s="209"/>
      <c r="I1110" s="210"/>
    </row>
    <row r="1111" spans="8:9" hidden="1" x14ac:dyDescent="0.3">
      <c r="H1111" s="209"/>
      <c r="I1111" s="210"/>
    </row>
    <row r="1112" spans="8:9" hidden="1" x14ac:dyDescent="0.3">
      <c r="H1112" s="209"/>
      <c r="I1112" s="210"/>
    </row>
    <row r="1113" spans="8:9" hidden="1" x14ac:dyDescent="0.3">
      <c r="H1113" s="209"/>
      <c r="I1113" s="210"/>
    </row>
    <row r="1114" spans="8:9" hidden="1" x14ac:dyDescent="0.3">
      <c r="H1114" s="209"/>
      <c r="I1114" s="210"/>
    </row>
    <row r="1115" spans="8:9" hidden="1" x14ac:dyDescent="0.3">
      <c r="H1115" s="209"/>
      <c r="I1115" s="210"/>
    </row>
    <row r="1116" spans="8:9" hidden="1" x14ac:dyDescent="0.3">
      <c r="H1116" s="209"/>
      <c r="I1116" s="210"/>
    </row>
    <row r="1117" spans="8:9" hidden="1" x14ac:dyDescent="0.3">
      <c r="H1117" s="209"/>
      <c r="I1117" s="210"/>
    </row>
    <row r="1118" spans="8:9" hidden="1" x14ac:dyDescent="0.3">
      <c r="H1118" s="209"/>
      <c r="I1118" s="210"/>
    </row>
    <row r="1119" spans="8:9" hidden="1" x14ac:dyDescent="0.3">
      <c r="H1119" s="209"/>
      <c r="I1119" s="210"/>
    </row>
    <row r="1120" spans="8:9" hidden="1" x14ac:dyDescent="0.3">
      <c r="H1120" s="209"/>
      <c r="I1120" s="210"/>
    </row>
    <row r="1121" spans="8:9" hidden="1" x14ac:dyDescent="0.3">
      <c r="H1121" s="209"/>
      <c r="I1121" s="210"/>
    </row>
    <row r="1122" spans="8:9" hidden="1" x14ac:dyDescent="0.3">
      <c r="H1122" s="209"/>
      <c r="I1122" s="210"/>
    </row>
    <row r="1123" spans="8:9" hidden="1" x14ac:dyDescent="0.3">
      <c r="H1123" s="209"/>
      <c r="I1123" s="210"/>
    </row>
    <row r="1124" spans="8:9" hidden="1" x14ac:dyDescent="0.3">
      <c r="H1124" s="209"/>
      <c r="I1124" s="210"/>
    </row>
    <row r="1125" spans="8:9" hidden="1" x14ac:dyDescent="0.3">
      <c r="H1125" s="209"/>
      <c r="I1125" s="210"/>
    </row>
    <row r="1126" spans="8:9" hidden="1" x14ac:dyDescent="0.3">
      <c r="H1126" s="209"/>
      <c r="I1126" s="210"/>
    </row>
    <row r="1127" spans="8:9" hidden="1" x14ac:dyDescent="0.3">
      <c r="H1127" s="209"/>
      <c r="I1127" s="210"/>
    </row>
    <row r="1128" spans="8:9" hidden="1" x14ac:dyDescent="0.3">
      <c r="H1128" s="209"/>
      <c r="I1128" s="210"/>
    </row>
    <row r="1129" spans="8:9" hidden="1" x14ac:dyDescent="0.3">
      <c r="H1129" s="209"/>
      <c r="I1129" s="210"/>
    </row>
    <row r="1130" spans="8:9" hidden="1" x14ac:dyDescent="0.3">
      <c r="H1130" s="209"/>
      <c r="I1130" s="210"/>
    </row>
    <row r="1131" spans="8:9" hidden="1" x14ac:dyDescent="0.3">
      <c r="H1131" s="209"/>
      <c r="I1131" s="210"/>
    </row>
    <row r="1132" spans="8:9" hidden="1" x14ac:dyDescent="0.3">
      <c r="H1132" s="209"/>
      <c r="I1132" s="210"/>
    </row>
    <row r="1133" spans="8:9" hidden="1" x14ac:dyDescent="0.3">
      <c r="H1133" s="209"/>
      <c r="I1133" s="210"/>
    </row>
    <row r="1134" spans="8:9" hidden="1" x14ac:dyDescent="0.3">
      <c r="H1134" s="209"/>
      <c r="I1134" s="210"/>
    </row>
    <row r="1135" spans="8:9" hidden="1" x14ac:dyDescent="0.3">
      <c r="H1135" s="209"/>
      <c r="I1135" s="210"/>
    </row>
    <row r="1136" spans="8:9" hidden="1" x14ac:dyDescent="0.3">
      <c r="H1136" s="209"/>
      <c r="I1136" s="210"/>
    </row>
    <row r="1137" spans="8:9" hidden="1" x14ac:dyDescent="0.3">
      <c r="H1137" s="209"/>
      <c r="I1137" s="210"/>
    </row>
    <row r="1138" spans="8:9" hidden="1" x14ac:dyDescent="0.3">
      <c r="H1138" s="209"/>
      <c r="I1138" s="210"/>
    </row>
    <row r="1139" spans="8:9" hidden="1" x14ac:dyDescent="0.3">
      <c r="H1139" s="209"/>
      <c r="I1139" s="210"/>
    </row>
    <row r="1140" spans="8:9" hidden="1" x14ac:dyDescent="0.3">
      <c r="H1140" s="209"/>
      <c r="I1140" s="210"/>
    </row>
    <row r="1141" spans="8:9" hidden="1" x14ac:dyDescent="0.3">
      <c r="H1141" s="209"/>
      <c r="I1141" s="210"/>
    </row>
    <row r="1142" spans="8:9" hidden="1" x14ac:dyDescent="0.3">
      <c r="H1142" s="209"/>
      <c r="I1142" s="210"/>
    </row>
    <row r="1143" spans="8:9" hidden="1" x14ac:dyDescent="0.3">
      <c r="H1143" s="209"/>
      <c r="I1143" s="210"/>
    </row>
    <row r="1144" spans="8:9" hidden="1" x14ac:dyDescent="0.3">
      <c r="H1144" s="209"/>
      <c r="I1144" s="210"/>
    </row>
    <row r="1145" spans="8:9" hidden="1" x14ac:dyDescent="0.3">
      <c r="H1145" s="209"/>
      <c r="I1145" s="210"/>
    </row>
    <row r="1146" spans="8:9" hidden="1" x14ac:dyDescent="0.3">
      <c r="H1146" s="209"/>
      <c r="I1146" s="210"/>
    </row>
    <row r="1147" spans="8:9" hidden="1" x14ac:dyDescent="0.3">
      <c r="H1147" s="209"/>
      <c r="I1147" s="210"/>
    </row>
    <row r="1148" spans="8:9" hidden="1" x14ac:dyDescent="0.3">
      <c r="H1148" s="209"/>
      <c r="I1148" s="210"/>
    </row>
    <row r="1149" spans="8:9" hidden="1" x14ac:dyDescent="0.3">
      <c r="H1149" s="209"/>
      <c r="I1149" s="210"/>
    </row>
    <row r="1150" spans="8:9" hidden="1" x14ac:dyDescent="0.3">
      <c r="H1150" s="209"/>
      <c r="I1150" s="210"/>
    </row>
    <row r="1151" spans="8:9" hidden="1" x14ac:dyDescent="0.3">
      <c r="H1151" s="209"/>
      <c r="I1151" s="210"/>
    </row>
    <row r="1152" spans="8:9" hidden="1" x14ac:dyDescent="0.3">
      <c r="H1152" s="209"/>
      <c r="I1152" s="210"/>
    </row>
    <row r="1153" spans="8:9" hidden="1" x14ac:dyDescent="0.3">
      <c r="H1153" s="209"/>
      <c r="I1153" s="210"/>
    </row>
    <row r="1154" spans="8:9" hidden="1" x14ac:dyDescent="0.3">
      <c r="H1154" s="209"/>
      <c r="I1154" s="210"/>
    </row>
    <row r="1155" spans="8:9" hidden="1" x14ac:dyDescent="0.3">
      <c r="H1155" s="209"/>
      <c r="I1155" s="210"/>
    </row>
    <row r="1156" spans="8:9" hidden="1" x14ac:dyDescent="0.3">
      <c r="H1156" s="209"/>
      <c r="I1156" s="210"/>
    </row>
    <row r="1157" spans="8:9" hidden="1" x14ac:dyDescent="0.3">
      <c r="H1157" s="209"/>
      <c r="I1157" s="210"/>
    </row>
    <row r="1158" spans="8:9" hidden="1" x14ac:dyDescent="0.3">
      <c r="H1158" s="209"/>
      <c r="I1158" s="210"/>
    </row>
    <row r="1159" spans="8:9" hidden="1" x14ac:dyDescent="0.3">
      <c r="H1159" s="209"/>
      <c r="I1159" s="210"/>
    </row>
    <row r="1160" spans="8:9" hidden="1" x14ac:dyDescent="0.3">
      <c r="H1160" s="209"/>
      <c r="I1160" s="210"/>
    </row>
    <row r="1161" spans="8:9" hidden="1" x14ac:dyDescent="0.3">
      <c r="H1161" s="209"/>
      <c r="I1161" s="210"/>
    </row>
    <row r="1162" spans="8:9" hidden="1" x14ac:dyDescent="0.3">
      <c r="H1162" s="209"/>
      <c r="I1162" s="210"/>
    </row>
    <row r="1163" spans="8:9" hidden="1" x14ac:dyDescent="0.3">
      <c r="H1163" s="209"/>
      <c r="I1163" s="210"/>
    </row>
    <row r="1164" spans="8:9" hidden="1" x14ac:dyDescent="0.3">
      <c r="H1164" s="209"/>
      <c r="I1164" s="210"/>
    </row>
    <row r="1165" spans="8:9" hidden="1" x14ac:dyDescent="0.3">
      <c r="H1165" s="209"/>
      <c r="I1165" s="210"/>
    </row>
    <row r="1166" spans="8:9" hidden="1" x14ac:dyDescent="0.3">
      <c r="H1166" s="209"/>
      <c r="I1166" s="210"/>
    </row>
    <row r="1167" spans="8:9" hidden="1" x14ac:dyDescent="0.3">
      <c r="H1167" s="209"/>
      <c r="I1167" s="210"/>
    </row>
    <row r="1168" spans="8:9" hidden="1" x14ac:dyDescent="0.3">
      <c r="H1168" s="209"/>
      <c r="I1168" s="210"/>
    </row>
    <row r="1169" spans="8:9" hidden="1" x14ac:dyDescent="0.3">
      <c r="H1169" s="209"/>
      <c r="I1169" s="210"/>
    </row>
    <row r="1170" spans="8:9" hidden="1" x14ac:dyDescent="0.3">
      <c r="H1170" s="209"/>
      <c r="I1170" s="210"/>
    </row>
    <row r="1171" spans="8:9" hidden="1" x14ac:dyDescent="0.3">
      <c r="H1171" s="209"/>
      <c r="I1171" s="210"/>
    </row>
    <row r="1172" spans="8:9" hidden="1" x14ac:dyDescent="0.3">
      <c r="H1172" s="209"/>
      <c r="I1172" s="210"/>
    </row>
    <row r="1173" spans="8:9" hidden="1" x14ac:dyDescent="0.3">
      <c r="H1173" s="209"/>
      <c r="I1173" s="210"/>
    </row>
    <row r="1174" spans="8:9" hidden="1" x14ac:dyDescent="0.3">
      <c r="H1174" s="209"/>
      <c r="I1174" s="210"/>
    </row>
    <row r="1175" spans="8:9" hidden="1" x14ac:dyDescent="0.3">
      <c r="H1175" s="209"/>
      <c r="I1175" s="210"/>
    </row>
    <row r="1176" spans="8:9" hidden="1" x14ac:dyDescent="0.3">
      <c r="H1176" s="209"/>
      <c r="I1176" s="210"/>
    </row>
    <row r="1177" spans="8:9" hidden="1" x14ac:dyDescent="0.3">
      <c r="H1177" s="209"/>
      <c r="I1177" s="210"/>
    </row>
    <row r="1178" spans="8:9" hidden="1" x14ac:dyDescent="0.3">
      <c r="H1178" s="209"/>
      <c r="I1178" s="210"/>
    </row>
    <row r="1179" spans="8:9" hidden="1" x14ac:dyDescent="0.3">
      <c r="H1179" s="209"/>
      <c r="I1179" s="210"/>
    </row>
    <row r="1180" spans="8:9" hidden="1" x14ac:dyDescent="0.3">
      <c r="H1180" s="209"/>
      <c r="I1180" s="210"/>
    </row>
    <row r="1181" spans="8:9" hidden="1" x14ac:dyDescent="0.3">
      <c r="H1181" s="209"/>
      <c r="I1181" s="210"/>
    </row>
    <row r="1182" spans="8:9" hidden="1" x14ac:dyDescent="0.3">
      <c r="H1182" s="209"/>
      <c r="I1182" s="210"/>
    </row>
    <row r="1183" spans="8:9" hidden="1" x14ac:dyDescent="0.3">
      <c r="H1183" s="209"/>
      <c r="I1183" s="210"/>
    </row>
    <row r="1184" spans="8:9" hidden="1" x14ac:dyDescent="0.3">
      <c r="H1184" s="209"/>
      <c r="I1184" s="210"/>
    </row>
    <row r="1185" spans="8:9" hidden="1" x14ac:dyDescent="0.3">
      <c r="H1185" s="209"/>
      <c r="I1185" s="210"/>
    </row>
    <row r="1186" spans="8:9" hidden="1" x14ac:dyDescent="0.3">
      <c r="H1186" s="209"/>
      <c r="I1186" s="210"/>
    </row>
    <row r="1187" spans="8:9" hidden="1" x14ac:dyDescent="0.3">
      <c r="H1187" s="209"/>
      <c r="I1187" s="210"/>
    </row>
    <row r="1188" spans="8:9" hidden="1" x14ac:dyDescent="0.3">
      <c r="H1188" s="209"/>
      <c r="I1188" s="210"/>
    </row>
    <row r="1189" spans="8:9" hidden="1" x14ac:dyDescent="0.3">
      <c r="H1189" s="209"/>
      <c r="I1189" s="210"/>
    </row>
    <row r="1190" spans="8:9" hidden="1" x14ac:dyDescent="0.3">
      <c r="H1190" s="209"/>
      <c r="I1190" s="210"/>
    </row>
    <row r="1191" spans="8:9" hidden="1" x14ac:dyDescent="0.3">
      <c r="H1191" s="209"/>
      <c r="I1191" s="210"/>
    </row>
    <row r="1192" spans="8:9" hidden="1" x14ac:dyDescent="0.3">
      <c r="H1192" s="209"/>
      <c r="I1192" s="210"/>
    </row>
    <row r="1193" spans="8:9" hidden="1" x14ac:dyDescent="0.3">
      <c r="H1193" s="209"/>
      <c r="I1193" s="210"/>
    </row>
    <row r="1194" spans="8:9" hidden="1" x14ac:dyDescent="0.3">
      <c r="H1194" s="209"/>
      <c r="I1194" s="210"/>
    </row>
    <row r="1195" spans="8:9" hidden="1" x14ac:dyDescent="0.3">
      <c r="H1195" s="209"/>
      <c r="I1195" s="210"/>
    </row>
    <row r="1196" spans="8:9" hidden="1" x14ac:dyDescent="0.3">
      <c r="H1196" s="209"/>
      <c r="I1196" s="210"/>
    </row>
    <row r="1197" spans="8:9" hidden="1" x14ac:dyDescent="0.3">
      <c r="H1197" s="209"/>
      <c r="I1197" s="210"/>
    </row>
    <row r="1198" spans="8:9" hidden="1" x14ac:dyDescent="0.3">
      <c r="H1198" s="209"/>
      <c r="I1198" s="210"/>
    </row>
    <row r="1199" spans="8:9" hidden="1" x14ac:dyDescent="0.3">
      <c r="H1199" s="209"/>
      <c r="I1199" s="210"/>
    </row>
    <row r="1200" spans="8:9" hidden="1" x14ac:dyDescent="0.3">
      <c r="H1200" s="209"/>
      <c r="I1200" s="210"/>
    </row>
    <row r="1201" spans="8:9" hidden="1" x14ac:dyDescent="0.3">
      <c r="H1201" s="209"/>
      <c r="I1201" s="210"/>
    </row>
    <row r="1202" spans="8:9" hidden="1" x14ac:dyDescent="0.3">
      <c r="H1202" s="209"/>
      <c r="I1202" s="210"/>
    </row>
    <row r="1203" spans="8:9" hidden="1" x14ac:dyDescent="0.3">
      <c r="H1203" s="209"/>
      <c r="I1203" s="210"/>
    </row>
    <row r="1204" spans="8:9" hidden="1" x14ac:dyDescent="0.3">
      <c r="H1204" s="209"/>
      <c r="I1204" s="210"/>
    </row>
    <row r="1205" spans="8:9" hidden="1" x14ac:dyDescent="0.3">
      <c r="H1205" s="209"/>
      <c r="I1205" s="210"/>
    </row>
    <row r="1206" spans="8:9" hidden="1" x14ac:dyDescent="0.3">
      <c r="H1206" s="209"/>
      <c r="I1206" s="210"/>
    </row>
    <row r="1207" spans="8:9" hidden="1" x14ac:dyDescent="0.3">
      <c r="H1207" s="209"/>
      <c r="I1207" s="210"/>
    </row>
    <row r="1208" spans="8:9" hidden="1" x14ac:dyDescent="0.3">
      <c r="H1208" s="209"/>
      <c r="I1208" s="210"/>
    </row>
    <row r="1209" spans="8:9" hidden="1" x14ac:dyDescent="0.3">
      <c r="H1209" s="209"/>
      <c r="I1209" s="210"/>
    </row>
    <row r="1210" spans="8:9" hidden="1" x14ac:dyDescent="0.3">
      <c r="H1210" s="209"/>
      <c r="I1210" s="210"/>
    </row>
    <row r="1211" spans="8:9" hidden="1" x14ac:dyDescent="0.3">
      <c r="H1211" s="209"/>
      <c r="I1211" s="210"/>
    </row>
    <row r="1212" spans="8:9" hidden="1" x14ac:dyDescent="0.3">
      <c r="H1212" s="209"/>
      <c r="I1212" s="210"/>
    </row>
    <row r="1213" spans="8:9" hidden="1" x14ac:dyDescent="0.3">
      <c r="H1213" s="209"/>
      <c r="I1213" s="210"/>
    </row>
    <row r="1214" spans="8:9" hidden="1" x14ac:dyDescent="0.3">
      <c r="H1214" s="209"/>
      <c r="I1214" s="210"/>
    </row>
    <row r="1215" spans="8:9" hidden="1" x14ac:dyDescent="0.3">
      <c r="H1215" s="209"/>
      <c r="I1215" s="210"/>
    </row>
    <row r="1216" spans="8:9" hidden="1" x14ac:dyDescent="0.3">
      <c r="H1216" s="209"/>
      <c r="I1216" s="210"/>
    </row>
    <row r="1217" spans="8:9" hidden="1" x14ac:dyDescent="0.3">
      <c r="H1217" s="209"/>
      <c r="I1217" s="210"/>
    </row>
    <row r="1218" spans="8:9" hidden="1" x14ac:dyDescent="0.3">
      <c r="H1218" s="209"/>
      <c r="I1218" s="210"/>
    </row>
    <row r="1219" spans="8:9" hidden="1" x14ac:dyDescent="0.3">
      <c r="H1219" s="209"/>
      <c r="I1219" s="210"/>
    </row>
    <row r="1220" spans="8:9" hidden="1" x14ac:dyDescent="0.3">
      <c r="H1220" s="209"/>
      <c r="I1220" s="210"/>
    </row>
    <row r="1221" spans="8:9" hidden="1" x14ac:dyDescent="0.3">
      <c r="H1221" s="209"/>
      <c r="I1221" s="210"/>
    </row>
    <row r="1222" spans="8:9" hidden="1" x14ac:dyDescent="0.3">
      <c r="H1222" s="209"/>
      <c r="I1222" s="210"/>
    </row>
    <row r="1223" spans="8:9" hidden="1" x14ac:dyDescent="0.3">
      <c r="H1223" s="209"/>
      <c r="I1223" s="210"/>
    </row>
    <row r="1224" spans="8:9" hidden="1" x14ac:dyDescent="0.3">
      <c r="H1224" s="209"/>
      <c r="I1224" s="210"/>
    </row>
    <row r="1225" spans="8:9" hidden="1" x14ac:dyDescent="0.3">
      <c r="H1225" s="209"/>
      <c r="I1225" s="210"/>
    </row>
    <row r="1226" spans="8:9" hidden="1" x14ac:dyDescent="0.3">
      <c r="H1226" s="209"/>
      <c r="I1226" s="210"/>
    </row>
    <row r="1227" spans="8:9" hidden="1" x14ac:dyDescent="0.3">
      <c r="H1227" s="209"/>
      <c r="I1227" s="210"/>
    </row>
    <row r="1228" spans="8:9" hidden="1" x14ac:dyDescent="0.3">
      <c r="H1228" s="209"/>
      <c r="I1228" s="210"/>
    </row>
    <row r="1229" spans="8:9" hidden="1" x14ac:dyDescent="0.3">
      <c r="H1229" s="209"/>
      <c r="I1229" s="210"/>
    </row>
    <row r="1230" spans="8:9" hidden="1" x14ac:dyDescent="0.3">
      <c r="H1230" s="209"/>
      <c r="I1230" s="210"/>
    </row>
    <row r="1231" spans="8:9" hidden="1" x14ac:dyDescent="0.3">
      <c r="H1231" s="209"/>
      <c r="I1231" s="210"/>
    </row>
    <row r="1232" spans="8:9" hidden="1" x14ac:dyDescent="0.3">
      <c r="H1232" s="209"/>
      <c r="I1232" s="210"/>
    </row>
    <row r="1233" spans="8:9" hidden="1" x14ac:dyDescent="0.3">
      <c r="H1233" s="209"/>
      <c r="I1233" s="210"/>
    </row>
    <row r="1234" spans="8:9" hidden="1" x14ac:dyDescent="0.3">
      <c r="H1234" s="209"/>
      <c r="I1234" s="210"/>
    </row>
    <row r="1235" spans="8:9" hidden="1" x14ac:dyDescent="0.3">
      <c r="H1235" s="209"/>
      <c r="I1235" s="210"/>
    </row>
    <row r="1236" spans="8:9" hidden="1" x14ac:dyDescent="0.3">
      <c r="H1236" s="209"/>
      <c r="I1236" s="210"/>
    </row>
    <row r="1237" spans="8:9" hidden="1" x14ac:dyDescent="0.3">
      <c r="H1237" s="209"/>
      <c r="I1237" s="210"/>
    </row>
    <row r="1238" spans="8:9" hidden="1" x14ac:dyDescent="0.3">
      <c r="H1238" s="209"/>
      <c r="I1238" s="210"/>
    </row>
    <row r="1239" spans="8:9" hidden="1" x14ac:dyDescent="0.3">
      <c r="H1239" s="209"/>
      <c r="I1239" s="210"/>
    </row>
    <row r="1240" spans="8:9" hidden="1" x14ac:dyDescent="0.3">
      <c r="H1240" s="209"/>
      <c r="I1240" s="210"/>
    </row>
    <row r="1241" spans="8:9" hidden="1" x14ac:dyDescent="0.3">
      <c r="H1241" s="209"/>
      <c r="I1241" s="210"/>
    </row>
    <row r="1242" spans="8:9" hidden="1" x14ac:dyDescent="0.3">
      <c r="H1242" s="209"/>
      <c r="I1242" s="210"/>
    </row>
    <row r="1243" spans="8:9" hidden="1" x14ac:dyDescent="0.3">
      <c r="H1243" s="209"/>
      <c r="I1243" s="210"/>
    </row>
    <row r="1244" spans="8:9" hidden="1" x14ac:dyDescent="0.3">
      <c r="H1244" s="209"/>
      <c r="I1244" s="210"/>
    </row>
    <row r="1245" spans="8:9" hidden="1" x14ac:dyDescent="0.3">
      <c r="H1245" s="209"/>
      <c r="I1245" s="210"/>
    </row>
    <row r="1246" spans="8:9" hidden="1" x14ac:dyDescent="0.3">
      <c r="H1246" s="209"/>
      <c r="I1246" s="210"/>
    </row>
    <row r="1247" spans="8:9" hidden="1" x14ac:dyDescent="0.3">
      <c r="H1247" s="209"/>
      <c r="I1247" s="210"/>
    </row>
    <row r="1248" spans="8:9" hidden="1" x14ac:dyDescent="0.3">
      <c r="H1248" s="209"/>
      <c r="I1248" s="210"/>
    </row>
    <row r="1249" spans="8:9" hidden="1" x14ac:dyDescent="0.3">
      <c r="H1249" s="209"/>
      <c r="I1249" s="210"/>
    </row>
    <row r="1250" spans="8:9" hidden="1" x14ac:dyDescent="0.3">
      <c r="H1250" s="209"/>
      <c r="I1250" s="210"/>
    </row>
    <row r="1251" spans="8:9" hidden="1" x14ac:dyDescent="0.3">
      <c r="H1251" s="209"/>
      <c r="I1251" s="210"/>
    </row>
    <row r="1252" spans="8:9" hidden="1" x14ac:dyDescent="0.3">
      <c r="H1252" s="209"/>
      <c r="I1252" s="210"/>
    </row>
    <row r="1253" spans="8:9" hidden="1" x14ac:dyDescent="0.3">
      <c r="H1253" s="209"/>
      <c r="I1253" s="210"/>
    </row>
    <row r="1254" spans="8:9" hidden="1" x14ac:dyDescent="0.3">
      <c r="H1254" s="209"/>
      <c r="I1254" s="210"/>
    </row>
    <row r="1255" spans="8:9" hidden="1" x14ac:dyDescent="0.3">
      <c r="H1255" s="209"/>
      <c r="I1255" s="210"/>
    </row>
    <row r="1256" spans="8:9" hidden="1" x14ac:dyDescent="0.3">
      <c r="H1256" s="209"/>
      <c r="I1256" s="210"/>
    </row>
    <row r="1257" spans="8:9" hidden="1" x14ac:dyDescent="0.3">
      <c r="H1257" s="209"/>
      <c r="I1257" s="210"/>
    </row>
    <row r="1258" spans="8:9" hidden="1" x14ac:dyDescent="0.3">
      <c r="H1258" s="209"/>
      <c r="I1258" s="210"/>
    </row>
    <row r="1259" spans="8:9" hidden="1" x14ac:dyDescent="0.3">
      <c r="H1259" s="209"/>
      <c r="I1259" s="210"/>
    </row>
    <row r="1260" spans="8:9" hidden="1" x14ac:dyDescent="0.3">
      <c r="H1260" s="209"/>
      <c r="I1260" s="210"/>
    </row>
    <row r="1261" spans="8:9" hidden="1" x14ac:dyDescent="0.3">
      <c r="H1261" s="209"/>
      <c r="I1261" s="210"/>
    </row>
    <row r="1262" spans="8:9" hidden="1" x14ac:dyDescent="0.3">
      <c r="H1262" s="209"/>
      <c r="I1262" s="210"/>
    </row>
    <row r="1263" spans="8:9" hidden="1" x14ac:dyDescent="0.3">
      <c r="H1263" s="209"/>
      <c r="I1263" s="210"/>
    </row>
    <row r="1264" spans="8:9" hidden="1" x14ac:dyDescent="0.3">
      <c r="H1264" s="209"/>
      <c r="I1264" s="210"/>
    </row>
    <row r="1265" spans="8:9" hidden="1" x14ac:dyDescent="0.3">
      <c r="H1265" s="209"/>
      <c r="I1265" s="210"/>
    </row>
    <row r="1266" spans="8:9" hidden="1" x14ac:dyDescent="0.3">
      <c r="H1266" s="209"/>
      <c r="I1266" s="210"/>
    </row>
    <row r="1267" spans="8:9" hidden="1" x14ac:dyDescent="0.3">
      <c r="H1267" s="209"/>
      <c r="I1267" s="210"/>
    </row>
    <row r="1268" spans="8:9" hidden="1" x14ac:dyDescent="0.3">
      <c r="H1268" s="209"/>
      <c r="I1268" s="210"/>
    </row>
    <row r="1269" spans="8:9" hidden="1" x14ac:dyDescent="0.3">
      <c r="H1269" s="209"/>
      <c r="I1269" s="210"/>
    </row>
    <row r="1270" spans="8:9" hidden="1" x14ac:dyDescent="0.3">
      <c r="H1270" s="209"/>
      <c r="I1270" s="210"/>
    </row>
    <row r="1271" spans="8:9" hidden="1" x14ac:dyDescent="0.3">
      <c r="H1271" s="209"/>
      <c r="I1271" s="210"/>
    </row>
    <row r="1272" spans="8:9" hidden="1" x14ac:dyDescent="0.3">
      <c r="H1272" s="209"/>
      <c r="I1272" s="210"/>
    </row>
    <row r="1273" spans="8:9" hidden="1" x14ac:dyDescent="0.3">
      <c r="H1273" s="209"/>
      <c r="I1273" s="210"/>
    </row>
    <row r="1274" spans="8:9" hidden="1" x14ac:dyDescent="0.3">
      <c r="H1274" s="209"/>
      <c r="I1274" s="210"/>
    </row>
    <row r="1275" spans="8:9" hidden="1" x14ac:dyDescent="0.3">
      <c r="H1275" s="209"/>
      <c r="I1275" s="210"/>
    </row>
    <row r="1276" spans="8:9" hidden="1" x14ac:dyDescent="0.3">
      <c r="H1276" s="209"/>
      <c r="I1276" s="210"/>
    </row>
    <row r="1277" spans="8:9" hidden="1" x14ac:dyDescent="0.3">
      <c r="H1277" s="209"/>
      <c r="I1277" s="210"/>
    </row>
    <row r="1278" spans="8:9" hidden="1" x14ac:dyDescent="0.3">
      <c r="H1278" s="209"/>
      <c r="I1278" s="210"/>
    </row>
    <row r="1279" spans="8:9" hidden="1" x14ac:dyDescent="0.3">
      <c r="H1279" s="209"/>
      <c r="I1279" s="210"/>
    </row>
    <row r="1280" spans="8:9" hidden="1" x14ac:dyDescent="0.3">
      <c r="H1280" s="209"/>
      <c r="I1280" s="210"/>
    </row>
    <row r="1281" spans="8:9" hidden="1" x14ac:dyDescent="0.3">
      <c r="H1281" s="209"/>
      <c r="I1281" s="210"/>
    </row>
    <row r="1282" spans="8:9" hidden="1" x14ac:dyDescent="0.3">
      <c r="H1282" s="209"/>
      <c r="I1282" s="210"/>
    </row>
    <row r="1283" spans="8:9" hidden="1" x14ac:dyDescent="0.3">
      <c r="H1283" s="209"/>
      <c r="I1283" s="210"/>
    </row>
    <row r="1284" spans="8:9" hidden="1" x14ac:dyDescent="0.3">
      <c r="H1284" s="209"/>
      <c r="I1284" s="210"/>
    </row>
    <row r="1285" spans="8:9" hidden="1" x14ac:dyDescent="0.3">
      <c r="H1285" s="209"/>
      <c r="I1285" s="210"/>
    </row>
    <row r="1286" spans="8:9" hidden="1" x14ac:dyDescent="0.3">
      <c r="H1286" s="209"/>
      <c r="I1286" s="210"/>
    </row>
    <row r="1287" spans="8:9" hidden="1" x14ac:dyDescent="0.3">
      <c r="H1287" s="209"/>
      <c r="I1287" s="210"/>
    </row>
    <row r="1288" spans="8:9" hidden="1" x14ac:dyDescent="0.3">
      <c r="H1288" s="209"/>
      <c r="I1288" s="210"/>
    </row>
    <row r="1289" spans="8:9" hidden="1" x14ac:dyDescent="0.3">
      <c r="H1289" s="209"/>
      <c r="I1289" s="210"/>
    </row>
    <row r="1290" spans="8:9" hidden="1" x14ac:dyDescent="0.3">
      <c r="H1290" s="209"/>
      <c r="I1290" s="210"/>
    </row>
    <row r="1291" spans="8:9" hidden="1" x14ac:dyDescent="0.3">
      <c r="H1291" s="209"/>
      <c r="I1291" s="210"/>
    </row>
    <row r="1292" spans="8:9" hidden="1" x14ac:dyDescent="0.3">
      <c r="H1292" s="209"/>
      <c r="I1292" s="210"/>
    </row>
    <row r="1293" spans="8:9" hidden="1" x14ac:dyDescent="0.3">
      <c r="H1293" s="209"/>
      <c r="I1293" s="210"/>
    </row>
    <row r="1294" spans="8:9" hidden="1" x14ac:dyDescent="0.3">
      <c r="H1294" s="209"/>
      <c r="I1294" s="210"/>
    </row>
    <row r="1295" spans="8:9" hidden="1" x14ac:dyDescent="0.3">
      <c r="H1295" s="209"/>
      <c r="I1295" s="210"/>
    </row>
    <row r="1296" spans="8:9" hidden="1" x14ac:dyDescent="0.3">
      <c r="H1296" s="209"/>
      <c r="I1296" s="210"/>
    </row>
    <row r="1297" spans="8:9" hidden="1" x14ac:dyDescent="0.3">
      <c r="H1297" s="209"/>
      <c r="I1297" s="210"/>
    </row>
    <row r="1298" spans="8:9" hidden="1" x14ac:dyDescent="0.3">
      <c r="H1298" s="209"/>
      <c r="I1298" s="210"/>
    </row>
    <row r="1299" spans="8:9" hidden="1" x14ac:dyDescent="0.3">
      <c r="H1299" s="209"/>
      <c r="I1299" s="210"/>
    </row>
    <row r="1300" spans="8:9" hidden="1" x14ac:dyDescent="0.3">
      <c r="H1300" s="209"/>
      <c r="I1300" s="210"/>
    </row>
    <row r="1301" spans="8:9" hidden="1" x14ac:dyDescent="0.3">
      <c r="H1301" s="209"/>
      <c r="I1301" s="210"/>
    </row>
    <row r="1302" spans="8:9" hidden="1" x14ac:dyDescent="0.3">
      <c r="H1302" s="209"/>
      <c r="I1302" s="210"/>
    </row>
    <row r="1303" spans="8:9" hidden="1" x14ac:dyDescent="0.3">
      <c r="H1303" s="209"/>
      <c r="I1303" s="210"/>
    </row>
    <row r="1304" spans="8:9" hidden="1" x14ac:dyDescent="0.3">
      <c r="H1304" s="209"/>
      <c r="I1304" s="210"/>
    </row>
    <row r="1305" spans="8:9" hidden="1" x14ac:dyDescent="0.3">
      <c r="H1305" s="209"/>
      <c r="I1305" s="210"/>
    </row>
    <row r="1306" spans="8:9" hidden="1" x14ac:dyDescent="0.3">
      <c r="H1306" s="209"/>
      <c r="I1306" s="210"/>
    </row>
    <row r="1307" spans="8:9" hidden="1" x14ac:dyDescent="0.3">
      <c r="H1307" s="209"/>
      <c r="I1307" s="210"/>
    </row>
    <row r="1308" spans="8:9" hidden="1" x14ac:dyDescent="0.3">
      <c r="H1308" s="209"/>
      <c r="I1308" s="210"/>
    </row>
    <row r="1309" spans="8:9" hidden="1" x14ac:dyDescent="0.3">
      <c r="H1309" s="209"/>
      <c r="I1309" s="210"/>
    </row>
    <row r="1310" spans="8:9" hidden="1" x14ac:dyDescent="0.3">
      <c r="H1310" s="209"/>
      <c r="I1310" s="210"/>
    </row>
    <row r="1311" spans="8:9" hidden="1" x14ac:dyDescent="0.3">
      <c r="H1311" s="209"/>
      <c r="I1311" s="210"/>
    </row>
    <row r="1312" spans="8:9" hidden="1" x14ac:dyDescent="0.3">
      <c r="H1312" s="209"/>
      <c r="I1312" s="210"/>
    </row>
    <row r="1313" spans="8:9" hidden="1" x14ac:dyDescent="0.3">
      <c r="H1313" s="209"/>
      <c r="I1313" s="210"/>
    </row>
    <row r="1314" spans="8:9" hidden="1" x14ac:dyDescent="0.3">
      <c r="H1314" s="209"/>
      <c r="I1314" s="210"/>
    </row>
    <row r="1315" spans="8:9" hidden="1" x14ac:dyDescent="0.3">
      <c r="H1315" s="209"/>
      <c r="I1315" s="210"/>
    </row>
    <row r="1316" spans="8:9" hidden="1" x14ac:dyDescent="0.3">
      <c r="H1316" s="209"/>
      <c r="I1316" s="210"/>
    </row>
    <row r="1317" spans="8:9" hidden="1" x14ac:dyDescent="0.3">
      <c r="H1317" s="209"/>
      <c r="I1317" s="210"/>
    </row>
    <row r="1318" spans="8:9" hidden="1" x14ac:dyDescent="0.3">
      <c r="H1318" s="209"/>
      <c r="I1318" s="210"/>
    </row>
    <row r="1319" spans="8:9" hidden="1" x14ac:dyDescent="0.3">
      <c r="H1319" s="209"/>
      <c r="I1319" s="210"/>
    </row>
    <row r="1320" spans="8:9" hidden="1" x14ac:dyDescent="0.3">
      <c r="H1320" s="209"/>
      <c r="I1320" s="210"/>
    </row>
    <row r="1321" spans="8:9" hidden="1" x14ac:dyDescent="0.3">
      <c r="H1321" s="209"/>
      <c r="I1321" s="210"/>
    </row>
    <row r="1322" spans="8:9" hidden="1" x14ac:dyDescent="0.3">
      <c r="H1322" s="209"/>
      <c r="I1322" s="210"/>
    </row>
    <row r="1323" spans="8:9" hidden="1" x14ac:dyDescent="0.3">
      <c r="H1323" s="209"/>
      <c r="I1323" s="210"/>
    </row>
    <row r="1324" spans="8:9" hidden="1" x14ac:dyDescent="0.3">
      <c r="H1324" s="209"/>
      <c r="I1324" s="210"/>
    </row>
    <row r="1325" spans="8:9" hidden="1" x14ac:dyDescent="0.3">
      <c r="H1325" s="209"/>
      <c r="I1325" s="210"/>
    </row>
    <row r="1326" spans="8:9" hidden="1" x14ac:dyDescent="0.3">
      <c r="H1326" s="209"/>
      <c r="I1326" s="210"/>
    </row>
    <row r="1327" spans="8:9" hidden="1" x14ac:dyDescent="0.3">
      <c r="H1327" s="209"/>
      <c r="I1327" s="210"/>
    </row>
    <row r="1328" spans="8:9" hidden="1" x14ac:dyDescent="0.3">
      <c r="H1328" s="209"/>
      <c r="I1328" s="210"/>
    </row>
    <row r="1329" spans="8:9" hidden="1" x14ac:dyDescent="0.3">
      <c r="H1329" s="209"/>
      <c r="I1329" s="210"/>
    </row>
    <row r="1330" spans="8:9" hidden="1" x14ac:dyDescent="0.3">
      <c r="H1330" s="209"/>
      <c r="I1330" s="210"/>
    </row>
    <row r="1331" spans="8:9" hidden="1" x14ac:dyDescent="0.3">
      <c r="H1331" s="209"/>
      <c r="I1331" s="210"/>
    </row>
    <row r="1332" spans="8:9" hidden="1" x14ac:dyDescent="0.3">
      <c r="H1332" s="209"/>
      <c r="I1332" s="210"/>
    </row>
    <row r="1333" spans="8:9" hidden="1" x14ac:dyDescent="0.3">
      <c r="H1333" s="209"/>
      <c r="I1333" s="210"/>
    </row>
    <row r="1334" spans="8:9" hidden="1" x14ac:dyDescent="0.3">
      <c r="H1334" s="209"/>
      <c r="I1334" s="210"/>
    </row>
    <row r="1335" spans="8:9" hidden="1" x14ac:dyDescent="0.3">
      <c r="H1335" s="209"/>
      <c r="I1335" s="210"/>
    </row>
    <row r="1336" spans="8:9" hidden="1" x14ac:dyDescent="0.3">
      <c r="H1336" s="209"/>
      <c r="I1336" s="210"/>
    </row>
    <row r="1337" spans="8:9" hidden="1" x14ac:dyDescent="0.3">
      <c r="H1337" s="209"/>
      <c r="I1337" s="210"/>
    </row>
    <row r="1338" spans="8:9" hidden="1" x14ac:dyDescent="0.3">
      <c r="H1338" s="209"/>
      <c r="I1338" s="210"/>
    </row>
    <row r="1339" spans="8:9" hidden="1" x14ac:dyDescent="0.3">
      <c r="H1339" s="209"/>
      <c r="I1339" s="210"/>
    </row>
    <row r="1340" spans="8:9" hidden="1" x14ac:dyDescent="0.3">
      <c r="H1340" s="209"/>
      <c r="I1340" s="210"/>
    </row>
    <row r="1341" spans="8:9" hidden="1" x14ac:dyDescent="0.3">
      <c r="H1341" s="209"/>
      <c r="I1341" s="210"/>
    </row>
    <row r="1342" spans="8:9" hidden="1" x14ac:dyDescent="0.3">
      <c r="H1342" s="209"/>
      <c r="I1342" s="210"/>
    </row>
    <row r="1343" spans="8:9" hidden="1" x14ac:dyDescent="0.3">
      <c r="H1343" s="209"/>
      <c r="I1343" s="210"/>
    </row>
    <row r="1344" spans="8:9" hidden="1" x14ac:dyDescent="0.3">
      <c r="H1344" s="209"/>
      <c r="I1344" s="210"/>
    </row>
    <row r="1345" spans="8:9" hidden="1" x14ac:dyDescent="0.3">
      <c r="H1345" s="209"/>
      <c r="I1345" s="210"/>
    </row>
    <row r="1346" spans="8:9" hidden="1" x14ac:dyDescent="0.3">
      <c r="H1346" s="209"/>
      <c r="I1346" s="210"/>
    </row>
    <row r="1347" spans="8:9" hidden="1" x14ac:dyDescent="0.3">
      <c r="H1347" s="209"/>
      <c r="I1347" s="210"/>
    </row>
    <row r="1348" spans="8:9" hidden="1" x14ac:dyDescent="0.3">
      <c r="H1348" s="209"/>
      <c r="I1348" s="210"/>
    </row>
    <row r="1349" spans="8:9" hidden="1" x14ac:dyDescent="0.3">
      <c r="H1349" s="209"/>
      <c r="I1349" s="210"/>
    </row>
    <row r="1350" spans="8:9" hidden="1" x14ac:dyDescent="0.3">
      <c r="H1350" s="209"/>
      <c r="I1350" s="210"/>
    </row>
    <row r="1351" spans="8:9" hidden="1" x14ac:dyDescent="0.3">
      <c r="H1351" s="209"/>
      <c r="I1351" s="210"/>
    </row>
    <row r="1352" spans="8:9" hidden="1" x14ac:dyDescent="0.3">
      <c r="H1352" s="209"/>
      <c r="I1352" s="210"/>
    </row>
    <row r="1353" spans="8:9" hidden="1" x14ac:dyDescent="0.3">
      <c r="H1353" s="209"/>
      <c r="I1353" s="210"/>
    </row>
    <row r="1354" spans="8:9" hidden="1" x14ac:dyDescent="0.3">
      <c r="H1354" s="209"/>
      <c r="I1354" s="210"/>
    </row>
    <row r="1355" spans="8:9" hidden="1" x14ac:dyDescent="0.3">
      <c r="H1355" s="209"/>
      <c r="I1355" s="210"/>
    </row>
    <row r="1356" spans="8:9" hidden="1" x14ac:dyDescent="0.3">
      <c r="H1356" s="209"/>
      <c r="I1356" s="210"/>
    </row>
    <row r="1357" spans="8:9" hidden="1" x14ac:dyDescent="0.3">
      <c r="H1357" s="209"/>
      <c r="I1357" s="210"/>
    </row>
    <row r="1358" spans="8:9" hidden="1" x14ac:dyDescent="0.3">
      <c r="H1358" s="209"/>
      <c r="I1358" s="210"/>
    </row>
    <row r="1359" spans="8:9" hidden="1" x14ac:dyDescent="0.3">
      <c r="H1359" s="209"/>
      <c r="I1359" s="210"/>
    </row>
    <row r="1360" spans="8:9" hidden="1" x14ac:dyDescent="0.3">
      <c r="H1360" s="209"/>
      <c r="I1360" s="210"/>
    </row>
    <row r="1361" spans="8:9" hidden="1" x14ac:dyDescent="0.3">
      <c r="H1361" s="209"/>
      <c r="I1361" s="210"/>
    </row>
    <row r="1362" spans="8:9" hidden="1" x14ac:dyDescent="0.3">
      <c r="H1362" s="209"/>
      <c r="I1362" s="210"/>
    </row>
    <row r="1363" spans="8:9" hidden="1" x14ac:dyDescent="0.3">
      <c r="H1363" s="209"/>
      <c r="I1363" s="210"/>
    </row>
    <row r="1364" spans="8:9" hidden="1" x14ac:dyDescent="0.3">
      <c r="H1364" s="209"/>
      <c r="I1364" s="210"/>
    </row>
    <row r="1365" spans="8:9" hidden="1" x14ac:dyDescent="0.3">
      <c r="H1365" s="209"/>
      <c r="I1365" s="210"/>
    </row>
    <row r="1366" spans="8:9" hidden="1" x14ac:dyDescent="0.3">
      <c r="H1366" s="209"/>
      <c r="I1366" s="210"/>
    </row>
    <row r="1367" spans="8:9" hidden="1" x14ac:dyDescent="0.3">
      <c r="H1367" s="209"/>
      <c r="I1367" s="210"/>
    </row>
    <row r="1368" spans="8:9" hidden="1" x14ac:dyDescent="0.3">
      <c r="H1368" s="209"/>
      <c r="I1368" s="210"/>
    </row>
    <row r="1369" spans="8:9" hidden="1" x14ac:dyDescent="0.3">
      <c r="H1369" s="209"/>
      <c r="I1369" s="210"/>
    </row>
    <row r="1370" spans="8:9" hidden="1" x14ac:dyDescent="0.3">
      <c r="H1370" s="209"/>
      <c r="I1370" s="210"/>
    </row>
    <row r="1371" spans="8:9" hidden="1" x14ac:dyDescent="0.3">
      <c r="H1371" s="209"/>
      <c r="I1371" s="210"/>
    </row>
    <row r="1372" spans="8:9" hidden="1" x14ac:dyDescent="0.3">
      <c r="H1372" s="209"/>
      <c r="I1372" s="210"/>
    </row>
    <row r="1373" spans="8:9" hidden="1" x14ac:dyDescent="0.3">
      <c r="H1373" s="209"/>
      <c r="I1373" s="210"/>
    </row>
    <row r="1374" spans="8:9" hidden="1" x14ac:dyDescent="0.3">
      <c r="H1374" s="209"/>
      <c r="I1374" s="210"/>
    </row>
    <row r="1375" spans="8:9" hidden="1" x14ac:dyDescent="0.3">
      <c r="H1375" s="209"/>
      <c r="I1375" s="210"/>
    </row>
    <row r="1376" spans="8:9" hidden="1" x14ac:dyDescent="0.3">
      <c r="H1376" s="209"/>
      <c r="I1376" s="210"/>
    </row>
    <row r="1377" spans="8:9" hidden="1" x14ac:dyDescent="0.3">
      <c r="H1377" s="209"/>
      <c r="I1377" s="210"/>
    </row>
    <row r="1378" spans="8:9" hidden="1" x14ac:dyDescent="0.3">
      <c r="H1378" s="209"/>
      <c r="I1378" s="210"/>
    </row>
    <row r="1379" spans="8:9" hidden="1" x14ac:dyDescent="0.3">
      <c r="H1379" s="209"/>
      <c r="I1379" s="210"/>
    </row>
    <row r="1380" spans="8:9" hidden="1" x14ac:dyDescent="0.3">
      <c r="H1380" s="209"/>
      <c r="I1380" s="210"/>
    </row>
    <row r="1381" spans="8:9" hidden="1" x14ac:dyDescent="0.3">
      <c r="H1381" s="209"/>
      <c r="I1381" s="210"/>
    </row>
    <row r="1382" spans="8:9" hidden="1" x14ac:dyDescent="0.3">
      <c r="H1382" s="209"/>
      <c r="I1382" s="210"/>
    </row>
    <row r="1383" spans="8:9" hidden="1" x14ac:dyDescent="0.3">
      <c r="H1383" s="209"/>
      <c r="I1383" s="210"/>
    </row>
    <row r="1384" spans="8:9" hidden="1" x14ac:dyDescent="0.3">
      <c r="H1384" s="209"/>
      <c r="I1384" s="210"/>
    </row>
    <row r="1385" spans="8:9" hidden="1" x14ac:dyDescent="0.3">
      <c r="H1385" s="209"/>
      <c r="I1385" s="210"/>
    </row>
    <row r="1386" spans="8:9" hidden="1" x14ac:dyDescent="0.3">
      <c r="H1386" s="209"/>
      <c r="I1386" s="210"/>
    </row>
    <row r="1387" spans="8:9" hidden="1" x14ac:dyDescent="0.3">
      <c r="H1387" s="209"/>
      <c r="I1387" s="210"/>
    </row>
    <row r="1388" spans="8:9" hidden="1" x14ac:dyDescent="0.3">
      <c r="H1388" s="209"/>
      <c r="I1388" s="210"/>
    </row>
    <row r="1389" spans="8:9" hidden="1" x14ac:dyDescent="0.3">
      <c r="H1389" s="209"/>
      <c r="I1389" s="210"/>
    </row>
    <row r="1390" spans="8:9" hidden="1" x14ac:dyDescent="0.3">
      <c r="H1390" s="209"/>
      <c r="I1390" s="210"/>
    </row>
    <row r="1391" spans="8:9" hidden="1" x14ac:dyDescent="0.3">
      <c r="H1391" s="209"/>
      <c r="I1391" s="210"/>
    </row>
    <row r="1392" spans="8:9" hidden="1" x14ac:dyDescent="0.3">
      <c r="H1392" s="209"/>
      <c r="I1392" s="210"/>
    </row>
    <row r="1393" spans="8:9" hidden="1" x14ac:dyDescent="0.3">
      <c r="H1393" s="209"/>
      <c r="I1393" s="210"/>
    </row>
    <row r="1394" spans="8:9" hidden="1" x14ac:dyDescent="0.3">
      <c r="H1394" s="209"/>
      <c r="I1394" s="210"/>
    </row>
    <row r="1395" spans="8:9" hidden="1" x14ac:dyDescent="0.3">
      <c r="H1395" s="209"/>
      <c r="I1395" s="210"/>
    </row>
    <row r="1396" spans="8:9" hidden="1" x14ac:dyDescent="0.3">
      <c r="H1396" s="209"/>
      <c r="I1396" s="210"/>
    </row>
    <row r="1397" spans="8:9" hidden="1" x14ac:dyDescent="0.3">
      <c r="H1397" s="209"/>
      <c r="I1397" s="210"/>
    </row>
    <row r="1398" spans="8:9" hidden="1" x14ac:dyDescent="0.3">
      <c r="H1398" s="209"/>
      <c r="I1398" s="210"/>
    </row>
    <row r="1399" spans="8:9" hidden="1" x14ac:dyDescent="0.3">
      <c r="H1399" s="209"/>
      <c r="I1399" s="210"/>
    </row>
    <row r="1400" spans="8:9" hidden="1" x14ac:dyDescent="0.3">
      <c r="H1400" s="209"/>
      <c r="I1400" s="210"/>
    </row>
    <row r="1401" spans="8:9" hidden="1" x14ac:dyDescent="0.3">
      <c r="H1401" s="209"/>
      <c r="I1401" s="210"/>
    </row>
    <row r="1402" spans="8:9" hidden="1" x14ac:dyDescent="0.3">
      <c r="H1402" s="209"/>
      <c r="I1402" s="210"/>
    </row>
    <row r="1403" spans="8:9" hidden="1" x14ac:dyDescent="0.3">
      <c r="H1403" s="209"/>
      <c r="I1403" s="210"/>
    </row>
    <row r="1404" spans="8:9" hidden="1" x14ac:dyDescent="0.3">
      <c r="H1404" s="209"/>
      <c r="I1404" s="210"/>
    </row>
    <row r="1405" spans="8:9" hidden="1" x14ac:dyDescent="0.3">
      <c r="H1405" s="209"/>
      <c r="I1405" s="210"/>
    </row>
    <row r="1406" spans="8:9" hidden="1" x14ac:dyDescent="0.3">
      <c r="H1406" s="209"/>
      <c r="I1406" s="210"/>
    </row>
    <row r="1407" spans="8:9" hidden="1" x14ac:dyDescent="0.3">
      <c r="H1407" s="209"/>
      <c r="I1407" s="210"/>
    </row>
    <row r="1408" spans="8:9" hidden="1" x14ac:dyDescent="0.3">
      <c r="H1408" s="209"/>
      <c r="I1408" s="210"/>
    </row>
    <row r="1409" spans="8:9" hidden="1" x14ac:dyDescent="0.3">
      <c r="H1409" s="209"/>
      <c r="I1409" s="210"/>
    </row>
    <row r="1410" spans="8:9" hidden="1" x14ac:dyDescent="0.3">
      <c r="H1410" s="209"/>
      <c r="I1410" s="210"/>
    </row>
    <row r="1411" spans="8:9" hidden="1" x14ac:dyDescent="0.3">
      <c r="H1411" s="209"/>
      <c r="I1411" s="210"/>
    </row>
    <row r="1412" spans="8:9" hidden="1" x14ac:dyDescent="0.3">
      <c r="H1412" s="209"/>
      <c r="I1412" s="210"/>
    </row>
    <row r="1413" spans="8:9" hidden="1" x14ac:dyDescent="0.3">
      <c r="H1413" s="209"/>
      <c r="I1413" s="210"/>
    </row>
    <row r="1414" spans="8:9" hidden="1" x14ac:dyDescent="0.3">
      <c r="H1414" s="209"/>
      <c r="I1414" s="210"/>
    </row>
    <row r="1415" spans="8:9" hidden="1" x14ac:dyDescent="0.3">
      <c r="H1415" s="209"/>
      <c r="I1415" s="210"/>
    </row>
    <row r="1416" spans="8:9" hidden="1" x14ac:dyDescent="0.3">
      <c r="H1416" s="209"/>
      <c r="I1416" s="210"/>
    </row>
    <row r="1417" spans="8:9" hidden="1" x14ac:dyDescent="0.3">
      <c r="H1417" s="209"/>
      <c r="I1417" s="210"/>
    </row>
    <row r="1418" spans="8:9" hidden="1" x14ac:dyDescent="0.3">
      <c r="H1418" s="209"/>
      <c r="I1418" s="210"/>
    </row>
    <row r="1419" spans="8:9" hidden="1" x14ac:dyDescent="0.3">
      <c r="H1419" s="209"/>
      <c r="I1419" s="210"/>
    </row>
    <row r="1420" spans="8:9" hidden="1" x14ac:dyDescent="0.3">
      <c r="H1420" s="209"/>
      <c r="I1420" s="210"/>
    </row>
    <row r="1421" spans="8:9" hidden="1" x14ac:dyDescent="0.3">
      <c r="H1421" s="209"/>
      <c r="I1421" s="210"/>
    </row>
    <row r="1422" spans="8:9" hidden="1" x14ac:dyDescent="0.3">
      <c r="H1422" s="209"/>
      <c r="I1422" s="210"/>
    </row>
    <row r="1423" spans="8:9" hidden="1" x14ac:dyDescent="0.3">
      <c r="H1423" s="209"/>
      <c r="I1423" s="210"/>
    </row>
    <row r="1424" spans="8:9" hidden="1" x14ac:dyDescent="0.3">
      <c r="H1424" s="209"/>
      <c r="I1424" s="210"/>
    </row>
    <row r="1425" spans="8:9" hidden="1" x14ac:dyDescent="0.3">
      <c r="H1425" s="209"/>
      <c r="I1425" s="210"/>
    </row>
    <row r="1426" spans="8:9" hidden="1" x14ac:dyDescent="0.3">
      <c r="H1426" s="209"/>
      <c r="I1426" s="210"/>
    </row>
    <row r="1427" spans="8:9" hidden="1" x14ac:dyDescent="0.3">
      <c r="H1427" s="209"/>
      <c r="I1427" s="210"/>
    </row>
    <row r="1428" spans="8:9" hidden="1" x14ac:dyDescent="0.3">
      <c r="H1428" s="209"/>
      <c r="I1428" s="210"/>
    </row>
    <row r="1429" spans="8:9" hidden="1" x14ac:dyDescent="0.3">
      <c r="H1429" s="209"/>
      <c r="I1429" s="210"/>
    </row>
    <row r="1430" spans="8:9" hidden="1" x14ac:dyDescent="0.3">
      <c r="H1430" s="209"/>
      <c r="I1430" s="210"/>
    </row>
    <row r="1431" spans="8:9" hidden="1" x14ac:dyDescent="0.3">
      <c r="H1431" s="209"/>
      <c r="I1431" s="210"/>
    </row>
    <row r="1432" spans="8:9" hidden="1" x14ac:dyDescent="0.3">
      <c r="H1432" s="209"/>
      <c r="I1432" s="210"/>
    </row>
    <row r="1433" spans="8:9" hidden="1" x14ac:dyDescent="0.3">
      <c r="H1433" s="209"/>
      <c r="I1433" s="210"/>
    </row>
    <row r="1434" spans="8:9" hidden="1" x14ac:dyDescent="0.3">
      <c r="H1434" s="209"/>
      <c r="I1434" s="210"/>
    </row>
    <row r="1435" spans="8:9" hidden="1" x14ac:dyDescent="0.3">
      <c r="H1435" s="209"/>
      <c r="I1435" s="210"/>
    </row>
    <row r="1436" spans="8:9" hidden="1" x14ac:dyDescent="0.3">
      <c r="H1436" s="209"/>
      <c r="I1436" s="210"/>
    </row>
    <row r="1437" spans="8:9" hidden="1" x14ac:dyDescent="0.3">
      <c r="H1437" s="209"/>
      <c r="I1437" s="210"/>
    </row>
    <row r="1438" spans="8:9" hidden="1" x14ac:dyDescent="0.3">
      <c r="H1438" s="209"/>
      <c r="I1438" s="210"/>
    </row>
    <row r="1439" spans="8:9" hidden="1" x14ac:dyDescent="0.3">
      <c r="H1439" s="209"/>
      <c r="I1439" s="210"/>
    </row>
    <row r="1440" spans="8:9" hidden="1" x14ac:dyDescent="0.3">
      <c r="H1440" s="209"/>
      <c r="I1440" s="210"/>
    </row>
    <row r="1441" spans="8:9" hidden="1" x14ac:dyDescent="0.3">
      <c r="H1441" s="209"/>
      <c r="I1441" s="210"/>
    </row>
    <row r="1442" spans="8:9" hidden="1" x14ac:dyDescent="0.3">
      <c r="H1442" s="209"/>
      <c r="I1442" s="210"/>
    </row>
    <row r="1443" spans="8:9" hidden="1" x14ac:dyDescent="0.3">
      <c r="H1443" s="209"/>
      <c r="I1443" s="210"/>
    </row>
    <row r="1444" spans="8:9" hidden="1" x14ac:dyDescent="0.3">
      <c r="H1444" s="209"/>
      <c r="I1444" s="210"/>
    </row>
    <row r="1445" spans="8:9" hidden="1" x14ac:dyDescent="0.3">
      <c r="H1445" s="209"/>
      <c r="I1445" s="210"/>
    </row>
    <row r="1446" spans="8:9" hidden="1" x14ac:dyDescent="0.3">
      <c r="H1446" s="209"/>
      <c r="I1446" s="210"/>
    </row>
    <row r="1447" spans="8:9" hidden="1" x14ac:dyDescent="0.3">
      <c r="H1447" s="209"/>
      <c r="I1447" s="210"/>
    </row>
    <row r="1448" spans="8:9" hidden="1" x14ac:dyDescent="0.3">
      <c r="H1448" s="209"/>
      <c r="I1448" s="210"/>
    </row>
    <row r="1449" spans="8:9" hidden="1" x14ac:dyDescent="0.3">
      <c r="H1449" s="209"/>
      <c r="I1449" s="210"/>
    </row>
    <row r="1450" spans="8:9" hidden="1" x14ac:dyDescent="0.3">
      <c r="H1450" s="209"/>
      <c r="I1450" s="210"/>
    </row>
    <row r="1451" spans="8:9" hidden="1" x14ac:dyDescent="0.3">
      <c r="H1451" s="209"/>
      <c r="I1451" s="210"/>
    </row>
    <row r="1452" spans="8:9" hidden="1" x14ac:dyDescent="0.3">
      <c r="H1452" s="209"/>
      <c r="I1452" s="210"/>
    </row>
    <row r="1453" spans="8:9" hidden="1" x14ac:dyDescent="0.3">
      <c r="H1453" s="209"/>
      <c r="I1453" s="210"/>
    </row>
    <row r="1454" spans="8:9" hidden="1" x14ac:dyDescent="0.3">
      <c r="H1454" s="209"/>
      <c r="I1454" s="210"/>
    </row>
    <row r="1455" spans="8:9" hidden="1" x14ac:dyDescent="0.3">
      <c r="H1455" s="209"/>
      <c r="I1455" s="210"/>
    </row>
    <row r="1456" spans="8:9" hidden="1" x14ac:dyDescent="0.3">
      <c r="H1456" s="209"/>
      <c r="I1456" s="210"/>
    </row>
    <row r="1457" spans="8:9" hidden="1" x14ac:dyDescent="0.3">
      <c r="H1457" s="209"/>
      <c r="I1457" s="210"/>
    </row>
    <row r="1458" spans="8:9" hidden="1" x14ac:dyDescent="0.3">
      <c r="H1458" s="209"/>
      <c r="I1458" s="210"/>
    </row>
    <row r="1459" spans="8:9" hidden="1" x14ac:dyDescent="0.3">
      <c r="H1459" s="209"/>
      <c r="I1459" s="210"/>
    </row>
    <row r="1460" spans="8:9" hidden="1" x14ac:dyDescent="0.3">
      <c r="H1460" s="209"/>
      <c r="I1460" s="210"/>
    </row>
    <row r="1461" spans="8:9" hidden="1" x14ac:dyDescent="0.3">
      <c r="H1461" s="209"/>
      <c r="I1461" s="210"/>
    </row>
    <row r="1462" spans="8:9" hidden="1" x14ac:dyDescent="0.3">
      <c r="H1462" s="209"/>
      <c r="I1462" s="210"/>
    </row>
    <row r="1463" spans="8:9" hidden="1" x14ac:dyDescent="0.3">
      <c r="H1463" s="209"/>
      <c r="I1463" s="210"/>
    </row>
    <row r="1464" spans="8:9" hidden="1" x14ac:dyDescent="0.3">
      <c r="H1464" s="209"/>
      <c r="I1464" s="210"/>
    </row>
    <row r="1465" spans="8:9" hidden="1" x14ac:dyDescent="0.3">
      <c r="H1465" s="209"/>
      <c r="I1465" s="210"/>
    </row>
    <row r="1466" spans="8:9" hidden="1" x14ac:dyDescent="0.3">
      <c r="H1466" s="209"/>
      <c r="I1466" s="210"/>
    </row>
    <row r="1467" spans="8:9" hidden="1" x14ac:dyDescent="0.3">
      <c r="H1467" s="209"/>
      <c r="I1467" s="210"/>
    </row>
    <row r="1468" spans="8:9" hidden="1" x14ac:dyDescent="0.3">
      <c r="H1468" s="209"/>
      <c r="I1468" s="210"/>
    </row>
    <row r="1469" spans="8:9" hidden="1" x14ac:dyDescent="0.3">
      <c r="H1469" s="209"/>
      <c r="I1469" s="210"/>
    </row>
    <row r="1470" spans="8:9" hidden="1" x14ac:dyDescent="0.3">
      <c r="H1470" s="209"/>
      <c r="I1470" s="210"/>
    </row>
    <row r="1471" spans="8:9" hidden="1" x14ac:dyDescent="0.3">
      <c r="H1471" s="209"/>
      <c r="I1471" s="210"/>
    </row>
    <row r="1472" spans="8:9" hidden="1" x14ac:dyDescent="0.3">
      <c r="H1472" s="209"/>
      <c r="I1472" s="210"/>
    </row>
    <row r="1473" spans="8:9" hidden="1" x14ac:dyDescent="0.3">
      <c r="H1473" s="209"/>
      <c r="I1473" s="210"/>
    </row>
    <row r="1474" spans="8:9" hidden="1" x14ac:dyDescent="0.3">
      <c r="H1474" s="209"/>
      <c r="I1474" s="210"/>
    </row>
    <row r="1475" spans="8:9" hidden="1" x14ac:dyDescent="0.3">
      <c r="H1475" s="209"/>
      <c r="I1475" s="210"/>
    </row>
    <row r="1476" spans="8:9" hidden="1" x14ac:dyDescent="0.3">
      <c r="H1476" s="209"/>
      <c r="I1476" s="210"/>
    </row>
    <row r="1477" spans="8:9" hidden="1" x14ac:dyDescent="0.3">
      <c r="H1477" s="209"/>
      <c r="I1477" s="210"/>
    </row>
    <row r="1478" spans="8:9" hidden="1" x14ac:dyDescent="0.3">
      <c r="H1478" s="209"/>
      <c r="I1478" s="210"/>
    </row>
    <row r="1479" spans="8:9" hidden="1" x14ac:dyDescent="0.3">
      <c r="H1479" s="209"/>
      <c r="I1479" s="210"/>
    </row>
    <row r="1480" spans="8:9" hidden="1" x14ac:dyDescent="0.3">
      <c r="H1480" s="209"/>
      <c r="I1480" s="210"/>
    </row>
    <row r="1481" spans="8:9" hidden="1" x14ac:dyDescent="0.3">
      <c r="H1481" s="209"/>
      <c r="I1481" s="210"/>
    </row>
    <row r="1482" spans="8:9" hidden="1" x14ac:dyDescent="0.3">
      <c r="H1482" s="209"/>
      <c r="I1482" s="210"/>
    </row>
    <row r="1483" spans="8:9" hidden="1" x14ac:dyDescent="0.3">
      <c r="H1483" s="209"/>
      <c r="I1483" s="210"/>
    </row>
    <row r="1484" spans="8:9" hidden="1" x14ac:dyDescent="0.3">
      <c r="H1484" s="209"/>
      <c r="I1484" s="210"/>
    </row>
    <row r="1485" spans="8:9" hidden="1" x14ac:dyDescent="0.3">
      <c r="H1485" s="209"/>
      <c r="I1485" s="210"/>
    </row>
    <row r="1486" spans="8:9" hidden="1" x14ac:dyDescent="0.3">
      <c r="H1486" s="209"/>
      <c r="I1486" s="210"/>
    </row>
    <row r="1487" spans="8:9" hidden="1" x14ac:dyDescent="0.3">
      <c r="H1487" s="209"/>
      <c r="I1487" s="210"/>
    </row>
    <row r="1488" spans="8:9" hidden="1" x14ac:dyDescent="0.3">
      <c r="H1488" s="209"/>
      <c r="I1488" s="210"/>
    </row>
    <row r="1489" spans="8:9" hidden="1" x14ac:dyDescent="0.3">
      <c r="H1489" s="209"/>
      <c r="I1489" s="210"/>
    </row>
    <row r="1490" spans="8:9" hidden="1" x14ac:dyDescent="0.3">
      <c r="H1490" s="209"/>
      <c r="I1490" s="210"/>
    </row>
    <row r="1491" spans="8:9" hidden="1" x14ac:dyDescent="0.3">
      <c r="H1491" s="209"/>
      <c r="I1491" s="210"/>
    </row>
    <row r="1492" spans="8:9" hidden="1" x14ac:dyDescent="0.3">
      <c r="H1492" s="209"/>
      <c r="I1492" s="210"/>
    </row>
    <row r="1493" spans="8:9" hidden="1" x14ac:dyDescent="0.3">
      <c r="H1493" s="209"/>
      <c r="I1493" s="210"/>
    </row>
    <row r="1494" spans="8:9" hidden="1" x14ac:dyDescent="0.3">
      <c r="H1494" s="209"/>
      <c r="I1494" s="210"/>
    </row>
    <row r="1495" spans="8:9" hidden="1" x14ac:dyDescent="0.3">
      <c r="H1495" s="209"/>
      <c r="I1495" s="210"/>
    </row>
    <row r="1496" spans="8:9" hidden="1" x14ac:dyDescent="0.3">
      <c r="H1496" s="209"/>
      <c r="I1496" s="210"/>
    </row>
    <row r="1497" spans="8:9" hidden="1" x14ac:dyDescent="0.3">
      <c r="H1497" s="209"/>
      <c r="I1497" s="210"/>
    </row>
    <row r="1498" spans="8:9" hidden="1" x14ac:dyDescent="0.3">
      <c r="H1498" s="209"/>
      <c r="I1498" s="210"/>
    </row>
    <row r="1499" spans="8:9" hidden="1" x14ac:dyDescent="0.3">
      <c r="H1499" s="209"/>
      <c r="I1499" s="210"/>
    </row>
    <row r="1500" spans="8:9" hidden="1" x14ac:dyDescent="0.3">
      <c r="H1500" s="209"/>
      <c r="I1500" s="210"/>
    </row>
    <row r="1501" spans="8:9" hidden="1" x14ac:dyDescent="0.3">
      <c r="H1501" s="209"/>
      <c r="I1501" s="210"/>
    </row>
    <row r="1502" spans="8:9" hidden="1" x14ac:dyDescent="0.3">
      <c r="H1502" s="209"/>
      <c r="I1502" s="210"/>
    </row>
    <row r="1503" spans="8:9" hidden="1" x14ac:dyDescent="0.3">
      <c r="H1503" s="209"/>
      <c r="I1503" s="210"/>
    </row>
    <row r="1504" spans="8:9" hidden="1" x14ac:dyDescent="0.3">
      <c r="H1504" s="209"/>
      <c r="I1504" s="210"/>
    </row>
    <row r="1505" spans="8:9" hidden="1" x14ac:dyDescent="0.3">
      <c r="H1505" s="209"/>
      <c r="I1505" s="210"/>
    </row>
    <row r="1506" spans="8:9" hidden="1" x14ac:dyDescent="0.3">
      <c r="H1506" s="209"/>
      <c r="I1506" s="210"/>
    </row>
    <row r="1507" spans="8:9" hidden="1" x14ac:dyDescent="0.3">
      <c r="H1507" s="209"/>
      <c r="I1507" s="210"/>
    </row>
    <row r="1508" spans="8:9" hidden="1" x14ac:dyDescent="0.3">
      <c r="H1508" s="209"/>
      <c r="I1508" s="210"/>
    </row>
    <row r="1509" spans="8:9" hidden="1" x14ac:dyDescent="0.3">
      <c r="H1509" s="209"/>
      <c r="I1509" s="210"/>
    </row>
    <row r="1510" spans="8:9" hidden="1" x14ac:dyDescent="0.3">
      <c r="H1510" s="209"/>
      <c r="I1510" s="210"/>
    </row>
    <row r="1511" spans="8:9" hidden="1" x14ac:dyDescent="0.3">
      <c r="H1511" s="209"/>
      <c r="I1511" s="210"/>
    </row>
    <row r="1512" spans="8:9" hidden="1" x14ac:dyDescent="0.3">
      <c r="H1512" s="209"/>
      <c r="I1512" s="210"/>
    </row>
    <row r="1513" spans="8:9" hidden="1" x14ac:dyDescent="0.3">
      <c r="H1513" s="209"/>
      <c r="I1513" s="210"/>
    </row>
    <row r="1514" spans="8:9" hidden="1" x14ac:dyDescent="0.3">
      <c r="H1514" s="209"/>
      <c r="I1514" s="210"/>
    </row>
    <row r="1515" spans="8:9" hidden="1" x14ac:dyDescent="0.3">
      <c r="H1515" s="209"/>
      <c r="I1515" s="210"/>
    </row>
    <row r="1516" spans="8:9" hidden="1" x14ac:dyDescent="0.3">
      <c r="H1516" s="209"/>
      <c r="I1516" s="210"/>
    </row>
    <row r="1517" spans="8:9" hidden="1" x14ac:dyDescent="0.3">
      <c r="H1517" s="209"/>
      <c r="I1517" s="210"/>
    </row>
    <row r="1518" spans="8:9" hidden="1" x14ac:dyDescent="0.3">
      <c r="H1518" s="209"/>
      <c r="I1518" s="210"/>
    </row>
    <row r="1519" spans="8:9" hidden="1" x14ac:dyDescent="0.3">
      <c r="H1519" s="209"/>
      <c r="I1519" s="210"/>
    </row>
    <row r="1520" spans="8:9" hidden="1" x14ac:dyDescent="0.3">
      <c r="H1520" s="209"/>
      <c r="I1520" s="210"/>
    </row>
    <row r="1521" spans="8:9" hidden="1" x14ac:dyDescent="0.3">
      <c r="H1521" s="209"/>
      <c r="I1521" s="210"/>
    </row>
    <row r="1522" spans="8:9" hidden="1" x14ac:dyDescent="0.3">
      <c r="H1522" s="209"/>
      <c r="I1522" s="210"/>
    </row>
    <row r="1523" spans="8:9" hidden="1" x14ac:dyDescent="0.3">
      <c r="H1523" s="209"/>
      <c r="I1523" s="210"/>
    </row>
    <row r="1524" spans="8:9" hidden="1" x14ac:dyDescent="0.3">
      <c r="H1524" s="209"/>
      <c r="I1524" s="210"/>
    </row>
    <row r="1525" spans="8:9" hidden="1" x14ac:dyDescent="0.3">
      <c r="H1525" s="209"/>
      <c r="I1525" s="210"/>
    </row>
    <row r="1526" spans="8:9" hidden="1" x14ac:dyDescent="0.3">
      <c r="H1526" s="209"/>
      <c r="I1526" s="210"/>
    </row>
    <row r="1527" spans="8:9" hidden="1" x14ac:dyDescent="0.3">
      <c r="H1527" s="209"/>
      <c r="I1527" s="210"/>
    </row>
    <row r="1528" spans="8:9" hidden="1" x14ac:dyDescent="0.3">
      <c r="H1528" s="209"/>
      <c r="I1528" s="210"/>
    </row>
    <row r="1529" spans="8:9" hidden="1" x14ac:dyDescent="0.3">
      <c r="H1529" s="209"/>
      <c r="I1529" s="210"/>
    </row>
    <row r="1530" spans="8:9" hidden="1" x14ac:dyDescent="0.3">
      <c r="H1530" s="209"/>
      <c r="I1530" s="210"/>
    </row>
    <row r="1531" spans="8:9" hidden="1" x14ac:dyDescent="0.3">
      <c r="H1531" s="209"/>
      <c r="I1531" s="210"/>
    </row>
    <row r="1532" spans="8:9" hidden="1" x14ac:dyDescent="0.3">
      <c r="H1532" s="209"/>
      <c r="I1532" s="210"/>
    </row>
    <row r="1533" spans="8:9" hidden="1" x14ac:dyDescent="0.3">
      <c r="H1533" s="209"/>
      <c r="I1533" s="210"/>
    </row>
    <row r="1534" spans="8:9" hidden="1" x14ac:dyDescent="0.3">
      <c r="H1534" s="209"/>
      <c r="I1534" s="210"/>
    </row>
    <row r="1535" spans="8:9" hidden="1" x14ac:dyDescent="0.3">
      <c r="H1535" s="209"/>
      <c r="I1535" s="210"/>
    </row>
    <row r="1536" spans="8:9" hidden="1" x14ac:dyDescent="0.3">
      <c r="H1536" s="209"/>
      <c r="I1536" s="210"/>
    </row>
    <row r="1537" spans="8:9" hidden="1" x14ac:dyDescent="0.3">
      <c r="H1537" s="209"/>
      <c r="I1537" s="210"/>
    </row>
    <row r="1538" spans="8:9" hidden="1" x14ac:dyDescent="0.3">
      <c r="H1538" s="209"/>
      <c r="I1538" s="210"/>
    </row>
    <row r="1539" spans="8:9" hidden="1" x14ac:dyDescent="0.3">
      <c r="H1539" s="209"/>
      <c r="I1539" s="210"/>
    </row>
    <row r="1540" spans="8:9" hidden="1" x14ac:dyDescent="0.3">
      <c r="H1540" s="209"/>
      <c r="I1540" s="210"/>
    </row>
    <row r="1541" spans="8:9" hidden="1" x14ac:dyDescent="0.3">
      <c r="H1541" s="209"/>
      <c r="I1541" s="210"/>
    </row>
    <row r="1542" spans="8:9" hidden="1" x14ac:dyDescent="0.3">
      <c r="H1542" s="209"/>
      <c r="I1542" s="210"/>
    </row>
    <row r="1543" spans="8:9" hidden="1" x14ac:dyDescent="0.3">
      <c r="H1543" s="209"/>
      <c r="I1543" s="210"/>
    </row>
    <row r="1544" spans="8:9" hidden="1" x14ac:dyDescent="0.3">
      <c r="H1544" s="209"/>
      <c r="I1544" s="210"/>
    </row>
    <row r="1545" spans="8:9" hidden="1" x14ac:dyDescent="0.3">
      <c r="H1545" s="209"/>
      <c r="I1545" s="210"/>
    </row>
    <row r="1546" spans="8:9" hidden="1" x14ac:dyDescent="0.3">
      <c r="H1546" s="209"/>
      <c r="I1546" s="210"/>
    </row>
    <row r="1547" spans="8:9" hidden="1" x14ac:dyDescent="0.3">
      <c r="H1547" s="209"/>
      <c r="I1547" s="210"/>
    </row>
    <row r="1548" spans="8:9" hidden="1" x14ac:dyDescent="0.3">
      <c r="H1548" s="209"/>
      <c r="I1548" s="210"/>
    </row>
    <row r="1549" spans="8:9" hidden="1" x14ac:dyDescent="0.3">
      <c r="H1549" s="209"/>
      <c r="I1549" s="210"/>
    </row>
    <row r="1550" spans="8:9" hidden="1" x14ac:dyDescent="0.3">
      <c r="H1550" s="209"/>
      <c r="I1550" s="210"/>
    </row>
    <row r="1551" spans="8:9" hidden="1" x14ac:dyDescent="0.3">
      <c r="H1551" s="209"/>
      <c r="I1551" s="210"/>
    </row>
    <row r="1552" spans="8:9" hidden="1" x14ac:dyDescent="0.3">
      <c r="H1552" s="209"/>
      <c r="I1552" s="210"/>
    </row>
    <row r="1553" spans="8:9" hidden="1" x14ac:dyDescent="0.3">
      <c r="H1553" s="209"/>
      <c r="I1553" s="210"/>
    </row>
    <row r="1554" spans="8:9" hidden="1" x14ac:dyDescent="0.3">
      <c r="H1554" s="209"/>
      <c r="I1554" s="210"/>
    </row>
    <row r="1555" spans="8:9" hidden="1" x14ac:dyDescent="0.3">
      <c r="H1555" s="209"/>
      <c r="I1555" s="210"/>
    </row>
    <row r="1556" spans="8:9" hidden="1" x14ac:dyDescent="0.3">
      <c r="H1556" s="209"/>
      <c r="I1556" s="210"/>
    </row>
    <row r="1557" spans="8:9" hidden="1" x14ac:dyDescent="0.3">
      <c r="H1557" s="209"/>
      <c r="I1557" s="210"/>
    </row>
    <row r="1558" spans="8:9" hidden="1" x14ac:dyDescent="0.3">
      <c r="H1558" s="209"/>
      <c r="I1558" s="210"/>
    </row>
    <row r="1559" spans="8:9" hidden="1" x14ac:dyDescent="0.3">
      <c r="H1559" s="209"/>
      <c r="I1559" s="210"/>
    </row>
    <row r="1560" spans="8:9" hidden="1" x14ac:dyDescent="0.3">
      <c r="H1560" s="209"/>
      <c r="I1560" s="210"/>
    </row>
    <row r="1561" spans="8:9" hidden="1" x14ac:dyDescent="0.3">
      <c r="H1561" s="209"/>
      <c r="I1561" s="210"/>
    </row>
    <row r="1562" spans="8:9" hidden="1" x14ac:dyDescent="0.3">
      <c r="H1562" s="209"/>
      <c r="I1562" s="210"/>
    </row>
    <row r="1563" spans="8:9" hidden="1" x14ac:dyDescent="0.3">
      <c r="H1563" s="209"/>
      <c r="I1563" s="210"/>
    </row>
    <row r="1564" spans="8:9" hidden="1" x14ac:dyDescent="0.3">
      <c r="H1564" s="209"/>
      <c r="I1564" s="210"/>
    </row>
    <row r="1565" spans="8:9" hidden="1" x14ac:dyDescent="0.3">
      <c r="H1565" s="209"/>
      <c r="I1565" s="210"/>
    </row>
    <row r="1566" spans="8:9" hidden="1" x14ac:dyDescent="0.3">
      <c r="H1566" s="209"/>
      <c r="I1566" s="210"/>
    </row>
    <row r="1567" spans="8:9" hidden="1" x14ac:dyDescent="0.3">
      <c r="H1567" s="209"/>
      <c r="I1567" s="210"/>
    </row>
    <row r="1568" spans="8:9" hidden="1" x14ac:dyDescent="0.3">
      <c r="H1568" s="209"/>
      <c r="I1568" s="210"/>
    </row>
    <row r="1569" spans="8:9" hidden="1" x14ac:dyDescent="0.3">
      <c r="H1569" s="209"/>
      <c r="I1569" s="210"/>
    </row>
    <row r="1570" spans="8:9" hidden="1" x14ac:dyDescent="0.3">
      <c r="H1570" s="209"/>
      <c r="I1570" s="210"/>
    </row>
    <row r="1571" spans="8:9" hidden="1" x14ac:dyDescent="0.3">
      <c r="H1571" s="209"/>
      <c r="I1571" s="210"/>
    </row>
    <row r="1572" spans="8:9" hidden="1" x14ac:dyDescent="0.3">
      <c r="H1572" s="209"/>
      <c r="I1572" s="210"/>
    </row>
    <row r="1573" spans="8:9" hidden="1" x14ac:dyDescent="0.3">
      <c r="H1573" s="209"/>
      <c r="I1573" s="210"/>
    </row>
    <row r="1574" spans="8:9" hidden="1" x14ac:dyDescent="0.3">
      <c r="H1574" s="209"/>
      <c r="I1574" s="210"/>
    </row>
    <row r="1575" spans="8:9" hidden="1" x14ac:dyDescent="0.3">
      <c r="H1575" s="209"/>
      <c r="I1575" s="210"/>
    </row>
    <row r="1576" spans="8:9" hidden="1" x14ac:dyDescent="0.3">
      <c r="H1576" s="209"/>
      <c r="I1576" s="210"/>
    </row>
    <row r="1577" spans="8:9" hidden="1" x14ac:dyDescent="0.3">
      <c r="H1577" s="209"/>
      <c r="I1577" s="210"/>
    </row>
    <row r="1578" spans="8:9" hidden="1" x14ac:dyDescent="0.3">
      <c r="H1578" s="209"/>
      <c r="I1578" s="210"/>
    </row>
    <row r="1579" spans="8:9" hidden="1" x14ac:dyDescent="0.3">
      <c r="H1579" s="209"/>
      <c r="I1579" s="210"/>
    </row>
    <row r="1580" spans="8:9" hidden="1" x14ac:dyDescent="0.3">
      <c r="H1580" s="209"/>
      <c r="I1580" s="210"/>
    </row>
    <row r="1581" spans="8:9" hidden="1" x14ac:dyDescent="0.3">
      <c r="H1581" s="209"/>
      <c r="I1581" s="210"/>
    </row>
    <row r="1582" spans="8:9" hidden="1" x14ac:dyDescent="0.3">
      <c r="H1582" s="209"/>
      <c r="I1582" s="210"/>
    </row>
    <row r="1583" spans="8:9" hidden="1" x14ac:dyDescent="0.3">
      <c r="H1583" s="209"/>
      <c r="I1583" s="210"/>
    </row>
    <row r="1584" spans="8:9" hidden="1" x14ac:dyDescent="0.3">
      <c r="H1584" s="209"/>
      <c r="I1584" s="210"/>
    </row>
    <row r="1585" spans="8:9" hidden="1" x14ac:dyDescent="0.3">
      <c r="H1585" s="209"/>
      <c r="I1585" s="210"/>
    </row>
    <row r="1586" spans="8:9" hidden="1" x14ac:dyDescent="0.3">
      <c r="H1586" s="209"/>
      <c r="I1586" s="210"/>
    </row>
    <row r="1587" spans="8:9" hidden="1" x14ac:dyDescent="0.3">
      <c r="H1587" s="209"/>
      <c r="I1587" s="210"/>
    </row>
    <row r="1588" spans="8:9" hidden="1" x14ac:dyDescent="0.3">
      <c r="H1588" s="209"/>
      <c r="I1588" s="210"/>
    </row>
    <row r="1589" spans="8:9" hidden="1" x14ac:dyDescent="0.3">
      <c r="H1589" s="209"/>
      <c r="I1589" s="210"/>
    </row>
    <row r="1590" spans="8:9" hidden="1" x14ac:dyDescent="0.3">
      <c r="H1590" s="209"/>
      <c r="I1590" s="210"/>
    </row>
    <row r="1591" spans="8:9" hidden="1" x14ac:dyDescent="0.3">
      <c r="H1591" s="209"/>
      <c r="I1591" s="210"/>
    </row>
    <row r="1592" spans="8:9" hidden="1" x14ac:dyDescent="0.3">
      <c r="H1592" s="209"/>
      <c r="I1592" s="210"/>
    </row>
    <row r="1593" spans="8:9" hidden="1" x14ac:dyDescent="0.3">
      <c r="H1593" s="209"/>
      <c r="I1593" s="210"/>
    </row>
    <row r="1594" spans="8:9" hidden="1" x14ac:dyDescent="0.3">
      <c r="H1594" s="209"/>
      <c r="I1594" s="210"/>
    </row>
    <row r="1595" spans="8:9" hidden="1" x14ac:dyDescent="0.3">
      <c r="H1595" s="209"/>
      <c r="I1595" s="210"/>
    </row>
    <row r="1596" spans="8:9" hidden="1" x14ac:dyDescent="0.3">
      <c r="H1596" s="209"/>
      <c r="I1596" s="210"/>
    </row>
    <row r="1597" spans="8:9" hidden="1" x14ac:dyDescent="0.3">
      <c r="H1597" s="209"/>
      <c r="I1597" s="210"/>
    </row>
    <row r="1598" spans="8:9" hidden="1" x14ac:dyDescent="0.3">
      <c r="H1598" s="209"/>
      <c r="I1598" s="210"/>
    </row>
    <row r="1599" spans="8:9" hidden="1" x14ac:dyDescent="0.3">
      <c r="H1599" s="209"/>
      <c r="I1599" s="210"/>
    </row>
    <row r="1600" spans="8:9" hidden="1" x14ac:dyDescent="0.3">
      <c r="H1600" s="209"/>
      <c r="I1600" s="210"/>
    </row>
    <row r="1601" spans="8:9" hidden="1" x14ac:dyDescent="0.3">
      <c r="H1601" s="209"/>
      <c r="I1601" s="210"/>
    </row>
    <row r="1602" spans="8:9" hidden="1" x14ac:dyDescent="0.3">
      <c r="H1602" s="209"/>
      <c r="I1602" s="210"/>
    </row>
    <row r="1603" spans="8:9" hidden="1" x14ac:dyDescent="0.3">
      <c r="H1603" s="209"/>
      <c r="I1603" s="210"/>
    </row>
    <row r="1604" spans="8:9" hidden="1" x14ac:dyDescent="0.3">
      <c r="H1604" s="209"/>
      <c r="I1604" s="210"/>
    </row>
    <row r="1605" spans="8:9" hidden="1" x14ac:dyDescent="0.3">
      <c r="H1605" s="209"/>
      <c r="I1605" s="210"/>
    </row>
    <row r="1606" spans="8:9" hidden="1" x14ac:dyDescent="0.3">
      <c r="H1606" s="209"/>
      <c r="I1606" s="210"/>
    </row>
    <row r="1607" spans="8:9" hidden="1" x14ac:dyDescent="0.3">
      <c r="H1607" s="209"/>
      <c r="I1607" s="210"/>
    </row>
    <row r="1608" spans="8:9" hidden="1" x14ac:dyDescent="0.3">
      <c r="H1608" s="209"/>
      <c r="I1608" s="210"/>
    </row>
    <row r="1609" spans="8:9" hidden="1" x14ac:dyDescent="0.3">
      <c r="H1609" s="209"/>
      <c r="I1609" s="210"/>
    </row>
    <row r="1610" spans="8:9" hidden="1" x14ac:dyDescent="0.3">
      <c r="H1610" s="209"/>
      <c r="I1610" s="210"/>
    </row>
    <row r="1611" spans="8:9" hidden="1" x14ac:dyDescent="0.3">
      <c r="H1611" s="209"/>
      <c r="I1611" s="210"/>
    </row>
    <row r="1612" spans="8:9" hidden="1" x14ac:dyDescent="0.3">
      <c r="H1612" s="209"/>
      <c r="I1612" s="210"/>
    </row>
    <row r="1613" spans="8:9" hidden="1" x14ac:dyDescent="0.3">
      <c r="H1613" s="209"/>
      <c r="I1613" s="210"/>
    </row>
    <row r="1614" spans="8:9" hidden="1" x14ac:dyDescent="0.3">
      <c r="H1614" s="209"/>
      <c r="I1614" s="210"/>
    </row>
    <row r="1615" spans="8:9" hidden="1" x14ac:dyDescent="0.3">
      <c r="H1615" s="209"/>
      <c r="I1615" s="210"/>
    </row>
    <row r="1616" spans="8:9" hidden="1" x14ac:dyDescent="0.3">
      <c r="H1616" s="209"/>
      <c r="I1616" s="210"/>
    </row>
    <row r="1617" spans="8:9" hidden="1" x14ac:dyDescent="0.3">
      <c r="H1617" s="209"/>
      <c r="I1617" s="210"/>
    </row>
    <row r="1618" spans="8:9" hidden="1" x14ac:dyDescent="0.3">
      <c r="H1618" s="209"/>
      <c r="I1618" s="210"/>
    </row>
    <row r="1619" spans="8:9" hidden="1" x14ac:dyDescent="0.3">
      <c r="H1619" s="209"/>
      <c r="I1619" s="210"/>
    </row>
    <row r="1620" spans="8:9" hidden="1" x14ac:dyDescent="0.3">
      <c r="H1620" s="209"/>
      <c r="I1620" s="210"/>
    </row>
    <row r="1621" spans="8:9" hidden="1" x14ac:dyDescent="0.3">
      <c r="H1621" s="209"/>
      <c r="I1621" s="210"/>
    </row>
    <row r="1622" spans="8:9" hidden="1" x14ac:dyDescent="0.3">
      <c r="H1622" s="209"/>
      <c r="I1622" s="210"/>
    </row>
    <row r="1623" spans="8:9" hidden="1" x14ac:dyDescent="0.3">
      <c r="H1623" s="209"/>
      <c r="I1623" s="210"/>
    </row>
    <row r="1624" spans="8:9" hidden="1" x14ac:dyDescent="0.3">
      <c r="H1624" s="209"/>
      <c r="I1624" s="210"/>
    </row>
    <row r="1625" spans="8:9" hidden="1" x14ac:dyDescent="0.3">
      <c r="H1625" s="209"/>
      <c r="I1625" s="210"/>
    </row>
    <row r="1626" spans="8:9" hidden="1" x14ac:dyDescent="0.3">
      <c r="H1626" s="209"/>
      <c r="I1626" s="210"/>
    </row>
    <row r="1627" spans="8:9" hidden="1" x14ac:dyDescent="0.3">
      <c r="H1627" s="209"/>
      <c r="I1627" s="210"/>
    </row>
    <row r="1628" spans="8:9" hidden="1" x14ac:dyDescent="0.3">
      <c r="H1628" s="209"/>
      <c r="I1628" s="210"/>
    </row>
    <row r="1629" spans="8:9" hidden="1" x14ac:dyDescent="0.3">
      <c r="H1629" s="209"/>
      <c r="I1629" s="210"/>
    </row>
    <row r="1630" spans="8:9" hidden="1" x14ac:dyDescent="0.3">
      <c r="H1630" s="209"/>
      <c r="I1630" s="210"/>
    </row>
    <row r="1631" spans="8:9" hidden="1" x14ac:dyDescent="0.3">
      <c r="H1631" s="209"/>
      <c r="I1631" s="210"/>
    </row>
    <row r="1632" spans="8:9" hidden="1" x14ac:dyDescent="0.3">
      <c r="H1632" s="209"/>
      <c r="I1632" s="210"/>
    </row>
    <row r="1633" spans="8:9" hidden="1" x14ac:dyDescent="0.3">
      <c r="H1633" s="209"/>
      <c r="I1633" s="210"/>
    </row>
    <row r="1634" spans="8:9" hidden="1" x14ac:dyDescent="0.3">
      <c r="H1634" s="209"/>
      <c r="I1634" s="210"/>
    </row>
    <row r="1635" spans="8:9" hidden="1" x14ac:dyDescent="0.3">
      <c r="H1635" s="209"/>
      <c r="I1635" s="210"/>
    </row>
    <row r="1636" spans="8:9" hidden="1" x14ac:dyDescent="0.3">
      <c r="H1636" s="209"/>
      <c r="I1636" s="210"/>
    </row>
    <row r="1637" spans="8:9" hidden="1" x14ac:dyDescent="0.3">
      <c r="H1637" s="209"/>
      <c r="I1637" s="210"/>
    </row>
    <row r="1638" spans="8:9" hidden="1" x14ac:dyDescent="0.3">
      <c r="H1638" s="209"/>
      <c r="I1638" s="210"/>
    </row>
    <row r="1639" spans="8:9" hidden="1" x14ac:dyDescent="0.3">
      <c r="H1639" s="209"/>
      <c r="I1639" s="210"/>
    </row>
    <row r="1640" spans="8:9" hidden="1" x14ac:dyDescent="0.3">
      <c r="H1640" s="209"/>
      <c r="I1640" s="210"/>
    </row>
    <row r="1641" spans="8:9" hidden="1" x14ac:dyDescent="0.3">
      <c r="H1641" s="209"/>
      <c r="I1641" s="210"/>
    </row>
    <row r="1642" spans="8:9" hidden="1" x14ac:dyDescent="0.3">
      <c r="H1642" s="209"/>
      <c r="I1642" s="210"/>
    </row>
    <row r="1643" spans="8:9" hidden="1" x14ac:dyDescent="0.3">
      <c r="H1643" s="209"/>
      <c r="I1643" s="210"/>
    </row>
    <row r="1644" spans="8:9" hidden="1" x14ac:dyDescent="0.3">
      <c r="H1644" s="209"/>
      <c r="I1644" s="210"/>
    </row>
    <row r="1645" spans="8:9" hidden="1" x14ac:dyDescent="0.3">
      <c r="H1645" s="209"/>
      <c r="I1645" s="210"/>
    </row>
    <row r="1646" spans="8:9" hidden="1" x14ac:dyDescent="0.3">
      <c r="H1646" s="209"/>
      <c r="I1646" s="210"/>
    </row>
    <row r="1647" spans="8:9" hidden="1" x14ac:dyDescent="0.3">
      <c r="H1647" s="209"/>
      <c r="I1647" s="210"/>
    </row>
    <row r="1648" spans="8:9" hidden="1" x14ac:dyDescent="0.3">
      <c r="H1648" s="209"/>
      <c r="I1648" s="210"/>
    </row>
    <row r="1649" spans="8:9" hidden="1" x14ac:dyDescent="0.3">
      <c r="H1649" s="209"/>
      <c r="I1649" s="210"/>
    </row>
    <row r="1650" spans="8:9" hidden="1" x14ac:dyDescent="0.3">
      <c r="H1650" s="209"/>
      <c r="I1650" s="210"/>
    </row>
    <row r="1651" spans="8:9" hidden="1" x14ac:dyDescent="0.3">
      <c r="H1651" s="209"/>
      <c r="I1651" s="210"/>
    </row>
    <row r="1652" spans="8:9" hidden="1" x14ac:dyDescent="0.3">
      <c r="H1652" s="209"/>
      <c r="I1652" s="210"/>
    </row>
    <row r="1653" spans="8:9" hidden="1" x14ac:dyDescent="0.3">
      <c r="H1653" s="209"/>
      <c r="I1653" s="210"/>
    </row>
    <row r="1654" spans="8:9" hidden="1" x14ac:dyDescent="0.3">
      <c r="H1654" s="209"/>
      <c r="I1654" s="210"/>
    </row>
    <row r="1655" spans="8:9" hidden="1" x14ac:dyDescent="0.3">
      <c r="H1655" s="209"/>
      <c r="I1655" s="210"/>
    </row>
    <row r="1656" spans="8:9" hidden="1" x14ac:dyDescent="0.3">
      <c r="H1656" s="209"/>
      <c r="I1656" s="210"/>
    </row>
    <row r="1657" spans="8:9" hidden="1" x14ac:dyDescent="0.3">
      <c r="H1657" s="209"/>
      <c r="I1657" s="210"/>
    </row>
    <row r="1658" spans="8:9" hidden="1" x14ac:dyDescent="0.3">
      <c r="H1658" s="209"/>
      <c r="I1658" s="210"/>
    </row>
    <row r="1659" spans="8:9" hidden="1" x14ac:dyDescent="0.3">
      <c r="H1659" s="209"/>
      <c r="I1659" s="210"/>
    </row>
    <row r="1660" spans="8:9" hidden="1" x14ac:dyDescent="0.3">
      <c r="H1660" s="209"/>
      <c r="I1660" s="210"/>
    </row>
    <row r="1661" spans="8:9" hidden="1" x14ac:dyDescent="0.3">
      <c r="H1661" s="209"/>
      <c r="I1661" s="210"/>
    </row>
    <row r="1662" spans="8:9" hidden="1" x14ac:dyDescent="0.3">
      <c r="H1662" s="209"/>
      <c r="I1662" s="210"/>
    </row>
    <row r="1663" spans="8:9" hidden="1" x14ac:dyDescent="0.3">
      <c r="H1663" s="209"/>
      <c r="I1663" s="210"/>
    </row>
    <row r="1664" spans="8:9" hidden="1" x14ac:dyDescent="0.3">
      <c r="H1664" s="209"/>
      <c r="I1664" s="210"/>
    </row>
    <row r="1665" spans="8:9" hidden="1" x14ac:dyDescent="0.3">
      <c r="H1665" s="209"/>
      <c r="I1665" s="210"/>
    </row>
    <row r="1666" spans="8:9" hidden="1" x14ac:dyDescent="0.3">
      <c r="H1666" s="209"/>
      <c r="I1666" s="210"/>
    </row>
    <row r="1667" spans="8:9" hidden="1" x14ac:dyDescent="0.3">
      <c r="H1667" s="209"/>
      <c r="I1667" s="210"/>
    </row>
    <row r="1668" spans="8:9" hidden="1" x14ac:dyDescent="0.3">
      <c r="H1668" s="209"/>
      <c r="I1668" s="210"/>
    </row>
    <row r="1669" spans="8:9" hidden="1" x14ac:dyDescent="0.3">
      <c r="H1669" s="209"/>
      <c r="I1669" s="210"/>
    </row>
    <row r="1670" spans="8:9" hidden="1" x14ac:dyDescent="0.3">
      <c r="H1670" s="209"/>
      <c r="I1670" s="210"/>
    </row>
    <row r="1671" spans="8:9" hidden="1" x14ac:dyDescent="0.3">
      <c r="H1671" s="209"/>
      <c r="I1671" s="210"/>
    </row>
    <row r="1672" spans="8:9" hidden="1" x14ac:dyDescent="0.3">
      <c r="H1672" s="209"/>
      <c r="I1672" s="210"/>
    </row>
    <row r="1673" spans="8:9" hidden="1" x14ac:dyDescent="0.3">
      <c r="H1673" s="209"/>
      <c r="I1673" s="210"/>
    </row>
    <row r="1674" spans="8:9" hidden="1" x14ac:dyDescent="0.3">
      <c r="H1674" s="209"/>
      <c r="I1674" s="210"/>
    </row>
    <row r="1675" spans="8:9" hidden="1" x14ac:dyDescent="0.3">
      <c r="H1675" s="209"/>
      <c r="I1675" s="210"/>
    </row>
    <row r="1676" spans="8:9" hidden="1" x14ac:dyDescent="0.3">
      <c r="H1676" s="209"/>
      <c r="I1676" s="210"/>
    </row>
    <row r="1677" spans="8:9" hidden="1" x14ac:dyDescent="0.3">
      <c r="H1677" s="209"/>
      <c r="I1677" s="210"/>
    </row>
    <row r="1678" spans="8:9" hidden="1" x14ac:dyDescent="0.3">
      <c r="H1678" s="209"/>
      <c r="I1678" s="210"/>
    </row>
    <row r="1679" spans="8:9" hidden="1" x14ac:dyDescent="0.3">
      <c r="H1679" s="209"/>
      <c r="I1679" s="210"/>
    </row>
    <row r="1680" spans="8:9" hidden="1" x14ac:dyDescent="0.3">
      <c r="H1680" s="209"/>
      <c r="I1680" s="210"/>
    </row>
    <row r="1681" spans="8:9" hidden="1" x14ac:dyDescent="0.3">
      <c r="H1681" s="209"/>
      <c r="I1681" s="210"/>
    </row>
    <row r="1682" spans="8:9" hidden="1" x14ac:dyDescent="0.3">
      <c r="H1682" s="209"/>
      <c r="I1682" s="210"/>
    </row>
    <row r="1683" spans="8:9" hidden="1" x14ac:dyDescent="0.3">
      <c r="H1683" s="209"/>
      <c r="I1683" s="210"/>
    </row>
    <row r="1684" spans="8:9" hidden="1" x14ac:dyDescent="0.3">
      <c r="H1684" s="209"/>
      <c r="I1684" s="210"/>
    </row>
    <row r="1685" spans="8:9" hidden="1" x14ac:dyDescent="0.3">
      <c r="H1685" s="209"/>
      <c r="I1685" s="210"/>
    </row>
    <row r="1686" spans="8:9" hidden="1" x14ac:dyDescent="0.3">
      <c r="H1686" s="209"/>
      <c r="I1686" s="210"/>
    </row>
    <row r="1687" spans="8:9" hidden="1" x14ac:dyDescent="0.3">
      <c r="H1687" s="209"/>
      <c r="I1687" s="210"/>
    </row>
    <row r="1688" spans="8:9" hidden="1" x14ac:dyDescent="0.3">
      <c r="H1688" s="209"/>
      <c r="I1688" s="210"/>
    </row>
    <row r="1689" spans="8:9" hidden="1" x14ac:dyDescent="0.3">
      <c r="H1689" s="209"/>
      <c r="I1689" s="210"/>
    </row>
    <row r="1690" spans="8:9" hidden="1" x14ac:dyDescent="0.3">
      <c r="H1690" s="209"/>
      <c r="I1690" s="210"/>
    </row>
    <row r="1691" spans="8:9" hidden="1" x14ac:dyDescent="0.3">
      <c r="H1691" s="209"/>
      <c r="I1691" s="210"/>
    </row>
    <row r="1692" spans="8:9" hidden="1" x14ac:dyDescent="0.3">
      <c r="H1692" s="209"/>
      <c r="I1692" s="210"/>
    </row>
    <row r="1693" spans="8:9" hidden="1" x14ac:dyDescent="0.3">
      <c r="H1693" s="209"/>
      <c r="I1693" s="210"/>
    </row>
    <row r="1694" spans="8:9" hidden="1" x14ac:dyDescent="0.3">
      <c r="H1694" s="209"/>
      <c r="I1694" s="210"/>
    </row>
    <row r="1695" spans="8:9" hidden="1" x14ac:dyDescent="0.3">
      <c r="H1695" s="209"/>
      <c r="I1695" s="210"/>
    </row>
    <row r="1696" spans="8:9" hidden="1" x14ac:dyDescent="0.3">
      <c r="H1696" s="209"/>
      <c r="I1696" s="210"/>
    </row>
    <row r="1697" spans="8:9" hidden="1" x14ac:dyDescent="0.3">
      <c r="H1697" s="209"/>
      <c r="I1697" s="210"/>
    </row>
    <row r="1698" spans="8:9" hidden="1" x14ac:dyDescent="0.3">
      <c r="H1698" s="209"/>
      <c r="I1698" s="210"/>
    </row>
    <row r="1699" spans="8:9" hidden="1" x14ac:dyDescent="0.3">
      <c r="H1699" s="209"/>
      <c r="I1699" s="210"/>
    </row>
    <row r="1700" spans="8:9" hidden="1" x14ac:dyDescent="0.3">
      <c r="H1700" s="209"/>
      <c r="I1700" s="210"/>
    </row>
    <row r="1701" spans="8:9" hidden="1" x14ac:dyDescent="0.3">
      <c r="H1701" s="209"/>
      <c r="I1701" s="210"/>
    </row>
    <row r="1702" spans="8:9" hidden="1" x14ac:dyDescent="0.3">
      <c r="H1702" s="209"/>
      <c r="I1702" s="210"/>
    </row>
    <row r="1703" spans="8:9" hidden="1" x14ac:dyDescent="0.3">
      <c r="H1703" s="209"/>
      <c r="I1703" s="210"/>
    </row>
    <row r="1704" spans="8:9" hidden="1" x14ac:dyDescent="0.3">
      <c r="H1704" s="209"/>
      <c r="I1704" s="210"/>
    </row>
    <row r="1705" spans="8:9" hidden="1" x14ac:dyDescent="0.3">
      <c r="H1705" s="209"/>
      <c r="I1705" s="210"/>
    </row>
    <row r="1706" spans="8:9" hidden="1" x14ac:dyDescent="0.3">
      <c r="H1706" s="209"/>
      <c r="I1706" s="210"/>
    </row>
    <row r="1707" spans="8:9" hidden="1" x14ac:dyDescent="0.3">
      <c r="H1707" s="209"/>
      <c r="I1707" s="210"/>
    </row>
    <row r="1708" spans="8:9" hidden="1" x14ac:dyDescent="0.3">
      <c r="H1708" s="209"/>
      <c r="I1708" s="210"/>
    </row>
    <row r="1709" spans="8:9" hidden="1" x14ac:dyDescent="0.3">
      <c r="H1709" s="209"/>
      <c r="I1709" s="210"/>
    </row>
    <row r="1710" spans="8:9" hidden="1" x14ac:dyDescent="0.3">
      <c r="H1710" s="209"/>
      <c r="I1710" s="210"/>
    </row>
    <row r="1711" spans="8:9" hidden="1" x14ac:dyDescent="0.3">
      <c r="H1711" s="209"/>
      <c r="I1711" s="210"/>
    </row>
    <row r="1712" spans="8:9" hidden="1" x14ac:dyDescent="0.3">
      <c r="H1712" s="209"/>
      <c r="I1712" s="210"/>
    </row>
    <row r="1713" spans="8:9" hidden="1" x14ac:dyDescent="0.3">
      <c r="H1713" s="209"/>
      <c r="I1713" s="210"/>
    </row>
    <row r="1714" spans="8:9" hidden="1" x14ac:dyDescent="0.3">
      <c r="H1714" s="209"/>
      <c r="I1714" s="210"/>
    </row>
    <row r="1715" spans="8:9" hidden="1" x14ac:dyDescent="0.3">
      <c r="H1715" s="209"/>
      <c r="I1715" s="210"/>
    </row>
    <row r="1716" spans="8:9" hidden="1" x14ac:dyDescent="0.3">
      <c r="H1716" s="209"/>
      <c r="I1716" s="210"/>
    </row>
    <row r="1717" spans="8:9" hidden="1" x14ac:dyDescent="0.3">
      <c r="H1717" s="209"/>
      <c r="I1717" s="210"/>
    </row>
    <row r="1718" spans="8:9" hidden="1" x14ac:dyDescent="0.3">
      <c r="H1718" s="209"/>
      <c r="I1718" s="210"/>
    </row>
    <row r="1719" spans="8:9" hidden="1" x14ac:dyDescent="0.3">
      <c r="H1719" s="209"/>
      <c r="I1719" s="210"/>
    </row>
    <row r="1720" spans="8:9" hidden="1" x14ac:dyDescent="0.3">
      <c r="H1720" s="209"/>
      <c r="I1720" s="210"/>
    </row>
    <row r="1721" spans="8:9" hidden="1" x14ac:dyDescent="0.3">
      <c r="H1721" s="209"/>
      <c r="I1721" s="210"/>
    </row>
    <row r="1722" spans="8:9" hidden="1" x14ac:dyDescent="0.3">
      <c r="H1722" s="209"/>
      <c r="I1722" s="210"/>
    </row>
    <row r="1723" spans="8:9" hidden="1" x14ac:dyDescent="0.3">
      <c r="H1723" s="209"/>
      <c r="I1723" s="210"/>
    </row>
    <row r="1724" spans="8:9" hidden="1" x14ac:dyDescent="0.3">
      <c r="H1724" s="209"/>
      <c r="I1724" s="210"/>
    </row>
    <row r="1725" spans="8:9" hidden="1" x14ac:dyDescent="0.3">
      <c r="H1725" s="209"/>
      <c r="I1725" s="210"/>
    </row>
    <row r="1726" spans="8:9" hidden="1" x14ac:dyDescent="0.3">
      <c r="H1726" s="209"/>
      <c r="I1726" s="210"/>
    </row>
    <row r="1727" spans="8:9" hidden="1" x14ac:dyDescent="0.3">
      <c r="H1727" s="209"/>
      <c r="I1727" s="210"/>
    </row>
    <row r="1728" spans="8:9" hidden="1" x14ac:dyDescent="0.3">
      <c r="H1728" s="209"/>
      <c r="I1728" s="210"/>
    </row>
    <row r="1729" spans="8:9" hidden="1" x14ac:dyDescent="0.3">
      <c r="H1729" s="209"/>
      <c r="I1729" s="210"/>
    </row>
    <row r="1730" spans="8:9" hidden="1" x14ac:dyDescent="0.3">
      <c r="H1730" s="209"/>
      <c r="I1730" s="210"/>
    </row>
    <row r="1731" spans="8:9" hidden="1" x14ac:dyDescent="0.3">
      <c r="H1731" s="209"/>
      <c r="I1731" s="210"/>
    </row>
    <row r="1732" spans="8:9" hidden="1" x14ac:dyDescent="0.3">
      <c r="H1732" s="209"/>
      <c r="I1732" s="210"/>
    </row>
    <row r="1733" spans="8:9" hidden="1" x14ac:dyDescent="0.3">
      <c r="H1733" s="209"/>
      <c r="I1733" s="210"/>
    </row>
    <row r="1734" spans="8:9" hidden="1" x14ac:dyDescent="0.3">
      <c r="H1734" s="209"/>
      <c r="I1734" s="210"/>
    </row>
    <row r="1735" spans="8:9" hidden="1" x14ac:dyDescent="0.3">
      <c r="H1735" s="209"/>
      <c r="I1735" s="210"/>
    </row>
    <row r="1736" spans="8:9" hidden="1" x14ac:dyDescent="0.3">
      <c r="H1736" s="209"/>
      <c r="I1736" s="210"/>
    </row>
    <row r="1737" spans="8:9" hidden="1" x14ac:dyDescent="0.3">
      <c r="H1737" s="209"/>
      <c r="I1737" s="210"/>
    </row>
    <row r="1738" spans="8:9" hidden="1" x14ac:dyDescent="0.3">
      <c r="H1738" s="209"/>
      <c r="I1738" s="210"/>
    </row>
    <row r="1739" spans="8:9" hidden="1" x14ac:dyDescent="0.3">
      <c r="H1739" s="209"/>
      <c r="I1739" s="210"/>
    </row>
    <row r="1740" spans="8:9" hidden="1" x14ac:dyDescent="0.3">
      <c r="H1740" s="209"/>
      <c r="I1740" s="210"/>
    </row>
    <row r="1741" spans="8:9" hidden="1" x14ac:dyDescent="0.3">
      <c r="H1741" s="209"/>
      <c r="I1741" s="210"/>
    </row>
    <row r="1742" spans="8:9" hidden="1" x14ac:dyDescent="0.3">
      <c r="H1742" s="209"/>
      <c r="I1742" s="210"/>
    </row>
    <row r="1743" spans="8:9" hidden="1" x14ac:dyDescent="0.3">
      <c r="H1743" s="209"/>
      <c r="I1743" s="210"/>
    </row>
    <row r="1744" spans="8:9" hidden="1" x14ac:dyDescent="0.3">
      <c r="H1744" s="209"/>
      <c r="I1744" s="210"/>
    </row>
    <row r="1745" spans="8:9" hidden="1" x14ac:dyDescent="0.3">
      <c r="H1745" s="209"/>
      <c r="I1745" s="210"/>
    </row>
    <row r="1746" spans="8:9" hidden="1" x14ac:dyDescent="0.3">
      <c r="H1746" s="209"/>
      <c r="I1746" s="210"/>
    </row>
    <row r="1747" spans="8:9" hidden="1" x14ac:dyDescent="0.3">
      <c r="H1747" s="209"/>
      <c r="I1747" s="210"/>
    </row>
    <row r="1748" spans="8:9" hidden="1" x14ac:dyDescent="0.3">
      <c r="H1748" s="209"/>
      <c r="I1748" s="210"/>
    </row>
    <row r="1749" spans="8:9" hidden="1" x14ac:dyDescent="0.3">
      <c r="H1749" s="209"/>
      <c r="I1749" s="210"/>
    </row>
    <row r="1750" spans="8:9" hidden="1" x14ac:dyDescent="0.3">
      <c r="H1750" s="209"/>
      <c r="I1750" s="210"/>
    </row>
    <row r="1751" spans="8:9" hidden="1" x14ac:dyDescent="0.3">
      <c r="H1751" s="209"/>
      <c r="I1751" s="210"/>
    </row>
    <row r="1752" spans="8:9" hidden="1" x14ac:dyDescent="0.3">
      <c r="H1752" s="209"/>
      <c r="I1752" s="210"/>
    </row>
    <row r="1753" spans="8:9" hidden="1" x14ac:dyDescent="0.3">
      <c r="H1753" s="209"/>
      <c r="I1753" s="210"/>
    </row>
    <row r="1754" spans="8:9" hidden="1" x14ac:dyDescent="0.3">
      <c r="H1754" s="209"/>
      <c r="I1754" s="210"/>
    </row>
    <row r="1755" spans="8:9" hidden="1" x14ac:dyDescent="0.3">
      <c r="H1755" s="209"/>
      <c r="I1755" s="210"/>
    </row>
    <row r="1756" spans="8:9" hidden="1" x14ac:dyDescent="0.3">
      <c r="H1756" s="209"/>
      <c r="I1756" s="210"/>
    </row>
    <row r="1757" spans="8:9" hidden="1" x14ac:dyDescent="0.3">
      <c r="H1757" s="209"/>
      <c r="I1757" s="210"/>
    </row>
    <row r="1758" spans="8:9" hidden="1" x14ac:dyDescent="0.3">
      <c r="H1758" s="209"/>
      <c r="I1758" s="210"/>
    </row>
    <row r="1759" spans="8:9" hidden="1" x14ac:dyDescent="0.3">
      <c r="H1759" s="209"/>
      <c r="I1759" s="210"/>
    </row>
    <row r="1760" spans="8:9" hidden="1" x14ac:dyDescent="0.3">
      <c r="H1760" s="209"/>
      <c r="I1760" s="210"/>
    </row>
    <row r="1761" spans="8:9" hidden="1" x14ac:dyDescent="0.3">
      <c r="H1761" s="209"/>
      <c r="I1761" s="210"/>
    </row>
    <row r="1762" spans="8:9" hidden="1" x14ac:dyDescent="0.3">
      <c r="H1762" s="209"/>
      <c r="I1762" s="210"/>
    </row>
    <row r="1763" spans="8:9" hidden="1" x14ac:dyDescent="0.3">
      <c r="H1763" s="209"/>
      <c r="I1763" s="210"/>
    </row>
    <row r="1764" spans="8:9" hidden="1" x14ac:dyDescent="0.3">
      <c r="H1764" s="209"/>
      <c r="I1764" s="210"/>
    </row>
    <row r="1765" spans="8:9" hidden="1" x14ac:dyDescent="0.3">
      <c r="H1765" s="209"/>
      <c r="I1765" s="210"/>
    </row>
    <row r="1766" spans="8:9" hidden="1" x14ac:dyDescent="0.3">
      <c r="H1766" s="209"/>
      <c r="I1766" s="210"/>
    </row>
    <row r="1767" spans="8:9" hidden="1" x14ac:dyDescent="0.3">
      <c r="H1767" s="209"/>
      <c r="I1767" s="210"/>
    </row>
    <row r="1768" spans="8:9" hidden="1" x14ac:dyDescent="0.3">
      <c r="H1768" s="209"/>
      <c r="I1768" s="210"/>
    </row>
    <row r="1769" spans="8:9" hidden="1" x14ac:dyDescent="0.3">
      <c r="H1769" s="209"/>
      <c r="I1769" s="210"/>
    </row>
    <row r="1770" spans="8:9" hidden="1" x14ac:dyDescent="0.3">
      <c r="H1770" s="209"/>
      <c r="I1770" s="210"/>
    </row>
    <row r="1771" spans="8:9" hidden="1" x14ac:dyDescent="0.3">
      <c r="H1771" s="209"/>
      <c r="I1771" s="210"/>
    </row>
    <row r="1772" spans="8:9" hidden="1" x14ac:dyDescent="0.3">
      <c r="H1772" s="209"/>
      <c r="I1772" s="210"/>
    </row>
    <row r="1773" spans="8:9" hidden="1" x14ac:dyDescent="0.3">
      <c r="H1773" s="209"/>
      <c r="I1773" s="210"/>
    </row>
    <row r="1774" spans="8:9" hidden="1" x14ac:dyDescent="0.3">
      <c r="H1774" s="209"/>
      <c r="I1774" s="210"/>
    </row>
    <row r="1775" spans="8:9" hidden="1" x14ac:dyDescent="0.3">
      <c r="H1775" s="209"/>
      <c r="I1775" s="210"/>
    </row>
    <row r="1776" spans="8:9" hidden="1" x14ac:dyDescent="0.3">
      <c r="H1776" s="209"/>
      <c r="I1776" s="210"/>
    </row>
    <row r="1777" spans="8:9" hidden="1" x14ac:dyDescent="0.3">
      <c r="H1777" s="209"/>
      <c r="I1777" s="210"/>
    </row>
    <row r="1778" spans="8:9" hidden="1" x14ac:dyDescent="0.3">
      <c r="H1778" s="209"/>
      <c r="I1778" s="210"/>
    </row>
    <row r="1779" spans="8:9" hidden="1" x14ac:dyDescent="0.3">
      <c r="H1779" s="209"/>
      <c r="I1779" s="210"/>
    </row>
    <row r="1780" spans="8:9" hidden="1" x14ac:dyDescent="0.3">
      <c r="H1780" s="209"/>
      <c r="I1780" s="210"/>
    </row>
    <row r="1781" spans="8:9" hidden="1" x14ac:dyDescent="0.3">
      <c r="H1781" s="209"/>
      <c r="I1781" s="210"/>
    </row>
    <row r="1782" spans="8:9" hidden="1" x14ac:dyDescent="0.3">
      <c r="H1782" s="209"/>
      <c r="I1782" s="210"/>
    </row>
    <row r="1783" spans="8:9" hidden="1" x14ac:dyDescent="0.3">
      <c r="H1783" s="209"/>
      <c r="I1783" s="210"/>
    </row>
    <row r="1784" spans="8:9" hidden="1" x14ac:dyDescent="0.3">
      <c r="H1784" s="209"/>
      <c r="I1784" s="210"/>
    </row>
    <row r="1785" spans="8:9" hidden="1" x14ac:dyDescent="0.3">
      <c r="H1785" s="209"/>
      <c r="I1785" s="210"/>
    </row>
    <row r="1786" spans="8:9" hidden="1" x14ac:dyDescent="0.3">
      <c r="H1786" s="209"/>
      <c r="I1786" s="210"/>
    </row>
    <row r="1787" spans="8:9" hidden="1" x14ac:dyDescent="0.3">
      <c r="H1787" s="209"/>
      <c r="I1787" s="210"/>
    </row>
    <row r="1788" spans="8:9" hidden="1" x14ac:dyDescent="0.3">
      <c r="H1788" s="209"/>
      <c r="I1788" s="210"/>
    </row>
    <row r="1789" spans="8:9" hidden="1" x14ac:dyDescent="0.3">
      <c r="H1789" s="209"/>
      <c r="I1789" s="210"/>
    </row>
    <row r="1790" spans="8:9" hidden="1" x14ac:dyDescent="0.3">
      <c r="H1790" s="209"/>
      <c r="I1790" s="210"/>
    </row>
    <row r="1791" spans="8:9" hidden="1" x14ac:dyDescent="0.3">
      <c r="H1791" s="209"/>
      <c r="I1791" s="210"/>
    </row>
    <row r="1792" spans="8:9" hidden="1" x14ac:dyDescent="0.3">
      <c r="H1792" s="209"/>
      <c r="I1792" s="210"/>
    </row>
    <row r="1793" spans="8:9" hidden="1" x14ac:dyDescent="0.3">
      <c r="H1793" s="209"/>
      <c r="I1793" s="210"/>
    </row>
    <row r="1794" spans="8:9" hidden="1" x14ac:dyDescent="0.3">
      <c r="H1794" s="209"/>
      <c r="I1794" s="210"/>
    </row>
    <row r="1795" spans="8:9" hidden="1" x14ac:dyDescent="0.3">
      <c r="H1795" s="209"/>
      <c r="I1795" s="210"/>
    </row>
    <row r="1796" spans="8:9" hidden="1" x14ac:dyDescent="0.3">
      <c r="H1796" s="209"/>
      <c r="I1796" s="210"/>
    </row>
    <row r="1797" spans="8:9" hidden="1" x14ac:dyDescent="0.3">
      <c r="H1797" s="209"/>
      <c r="I1797" s="210"/>
    </row>
    <row r="1798" spans="8:9" hidden="1" x14ac:dyDescent="0.3">
      <c r="H1798" s="209"/>
      <c r="I1798" s="210"/>
    </row>
    <row r="1799" spans="8:9" hidden="1" x14ac:dyDescent="0.3">
      <c r="H1799" s="209"/>
      <c r="I1799" s="210"/>
    </row>
    <row r="1800" spans="8:9" hidden="1" x14ac:dyDescent="0.3">
      <c r="H1800" s="209"/>
      <c r="I1800" s="210"/>
    </row>
    <row r="1801" spans="8:9" hidden="1" x14ac:dyDescent="0.3">
      <c r="H1801" s="209"/>
      <c r="I1801" s="210"/>
    </row>
    <row r="1802" spans="8:9" hidden="1" x14ac:dyDescent="0.3">
      <c r="H1802" s="209"/>
      <c r="I1802" s="210"/>
    </row>
    <row r="1803" spans="8:9" hidden="1" x14ac:dyDescent="0.3">
      <c r="H1803" s="209"/>
      <c r="I1803" s="210"/>
    </row>
    <row r="1804" spans="8:9" hidden="1" x14ac:dyDescent="0.3">
      <c r="H1804" s="209"/>
      <c r="I1804" s="210"/>
    </row>
    <row r="1805" spans="8:9" hidden="1" x14ac:dyDescent="0.3">
      <c r="H1805" s="209"/>
      <c r="I1805" s="210"/>
    </row>
    <row r="1806" spans="8:9" hidden="1" x14ac:dyDescent="0.3">
      <c r="H1806" s="209"/>
      <c r="I1806" s="210"/>
    </row>
    <row r="1807" spans="8:9" hidden="1" x14ac:dyDescent="0.3">
      <c r="H1807" s="209"/>
      <c r="I1807" s="210"/>
    </row>
    <row r="1808" spans="8:9" hidden="1" x14ac:dyDescent="0.3">
      <c r="H1808" s="209"/>
      <c r="I1808" s="210"/>
    </row>
    <row r="1809" spans="8:9" hidden="1" x14ac:dyDescent="0.3">
      <c r="H1809" s="209"/>
      <c r="I1809" s="210"/>
    </row>
    <row r="1810" spans="8:9" hidden="1" x14ac:dyDescent="0.3">
      <c r="H1810" s="209"/>
      <c r="I1810" s="210"/>
    </row>
    <row r="1811" spans="8:9" hidden="1" x14ac:dyDescent="0.3">
      <c r="H1811" s="209"/>
      <c r="I1811" s="210"/>
    </row>
    <row r="1812" spans="8:9" hidden="1" x14ac:dyDescent="0.3">
      <c r="H1812" s="209"/>
      <c r="I1812" s="210"/>
    </row>
    <row r="1813" spans="8:9" hidden="1" x14ac:dyDescent="0.3">
      <c r="H1813" s="209"/>
      <c r="I1813" s="210"/>
    </row>
    <row r="1814" spans="8:9" hidden="1" x14ac:dyDescent="0.3">
      <c r="H1814" s="209"/>
      <c r="I1814" s="210"/>
    </row>
    <row r="1815" spans="8:9" hidden="1" x14ac:dyDescent="0.3">
      <c r="H1815" s="209"/>
      <c r="I1815" s="210"/>
    </row>
    <row r="1816" spans="8:9" hidden="1" x14ac:dyDescent="0.3">
      <c r="H1816" s="209"/>
      <c r="I1816" s="210"/>
    </row>
    <row r="1817" spans="8:9" hidden="1" x14ac:dyDescent="0.3">
      <c r="H1817" s="209"/>
      <c r="I1817" s="210"/>
    </row>
    <row r="1818" spans="8:9" hidden="1" x14ac:dyDescent="0.3">
      <c r="H1818" s="209"/>
      <c r="I1818" s="210"/>
    </row>
    <row r="1819" spans="8:9" hidden="1" x14ac:dyDescent="0.3">
      <c r="H1819" s="209"/>
      <c r="I1819" s="210"/>
    </row>
    <row r="1820" spans="8:9" hidden="1" x14ac:dyDescent="0.3">
      <c r="H1820" s="209"/>
      <c r="I1820" s="210"/>
    </row>
    <row r="1821" spans="8:9" hidden="1" x14ac:dyDescent="0.3">
      <c r="H1821" s="209"/>
      <c r="I1821" s="210"/>
    </row>
    <row r="1822" spans="8:9" hidden="1" x14ac:dyDescent="0.3">
      <c r="H1822" s="209"/>
      <c r="I1822" s="210"/>
    </row>
    <row r="1823" spans="8:9" hidden="1" x14ac:dyDescent="0.3">
      <c r="H1823" s="209"/>
      <c r="I1823" s="210"/>
    </row>
    <row r="1824" spans="8:9" hidden="1" x14ac:dyDescent="0.3">
      <c r="H1824" s="209"/>
      <c r="I1824" s="210"/>
    </row>
    <row r="1825" spans="8:9" hidden="1" x14ac:dyDescent="0.3">
      <c r="H1825" s="209"/>
      <c r="I1825" s="210"/>
    </row>
    <row r="1826" spans="8:9" hidden="1" x14ac:dyDescent="0.3">
      <c r="H1826" s="209"/>
      <c r="I1826" s="210"/>
    </row>
    <row r="1827" spans="8:9" hidden="1" x14ac:dyDescent="0.3">
      <c r="H1827" s="209"/>
      <c r="I1827" s="210"/>
    </row>
    <row r="1828" spans="8:9" hidden="1" x14ac:dyDescent="0.3">
      <c r="H1828" s="209"/>
      <c r="I1828" s="210"/>
    </row>
    <row r="1829" spans="8:9" hidden="1" x14ac:dyDescent="0.3">
      <c r="H1829" s="209"/>
      <c r="I1829" s="210"/>
    </row>
    <row r="1830" spans="8:9" hidden="1" x14ac:dyDescent="0.3">
      <c r="H1830" s="209"/>
      <c r="I1830" s="210"/>
    </row>
    <row r="1831" spans="8:9" hidden="1" x14ac:dyDescent="0.3">
      <c r="H1831" s="209"/>
      <c r="I1831" s="210"/>
    </row>
    <row r="1832" spans="8:9" hidden="1" x14ac:dyDescent="0.3">
      <c r="H1832" s="209"/>
      <c r="I1832" s="210"/>
    </row>
    <row r="1833" spans="8:9" hidden="1" x14ac:dyDescent="0.3">
      <c r="H1833" s="209"/>
      <c r="I1833" s="210"/>
    </row>
    <row r="1834" spans="8:9" hidden="1" x14ac:dyDescent="0.3">
      <c r="H1834" s="209"/>
      <c r="I1834" s="210"/>
    </row>
    <row r="1835" spans="8:9" hidden="1" x14ac:dyDescent="0.3">
      <c r="H1835" s="209"/>
      <c r="I1835" s="210"/>
    </row>
    <row r="1836" spans="8:9" hidden="1" x14ac:dyDescent="0.3">
      <c r="H1836" s="209"/>
      <c r="I1836" s="210"/>
    </row>
    <row r="1837" spans="8:9" hidden="1" x14ac:dyDescent="0.3">
      <c r="H1837" s="209"/>
      <c r="I1837" s="210"/>
    </row>
    <row r="1838" spans="8:9" hidden="1" x14ac:dyDescent="0.3">
      <c r="H1838" s="209"/>
      <c r="I1838" s="210"/>
    </row>
    <row r="1839" spans="8:9" hidden="1" x14ac:dyDescent="0.3">
      <c r="H1839" s="209"/>
      <c r="I1839" s="210"/>
    </row>
    <row r="1840" spans="8:9" hidden="1" x14ac:dyDescent="0.3">
      <c r="H1840" s="209"/>
      <c r="I1840" s="210"/>
    </row>
    <row r="1841" spans="8:9" hidden="1" x14ac:dyDescent="0.3">
      <c r="H1841" s="209"/>
      <c r="I1841" s="210"/>
    </row>
    <row r="1842" spans="8:9" hidden="1" x14ac:dyDescent="0.3">
      <c r="H1842" s="209"/>
      <c r="I1842" s="210"/>
    </row>
    <row r="1843" spans="8:9" hidden="1" x14ac:dyDescent="0.3">
      <c r="H1843" s="209"/>
      <c r="I1843" s="210"/>
    </row>
    <row r="1844" spans="8:9" hidden="1" x14ac:dyDescent="0.3">
      <c r="H1844" s="209"/>
      <c r="I1844" s="210"/>
    </row>
    <row r="1845" spans="8:9" hidden="1" x14ac:dyDescent="0.3">
      <c r="H1845" s="209"/>
      <c r="I1845" s="210"/>
    </row>
    <row r="1846" spans="8:9" hidden="1" x14ac:dyDescent="0.3">
      <c r="H1846" s="209"/>
      <c r="I1846" s="210"/>
    </row>
    <row r="1847" spans="8:9" hidden="1" x14ac:dyDescent="0.3">
      <c r="H1847" s="209"/>
      <c r="I1847" s="210"/>
    </row>
    <row r="1848" spans="8:9" hidden="1" x14ac:dyDescent="0.3">
      <c r="H1848" s="209"/>
      <c r="I1848" s="210"/>
    </row>
    <row r="1849" spans="8:9" hidden="1" x14ac:dyDescent="0.3">
      <c r="H1849" s="209"/>
      <c r="I1849" s="210"/>
    </row>
    <row r="1850" spans="8:9" hidden="1" x14ac:dyDescent="0.3">
      <c r="H1850" s="209"/>
      <c r="I1850" s="210"/>
    </row>
    <row r="1851" spans="8:9" hidden="1" x14ac:dyDescent="0.3">
      <c r="H1851" s="209"/>
      <c r="I1851" s="210"/>
    </row>
    <row r="1852" spans="8:9" hidden="1" x14ac:dyDescent="0.3">
      <c r="H1852" s="209"/>
      <c r="I1852" s="210"/>
    </row>
    <row r="1853" spans="8:9" hidden="1" x14ac:dyDescent="0.3">
      <c r="H1853" s="209"/>
      <c r="I1853" s="210"/>
    </row>
    <row r="1854" spans="8:9" hidden="1" x14ac:dyDescent="0.3">
      <c r="H1854" s="209"/>
      <c r="I1854" s="210"/>
    </row>
    <row r="1855" spans="8:9" hidden="1" x14ac:dyDescent="0.3">
      <c r="H1855" s="209"/>
      <c r="I1855" s="210"/>
    </row>
    <row r="1856" spans="8:9" hidden="1" x14ac:dyDescent="0.3">
      <c r="H1856" s="209"/>
      <c r="I1856" s="210"/>
    </row>
    <row r="1857" spans="8:9" hidden="1" x14ac:dyDescent="0.3">
      <c r="H1857" s="209"/>
      <c r="I1857" s="210"/>
    </row>
    <row r="1858" spans="8:9" hidden="1" x14ac:dyDescent="0.3">
      <c r="H1858" s="209"/>
      <c r="I1858" s="210"/>
    </row>
    <row r="1859" spans="8:9" hidden="1" x14ac:dyDescent="0.3">
      <c r="H1859" s="209"/>
      <c r="I1859" s="210"/>
    </row>
    <row r="1860" spans="8:9" hidden="1" x14ac:dyDescent="0.3">
      <c r="H1860" s="209"/>
      <c r="I1860" s="210"/>
    </row>
    <row r="1861" spans="8:9" hidden="1" x14ac:dyDescent="0.3">
      <c r="H1861" s="209"/>
      <c r="I1861" s="210"/>
    </row>
    <row r="1862" spans="8:9" hidden="1" x14ac:dyDescent="0.3">
      <c r="H1862" s="209"/>
      <c r="I1862" s="210"/>
    </row>
    <row r="1863" spans="8:9" hidden="1" x14ac:dyDescent="0.3">
      <c r="H1863" s="209"/>
      <c r="I1863" s="210"/>
    </row>
    <row r="1864" spans="8:9" hidden="1" x14ac:dyDescent="0.3">
      <c r="H1864" s="209"/>
      <c r="I1864" s="210"/>
    </row>
    <row r="1865" spans="8:9" hidden="1" x14ac:dyDescent="0.3">
      <c r="H1865" s="209"/>
      <c r="I1865" s="210"/>
    </row>
    <row r="1866" spans="8:9" hidden="1" x14ac:dyDescent="0.3">
      <c r="H1866" s="209"/>
      <c r="I1866" s="210"/>
    </row>
    <row r="1867" spans="8:9" hidden="1" x14ac:dyDescent="0.3">
      <c r="H1867" s="209"/>
      <c r="I1867" s="210"/>
    </row>
    <row r="1868" spans="8:9" hidden="1" x14ac:dyDescent="0.3">
      <c r="H1868" s="209"/>
      <c r="I1868" s="210"/>
    </row>
    <row r="1869" spans="8:9" hidden="1" x14ac:dyDescent="0.3">
      <c r="H1869" s="209"/>
      <c r="I1869" s="210"/>
    </row>
    <row r="1870" spans="8:9" hidden="1" x14ac:dyDescent="0.3">
      <c r="H1870" s="209"/>
      <c r="I1870" s="210"/>
    </row>
    <row r="1871" spans="8:9" hidden="1" x14ac:dyDescent="0.3">
      <c r="H1871" s="209"/>
      <c r="I1871" s="210"/>
    </row>
    <row r="1872" spans="8:9" hidden="1" x14ac:dyDescent="0.3">
      <c r="H1872" s="209"/>
      <c r="I1872" s="210"/>
    </row>
    <row r="1873" spans="8:9" hidden="1" x14ac:dyDescent="0.3">
      <c r="H1873" s="209"/>
      <c r="I1873" s="210"/>
    </row>
    <row r="1874" spans="8:9" hidden="1" x14ac:dyDescent="0.3">
      <c r="H1874" s="209"/>
      <c r="I1874" s="210"/>
    </row>
    <row r="1875" spans="8:9" hidden="1" x14ac:dyDescent="0.3">
      <c r="H1875" s="209"/>
      <c r="I1875" s="210"/>
    </row>
    <row r="1876" spans="8:9" hidden="1" x14ac:dyDescent="0.3">
      <c r="H1876" s="209"/>
      <c r="I1876" s="210"/>
    </row>
    <row r="1877" spans="8:9" hidden="1" x14ac:dyDescent="0.3">
      <c r="H1877" s="209"/>
      <c r="I1877" s="210"/>
    </row>
    <row r="1878" spans="8:9" hidden="1" x14ac:dyDescent="0.3">
      <c r="H1878" s="209"/>
      <c r="I1878" s="210"/>
    </row>
    <row r="1879" spans="8:9" hidden="1" x14ac:dyDescent="0.3">
      <c r="H1879" s="209"/>
      <c r="I1879" s="210"/>
    </row>
    <row r="1880" spans="8:9" hidden="1" x14ac:dyDescent="0.3">
      <c r="H1880" s="209"/>
      <c r="I1880" s="210"/>
    </row>
    <row r="1881" spans="8:9" hidden="1" x14ac:dyDescent="0.3">
      <c r="H1881" s="209"/>
      <c r="I1881" s="210"/>
    </row>
    <row r="1882" spans="8:9" hidden="1" x14ac:dyDescent="0.3">
      <c r="H1882" s="209"/>
      <c r="I1882" s="210"/>
    </row>
    <row r="1883" spans="8:9" hidden="1" x14ac:dyDescent="0.3">
      <c r="H1883" s="209"/>
      <c r="I1883" s="210"/>
    </row>
    <row r="1884" spans="8:9" hidden="1" x14ac:dyDescent="0.3">
      <c r="H1884" s="209"/>
      <c r="I1884" s="210"/>
    </row>
    <row r="1885" spans="8:9" hidden="1" x14ac:dyDescent="0.3">
      <c r="H1885" s="209"/>
      <c r="I1885" s="210"/>
    </row>
    <row r="1886" spans="8:9" hidden="1" x14ac:dyDescent="0.3">
      <c r="H1886" s="209"/>
      <c r="I1886" s="210"/>
    </row>
    <row r="1887" spans="8:9" hidden="1" x14ac:dyDescent="0.3">
      <c r="H1887" s="209"/>
      <c r="I1887" s="210"/>
    </row>
    <row r="1888" spans="8:9" hidden="1" x14ac:dyDescent="0.3">
      <c r="H1888" s="209"/>
      <c r="I1888" s="210"/>
    </row>
    <row r="1889" spans="8:9" hidden="1" x14ac:dyDescent="0.3">
      <c r="H1889" s="209"/>
      <c r="I1889" s="210"/>
    </row>
    <row r="1890" spans="8:9" hidden="1" x14ac:dyDescent="0.3">
      <c r="H1890" s="209"/>
      <c r="I1890" s="210"/>
    </row>
    <row r="1891" spans="8:9" hidden="1" x14ac:dyDescent="0.3">
      <c r="H1891" s="209"/>
      <c r="I1891" s="210"/>
    </row>
    <row r="1892" spans="8:9" hidden="1" x14ac:dyDescent="0.3">
      <c r="H1892" s="209"/>
      <c r="I1892" s="210"/>
    </row>
    <row r="1893" spans="8:9" hidden="1" x14ac:dyDescent="0.3">
      <c r="H1893" s="209"/>
      <c r="I1893" s="210"/>
    </row>
    <row r="1894" spans="8:9" hidden="1" x14ac:dyDescent="0.3">
      <c r="H1894" s="209"/>
      <c r="I1894" s="210"/>
    </row>
    <row r="1895" spans="8:9" hidden="1" x14ac:dyDescent="0.3">
      <c r="H1895" s="209"/>
      <c r="I1895" s="210"/>
    </row>
    <row r="1896" spans="8:9" hidden="1" x14ac:dyDescent="0.3">
      <c r="H1896" s="209"/>
      <c r="I1896" s="210"/>
    </row>
    <row r="1897" spans="8:9" hidden="1" x14ac:dyDescent="0.3">
      <c r="H1897" s="209"/>
      <c r="I1897" s="210"/>
    </row>
    <row r="1898" spans="8:9" hidden="1" x14ac:dyDescent="0.3">
      <c r="H1898" s="209"/>
      <c r="I1898" s="210"/>
    </row>
    <row r="1899" spans="8:9" hidden="1" x14ac:dyDescent="0.3">
      <c r="H1899" s="209"/>
      <c r="I1899" s="210"/>
    </row>
    <row r="1900" spans="8:9" hidden="1" x14ac:dyDescent="0.3">
      <c r="H1900" s="209"/>
      <c r="I1900" s="210"/>
    </row>
    <row r="1901" spans="8:9" hidden="1" x14ac:dyDescent="0.3">
      <c r="H1901" s="209"/>
      <c r="I1901" s="210"/>
    </row>
    <row r="1902" spans="8:9" hidden="1" x14ac:dyDescent="0.3">
      <c r="H1902" s="209"/>
      <c r="I1902" s="210"/>
    </row>
    <row r="1903" spans="8:9" hidden="1" x14ac:dyDescent="0.3">
      <c r="H1903" s="209"/>
      <c r="I1903" s="210"/>
    </row>
    <row r="1904" spans="8:9" hidden="1" x14ac:dyDescent="0.3">
      <c r="H1904" s="209"/>
      <c r="I1904" s="210"/>
    </row>
    <row r="1905" spans="8:9" hidden="1" x14ac:dyDescent="0.3">
      <c r="H1905" s="209"/>
      <c r="I1905" s="210"/>
    </row>
    <row r="1906" spans="8:9" hidden="1" x14ac:dyDescent="0.3">
      <c r="H1906" s="209"/>
      <c r="I1906" s="210"/>
    </row>
    <row r="1907" spans="8:9" hidden="1" x14ac:dyDescent="0.3">
      <c r="H1907" s="209"/>
      <c r="I1907" s="210"/>
    </row>
    <row r="1908" spans="8:9" hidden="1" x14ac:dyDescent="0.3">
      <c r="H1908" s="209"/>
      <c r="I1908" s="210"/>
    </row>
    <row r="1909" spans="8:9" hidden="1" x14ac:dyDescent="0.3">
      <c r="H1909" s="209"/>
      <c r="I1909" s="210"/>
    </row>
    <row r="1910" spans="8:9" hidden="1" x14ac:dyDescent="0.3">
      <c r="H1910" s="209"/>
      <c r="I1910" s="210"/>
    </row>
    <row r="1911" spans="8:9" hidden="1" x14ac:dyDescent="0.3">
      <c r="H1911" s="209"/>
      <c r="I1911" s="210"/>
    </row>
    <row r="1912" spans="8:9" hidden="1" x14ac:dyDescent="0.3">
      <c r="H1912" s="209"/>
      <c r="I1912" s="210"/>
    </row>
    <row r="1913" spans="8:9" hidden="1" x14ac:dyDescent="0.3">
      <c r="H1913" s="209"/>
      <c r="I1913" s="210"/>
    </row>
    <row r="1914" spans="8:9" hidden="1" x14ac:dyDescent="0.3">
      <c r="H1914" s="209"/>
      <c r="I1914" s="210"/>
    </row>
    <row r="1915" spans="8:9" hidden="1" x14ac:dyDescent="0.3">
      <c r="H1915" s="209"/>
      <c r="I1915" s="210"/>
    </row>
    <row r="1916" spans="8:9" hidden="1" x14ac:dyDescent="0.3">
      <c r="H1916" s="209"/>
      <c r="I1916" s="210"/>
    </row>
    <row r="1917" spans="8:9" hidden="1" x14ac:dyDescent="0.3">
      <c r="H1917" s="209"/>
      <c r="I1917" s="210"/>
    </row>
    <row r="1918" spans="8:9" hidden="1" x14ac:dyDescent="0.3">
      <c r="H1918" s="209"/>
      <c r="I1918" s="210"/>
    </row>
    <row r="1919" spans="8:9" hidden="1" x14ac:dyDescent="0.3">
      <c r="H1919" s="209"/>
      <c r="I1919" s="210"/>
    </row>
    <row r="1920" spans="8:9" hidden="1" x14ac:dyDescent="0.3">
      <c r="H1920" s="209"/>
      <c r="I1920" s="210"/>
    </row>
    <row r="1921" spans="8:9" hidden="1" x14ac:dyDescent="0.3">
      <c r="H1921" s="209"/>
      <c r="I1921" s="210"/>
    </row>
    <row r="1922" spans="8:9" hidden="1" x14ac:dyDescent="0.3">
      <c r="H1922" s="209"/>
      <c r="I1922" s="210"/>
    </row>
    <row r="1923" spans="8:9" hidden="1" x14ac:dyDescent="0.3">
      <c r="H1923" s="209"/>
      <c r="I1923" s="210"/>
    </row>
    <row r="1924" spans="8:9" hidden="1" x14ac:dyDescent="0.3">
      <c r="H1924" s="209"/>
      <c r="I1924" s="210"/>
    </row>
    <row r="1925" spans="8:9" hidden="1" x14ac:dyDescent="0.3">
      <c r="H1925" s="209"/>
      <c r="I1925" s="210"/>
    </row>
    <row r="1926" spans="8:9" hidden="1" x14ac:dyDescent="0.3">
      <c r="H1926" s="209"/>
      <c r="I1926" s="210"/>
    </row>
    <row r="1927" spans="8:9" hidden="1" x14ac:dyDescent="0.3">
      <c r="H1927" s="209"/>
      <c r="I1927" s="210"/>
    </row>
    <row r="1928" spans="8:9" hidden="1" x14ac:dyDescent="0.3">
      <c r="H1928" s="209"/>
      <c r="I1928" s="210"/>
    </row>
    <row r="1929" spans="8:9" hidden="1" x14ac:dyDescent="0.3">
      <c r="H1929" s="209"/>
      <c r="I1929" s="210"/>
    </row>
    <row r="1930" spans="8:9" hidden="1" x14ac:dyDescent="0.3">
      <c r="H1930" s="209"/>
      <c r="I1930" s="210"/>
    </row>
    <row r="1931" spans="8:9" hidden="1" x14ac:dyDescent="0.3">
      <c r="H1931" s="209"/>
      <c r="I1931" s="210"/>
    </row>
    <row r="1932" spans="8:9" hidden="1" x14ac:dyDescent="0.3">
      <c r="H1932" s="209"/>
      <c r="I1932" s="210"/>
    </row>
    <row r="1933" spans="8:9" hidden="1" x14ac:dyDescent="0.3">
      <c r="H1933" s="209"/>
      <c r="I1933" s="210"/>
    </row>
    <row r="1934" spans="8:9" hidden="1" x14ac:dyDescent="0.3">
      <c r="H1934" s="209"/>
      <c r="I1934" s="210"/>
    </row>
    <row r="1935" spans="8:9" hidden="1" x14ac:dyDescent="0.3">
      <c r="H1935" s="209"/>
      <c r="I1935" s="210"/>
    </row>
    <row r="1936" spans="8:9" hidden="1" x14ac:dyDescent="0.3">
      <c r="H1936" s="209"/>
      <c r="I1936" s="210"/>
    </row>
    <row r="1937" spans="8:9" hidden="1" x14ac:dyDescent="0.3">
      <c r="H1937" s="209"/>
      <c r="I1937" s="210"/>
    </row>
    <row r="1938" spans="8:9" hidden="1" x14ac:dyDescent="0.3">
      <c r="H1938" s="209"/>
      <c r="I1938" s="210"/>
    </row>
    <row r="1939" spans="8:9" hidden="1" x14ac:dyDescent="0.3">
      <c r="H1939" s="209"/>
      <c r="I1939" s="210"/>
    </row>
    <row r="1940" spans="8:9" hidden="1" x14ac:dyDescent="0.3">
      <c r="H1940" s="209"/>
      <c r="I1940" s="210"/>
    </row>
    <row r="1941" spans="8:9" hidden="1" x14ac:dyDescent="0.3">
      <c r="H1941" s="209"/>
      <c r="I1941" s="210"/>
    </row>
    <row r="1942" spans="8:9" hidden="1" x14ac:dyDescent="0.3">
      <c r="H1942" s="209"/>
      <c r="I1942" s="210"/>
    </row>
    <row r="1943" spans="8:9" hidden="1" x14ac:dyDescent="0.3">
      <c r="H1943" s="209"/>
      <c r="I1943" s="210"/>
    </row>
    <row r="1944" spans="8:9" hidden="1" x14ac:dyDescent="0.3">
      <c r="H1944" s="209"/>
      <c r="I1944" s="210"/>
    </row>
    <row r="1945" spans="8:9" hidden="1" x14ac:dyDescent="0.3">
      <c r="H1945" s="209"/>
      <c r="I1945" s="210"/>
    </row>
    <row r="1946" spans="8:9" hidden="1" x14ac:dyDescent="0.3">
      <c r="H1946" s="209"/>
      <c r="I1946" s="210"/>
    </row>
    <row r="1947" spans="8:9" hidden="1" x14ac:dyDescent="0.3">
      <c r="H1947" s="209"/>
      <c r="I1947" s="210"/>
    </row>
    <row r="1948" spans="8:9" hidden="1" x14ac:dyDescent="0.3">
      <c r="H1948" s="209"/>
      <c r="I1948" s="210"/>
    </row>
    <row r="1949" spans="8:9" hidden="1" x14ac:dyDescent="0.3">
      <c r="H1949" s="209"/>
      <c r="I1949" s="210"/>
    </row>
    <row r="1950" spans="8:9" hidden="1" x14ac:dyDescent="0.3">
      <c r="H1950" s="209"/>
      <c r="I1950" s="210"/>
    </row>
    <row r="1951" spans="8:9" hidden="1" x14ac:dyDescent="0.3">
      <c r="H1951" s="209"/>
      <c r="I1951" s="210"/>
    </row>
    <row r="1952" spans="8:9" hidden="1" x14ac:dyDescent="0.3">
      <c r="H1952" s="209"/>
      <c r="I1952" s="210"/>
    </row>
    <row r="1953" spans="8:9" hidden="1" x14ac:dyDescent="0.3">
      <c r="H1953" s="209"/>
      <c r="I1953" s="210"/>
    </row>
    <row r="1954" spans="8:9" hidden="1" x14ac:dyDescent="0.3">
      <c r="H1954" s="209"/>
      <c r="I1954" s="210"/>
    </row>
    <row r="1955" spans="8:9" hidden="1" x14ac:dyDescent="0.3">
      <c r="H1955" s="209"/>
      <c r="I1955" s="210"/>
    </row>
    <row r="1956" spans="8:9" hidden="1" x14ac:dyDescent="0.3">
      <c r="H1956" s="209"/>
      <c r="I1956" s="210"/>
    </row>
    <row r="1957" spans="8:9" hidden="1" x14ac:dyDescent="0.3">
      <c r="H1957" s="209"/>
      <c r="I1957" s="210"/>
    </row>
    <row r="1958" spans="8:9" hidden="1" x14ac:dyDescent="0.3">
      <c r="H1958" s="209"/>
      <c r="I1958" s="210"/>
    </row>
    <row r="1959" spans="8:9" hidden="1" x14ac:dyDescent="0.3">
      <c r="H1959" s="209"/>
      <c r="I1959" s="210"/>
    </row>
    <row r="1960" spans="8:9" hidden="1" x14ac:dyDescent="0.3">
      <c r="H1960" s="209"/>
      <c r="I1960" s="210"/>
    </row>
    <row r="1961" spans="8:9" hidden="1" x14ac:dyDescent="0.3">
      <c r="H1961" s="209"/>
      <c r="I1961" s="210"/>
    </row>
    <row r="1962" spans="8:9" hidden="1" x14ac:dyDescent="0.3">
      <c r="H1962" s="209"/>
      <c r="I1962" s="210"/>
    </row>
    <row r="1963" spans="8:9" hidden="1" x14ac:dyDescent="0.3">
      <c r="H1963" s="209"/>
      <c r="I1963" s="210"/>
    </row>
    <row r="1964" spans="8:9" hidden="1" x14ac:dyDescent="0.3">
      <c r="H1964" s="209"/>
      <c r="I1964" s="210"/>
    </row>
    <row r="1965" spans="8:9" hidden="1" x14ac:dyDescent="0.3">
      <c r="H1965" s="209"/>
      <c r="I1965" s="210"/>
    </row>
    <row r="1966" spans="8:9" hidden="1" x14ac:dyDescent="0.3">
      <c r="H1966" s="209"/>
      <c r="I1966" s="210"/>
    </row>
    <row r="1967" spans="8:9" hidden="1" x14ac:dyDescent="0.3">
      <c r="H1967" s="209"/>
      <c r="I1967" s="210"/>
    </row>
    <row r="1968" spans="8:9" hidden="1" x14ac:dyDescent="0.3">
      <c r="H1968" s="209"/>
      <c r="I1968" s="210"/>
    </row>
    <row r="1969" spans="8:9" hidden="1" x14ac:dyDescent="0.3">
      <c r="H1969" s="209"/>
      <c r="I1969" s="210"/>
    </row>
    <row r="1970" spans="8:9" hidden="1" x14ac:dyDescent="0.3">
      <c r="H1970" s="209"/>
      <c r="I1970" s="210"/>
    </row>
    <row r="1971" spans="8:9" hidden="1" x14ac:dyDescent="0.3">
      <c r="H1971" s="209"/>
      <c r="I1971" s="210"/>
    </row>
    <row r="1972" spans="8:9" hidden="1" x14ac:dyDescent="0.3">
      <c r="H1972" s="209"/>
      <c r="I1972" s="210"/>
    </row>
    <row r="1973" spans="8:9" hidden="1" x14ac:dyDescent="0.3">
      <c r="H1973" s="209"/>
      <c r="I1973" s="210"/>
    </row>
    <row r="1974" spans="8:9" hidden="1" x14ac:dyDescent="0.3">
      <c r="H1974" s="209"/>
      <c r="I1974" s="210"/>
    </row>
    <row r="1975" spans="8:9" hidden="1" x14ac:dyDescent="0.3">
      <c r="H1975" s="209"/>
      <c r="I1975" s="210"/>
    </row>
    <row r="1976" spans="8:9" hidden="1" x14ac:dyDescent="0.3">
      <c r="H1976" s="209"/>
      <c r="I1976" s="210"/>
    </row>
    <row r="1977" spans="8:9" hidden="1" x14ac:dyDescent="0.3">
      <c r="H1977" s="209"/>
      <c r="I1977" s="210"/>
    </row>
    <row r="1978" spans="8:9" hidden="1" x14ac:dyDescent="0.3">
      <c r="H1978" s="209"/>
      <c r="I1978" s="210"/>
    </row>
    <row r="1979" spans="8:9" hidden="1" x14ac:dyDescent="0.3">
      <c r="H1979" s="209"/>
      <c r="I1979" s="210"/>
    </row>
    <row r="1980" spans="8:9" hidden="1" x14ac:dyDescent="0.3">
      <c r="H1980" s="209"/>
      <c r="I1980" s="210"/>
    </row>
    <row r="1981" spans="8:9" hidden="1" x14ac:dyDescent="0.3">
      <c r="H1981" s="209"/>
      <c r="I1981" s="210"/>
    </row>
    <row r="1982" spans="8:9" hidden="1" x14ac:dyDescent="0.3">
      <c r="H1982" s="209"/>
      <c r="I1982" s="210"/>
    </row>
    <row r="1983" spans="8:9" hidden="1" x14ac:dyDescent="0.3">
      <c r="H1983" s="209"/>
      <c r="I1983" s="210"/>
    </row>
    <row r="1984" spans="8:9" hidden="1" x14ac:dyDescent="0.3">
      <c r="H1984" s="209"/>
      <c r="I1984" s="210"/>
    </row>
    <row r="1985" spans="8:9" hidden="1" x14ac:dyDescent="0.3">
      <c r="H1985" s="209"/>
      <c r="I1985" s="210"/>
    </row>
    <row r="1986" spans="8:9" hidden="1" x14ac:dyDescent="0.3">
      <c r="H1986" s="209"/>
      <c r="I1986" s="210"/>
    </row>
    <row r="1987" spans="8:9" hidden="1" x14ac:dyDescent="0.3">
      <c r="H1987" s="209"/>
      <c r="I1987" s="210"/>
    </row>
    <row r="1988" spans="8:9" hidden="1" x14ac:dyDescent="0.3">
      <c r="H1988" s="209"/>
      <c r="I1988" s="210"/>
    </row>
    <row r="1989" spans="8:9" hidden="1" x14ac:dyDescent="0.3">
      <c r="H1989" s="209"/>
      <c r="I1989" s="210"/>
    </row>
    <row r="1990" spans="8:9" hidden="1" x14ac:dyDescent="0.3">
      <c r="H1990" s="209"/>
      <c r="I1990" s="210"/>
    </row>
    <row r="1991" spans="8:9" hidden="1" x14ac:dyDescent="0.3">
      <c r="H1991" s="209"/>
      <c r="I1991" s="210"/>
    </row>
    <row r="1992" spans="8:9" hidden="1" x14ac:dyDescent="0.3">
      <c r="H1992" s="209"/>
      <c r="I1992" s="210"/>
    </row>
    <row r="1993" spans="8:9" hidden="1" x14ac:dyDescent="0.3">
      <c r="H1993" s="209"/>
      <c r="I1993" s="210"/>
    </row>
    <row r="1994" spans="8:9" hidden="1" x14ac:dyDescent="0.3">
      <c r="H1994" s="209"/>
      <c r="I1994" s="210"/>
    </row>
    <row r="1995" spans="8:9" hidden="1" x14ac:dyDescent="0.3">
      <c r="H1995" s="209"/>
      <c r="I1995" s="210"/>
    </row>
    <row r="1996" spans="8:9" hidden="1" x14ac:dyDescent="0.3">
      <c r="H1996" s="209"/>
      <c r="I1996" s="210"/>
    </row>
    <row r="1997" spans="8:9" hidden="1" x14ac:dyDescent="0.3">
      <c r="H1997" s="209"/>
      <c r="I1997" s="210"/>
    </row>
    <row r="1998" spans="8:9" hidden="1" x14ac:dyDescent="0.3">
      <c r="H1998" s="209"/>
      <c r="I1998" s="210"/>
    </row>
    <row r="1999" spans="8:9" hidden="1" x14ac:dyDescent="0.3">
      <c r="H1999" s="209"/>
      <c r="I1999" s="210"/>
    </row>
    <row r="2000" spans="8:9" hidden="1" x14ac:dyDescent="0.3">
      <c r="H2000" s="209"/>
      <c r="I2000" s="210"/>
    </row>
    <row r="2001" spans="8:9" hidden="1" x14ac:dyDescent="0.3">
      <c r="H2001" s="209"/>
      <c r="I2001" s="210"/>
    </row>
    <row r="2002" spans="8:9" hidden="1" x14ac:dyDescent="0.3">
      <c r="H2002" s="209"/>
      <c r="I2002" s="210"/>
    </row>
    <row r="2003" spans="8:9" hidden="1" x14ac:dyDescent="0.3">
      <c r="H2003" s="209"/>
      <c r="I2003" s="210"/>
    </row>
    <row r="2004" spans="8:9" hidden="1" x14ac:dyDescent="0.3">
      <c r="H2004" s="209"/>
      <c r="I2004" s="210"/>
    </row>
    <row r="2005" spans="8:9" hidden="1" x14ac:dyDescent="0.3">
      <c r="H2005" s="209"/>
      <c r="I2005" s="210"/>
    </row>
    <row r="2006" spans="8:9" hidden="1" x14ac:dyDescent="0.3">
      <c r="H2006" s="209"/>
      <c r="I2006" s="210"/>
    </row>
    <row r="2007" spans="8:9" hidden="1" x14ac:dyDescent="0.3">
      <c r="H2007" s="209"/>
      <c r="I2007" s="210"/>
    </row>
    <row r="2008" spans="8:9" hidden="1" x14ac:dyDescent="0.3">
      <c r="H2008" s="209"/>
      <c r="I2008" s="210"/>
    </row>
    <row r="2009" spans="8:9" hidden="1" x14ac:dyDescent="0.3">
      <c r="H2009" s="209"/>
      <c r="I2009" s="210"/>
    </row>
    <row r="2010" spans="8:9" hidden="1" x14ac:dyDescent="0.3">
      <c r="H2010" s="209"/>
      <c r="I2010" s="210"/>
    </row>
    <row r="2011" spans="8:9" hidden="1" x14ac:dyDescent="0.3">
      <c r="H2011" s="209"/>
      <c r="I2011" s="210"/>
    </row>
    <row r="2012" spans="8:9" hidden="1" x14ac:dyDescent="0.3">
      <c r="H2012" s="209"/>
      <c r="I2012" s="210"/>
    </row>
    <row r="2013" spans="8:9" hidden="1" x14ac:dyDescent="0.3">
      <c r="H2013" s="209"/>
      <c r="I2013" s="210"/>
    </row>
    <row r="2014" spans="8:9" hidden="1" x14ac:dyDescent="0.3">
      <c r="H2014" s="209"/>
      <c r="I2014" s="210"/>
    </row>
    <row r="2015" spans="8:9" hidden="1" x14ac:dyDescent="0.3">
      <c r="H2015" s="209"/>
      <c r="I2015" s="210"/>
    </row>
    <row r="2016" spans="8:9" hidden="1" x14ac:dyDescent="0.3">
      <c r="H2016" s="209"/>
      <c r="I2016" s="210"/>
    </row>
    <row r="2017" spans="8:9" hidden="1" x14ac:dyDescent="0.3">
      <c r="H2017" s="209"/>
      <c r="I2017" s="210"/>
    </row>
    <row r="2018" spans="8:9" hidden="1" x14ac:dyDescent="0.3">
      <c r="H2018" s="209"/>
      <c r="I2018" s="210"/>
    </row>
    <row r="2019" spans="8:9" hidden="1" x14ac:dyDescent="0.3">
      <c r="H2019" s="209"/>
      <c r="I2019" s="210"/>
    </row>
    <row r="2020" spans="8:9" hidden="1" x14ac:dyDescent="0.3">
      <c r="H2020" s="209"/>
      <c r="I2020" s="210"/>
    </row>
    <row r="2021" spans="8:9" hidden="1" x14ac:dyDescent="0.3">
      <c r="H2021" s="209"/>
      <c r="I2021" s="210"/>
    </row>
    <row r="2022" spans="8:9" hidden="1" x14ac:dyDescent="0.3">
      <c r="H2022" s="209"/>
      <c r="I2022" s="210"/>
    </row>
    <row r="2023" spans="8:9" hidden="1" x14ac:dyDescent="0.3">
      <c r="H2023" s="209"/>
      <c r="I2023" s="210"/>
    </row>
    <row r="2024" spans="8:9" hidden="1" x14ac:dyDescent="0.3">
      <c r="H2024" s="209"/>
      <c r="I2024" s="210"/>
    </row>
    <row r="2025" spans="8:9" hidden="1" x14ac:dyDescent="0.3">
      <c r="H2025" s="209"/>
      <c r="I2025" s="210"/>
    </row>
    <row r="2026" spans="8:9" hidden="1" x14ac:dyDescent="0.3">
      <c r="H2026" s="209"/>
      <c r="I2026" s="210"/>
    </row>
    <row r="2027" spans="8:9" hidden="1" x14ac:dyDescent="0.3">
      <c r="H2027" s="209"/>
      <c r="I2027" s="210"/>
    </row>
    <row r="2028" spans="8:9" hidden="1" x14ac:dyDescent="0.3">
      <c r="H2028" s="209"/>
      <c r="I2028" s="210"/>
    </row>
    <row r="2029" spans="8:9" hidden="1" x14ac:dyDescent="0.3">
      <c r="H2029" s="209"/>
      <c r="I2029" s="210"/>
    </row>
    <row r="2030" spans="8:9" hidden="1" x14ac:dyDescent="0.3">
      <c r="H2030" s="209"/>
      <c r="I2030" s="210"/>
    </row>
    <row r="2031" spans="8:9" hidden="1" x14ac:dyDescent="0.3">
      <c r="H2031" s="209"/>
      <c r="I2031" s="210"/>
    </row>
    <row r="2032" spans="8:9" hidden="1" x14ac:dyDescent="0.3">
      <c r="H2032" s="209"/>
      <c r="I2032" s="210"/>
    </row>
    <row r="2033" spans="8:9" hidden="1" x14ac:dyDescent="0.3">
      <c r="H2033" s="209"/>
      <c r="I2033" s="210"/>
    </row>
    <row r="2034" spans="8:9" hidden="1" x14ac:dyDescent="0.3">
      <c r="H2034" s="209"/>
      <c r="I2034" s="210"/>
    </row>
    <row r="2035" spans="8:9" hidden="1" x14ac:dyDescent="0.3">
      <c r="H2035" s="209"/>
      <c r="I2035" s="210"/>
    </row>
    <row r="2036" spans="8:9" hidden="1" x14ac:dyDescent="0.3">
      <c r="H2036" s="209"/>
      <c r="I2036" s="210"/>
    </row>
    <row r="2037" spans="8:9" hidden="1" x14ac:dyDescent="0.3">
      <c r="H2037" s="209"/>
      <c r="I2037" s="210"/>
    </row>
    <row r="2038" spans="8:9" hidden="1" x14ac:dyDescent="0.3">
      <c r="H2038" s="209"/>
      <c r="I2038" s="210"/>
    </row>
    <row r="2039" spans="8:9" hidden="1" x14ac:dyDescent="0.3">
      <c r="H2039" s="209"/>
      <c r="I2039" s="210"/>
    </row>
    <row r="2040" spans="8:9" hidden="1" x14ac:dyDescent="0.3">
      <c r="H2040" s="209"/>
      <c r="I2040" s="210"/>
    </row>
    <row r="2041" spans="8:9" hidden="1" x14ac:dyDescent="0.3">
      <c r="H2041" s="209"/>
      <c r="I2041" s="210"/>
    </row>
    <row r="2042" spans="8:9" hidden="1" x14ac:dyDescent="0.3">
      <c r="H2042" s="209"/>
      <c r="I2042" s="210"/>
    </row>
    <row r="2043" spans="8:9" hidden="1" x14ac:dyDescent="0.3">
      <c r="H2043" s="209"/>
      <c r="I2043" s="210"/>
    </row>
    <row r="2044" spans="8:9" hidden="1" x14ac:dyDescent="0.3">
      <c r="H2044" s="209"/>
      <c r="I2044" s="210"/>
    </row>
    <row r="2045" spans="8:9" hidden="1" x14ac:dyDescent="0.3">
      <c r="H2045" s="209"/>
      <c r="I2045" s="210"/>
    </row>
    <row r="2046" spans="8:9" hidden="1" x14ac:dyDescent="0.3">
      <c r="H2046" s="209"/>
      <c r="I2046" s="210"/>
    </row>
    <row r="2047" spans="8:9" hidden="1" x14ac:dyDescent="0.3">
      <c r="H2047" s="209"/>
      <c r="I2047" s="210"/>
    </row>
    <row r="2048" spans="8:9" hidden="1" x14ac:dyDescent="0.3">
      <c r="H2048" s="209"/>
      <c r="I2048" s="210"/>
    </row>
    <row r="2049" spans="8:9" hidden="1" x14ac:dyDescent="0.3">
      <c r="H2049" s="209"/>
      <c r="I2049" s="210"/>
    </row>
    <row r="2050" spans="8:9" hidden="1" x14ac:dyDescent="0.3">
      <c r="H2050" s="209"/>
      <c r="I2050" s="210"/>
    </row>
    <row r="2051" spans="8:9" hidden="1" x14ac:dyDescent="0.3">
      <c r="H2051" s="209"/>
      <c r="I2051" s="210"/>
    </row>
    <row r="2052" spans="8:9" hidden="1" x14ac:dyDescent="0.3">
      <c r="H2052" s="209"/>
      <c r="I2052" s="210"/>
    </row>
    <row r="2053" spans="8:9" hidden="1" x14ac:dyDescent="0.3">
      <c r="H2053" s="209"/>
      <c r="I2053" s="210"/>
    </row>
    <row r="2054" spans="8:9" hidden="1" x14ac:dyDescent="0.3">
      <c r="H2054" s="209"/>
      <c r="I2054" s="210"/>
    </row>
    <row r="2055" spans="8:9" hidden="1" x14ac:dyDescent="0.3">
      <c r="H2055" s="209"/>
      <c r="I2055" s="210"/>
    </row>
    <row r="2056" spans="8:9" hidden="1" x14ac:dyDescent="0.3">
      <c r="H2056" s="209"/>
      <c r="I2056" s="210"/>
    </row>
    <row r="2057" spans="8:9" hidden="1" x14ac:dyDescent="0.3">
      <c r="H2057" s="209"/>
      <c r="I2057" s="210"/>
    </row>
    <row r="2058" spans="8:9" hidden="1" x14ac:dyDescent="0.3">
      <c r="H2058" s="209"/>
      <c r="I2058" s="210"/>
    </row>
    <row r="2059" spans="8:9" hidden="1" x14ac:dyDescent="0.3">
      <c r="H2059" s="209"/>
      <c r="I2059" s="210"/>
    </row>
    <row r="2060" spans="8:9" hidden="1" x14ac:dyDescent="0.3">
      <c r="H2060" s="209"/>
      <c r="I2060" s="210"/>
    </row>
    <row r="2061" spans="8:9" hidden="1" x14ac:dyDescent="0.3">
      <c r="H2061" s="209"/>
      <c r="I2061" s="210"/>
    </row>
    <row r="2062" spans="8:9" hidden="1" x14ac:dyDescent="0.3">
      <c r="H2062" s="209"/>
      <c r="I2062" s="210"/>
    </row>
    <row r="2063" spans="8:9" hidden="1" x14ac:dyDescent="0.3">
      <c r="H2063" s="209"/>
      <c r="I2063" s="210"/>
    </row>
    <row r="2064" spans="8:9" hidden="1" x14ac:dyDescent="0.3">
      <c r="H2064" s="209"/>
      <c r="I2064" s="210"/>
    </row>
    <row r="2065" spans="8:9" hidden="1" x14ac:dyDescent="0.3">
      <c r="H2065" s="209"/>
      <c r="I2065" s="210"/>
    </row>
    <row r="2066" spans="8:9" hidden="1" x14ac:dyDescent="0.3">
      <c r="H2066" s="209"/>
      <c r="I2066" s="210"/>
    </row>
    <row r="2067" spans="8:9" hidden="1" x14ac:dyDescent="0.3">
      <c r="H2067" s="209"/>
      <c r="I2067" s="210"/>
    </row>
    <row r="2068" spans="8:9" hidden="1" x14ac:dyDescent="0.3">
      <c r="H2068" s="209"/>
      <c r="I2068" s="210"/>
    </row>
    <row r="2069" spans="8:9" hidden="1" x14ac:dyDescent="0.3">
      <c r="H2069" s="209"/>
      <c r="I2069" s="210"/>
    </row>
    <row r="2070" spans="8:9" hidden="1" x14ac:dyDescent="0.3">
      <c r="H2070" s="209"/>
      <c r="I2070" s="210"/>
    </row>
    <row r="2071" spans="8:9" hidden="1" x14ac:dyDescent="0.3">
      <c r="H2071" s="209"/>
      <c r="I2071" s="210"/>
    </row>
    <row r="2072" spans="8:9" hidden="1" x14ac:dyDescent="0.3">
      <c r="H2072" s="209"/>
      <c r="I2072" s="210"/>
    </row>
    <row r="2073" spans="8:9" hidden="1" x14ac:dyDescent="0.3">
      <c r="H2073" s="209"/>
      <c r="I2073" s="210"/>
    </row>
    <row r="2074" spans="8:9" hidden="1" x14ac:dyDescent="0.3">
      <c r="H2074" s="209"/>
      <c r="I2074" s="210"/>
    </row>
    <row r="2075" spans="8:9" hidden="1" x14ac:dyDescent="0.3">
      <c r="H2075" s="209"/>
      <c r="I2075" s="210"/>
    </row>
    <row r="2076" spans="8:9" hidden="1" x14ac:dyDescent="0.3">
      <c r="H2076" s="209"/>
      <c r="I2076" s="210"/>
    </row>
    <row r="2077" spans="8:9" hidden="1" x14ac:dyDescent="0.3">
      <c r="H2077" s="209"/>
      <c r="I2077" s="210"/>
    </row>
    <row r="2078" spans="8:9" hidden="1" x14ac:dyDescent="0.3">
      <c r="H2078" s="209"/>
      <c r="I2078" s="210"/>
    </row>
    <row r="2079" spans="8:9" hidden="1" x14ac:dyDescent="0.3">
      <c r="H2079" s="209"/>
      <c r="I2079" s="210"/>
    </row>
    <row r="2080" spans="8:9" hidden="1" x14ac:dyDescent="0.3">
      <c r="H2080" s="209"/>
      <c r="I2080" s="210"/>
    </row>
    <row r="2081" spans="8:9" hidden="1" x14ac:dyDescent="0.3">
      <c r="H2081" s="209"/>
      <c r="I2081" s="210"/>
    </row>
    <row r="2082" spans="8:9" hidden="1" x14ac:dyDescent="0.3">
      <c r="H2082" s="209"/>
      <c r="I2082" s="210"/>
    </row>
    <row r="2083" spans="8:9" hidden="1" x14ac:dyDescent="0.3">
      <c r="H2083" s="209"/>
      <c r="I2083" s="210"/>
    </row>
    <row r="2084" spans="8:9" hidden="1" x14ac:dyDescent="0.3">
      <c r="H2084" s="209"/>
      <c r="I2084" s="210"/>
    </row>
    <row r="2085" spans="8:9" hidden="1" x14ac:dyDescent="0.3">
      <c r="H2085" s="209"/>
      <c r="I2085" s="210"/>
    </row>
    <row r="2086" spans="8:9" hidden="1" x14ac:dyDescent="0.3">
      <c r="H2086" s="209"/>
      <c r="I2086" s="210"/>
    </row>
    <row r="2087" spans="8:9" hidden="1" x14ac:dyDescent="0.3">
      <c r="H2087" s="209"/>
      <c r="I2087" s="210"/>
    </row>
    <row r="2088" spans="8:9" hidden="1" x14ac:dyDescent="0.3">
      <c r="H2088" s="209"/>
      <c r="I2088" s="210"/>
    </row>
    <row r="2089" spans="8:9" hidden="1" x14ac:dyDescent="0.3">
      <c r="H2089" s="209"/>
      <c r="I2089" s="210"/>
    </row>
    <row r="2090" spans="8:9" hidden="1" x14ac:dyDescent="0.3">
      <c r="H2090" s="209"/>
      <c r="I2090" s="210"/>
    </row>
    <row r="2091" spans="8:9" hidden="1" x14ac:dyDescent="0.3">
      <c r="H2091" s="209"/>
      <c r="I2091" s="210"/>
    </row>
    <row r="2092" spans="8:9" hidden="1" x14ac:dyDescent="0.3">
      <c r="H2092" s="209"/>
      <c r="I2092" s="210"/>
    </row>
    <row r="2093" spans="8:9" hidden="1" x14ac:dyDescent="0.3">
      <c r="H2093" s="209"/>
      <c r="I2093" s="210"/>
    </row>
    <row r="2094" spans="8:9" hidden="1" x14ac:dyDescent="0.3">
      <c r="H2094" s="209"/>
      <c r="I2094" s="210"/>
    </row>
    <row r="2095" spans="8:9" hidden="1" x14ac:dyDescent="0.3">
      <c r="H2095" s="209"/>
      <c r="I2095" s="210"/>
    </row>
    <row r="2096" spans="8:9" hidden="1" x14ac:dyDescent="0.3">
      <c r="H2096" s="209"/>
      <c r="I2096" s="210"/>
    </row>
    <row r="2097" spans="8:9" hidden="1" x14ac:dyDescent="0.3">
      <c r="H2097" s="209"/>
      <c r="I2097" s="210"/>
    </row>
    <row r="2098" spans="8:9" hidden="1" x14ac:dyDescent="0.3">
      <c r="H2098" s="209"/>
      <c r="I2098" s="210"/>
    </row>
    <row r="2099" spans="8:9" hidden="1" x14ac:dyDescent="0.3">
      <c r="H2099" s="209"/>
      <c r="I2099" s="210"/>
    </row>
    <row r="2100" spans="8:9" hidden="1" x14ac:dyDescent="0.3">
      <c r="H2100" s="209"/>
      <c r="I2100" s="210"/>
    </row>
    <row r="2101" spans="8:9" hidden="1" x14ac:dyDescent="0.3">
      <c r="H2101" s="209"/>
      <c r="I2101" s="210"/>
    </row>
    <row r="2102" spans="8:9" hidden="1" x14ac:dyDescent="0.3">
      <c r="H2102" s="209"/>
      <c r="I2102" s="210"/>
    </row>
    <row r="2103" spans="8:9" hidden="1" x14ac:dyDescent="0.3">
      <c r="H2103" s="209"/>
      <c r="I2103" s="210"/>
    </row>
    <row r="2104" spans="8:9" hidden="1" x14ac:dyDescent="0.3">
      <c r="H2104" s="209"/>
      <c r="I2104" s="210"/>
    </row>
    <row r="2105" spans="8:9" hidden="1" x14ac:dyDescent="0.3">
      <c r="H2105" s="209"/>
      <c r="I2105" s="210"/>
    </row>
    <row r="2106" spans="8:9" hidden="1" x14ac:dyDescent="0.3">
      <c r="H2106" s="209"/>
      <c r="I2106" s="210"/>
    </row>
    <row r="2107" spans="8:9" hidden="1" x14ac:dyDescent="0.3">
      <c r="H2107" s="209"/>
      <c r="I2107" s="210"/>
    </row>
    <row r="2108" spans="8:9" hidden="1" x14ac:dyDescent="0.3">
      <c r="H2108" s="209"/>
      <c r="I2108" s="210"/>
    </row>
    <row r="2109" spans="8:9" hidden="1" x14ac:dyDescent="0.3">
      <c r="H2109" s="209"/>
      <c r="I2109" s="210"/>
    </row>
    <row r="2110" spans="8:9" hidden="1" x14ac:dyDescent="0.3">
      <c r="H2110" s="209"/>
      <c r="I2110" s="210"/>
    </row>
    <row r="2111" spans="8:9" hidden="1" x14ac:dyDescent="0.3">
      <c r="H2111" s="209"/>
      <c r="I2111" s="210"/>
    </row>
    <row r="2112" spans="8:9" hidden="1" x14ac:dyDescent="0.3">
      <c r="H2112" s="209"/>
      <c r="I2112" s="210"/>
    </row>
    <row r="2113" spans="8:9" hidden="1" x14ac:dyDescent="0.3">
      <c r="H2113" s="209"/>
      <c r="I2113" s="210"/>
    </row>
    <row r="2114" spans="8:9" hidden="1" x14ac:dyDescent="0.3">
      <c r="H2114" s="209"/>
      <c r="I2114" s="210"/>
    </row>
    <row r="2115" spans="8:9" hidden="1" x14ac:dyDescent="0.3">
      <c r="H2115" s="209"/>
      <c r="I2115" s="210"/>
    </row>
    <row r="2116" spans="8:9" hidden="1" x14ac:dyDescent="0.3">
      <c r="H2116" s="209"/>
      <c r="I2116" s="210"/>
    </row>
    <row r="2117" spans="8:9" hidden="1" x14ac:dyDescent="0.3">
      <c r="H2117" s="209"/>
      <c r="I2117" s="210"/>
    </row>
    <row r="2118" spans="8:9" hidden="1" x14ac:dyDescent="0.3">
      <c r="H2118" s="209"/>
      <c r="I2118" s="210"/>
    </row>
    <row r="2119" spans="8:9" hidden="1" x14ac:dyDescent="0.3">
      <c r="H2119" s="209"/>
      <c r="I2119" s="210"/>
    </row>
    <row r="2120" spans="8:9" hidden="1" x14ac:dyDescent="0.3">
      <c r="H2120" s="209"/>
      <c r="I2120" s="210"/>
    </row>
    <row r="2121" spans="8:9" hidden="1" x14ac:dyDescent="0.3">
      <c r="H2121" s="209"/>
      <c r="I2121" s="210"/>
    </row>
    <row r="2122" spans="8:9" hidden="1" x14ac:dyDescent="0.3">
      <c r="H2122" s="209"/>
      <c r="I2122" s="210"/>
    </row>
    <row r="2123" spans="8:9" hidden="1" x14ac:dyDescent="0.3">
      <c r="H2123" s="209"/>
      <c r="I2123" s="210"/>
    </row>
    <row r="2124" spans="8:9" hidden="1" x14ac:dyDescent="0.3">
      <c r="H2124" s="209"/>
      <c r="I2124" s="210"/>
    </row>
    <row r="2125" spans="8:9" hidden="1" x14ac:dyDescent="0.3">
      <c r="H2125" s="209"/>
      <c r="I2125" s="210"/>
    </row>
    <row r="2126" spans="8:9" hidden="1" x14ac:dyDescent="0.3">
      <c r="H2126" s="209"/>
      <c r="I2126" s="210"/>
    </row>
    <row r="2127" spans="8:9" hidden="1" x14ac:dyDescent="0.3">
      <c r="H2127" s="209"/>
      <c r="I2127" s="210"/>
    </row>
    <row r="2128" spans="8:9" hidden="1" x14ac:dyDescent="0.3">
      <c r="H2128" s="209"/>
      <c r="I2128" s="210"/>
    </row>
    <row r="2129" spans="8:9" hidden="1" x14ac:dyDescent="0.3">
      <c r="H2129" s="209"/>
      <c r="I2129" s="210"/>
    </row>
    <row r="2130" spans="8:9" hidden="1" x14ac:dyDescent="0.3">
      <c r="H2130" s="209"/>
      <c r="I2130" s="210"/>
    </row>
    <row r="2131" spans="8:9" hidden="1" x14ac:dyDescent="0.3">
      <c r="H2131" s="209"/>
      <c r="I2131" s="210"/>
    </row>
    <row r="2132" spans="8:9" hidden="1" x14ac:dyDescent="0.3">
      <c r="H2132" s="209"/>
      <c r="I2132" s="210"/>
    </row>
    <row r="2133" spans="8:9" hidden="1" x14ac:dyDescent="0.3">
      <c r="H2133" s="209"/>
      <c r="I2133" s="210"/>
    </row>
    <row r="2134" spans="8:9" hidden="1" x14ac:dyDescent="0.3">
      <c r="H2134" s="209"/>
      <c r="I2134" s="210"/>
    </row>
    <row r="2135" spans="8:9" hidden="1" x14ac:dyDescent="0.3">
      <c r="H2135" s="209"/>
      <c r="I2135" s="210"/>
    </row>
    <row r="2136" spans="8:9" hidden="1" x14ac:dyDescent="0.3">
      <c r="H2136" s="209"/>
      <c r="I2136" s="210"/>
    </row>
    <row r="2137" spans="8:9" hidden="1" x14ac:dyDescent="0.3">
      <c r="H2137" s="209"/>
      <c r="I2137" s="210"/>
    </row>
    <row r="2138" spans="8:9" hidden="1" x14ac:dyDescent="0.3">
      <c r="H2138" s="209"/>
      <c r="I2138" s="210"/>
    </row>
    <row r="2139" spans="8:9" hidden="1" x14ac:dyDescent="0.3">
      <c r="H2139" s="209"/>
      <c r="I2139" s="210"/>
    </row>
    <row r="2140" spans="8:9" hidden="1" x14ac:dyDescent="0.3">
      <c r="H2140" s="209"/>
      <c r="I2140" s="210"/>
    </row>
    <row r="2141" spans="8:9" hidden="1" x14ac:dyDescent="0.3">
      <c r="H2141" s="209"/>
      <c r="I2141" s="210"/>
    </row>
    <row r="2142" spans="8:9" hidden="1" x14ac:dyDescent="0.3">
      <c r="H2142" s="209"/>
      <c r="I2142" s="210"/>
    </row>
    <row r="2143" spans="8:9" hidden="1" x14ac:dyDescent="0.3">
      <c r="H2143" s="209"/>
      <c r="I2143" s="210"/>
    </row>
    <row r="2144" spans="8:9" hidden="1" x14ac:dyDescent="0.3">
      <c r="H2144" s="209"/>
      <c r="I2144" s="210"/>
    </row>
    <row r="2145" spans="8:9" hidden="1" x14ac:dyDescent="0.3">
      <c r="H2145" s="209"/>
      <c r="I2145" s="210"/>
    </row>
    <row r="2146" spans="8:9" hidden="1" x14ac:dyDescent="0.3">
      <c r="H2146" s="209"/>
      <c r="I2146" s="210"/>
    </row>
    <row r="2147" spans="8:9" hidden="1" x14ac:dyDescent="0.3">
      <c r="H2147" s="209"/>
      <c r="I2147" s="210"/>
    </row>
    <row r="2148" spans="8:9" hidden="1" x14ac:dyDescent="0.3">
      <c r="H2148" s="209"/>
      <c r="I2148" s="210"/>
    </row>
    <row r="2149" spans="8:9" hidden="1" x14ac:dyDescent="0.3">
      <c r="H2149" s="209"/>
      <c r="I2149" s="210"/>
    </row>
    <row r="2150" spans="8:9" hidden="1" x14ac:dyDescent="0.3">
      <c r="H2150" s="209"/>
      <c r="I2150" s="210"/>
    </row>
    <row r="2151" spans="8:9" hidden="1" x14ac:dyDescent="0.3">
      <c r="H2151" s="209"/>
      <c r="I2151" s="210"/>
    </row>
    <row r="2152" spans="8:9" hidden="1" x14ac:dyDescent="0.3">
      <c r="H2152" s="209"/>
      <c r="I2152" s="210"/>
    </row>
    <row r="2153" spans="8:9" hidden="1" x14ac:dyDescent="0.3">
      <c r="H2153" s="209"/>
      <c r="I2153" s="210"/>
    </row>
    <row r="2154" spans="8:9" hidden="1" x14ac:dyDescent="0.3">
      <c r="H2154" s="209"/>
      <c r="I2154" s="210"/>
    </row>
    <row r="2155" spans="8:9" hidden="1" x14ac:dyDescent="0.3">
      <c r="H2155" s="209"/>
      <c r="I2155" s="210"/>
    </row>
    <row r="2156" spans="8:9" hidden="1" x14ac:dyDescent="0.3">
      <c r="H2156" s="209"/>
      <c r="I2156" s="210"/>
    </row>
    <row r="2157" spans="8:9" hidden="1" x14ac:dyDescent="0.3">
      <c r="H2157" s="209"/>
      <c r="I2157" s="210"/>
    </row>
    <row r="2158" spans="8:9" hidden="1" x14ac:dyDescent="0.3">
      <c r="H2158" s="209"/>
      <c r="I2158" s="210"/>
    </row>
    <row r="2159" spans="8:9" hidden="1" x14ac:dyDescent="0.3">
      <c r="H2159" s="209"/>
      <c r="I2159" s="210"/>
    </row>
    <row r="2160" spans="8:9" hidden="1" x14ac:dyDescent="0.3">
      <c r="H2160" s="209"/>
      <c r="I2160" s="210"/>
    </row>
    <row r="2161" spans="8:9" hidden="1" x14ac:dyDescent="0.3">
      <c r="H2161" s="209"/>
      <c r="I2161" s="210"/>
    </row>
    <row r="2162" spans="8:9" hidden="1" x14ac:dyDescent="0.3">
      <c r="H2162" s="209"/>
      <c r="I2162" s="210"/>
    </row>
    <row r="2163" spans="8:9" hidden="1" x14ac:dyDescent="0.3">
      <c r="H2163" s="209"/>
      <c r="I2163" s="210"/>
    </row>
    <row r="2164" spans="8:9" hidden="1" x14ac:dyDescent="0.3">
      <c r="H2164" s="209"/>
      <c r="I2164" s="210"/>
    </row>
    <row r="2165" spans="8:9" hidden="1" x14ac:dyDescent="0.3">
      <c r="H2165" s="209"/>
      <c r="I2165" s="210"/>
    </row>
    <row r="2166" spans="8:9" hidden="1" x14ac:dyDescent="0.3">
      <c r="H2166" s="209"/>
      <c r="I2166" s="210"/>
    </row>
    <row r="2167" spans="8:9" hidden="1" x14ac:dyDescent="0.3">
      <c r="H2167" s="209"/>
      <c r="I2167" s="210"/>
    </row>
    <row r="2168" spans="8:9" hidden="1" x14ac:dyDescent="0.3">
      <c r="H2168" s="209"/>
      <c r="I2168" s="210"/>
    </row>
    <row r="2169" spans="8:9" hidden="1" x14ac:dyDescent="0.3">
      <c r="H2169" s="209"/>
      <c r="I2169" s="210"/>
    </row>
    <row r="2170" spans="8:9" hidden="1" x14ac:dyDescent="0.3">
      <c r="H2170" s="209"/>
      <c r="I2170" s="210"/>
    </row>
    <row r="2171" spans="8:9" hidden="1" x14ac:dyDescent="0.3">
      <c r="H2171" s="209"/>
      <c r="I2171" s="210"/>
    </row>
    <row r="2172" spans="8:9" hidden="1" x14ac:dyDescent="0.3">
      <c r="H2172" s="209"/>
      <c r="I2172" s="210"/>
    </row>
    <row r="2173" spans="8:9" hidden="1" x14ac:dyDescent="0.3">
      <c r="H2173" s="209"/>
      <c r="I2173" s="210"/>
    </row>
    <row r="2174" spans="8:9" hidden="1" x14ac:dyDescent="0.3">
      <c r="H2174" s="209"/>
      <c r="I2174" s="210"/>
    </row>
    <row r="2175" spans="8:9" hidden="1" x14ac:dyDescent="0.3">
      <c r="H2175" s="209"/>
      <c r="I2175" s="210"/>
    </row>
    <row r="2176" spans="8:9" hidden="1" x14ac:dyDescent="0.3">
      <c r="H2176" s="209"/>
      <c r="I2176" s="210"/>
    </row>
    <row r="2177" spans="8:9" hidden="1" x14ac:dyDescent="0.3">
      <c r="H2177" s="209"/>
      <c r="I2177" s="210"/>
    </row>
    <row r="2178" spans="8:9" hidden="1" x14ac:dyDescent="0.3">
      <c r="H2178" s="209"/>
      <c r="I2178" s="210"/>
    </row>
    <row r="2179" spans="8:9" hidden="1" x14ac:dyDescent="0.3">
      <c r="H2179" s="209"/>
      <c r="I2179" s="210"/>
    </row>
    <row r="2180" spans="8:9" hidden="1" x14ac:dyDescent="0.3">
      <c r="H2180" s="209"/>
      <c r="I2180" s="210"/>
    </row>
    <row r="2181" spans="8:9" hidden="1" x14ac:dyDescent="0.3">
      <c r="H2181" s="209"/>
      <c r="I2181" s="210"/>
    </row>
    <row r="2182" spans="8:9" hidden="1" x14ac:dyDescent="0.3">
      <c r="H2182" s="209"/>
      <c r="I2182" s="210"/>
    </row>
    <row r="2183" spans="8:9" hidden="1" x14ac:dyDescent="0.3">
      <c r="H2183" s="209"/>
      <c r="I2183" s="210"/>
    </row>
    <row r="2184" spans="8:9" hidden="1" x14ac:dyDescent="0.3">
      <c r="H2184" s="209"/>
      <c r="I2184" s="210"/>
    </row>
    <row r="2185" spans="8:9" hidden="1" x14ac:dyDescent="0.3">
      <c r="H2185" s="209"/>
      <c r="I2185" s="210"/>
    </row>
    <row r="2186" spans="8:9" hidden="1" x14ac:dyDescent="0.3">
      <c r="H2186" s="209"/>
      <c r="I2186" s="210"/>
    </row>
    <row r="2187" spans="8:9" hidden="1" x14ac:dyDescent="0.3">
      <c r="H2187" s="209"/>
      <c r="I2187" s="210"/>
    </row>
    <row r="2188" spans="8:9" hidden="1" x14ac:dyDescent="0.3">
      <c r="H2188" s="209"/>
      <c r="I2188" s="210"/>
    </row>
    <row r="2189" spans="8:9" hidden="1" x14ac:dyDescent="0.3">
      <c r="H2189" s="209"/>
      <c r="I2189" s="210"/>
    </row>
    <row r="2190" spans="8:9" hidden="1" x14ac:dyDescent="0.3">
      <c r="H2190" s="209"/>
      <c r="I2190" s="210"/>
    </row>
    <row r="2191" spans="8:9" hidden="1" x14ac:dyDescent="0.3">
      <c r="H2191" s="209"/>
      <c r="I2191" s="210"/>
    </row>
    <row r="2192" spans="8:9" hidden="1" x14ac:dyDescent="0.3">
      <c r="H2192" s="209"/>
      <c r="I2192" s="210"/>
    </row>
    <row r="2193" spans="8:9" hidden="1" x14ac:dyDescent="0.3">
      <c r="H2193" s="209"/>
      <c r="I2193" s="210"/>
    </row>
    <row r="2194" spans="8:9" hidden="1" x14ac:dyDescent="0.3">
      <c r="H2194" s="209"/>
      <c r="I2194" s="210"/>
    </row>
    <row r="2195" spans="8:9" hidden="1" x14ac:dyDescent="0.3">
      <c r="H2195" s="209"/>
      <c r="I2195" s="210"/>
    </row>
    <row r="2196" spans="8:9" hidden="1" x14ac:dyDescent="0.3">
      <c r="H2196" s="209"/>
      <c r="I2196" s="210"/>
    </row>
    <row r="2197" spans="8:9" hidden="1" x14ac:dyDescent="0.3">
      <c r="H2197" s="209"/>
      <c r="I2197" s="210"/>
    </row>
    <row r="2198" spans="8:9" hidden="1" x14ac:dyDescent="0.3">
      <c r="H2198" s="209"/>
      <c r="I2198" s="210"/>
    </row>
    <row r="2199" spans="8:9" hidden="1" x14ac:dyDescent="0.3">
      <c r="H2199" s="209"/>
      <c r="I2199" s="210"/>
    </row>
    <row r="2200" spans="8:9" hidden="1" x14ac:dyDescent="0.3">
      <c r="H2200" s="209"/>
      <c r="I2200" s="210"/>
    </row>
    <row r="2201" spans="8:9" hidden="1" x14ac:dyDescent="0.3">
      <c r="H2201" s="209"/>
      <c r="I2201" s="210"/>
    </row>
    <row r="2202" spans="8:9" hidden="1" x14ac:dyDescent="0.3">
      <c r="H2202" s="209"/>
      <c r="I2202" s="210"/>
    </row>
    <row r="2203" spans="8:9" hidden="1" x14ac:dyDescent="0.3">
      <c r="H2203" s="209"/>
      <c r="I2203" s="210"/>
    </row>
    <row r="2204" spans="8:9" hidden="1" x14ac:dyDescent="0.3">
      <c r="H2204" s="209"/>
      <c r="I2204" s="210"/>
    </row>
    <row r="2205" spans="8:9" hidden="1" x14ac:dyDescent="0.3">
      <c r="H2205" s="209"/>
      <c r="I2205" s="210"/>
    </row>
    <row r="2206" spans="8:9" hidden="1" x14ac:dyDescent="0.3">
      <c r="H2206" s="209"/>
      <c r="I2206" s="210"/>
    </row>
    <row r="2207" spans="8:9" hidden="1" x14ac:dyDescent="0.3">
      <c r="H2207" s="209"/>
      <c r="I2207" s="210"/>
    </row>
    <row r="2208" spans="8:9" hidden="1" x14ac:dyDescent="0.3">
      <c r="H2208" s="209"/>
      <c r="I2208" s="210"/>
    </row>
    <row r="2209" spans="8:9" hidden="1" x14ac:dyDescent="0.3">
      <c r="H2209" s="209"/>
      <c r="I2209" s="210"/>
    </row>
    <row r="2210" spans="8:9" hidden="1" x14ac:dyDescent="0.3">
      <c r="H2210" s="209"/>
      <c r="I2210" s="210"/>
    </row>
    <row r="2211" spans="8:9" hidden="1" x14ac:dyDescent="0.3">
      <c r="H2211" s="209"/>
      <c r="I2211" s="210"/>
    </row>
    <row r="2226" x14ac:dyDescent="0.3"/>
    <row r="2530" x14ac:dyDescent="0.3"/>
    <row r="2545" x14ac:dyDescent="0.3"/>
    <row r="2546" x14ac:dyDescent="0.3"/>
    <row r="2547" x14ac:dyDescent="0.3"/>
    <row r="2556" x14ac:dyDescent="0.3"/>
    <row r="2557" x14ac:dyDescent="0.3"/>
    <row r="2558" x14ac:dyDescent="0.3"/>
    <row r="2559" x14ac:dyDescent="0.3"/>
    <row r="2560" x14ac:dyDescent="0.3"/>
    <row r="2561" x14ac:dyDescent="0.3"/>
    <row r="2562" x14ac:dyDescent="0.3"/>
    <row r="2563" x14ac:dyDescent="0.3"/>
    <row r="2564" x14ac:dyDescent="0.3"/>
    <row r="2565" x14ac:dyDescent="0.3"/>
    <row r="2566" x14ac:dyDescent="0.3"/>
    <row r="2567" x14ac:dyDescent="0.3"/>
    <row r="2568" x14ac:dyDescent="0.3"/>
    <row r="2569" x14ac:dyDescent="0.3"/>
    <row r="2570" x14ac:dyDescent="0.3"/>
    <row r="2571" x14ac:dyDescent="0.3"/>
    <row r="2572" x14ac:dyDescent="0.3"/>
    <row r="2573" x14ac:dyDescent="0.3"/>
    <row r="2574" x14ac:dyDescent="0.3"/>
    <row r="2575" x14ac:dyDescent="0.3"/>
    <row r="2576" x14ac:dyDescent="0.3"/>
    <row r="2577" x14ac:dyDescent="0.3"/>
    <row r="2578" x14ac:dyDescent="0.3"/>
    <row r="2579" x14ac:dyDescent="0.3"/>
    <row r="2580" x14ac:dyDescent="0.3"/>
    <row r="2581" x14ac:dyDescent="0.3"/>
    <row r="2582" x14ac:dyDescent="0.3"/>
    <row r="2583" x14ac:dyDescent="0.3"/>
  </sheetData>
  <dataConsolidate/>
  <mergeCells count="5">
    <mergeCell ref="B8:B9"/>
    <mergeCell ref="C8:C9"/>
    <mergeCell ref="D8:E8"/>
    <mergeCell ref="F8:G8"/>
    <mergeCell ref="H8:I8"/>
  </mergeCells>
  <conditionalFormatting sqref="B1:B1048576">
    <cfRule type="duplicateValues" dxfId="5" priority="1"/>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dimension ref="A1:Z2014"/>
  <sheetViews>
    <sheetView zoomScaleNormal="100" zoomScaleSheetLayoutView="100" workbookViewId="0">
      <selection activeCell="D1" sqref="A1:XFD3"/>
    </sheetView>
  </sheetViews>
  <sheetFormatPr defaultColWidth="0" defaultRowHeight="14" zeroHeight="1" x14ac:dyDescent="0.35"/>
  <cols>
    <col min="1" max="1" width="0.7265625" style="202" customWidth="1"/>
    <col min="2" max="2" width="22.453125" style="6" customWidth="1"/>
    <col min="3" max="3" width="75.7265625" style="6" bestFit="1" customWidth="1"/>
    <col min="4" max="4" width="44.7265625" style="6" customWidth="1"/>
    <col min="5" max="5" width="0.7265625" style="6" customWidth="1"/>
    <col min="6" max="13" width="16.1796875" style="201" customWidth="1"/>
    <col min="14" max="26" width="9.1796875" style="202" customWidth="1"/>
    <col min="27" max="16384" width="9.1796875" style="202" hidden="1"/>
  </cols>
  <sheetData>
    <row r="1" spans="2:13" s="360" customFormat="1" ht="15" x14ac:dyDescent="0.35">
      <c r="B1" s="360" t="str">
        <f>Cover!C1</f>
        <v>ABC LIMITED</v>
      </c>
      <c r="F1" s="368"/>
      <c r="G1" s="368"/>
      <c r="H1" s="368"/>
      <c r="I1" s="368"/>
      <c r="J1" s="368"/>
      <c r="K1" s="368"/>
      <c r="L1" s="368"/>
      <c r="M1" s="368"/>
    </row>
    <row r="2" spans="2:13" s="360" customFormat="1" ht="15" x14ac:dyDescent="0.35">
      <c r="B2" s="360" t="s">
        <v>10</v>
      </c>
      <c r="F2" s="368"/>
      <c r="G2" s="368"/>
      <c r="H2" s="368"/>
      <c r="I2" s="368"/>
      <c r="J2" s="368"/>
      <c r="K2" s="368"/>
      <c r="L2" s="368"/>
      <c r="M2" s="368"/>
    </row>
    <row r="3" spans="2:13" s="380" customFormat="1" ht="15.5" thickBot="1" x14ac:dyDescent="0.4">
      <c r="B3" s="380" t="str">
        <f>Cover!C3</f>
        <v>FOR THE YEAR ENDED JUNE 30, 2023</v>
      </c>
      <c r="F3" s="388"/>
      <c r="G3" s="388"/>
      <c r="H3" s="388"/>
      <c r="I3" s="388"/>
      <c r="J3" s="388"/>
      <c r="K3" s="388"/>
      <c r="L3" s="388"/>
      <c r="M3" s="388"/>
    </row>
    <row r="4" spans="2:13" ht="14.5" thickTop="1" x14ac:dyDescent="0.35"/>
    <row r="5" spans="2:13" x14ac:dyDescent="0.35">
      <c r="G5" s="201">
        <f>F6-G6</f>
        <v>0</v>
      </c>
      <c r="I5" s="201">
        <f>H6-I6</f>
        <v>0</v>
      </c>
      <c r="K5" s="201">
        <f>J6-K6</f>
        <v>0</v>
      </c>
      <c r="M5" s="201">
        <f>L6-M6</f>
        <v>0</v>
      </c>
    </row>
    <row r="6" spans="2:13" x14ac:dyDescent="0.35">
      <c r="F6" s="201">
        <f t="shared" ref="F6:K6" si="0">F1993</f>
        <v>0</v>
      </c>
      <c r="G6" s="201">
        <f t="shared" si="0"/>
        <v>0</v>
      </c>
      <c r="H6" s="201">
        <f t="shared" si="0"/>
        <v>0</v>
      </c>
      <c r="I6" s="201">
        <f t="shared" si="0"/>
        <v>0</v>
      </c>
      <c r="J6" s="201">
        <f t="shared" si="0"/>
        <v>0</v>
      </c>
      <c r="K6" s="201">
        <f t="shared" si="0"/>
        <v>0</v>
      </c>
      <c r="L6" s="201">
        <f t="shared" ref="L6:M6" si="1">L1993</f>
        <v>0</v>
      </c>
      <c r="M6" s="201">
        <f t="shared" si="1"/>
        <v>0</v>
      </c>
    </row>
    <row r="7" spans="2:13" s="1" customFormat="1" x14ac:dyDescent="0.35">
      <c r="B7" s="194" t="s">
        <v>379</v>
      </c>
      <c r="C7" s="194" t="s">
        <v>289</v>
      </c>
      <c r="D7" s="194" t="s">
        <v>394</v>
      </c>
      <c r="E7" s="195"/>
      <c r="F7" s="196" t="s">
        <v>290</v>
      </c>
      <c r="G7" s="197"/>
      <c r="H7" s="196" t="s">
        <v>293</v>
      </c>
      <c r="I7" s="197"/>
      <c r="J7" s="196" t="s">
        <v>294</v>
      </c>
      <c r="K7" s="197"/>
      <c r="L7" s="196" t="s">
        <v>295</v>
      </c>
      <c r="M7" s="197"/>
    </row>
    <row r="8" spans="2:13" s="5" customFormat="1" x14ac:dyDescent="0.35">
      <c r="B8" s="198"/>
      <c r="C8" s="198"/>
      <c r="D8" s="198"/>
      <c r="E8" s="195"/>
      <c r="F8" s="199" t="s">
        <v>291</v>
      </c>
      <c r="G8" s="199" t="s">
        <v>292</v>
      </c>
      <c r="H8" s="199" t="s">
        <v>291</v>
      </c>
      <c r="I8" s="199" t="s">
        <v>292</v>
      </c>
      <c r="J8" s="199" t="s">
        <v>291</v>
      </c>
      <c r="K8" s="199" t="s">
        <v>292</v>
      </c>
      <c r="L8" s="199" t="s">
        <v>291</v>
      </c>
      <c r="M8" s="199" t="s">
        <v>292</v>
      </c>
    </row>
    <row r="9" spans="2:13" x14ac:dyDescent="0.35">
      <c r="B9" s="117"/>
      <c r="C9" s="117"/>
      <c r="D9" s="117"/>
      <c r="E9" s="117"/>
      <c r="F9" s="200"/>
      <c r="G9" s="200"/>
      <c r="H9" s="200"/>
      <c r="I9" s="200"/>
      <c r="J9" s="200"/>
      <c r="K9" s="200"/>
      <c r="L9" s="200"/>
      <c r="M9" s="200"/>
    </row>
    <row r="10" spans="2:13" x14ac:dyDescent="0.35">
      <c r="B10" s="117"/>
      <c r="C10" s="117"/>
      <c r="D10" s="117"/>
      <c r="E10" s="117"/>
      <c r="F10" s="200"/>
      <c r="G10" s="200"/>
      <c r="H10" s="200"/>
      <c r="I10" s="200"/>
      <c r="J10" s="200"/>
      <c r="K10" s="200"/>
      <c r="L10" s="200"/>
      <c r="M10" s="200">
        <f>-ROUND(IF(F10+H10+J10-G10-I10-K10&lt;0,F10+H10+J10-G10-I10-K10,0),0)</f>
        <v>0</v>
      </c>
    </row>
    <row r="11" spans="2:13" x14ac:dyDescent="0.35">
      <c r="B11" s="117"/>
      <c r="C11" s="136"/>
      <c r="D11" s="117"/>
      <c r="E11" s="117"/>
      <c r="F11" s="200"/>
      <c r="G11" s="200"/>
      <c r="H11" s="200"/>
      <c r="I11" s="200"/>
      <c r="J11" s="200"/>
      <c r="K11" s="200"/>
      <c r="L11" s="200"/>
      <c r="M11" s="200">
        <f t="shared" ref="M11:M68" si="2">-ROUND(IF(F11+H11+J11-G11-I11-K11&lt;0,F11+H11+J11-G11-I11-K11,0),0)</f>
        <v>0</v>
      </c>
    </row>
    <row r="12" spans="2:13" x14ac:dyDescent="0.35">
      <c r="B12" s="117"/>
      <c r="C12" s="117"/>
      <c r="D12" s="117"/>
      <c r="E12" s="117"/>
      <c r="F12" s="200"/>
      <c r="G12" s="200"/>
      <c r="H12" s="200"/>
      <c r="I12" s="200"/>
      <c r="J12" s="200"/>
      <c r="K12" s="200"/>
      <c r="L12" s="200"/>
      <c r="M12" s="200">
        <f t="shared" si="2"/>
        <v>0</v>
      </c>
    </row>
    <row r="13" spans="2:13" x14ac:dyDescent="0.35">
      <c r="B13" s="117"/>
      <c r="C13" s="117"/>
      <c r="D13" s="117"/>
      <c r="E13" s="117"/>
      <c r="F13" s="200"/>
      <c r="G13" s="200"/>
      <c r="H13" s="200"/>
      <c r="I13" s="200"/>
      <c r="J13" s="200"/>
      <c r="K13" s="200"/>
      <c r="L13" s="200"/>
      <c r="M13" s="200">
        <f t="shared" si="2"/>
        <v>0</v>
      </c>
    </row>
    <row r="14" spans="2:13" x14ac:dyDescent="0.35">
      <c r="B14" s="117"/>
      <c r="C14" s="117"/>
      <c r="D14" s="117"/>
      <c r="E14" s="117"/>
      <c r="F14" s="200"/>
      <c r="G14" s="200"/>
      <c r="H14" s="200"/>
      <c r="I14" s="200"/>
      <c r="J14" s="200"/>
      <c r="K14" s="200"/>
      <c r="L14" s="200"/>
      <c r="M14" s="200">
        <f t="shared" ref="M14" si="3">-ROUND(IF(F14+H14+J14-G14-I14-K14&lt;0,F14+H14+J14-G14-I14-K14,0),0)</f>
        <v>0</v>
      </c>
    </row>
    <row r="15" spans="2:13" x14ac:dyDescent="0.35">
      <c r="B15" s="117"/>
      <c r="C15" s="117"/>
      <c r="D15" s="117"/>
      <c r="E15" s="117"/>
      <c r="F15" s="200"/>
      <c r="G15" s="200"/>
      <c r="H15" s="200"/>
      <c r="I15" s="200"/>
      <c r="J15" s="200"/>
      <c r="K15" s="200"/>
      <c r="L15" s="200"/>
      <c r="M15" s="200">
        <f t="shared" si="2"/>
        <v>0</v>
      </c>
    </row>
    <row r="16" spans="2:13" x14ac:dyDescent="0.35">
      <c r="B16" s="117"/>
      <c r="C16" s="117"/>
      <c r="D16" s="117"/>
      <c r="E16" s="117"/>
      <c r="F16" s="200"/>
      <c r="G16" s="200"/>
      <c r="H16" s="200"/>
      <c r="I16" s="200"/>
      <c r="J16" s="200"/>
      <c r="K16" s="200"/>
      <c r="L16" s="200"/>
      <c r="M16" s="200">
        <f t="shared" si="2"/>
        <v>0</v>
      </c>
    </row>
    <row r="17" spans="2:13" x14ac:dyDescent="0.35">
      <c r="B17" s="117"/>
      <c r="C17" s="136"/>
      <c r="D17" s="117"/>
      <c r="E17" s="117"/>
      <c r="F17" s="200"/>
      <c r="G17" s="200"/>
      <c r="H17" s="200"/>
      <c r="I17" s="200"/>
      <c r="J17" s="200"/>
      <c r="K17" s="200"/>
      <c r="L17" s="200"/>
      <c r="M17" s="200">
        <f t="shared" si="2"/>
        <v>0</v>
      </c>
    </row>
    <row r="18" spans="2:13" x14ac:dyDescent="0.35">
      <c r="B18" s="117"/>
      <c r="C18" s="117"/>
      <c r="D18" s="117"/>
      <c r="E18" s="117"/>
      <c r="F18" s="200"/>
      <c r="G18" s="200"/>
      <c r="H18" s="200"/>
      <c r="I18" s="200"/>
      <c r="J18" s="200"/>
      <c r="K18" s="200"/>
      <c r="L18" s="200"/>
      <c r="M18" s="200">
        <f t="shared" si="2"/>
        <v>0</v>
      </c>
    </row>
    <row r="19" spans="2:13" x14ac:dyDescent="0.35">
      <c r="B19" s="117"/>
      <c r="C19" s="117"/>
      <c r="D19" s="117"/>
      <c r="E19" s="117"/>
      <c r="F19" s="200"/>
      <c r="G19" s="200"/>
      <c r="H19" s="200"/>
      <c r="I19" s="200"/>
      <c r="J19" s="200"/>
      <c r="K19" s="200"/>
      <c r="L19" s="200"/>
      <c r="M19" s="200">
        <f t="shared" si="2"/>
        <v>0</v>
      </c>
    </row>
    <row r="20" spans="2:13" x14ac:dyDescent="0.35">
      <c r="B20" s="117"/>
      <c r="C20" s="117"/>
      <c r="D20" s="117"/>
      <c r="E20" s="117"/>
      <c r="F20" s="200"/>
      <c r="G20" s="200"/>
      <c r="H20" s="200"/>
      <c r="I20" s="200"/>
      <c r="J20" s="200"/>
      <c r="K20" s="200"/>
      <c r="L20" s="200"/>
      <c r="M20" s="200">
        <f t="shared" ref="M20" si="4">-ROUND(IF(F20+H20+J20-G20-I20-K20&lt;0,F20+H20+J20-G20-I20-K20,0),0)</f>
        <v>0</v>
      </c>
    </row>
    <row r="21" spans="2:13" x14ac:dyDescent="0.35">
      <c r="B21" s="117"/>
      <c r="C21" s="117"/>
      <c r="D21" s="117"/>
      <c r="E21" s="117"/>
      <c r="F21" s="200"/>
      <c r="G21" s="200"/>
      <c r="H21" s="200"/>
      <c r="I21" s="200"/>
      <c r="J21" s="200"/>
      <c r="K21" s="200"/>
      <c r="L21" s="200"/>
      <c r="M21" s="200">
        <f t="shared" si="2"/>
        <v>0</v>
      </c>
    </row>
    <row r="22" spans="2:13" x14ac:dyDescent="0.35">
      <c r="B22" s="117"/>
      <c r="C22" s="117"/>
      <c r="D22" s="117"/>
      <c r="E22" s="117"/>
      <c r="F22" s="200"/>
      <c r="G22" s="200"/>
      <c r="H22" s="200"/>
      <c r="I22" s="200"/>
      <c r="J22" s="200"/>
      <c r="K22" s="200"/>
      <c r="L22" s="200"/>
      <c r="M22" s="200">
        <f t="shared" si="2"/>
        <v>0</v>
      </c>
    </row>
    <row r="23" spans="2:13" x14ac:dyDescent="0.35">
      <c r="B23" s="117"/>
      <c r="C23" s="117"/>
      <c r="D23" s="117"/>
      <c r="E23" s="117"/>
      <c r="F23" s="200"/>
      <c r="G23" s="200"/>
      <c r="H23" s="200"/>
      <c r="I23" s="200"/>
      <c r="J23" s="200"/>
      <c r="K23" s="200"/>
      <c r="L23" s="200"/>
      <c r="M23" s="200">
        <f t="shared" si="2"/>
        <v>0</v>
      </c>
    </row>
    <row r="24" spans="2:13" x14ac:dyDescent="0.35">
      <c r="B24" s="117"/>
      <c r="C24" s="136"/>
      <c r="D24" s="117"/>
      <c r="E24" s="117"/>
      <c r="F24" s="200"/>
      <c r="G24" s="200"/>
      <c r="H24" s="200"/>
      <c r="I24" s="200"/>
      <c r="J24" s="200"/>
      <c r="K24" s="200"/>
      <c r="L24" s="200"/>
      <c r="M24" s="200">
        <f t="shared" si="2"/>
        <v>0</v>
      </c>
    </row>
    <row r="25" spans="2:13" x14ac:dyDescent="0.35">
      <c r="B25" s="117"/>
      <c r="C25" s="117"/>
      <c r="D25" s="117"/>
      <c r="E25" s="117"/>
      <c r="F25" s="200"/>
      <c r="G25" s="200"/>
      <c r="H25" s="200"/>
      <c r="I25" s="200"/>
      <c r="J25" s="200"/>
      <c r="K25" s="200"/>
      <c r="L25" s="200"/>
      <c r="M25" s="200">
        <f t="shared" si="2"/>
        <v>0</v>
      </c>
    </row>
    <row r="26" spans="2:13" x14ac:dyDescent="0.35">
      <c r="B26" s="117"/>
      <c r="C26" s="117"/>
      <c r="D26" s="117"/>
      <c r="E26" s="117"/>
      <c r="F26" s="200"/>
      <c r="G26" s="200"/>
      <c r="H26" s="200"/>
      <c r="I26" s="200"/>
      <c r="J26" s="200"/>
      <c r="K26" s="200"/>
      <c r="L26" s="200"/>
      <c r="M26" s="200">
        <f t="shared" ref="M26:M27" si="5">-ROUND(IF(F26+H26+J26-G26-I26-K26&lt;0,F26+H26+J26-G26-I26-K26,0),0)</f>
        <v>0</v>
      </c>
    </row>
    <row r="27" spans="2:13" x14ac:dyDescent="0.35">
      <c r="B27" s="117"/>
      <c r="C27" s="117"/>
      <c r="D27" s="117"/>
      <c r="E27" s="117"/>
      <c r="F27" s="200"/>
      <c r="G27" s="200"/>
      <c r="H27" s="200"/>
      <c r="I27" s="200"/>
      <c r="J27" s="200"/>
      <c r="K27" s="200"/>
      <c r="L27" s="200"/>
      <c r="M27" s="200">
        <f t="shared" si="5"/>
        <v>0</v>
      </c>
    </row>
    <row r="28" spans="2:13" x14ac:dyDescent="0.35">
      <c r="B28" s="117"/>
      <c r="C28" s="117"/>
      <c r="D28" s="117"/>
      <c r="E28" s="117"/>
      <c r="F28" s="200"/>
      <c r="G28" s="200"/>
      <c r="H28" s="200"/>
      <c r="I28" s="200"/>
      <c r="J28" s="200"/>
      <c r="K28" s="200"/>
      <c r="L28" s="200"/>
      <c r="M28" s="200">
        <f t="shared" si="2"/>
        <v>0</v>
      </c>
    </row>
    <row r="29" spans="2:13" x14ac:dyDescent="0.35">
      <c r="B29" s="117"/>
      <c r="C29" s="117"/>
      <c r="D29" s="117"/>
      <c r="E29" s="117"/>
      <c r="F29" s="200"/>
      <c r="G29" s="200"/>
      <c r="H29" s="200"/>
      <c r="I29" s="200"/>
      <c r="J29" s="200"/>
      <c r="K29" s="200"/>
      <c r="L29" s="200"/>
      <c r="M29" s="200">
        <f t="shared" si="2"/>
        <v>0</v>
      </c>
    </row>
    <row r="30" spans="2:13" x14ac:dyDescent="0.35">
      <c r="B30" s="117"/>
      <c r="C30" s="117"/>
      <c r="D30" s="117"/>
      <c r="E30" s="117"/>
      <c r="F30" s="200"/>
      <c r="G30" s="200"/>
      <c r="H30" s="200"/>
      <c r="I30" s="200"/>
      <c r="J30" s="200"/>
      <c r="K30" s="200"/>
      <c r="L30" s="200"/>
      <c r="M30" s="200">
        <f t="shared" ref="M30" si="6">-ROUND(IF(F30+H30+J30-G30-I30-K30&lt;0,F30+H30+J30-G30-I30-K30,0),0)</f>
        <v>0</v>
      </c>
    </row>
    <row r="31" spans="2:13" x14ac:dyDescent="0.35">
      <c r="B31" s="117"/>
      <c r="C31" s="117"/>
      <c r="D31" s="117"/>
      <c r="E31" s="117"/>
      <c r="F31" s="200"/>
      <c r="G31" s="200"/>
      <c r="H31" s="200"/>
      <c r="I31" s="200"/>
      <c r="J31" s="200"/>
      <c r="K31" s="200"/>
      <c r="L31" s="200"/>
      <c r="M31" s="200">
        <f t="shared" si="2"/>
        <v>0</v>
      </c>
    </row>
    <row r="32" spans="2:13" x14ac:dyDescent="0.35">
      <c r="B32" s="117"/>
      <c r="C32" s="117"/>
      <c r="D32" s="117"/>
      <c r="E32" s="117"/>
      <c r="F32" s="200"/>
      <c r="G32" s="200"/>
      <c r="H32" s="200"/>
      <c r="I32" s="200"/>
      <c r="J32" s="200"/>
      <c r="K32" s="200"/>
      <c r="L32" s="200"/>
      <c r="M32" s="200">
        <f t="shared" si="2"/>
        <v>0</v>
      </c>
    </row>
    <row r="33" spans="2:13" x14ac:dyDescent="0.35">
      <c r="B33" s="117"/>
      <c r="C33" s="117"/>
      <c r="D33" s="117"/>
      <c r="E33" s="117"/>
      <c r="F33" s="200"/>
      <c r="G33" s="200"/>
      <c r="H33" s="200"/>
      <c r="I33" s="200"/>
      <c r="J33" s="200"/>
      <c r="K33" s="200"/>
      <c r="L33" s="200"/>
      <c r="M33" s="200">
        <f t="shared" si="2"/>
        <v>0</v>
      </c>
    </row>
    <row r="34" spans="2:13" x14ac:dyDescent="0.35">
      <c r="B34" s="117"/>
      <c r="C34" s="136"/>
      <c r="D34" s="117"/>
      <c r="E34" s="117"/>
      <c r="F34" s="200"/>
      <c r="G34" s="200"/>
      <c r="H34" s="200"/>
      <c r="I34" s="200"/>
      <c r="J34" s="200"/>
      <c r="K34" s="200"/>
      <c r="L34" s="200"/>
      <c r="M34" s="200">
        <f t="shared" si="2"/>
        <v>0</v>
      </c>
    </row>
    <row r="35" spans="2:13" x14ac:dyDescent="0.35">
      <c r="B35" s="117"/>
      <c r="C35" s="117"/>
      <c r="D35" s="117"/>
      <c r="E35" s="117"/>
      <c r="F35" s="200"/>
      <c r="G35" s="200"/>
      <c r="H35" s="200"/>
      <c r="I35" s="200"/>
      <c r="J35" s="200"/>
      <c r="K35" s="200"/>
      <c r="L35" s="200"/>
      <c r="M35" s="200">
        <f t="shared" si="2"/>
        <v>0</v>
      </c>
    </row>
    <row r="36" spans="2:13" x14ac:dyDescent="0.35">
      <c r="B36" s="117"/>
      <c r="C36" s="117"/>
      <c r="D36" s="117"/>
      <c r="E36" s="117"/>
      <c r="F36" s="200"/>
      <c r="G36" s="200"/>
      <c r="H36" s="200"/>
      <c r="I36" s="200"/>
      <c r="J36" s="200"/>
      <c r="K36" s="200"/>
      <c r="L36" s="200"/>
      <c r="M36" s="200">
        <f t="shared" ref="M36" si="7">-ROUND(IF(F36+H36+J36-G36-I36-K36&lt;0,F36+H36+J36-G36-I36-K36,0),0)</f>
        <v>0</v>
      </c>
    </row>
    <row r="37" spans="2:13" x14ac:dyDescent="0.35">
      <c r="B37" s="117"/>
      <c r="C37" s="117"/>
      <c r="D37" s="117"/>
      <c r="E37" s="117"/>
      <c r="F37" s="200"/>
      <c r="G37" s="200"/>
      <c r="H37" s="200"/>
      <c r="I37" s="200"/>
      <c r="J37" s="200"/>
      <c r="K37" s="200"/>
      <c r="L37" s="200"/>
      <c r="M37" s="200">
        <f t="shared" si="2"/>
        <v>0</v>
      </c>
    </row>
    <row r="38" spans="2:13" x14ac:dyDescent="0.35">
      <c r="B38" s="117"/>
      <c r="C38" s="203"/>
      <c r="D38" s="117"/>
      <c r="E38" s="117"/>
      <c r="F38" s="200"/>
      <c r="G38" s="200"/>
      <c r="H38" s="200"/>
      <c r="I38" s="200"/>
      <c r="J38" s="200"/>
      <c r="K38" s="200"/>
      <c r="L38" s="200"/>
      <c r="M38" s="200">
        <f t="shared" si="2"/>
        <v>0</v>
      </c>
    </row>
    <row r="39" spans="2:13" x14ac:dyDescent="0.35">
      <c r="B39" s="117"/>
      <c r="C39" s="204"/>
      <c r="D39" s="117"/>
      <c r="E39" s="117"/>
      <c r="F39" s="200"/>
      <c r="G39" s="200"/>
      <c r="H39" s="200"/>
      <c r="I39" s="200"/>
      <c r="J39" s="200"/>
      <c r="K39" s="200"/>
      <c r="L39" s="200"/>
      <c r="M39" s="200">
        <f t="shared" si="2"/>
        <v>0</v>
      </c>
    </row>
    <row r="40" spans="2:13" x14ac:dyDescent="0.35">
      <c r="B40" s="117"/>
      <c r="C40" s="204"/>
      <c r="D40" s="117"/>
      <c r="E40" s="117"/>
      <c r="F40" s="200"/>
      <c r="G40" s="200"/>
      <c r="H40" s="200"/>
      <c r="I40" s="200"/>
      <c r="J40" s="200"/>
      <c r="K40" s="200"/>
      <c r="L40" s="200"/>
      <c r="M40" s="200">
        <f t="shared" si="2"/>
        <v>0</v>
      </c>
    </row>
    <row r="41" spans="2:13" x14ac:dyDescent="0.35">
      <c r="B41" s="117"/>
      <c r="C41" s="204"/>
      <c r="D41" s="117"/>
      <c r="E41" s="117"/>
      <c r="F41" s="200"/>
      <c r="G41" s="200"/>
      <c r="H41" s="200"/>
      <c r="I41" s="200"/>
      <c r="J41" s="200"/>
      <c r="K41" s="200"/>
      <c r="L41" s="200"/>
      <c r="M41" s="200">
        <f t="shared" si="2"/>
        <v>0</v>
      </c>
    </row>
    <row r="42" spans="2:13" x14ac:dyDescent="0.35">
      <c r="B42" s="117"/>
      <c r="C42" s="204"/>
      <c r="D42" s="117"/>
      <c r="E42" s="117"/>
      <c r="F42" s="200"/>
      <c r="G42" s="200"/>
      <c r="H42" s="200"/>
      <c r="I42" s="200"/>
      <c r="J42" s="200"/>
      <c r="K42" s="200"/>
      <c r="L42" s="200"/>
      <c r="M42" s="200">
        <f t="shared" si="2"/>
        <v>0</v>
      </c>
    </row>
    <row r="43" spans="2:13" x14ac:dyDescent="0.35">
      <c r="B43" s="117"/>
      <c r="C43" s="203"/>
      <c r="D43" s="117"/>
      <c r="E43" s="117"/>
      <c r="F43" s="200"/>
      <c r="G43" s="200"/>
      <c r="H43" s="200"/>
      <c r="I43" s="200"/>
      <c r="J43" s="200"/>
      <c r="K43" s="200"/>
      <c r="L43" s="200"/>
      <c r="M43" s="200">
        <f t="shared" ref="M43" si="8">-ROUND(IF(F43+H43+J43-G43-I43-K43&lt;0,F43+H43+J43-G43-I43-K43,0),0)</f>
        <v>0</v>
      </c>
    </row>
    <row r="44" spans="2:13" x14ac:dyDescent="0.35">
      <c r="B44" s="117"/>
      <c r="C44" s="203"/>
      <c r="D44" s="117"/>
      <c r="E44" s="117"/>
      <c r="F44" s="200"/>
      <c r="G44" s="200"/>
      <c r="H44" s="200"/>
      <c r="I44" s="200"/>
      <c r="J44" s="200"/>
      <c r="K44" s="200"/>
      <c r="L44" s="200"/>
      <c r="M44" s="200">
        <f t="shared" si="2"/>
        <v>0</v>
      </c>
    </row>
    <row r="45" spans="2:13" x14ac:dyDescent="0.35">
      <c r="B45" s="117"/>
      <c r="C45" s="204"/>
      <c r="D45" s="117"/>
      <c r="E45" s="117"/>
      <c r="F45" s="200"/>
      <c r="G45" s="200"/>
      <c r="H45" s="200"/>
      <c r="I45" s="200"/>
      <c r="J45" s="200"/>
      <c r="K45" s="200"/>
      <c r="L45" s="200"/>
      <c r="M45" s="200">
        <f t="shared" si="2"/>
        <v>0</v>
      </c>
    </row>
    <row r="46" spans="2:13" x14ac:dyDescent="0.35">
      <c r="B46" s="117"/>
      <c r="C46" s="204"/>
      <c r="D46" s="117"/>
      <c r="E46" s="117"/>
      <c r="F46" s="200"/>
      <c r="G46" s="200"/>
      <c r="H46" s="200"/>
      <c r="I46" s="200"/>
      <c r="J46" s="200"/>
      <c r="K46" s="200"/>
      <c r="L46" s="200"/>
      <c r="M46" s="200">
        <f t="shared" si="2"/>
        <v>0</v>
      </c>
    </row>
    <row r="47" spans="2:13" x14ac:dyDescent="0.35">
      <c r="B47" s="117"/>
      <c r="C47" s="204"/>
      <c r="D47" s="117"/>
      <c r="E47" s="117"/>
      <c r="F47" s="200"/>
      <c r="G47" s="200"/>
      <c r="H47" s="200"/>
      <c r="I47" s="200"/>
      <c r="J47" s="200"/>
      <c r="K47" s="200"/>
      <c r="L47" s="200"/>
      <c r="M47" s="200">
        <f t="shared" si="2"/>
        <v>0</v>
      </c>
    </row>
    <row r="48" spans="2:13" x14ac:dyDescent="0.35">
      <c r="B48" s="117"/>
      <c r="C48" s="117"/>
      <c r="D48" s="117"/>
      <c r="E48" s="117"/>
      <c r="F48" s="200"/>
      <c r="G48" s="200"/>
      <c r="H48" s="200"/>
      <c r="I48" s="200"/>
      <c r="J48" s="200"/>
      <c r="K48" s="200"/>
      <c r="L48" s="200"/>
      <c r="M48" s="200">
        <f t="shared" si="2"/>
        <v>0</v>
      </c>
    </row>
    <row r="49" spans="2:13" x14ac:dyDescent="0.35">
      <c r="B49" s="117"/>
      <c r="C49" s="117"/>
      <c r="D49" s="117"/>
      <c r="E49" s="117"/>
      <c r="F49" s="200"/>
      <c r="G49" s="200"/>
      <c r="H49" s="200"/>
      <c r="I49" s="200"/>
      <c r="J49" s="200"/>
      <c r="K49" s="205"/>
      <c r="L49" s="200"/>
      <c r="M49" s="200">
        <f t="shared" si="2"/>
        <v>0</v>
      </c>
    </row>
    <row r="50" spans="2:13" x14ac:dyDescent="0.35">
      <c r="B50" s="117"/>
      <c r="C50" s="136"/>
      <c r="D50" s="117"/>
      <c r="E50" s="117"/>
      <c r="F50" s="200"/>
      <c r="G50" s="200"/>
      <c r="H50" s="200"/>
      <c r="I50" s="200"/>
      <c r="J50" s="200"/>
      <c r="K50" s="200"/>
      <c r="L50" s="206"/>
      <c r="M50" s="206">
        <f t="shared" si="2"/>
        <v>0</v>
      </c>
    </row>
    <row r="51" spans="2:13" x14ac:dyDescent="0.35">
      <c r="B51" s="117"/>
      <c r="C51" s="207"/>
      <c r="D51" s="117"/>
      <c r="E51" s="117"/>
      <c r="F51" s="200"/>
      <c r="G51" s="200"/>
      <c r="H51" s="200"/>
      <c r="I51" s="200"/>
      <c r="J51" s="200"/>
      <c r="K51" s="200"/>
      <c r="L51" s="200"/>
      <c r="M51" s="200">
        <f t="shared" si="2"/>
        <v>0</v>
      </c>
    </row>
    <row r="52" spans="2:13" x14ac:dyDescent="0.35">
      <c r="B52" s="117"/>
      <c r="C52" s="208"/>
      <c r="D52" s="117"/>
      <c r="E52" s="117"/>
      <c r="F52" s="200"/>
      <c r="G52" s="200"/>
      <c r="H52" s="200"/>
      <c r="I52" s="200"/>
      <c r="J52" s="200"/>
      <c r="K52" s="200"/>
      <c r="L52" s="200"/>
      <c r="M52" s="200">
        <f t="shared" si="2"/>
        <v>0</v>
      </c>
    </row>
    <row r="53" spans="2:13" x14ac:dyDescent="0.35">
      <c r="B53" s="117"/>
      <c r="C53" s="208"/>
      <c r="D53" s="117"/>
      <c r="E53" s="117"/>
      <c r="F53" s="200"/>
      <c r="G53" s="200"/>
      <c r="H53" s="200"/>
      <c r="I53" s="200"/>
      <c r="J53" s="200"/>
      <c r="K53" s="200"/>
      <c r="L53" s="200"/>
      <c r="M53" s="200">
        <f t="shared" si="2"/>
        <v>0</v>
      </c>
    </row>
    <row r="54" spans="2:13" x14ac:dyDescent="0.35">
      <c r="B54" s="117"/>
      <c r="C54" s="208"/>
      <c r="D54" s="117"/>
      <c r="E54" s="117"/>
      <c r="F54" s="200"/>
      <c r="G54" s="200"/>
      <c r="H54" s="200"/>
      <c r="I54" s="200"/>
      <c r="J54" s="200"/>
      <c r="K54" s="200"/>
      <c r="L54" s="200"/>
      <c r="M54" s="200">
        <f t="shared" si="2"/>
        <v>0</v>
      </c>
    </row>
    <row r="55" spans="2:13" x14ac:dyDescent="0.35">
      <c r="B55" s="117"/>
      <c r="C55" s="208"/>
      <c r="D55" s="117"/>
      <c r="E55" s="117"/>
      <c r="F55" s="200"/>
      <c r="G55" s="200"/>
      <c r="H55" s="200"/>
      <c r="I55" s="200"/>
      <c r="J55" s="200"/>
      <c r="K55" s="200"/>
      <c r="L55" s="200"/>
      <c r="M55" s="200">
        <f t="shared" si="2"/>
        <v>0</v>
      </c>
    </row>
    <row r="56" spans="2:13" x14ac:dyDescent="0.35">
      <c r="B56" s="117"/>
      <c r="C56" s="117"/>
      <c r="D56" s="117"/>
      <c r="E56" s="117"/>
      <c r="F56" s="200"/>
      <c r="G56" s="200"/>
      <c r="H56" s="200"/>
      <c r="I56" s="200"/>
      <c r="J56" s="200"/>
      <c r="K56" s="200"/>
      <c r="L56" s="200"/>
      <c r="M56" s="200">
        <f t="shared" si="2"/>
        <v>0</v>
      </c>
    </row>
    <row r="57" spans="2:13" x14ac:dyDescent="0.35">
      <c r="B57" s="117"/>
      <c r="C57" s="136"/>
      <c r="D57" s="117"/>
      <c r="E57" s="117"/>
      <c r="F57" s="200"/>
      <c r="G57" s="200"/>
      <c r="H57" s="200"/>
      <c r="I57" s="200"/>
      <c r="J57" s="200"/>
      <c r="K57" s="200"/>
      <c r="L57" s="200"/>
      <c r="M57" s="200">
        <f t="shared" si="2"/>
        <v>0</v>
      </c>
    </row>
    <row r="58" spans="2:13" x14ac:dyDescent="0.35">
      <c r="B58" s="117"/>
      <c r="C58" s="117"/>
      <c r="D58" s="117"/>
      <c r="E58" s="117"/>
      <c r="F58" s="200"/>
      <c r="G58" s="200"/>
      <c r="H58" s="200"/>
      <c r="I58" s="200"/>
      <c r="J58" s="200"/>
      <c r="K58" s="200"/>
      <c r="L58" s="200"/>
      <c r="M58" s="200">
        <f t="shared" si="2"/>
        <v>0</v>
      </c>
    </row>
    <row r="59" spans="2:13" x14ac:dyDescent="0.35">
      <c r="B59" s="117"/>
      <c r="C59" s="117"/>
      <c r="D59" s="117"/>
      <c r="E59" s="117"/>
      <c r="F59" s="200"/>
      <c r="G59" s="200"/>
      <c r="H59" s="200"/>
      <c r="I59" s="200"/>
      <c r="J59" s="200"/>
      <c r="K59" s="200"/>
      <c r="L59" s="200"/>
      <c r="M59" s="200">
        <f t="shared" ref="M59:M61" si="9">-ROUND(IF(F59+H59+J59-G59-I59-K59&lt;0,F59+H59+J59-G59-I59-K59,0),0)</f>
        <v>0</v>
      </c>
    </row>
    <row r="60" spans="2:13" x14ac:dyDescent="0.35">
      <c r="B60" s="117"/>
      <c r="C60" s="117"/>
      <c r="D60" s="117"/>
      <c r="E60" s="117"/>
      <c r="F60" s="200"/>
      <c r="G60" s="200"/>
      <c r="H60" s="200"/>
      <c r="I60" s="200"/>
      <c r="J60" s="200"/>
      <c r="K60" s="200"/>
      <c r="L60" s="200"/>
      <c r="M60" s="200">
        <f t="shared" si="9"/>
        <v>0</v>
      </c>
    </row>
    <row r="61" spans="2:13" x14ac:dyDescent="0.35">
      <c r="B61" s="117"/>
      <c r="C61" s="117"/>
      <c r="D61" s="117"/>
      <c r="E61" s="117"/>
      <c r="F61" s="200"/>
      <c r="G61" s="200"/>
      <c r="H61" s="200"/>
      <c r="I61" s="200"/>
      <c r="J61" s="200"/>
      <c r="K61" s="200"/>
      <c r="L61" s="200"/>
      <c r="M61" s="200">
        <f t="shared" si="9"/>
        <v>0</v>
      </c>
    </row>
    <row r="62" spans="2:13" x14ac:dyDescent="0.35">
      <c r="B62" s="117"/>
      <c r="C62" s="117"/>
      <c r="D62" s="117"/>
      <c r="E62" s="117"/>
      <c r="F62" s="200"/>
      <c r="G62" s="200"/>
      <c r="H62" s="200"/>
      <c r="I62" s="200"/>
      <c r="J62" s="200"/>
      <c r="K62" s="200"/>
      <c r="L62" s="200"/>
      <c r="M62" s="200">
        <f t="shared" si="2"/>
        <v>0</v>
      </c>
    </row>
    <row r="63" spans="2:13" x14ac:dyDescent="0.35">
      <c r="B63" s="117"/>
      <c r="C63" s="117"/>
      <c r="D63" s="117"/>
      <c r="E63" s="117"/>
      <c r="F63" s="200"/>
      <c r="G63" s="200"/>
      <c r="H63" s="200"/>
      <c r="I63" s="200"/>
      <c r="J63" s="200"/>
      <c r="K63" s="200"/>
      <c r="L63" s="200"/>
      <c r="M63" s="200">
        <f t="shared" si="2"/>
        <v>0</v>
      </c>
    </row>
    <row r="64" spans="2:13" x14ac:dyDescent="0.35">
      <c r="B64" s="117"/>
      <c r="C64" s="207"/>
      <c r="D64" s="117"/>
      <c r="E64" s="117"/>
      <c r="F64" s="200"/>
      <c r="G64" s="200"/>
      <c r="H64" s="200"/>
      <c r="I64" s="200"/>
      <c r="J64" s="200"/>
      <c r="K64" s="200"/>
      <c r="L64" s="200"/>
      <c r="M64" s="200">
        <f t="shared" si="2"/>
        <v>0</v>
      </c>
    </row>
    <row r="65" spans="2:13" x14ac:dyDescent="0.35">
      <c r="B65" s="117"/>
      <c r="C65" s="208"/>
      <c r="D65" s="117"/>
      <c r="E65" s="117"/>
      <c r="F65" s="200"/>
      <c r="G65" s="200"/>
      <c r="H65" s="200"/>
      <c r="I65" s="200"/>
      <c r="J65" s="200"/>
      <c r="K65" s="200"/>
      <c r="L65" s="200"/>
      <c r="M65" s="200">
        <f t="shared" si="2"/>
        <v>0</v>
      </c>
    </row>
    <row r="66" spans="2:13" x14ac:dyDescent="0.35">
      <c r="B66" s="117"/>
      <c r="C66" s="208"/>
      <c r="D66" s="117"/>
      <c r="E66" s="117"/>
      <c r="F66" s="200"/>
      <c r="G66" s="200"/>
      <c r="H66" s="200"/>
      <c r="I66" s="200"/>
      <c r="J66" s="200"/>
      <c r="K66" s="200"/>
      <c r="L66" s="200"/>
      <c r="M66" s="200">
        <f t="shared" si="2"/>
        <v>0</v>
      </c>
    </row>
    <row r="67" spans="2:13" x14ac:dyDescent="0.35">
      <c r="B67" s="117"/>
      <c r="C67" s="208"/>
      <c r="D67" s="117"/>
      <c r="E67" s="117"/>
      <c r="F67" s="200"/>
      <c r="G67" s="200"/>
      <c r="H67" s="200"/>
      <c r="I67" s="200"/>
      <c r="J67" s="200"/>
      <c r="K67" s="200"/>
      <c r="L67" s="200"/>
      <c r="M67" s="200">
        <f t="shared" si="2"/>
        <v>0</v>
      </c>
    </row>
    <row r="68" spans="2:13" x14ac:dyDescent="0.35">
      <c r="B68" s="117"/>
      <c r="C68" s="117"/>
      <c r="D68" s="117"/>
      <c r="E68" s="117"/>
      <c r="F68" s="200"/>
      <c r="G68" s="200"/>
      <c r="H68" s="200"/>
      <c r="I68" s="200"/>
      <c r="J68" s="200"/>
      <c r="K68" s="200"/>
      <c r="L68" s="200"/>
      <c r="M68" s="200">
        <f t="shared" si="2"/>
        <v>0</v>
      </c>
    </row>
    <row r="69" spans="2:13" x14ac:dyDescent="0.35">
      <c r="B69" s="117"/>
      <c r="C69" s="117"/>
      <c r="D69" s="117"/>
      <c r="E69" s="117"/>
      <c r="F69" s="200"/>
      <c r="G69" s="200"/>
      <c r="H69" s="200"/>
      <c r="I69" s="200"/>
      <c r="J69" s="200"/>
      <c r="K69" s="200"/>
      <c r="L69" s="200"/>
      <c r="M69" s="200">
        <f t="shared" ref="M69:M129" si="10">-ROUND(IF(F69+H69+J69-G69-I69-K69&lt;0,F69+H69+J69-G69-I69-K69,0),0)</f>
        <v>0</v>
      </c>
    </row>
    <row r="70" spans="2:13" x14ac:dyDescent="0.35">
      <c r="B70" s="117"/>
      <c r="C70" s="207"/>
      <c r="D70" s="117"/>
      <c r="E70" s="117"/>
      <c r="F70" s="200"/>
      <c r="G70" s="200"/>
      <c r="H70" s="200"/>
      <c r="I70" s="200"/>
      <c r="J70" s="200"/>
      <c r="K70" s="200"/>
      <c r="L70" s="200"/>
      <c r="M70" s="200">
        <f t="shared" si="10"/>
        <v>0</v>
      </c>
    </row>
    <row r="71" spans="2:13" x14ac:dyDescent="0.35">
      <c r="B71" s="117"/>
      <c r="C71" s="208"/>
      <c r="D71" s="117"/>
      <c r="E71" s="117"/>
      <c r="F71" s="200"/>
      <c r="G71" s="200"/>
      <c r="H71" s="200"/>
      <c r="I71" s="200"/>
      <c r="J71" s="200"/>
      <c r="K71" s="200"/>
      <c r="L71" s="200"/>
      <c r="M71" s="200">
        <f t="shared" si="10"/>
        <v>0</v>
      </c>
    </row>
    <row r="72" spans="2:13" x14ac:dyDescent="0.35">
      <c r="B72" s="117"/>
      <c r="C72" s="117"/>
      <c r="D72" s="117"/>
      <c r="E72" s="117"/>
      <c r="F72" s="200"/>
      <c r="G72" s="200"/>
      <c r="H72" s="200"/>
      <c r="I72" s="200"/>
      <c r="J72" s="200"/>
      <c r="K72" s="200"/>
      <c r="L72" s="200"/>
      <c r="M72" s="200">
        <f t="shared" si="10"/>
        <v>0</v>
      </c>
    </row>
    <row r="73" spans="2:13" x14ac:dyDescent="0.35">
      <c r="B73" s="117"/>
      <c r="C73" s="117"/>
      <c r="D73" s="117"/>
      <c r="E73" s="117"/>
      <c r="F73" s="200"/>
      <c r="G73" s="200"/>
      <c r="H73" s="200"/>
      <c r="I73" s="200"/>
      <c r="J73" s="200"/>
      <c r="K73" s="200"/>
      <c r="L73" s="200"/>
      <c r="M73" s="200">
        <f t="shared" si="10"/>
        <v>0</v>
      </c>
    </row>
    <row r="74" spans="2:13" x14ac:dyDescent="0.35">
      <c r="B74" s="117"/>
      <c r="C74" s="117"/>
      <c r="D74" s="117"/>
      <c r="E74" s="117"/>
      <c r="F74" s="200"/>
      <c r="G74" s="200"/>
      <c r="H74" s="200"/>
      <c r="I74" s="200"/>
      <c r="J74" s="200"/>
      <c r="K74" s="200"/>
      <c r="L74" s="200"/>
      <c r="M74" s="200">
        <f t="shared" si="10"/>
        <v>0</v>
      </c>
    </row>
    <row r="75" spans="2:13" x14ac:dyDescent="0.35">
      <c r="B75" s="117"/>
      <c r="C75" s="117"/>
      <c r="D75" s="117"/>
      <c r="E75" s="117"/>
      <c r="F75" s="200"/>
      <c r="G75" s="200"/>
      <c r="H75" s="200"/>
      <c r="I75" s="200"/>
      <c r="J75" s="200"/>
      <c r="K75" s="200"/>
      <c r="L75" s="200"/>
      <c r="M75" s="200">
        <f t="shared" si="10"/>
        <v>0</v>
      </c>
    </row>
    <row r="76" spans="2:13" x14ac:dyDescent="0.35">
      <c r="B76" s="117"/>
      <c r="C76" s="117"/>
      <c r="D76" s="117"/>
      <c r="E76" s="117"/>
      <c r="F76" s="200"/>
      <c r="G76" s="200"/>
      <c r="H76" s="200"/>
      <c r="I76" s="200"/>
      <c r="J76" s="200"/>
      <c r="K76" s="200"/>
      <c r="L76" s="200"/>
      <c r="M76" s="200">
        <f t="shared" si="10"/>
        <v>0</v>
      </c>
    </row>
    <row r="77" spans="2:13" x14ac:dyDescent="0.35">
      <c r="B77" s="117"/>
      <c r="C77" s="117"/>
      <c r="D77" s="117"/>
      <c r="E77" s="117"/>
      <c r="F77" s="200"/>
      <c r="G77" s="200"/>
      <c r="H77" s="200"/>
      <c r="I77" s="200"/>
      <c r="J77" s="200"/>
      <c r="K77" s="200"/>
      <c r="L77" s="200"/>
      <c r="M77" s="200">
        <f t="shared" si="10"/>
        <v>0</v>
      </c>
    </row>
    <row r="78" spans="2:13" x14ac:dyDescent="0.35">
      <c r="B78" s="117"/>
      <c r="C78" s="117"/>
      <c r="D78" s="117"/>
      <c r="E78" s="117"/>
      <c r="F78" s="200"/>
      <c r="G78" s="200"/>
      <c r="H78" s="200"/>
      <c r="I78" s="200"/>
      <c r="J78" s="200"/>
      <c r="K78" s="200"/>
      <c r="L78" s="200"/>
      <c r="M78" s="200">
        <f t="shared" si="10"/>
        <v>0</v>
      </c>
    </row>
    <row r="79" spans="2:13" x14ac:dyDescent="0.35">
      <c r="B79" s="117"/>
      <c r="C79" s="117"/>
      <c r="D79" s="117"/>
      <c r="E79" s="117"/>
      <c r="F79" s="200"/>
      <c r="G79" s="200"/>
      <c r="H79" s="200"/>
      <c r="I79" s="200"/>
      <c r="J79" s="200"/>
      <c r="K79" s="200"/>
      <c r="L79" s="200"/>
      <c r="M79" s="200">
        <f t="shared" si="10"/>
        <v>0</v>
      </c>
    </row>
    <row r="80" spans="2:13" x14ac:dyDescent="0.35">
      <c r="B80" s="117"/>
      <c r="C80" s="117"/>
      <c r="D80" s="117"/>
      <c r="E80" s="117"/>
      <c r="F80" s="200"/>
      <c r="G80" s="200"/>
      <c r="H80" s="200"/>
      <c r="I80" s="200"/>
      <c r="J80" s="200"/>
      <c r="K80" s="200"/>
      <c r="L80" s="200"/>
      <c r="M80" s="200">
        <f t="shared" si="10"/>
        <v>0</v>
      </c>
    </row>
    <row r="81" spans="2:13" x14ac:dyDescent="0.35">
      <c r="B81" s="117"/>
      <c r="C81" s="117"/>
      <c r="D81" s="117"/>
      <c r="E81" s="117"/>
      <c r="F81" s="200"/>
      <c r="G81" s="200"/>
      <c r="H81" s="200"/>
      <c r="I81" s="200"/>
      <c r="J81" s="200"/>
      <c r="K81" s="200"/>
      <c r="L81" s="200"/>
      <c r="M81" s="200">
        <f t="shared" si="10"/>
        <v>0</v>
      </c>
    </row>
    <row r="82" spans="2:13" x14ac:dyDescent="0.35">
      <c r="B82" s="117"/>
      <c r="C82" s="117"/>
      <c r="D82" s="117"/>
      <c r="E82" s="117"/>
      <c r="F82" s="200"/>
      <c r="G82" s="200"/>
      <c r="H82" s="200"/>
      <c r="I82" s="200"/>
      <c r="J82" s="200"/>
      <c r="K82" s="200"/>
      <c r="L82" s="200"/>
      <c r="M82" s="200">
        <f t="shared" si="10"/>
        <v>0</v>
      </c>
    </row>
    <row r="83" spans="2:13" x14ac:dyDescent="0.35">
      <c r="B83" s="117"/>
      <c r="C83" s="117"/>
      <c r="D83" s="117"/>
      <c r="E83" s="117"/>
      <c r="F83" s="200"/>
      <c r="G83" s="200"/>
      <c r="H83" s="200"/>
      <c r="I83" s="200"/>
      <c r="J83" s="200"/>
      <c r="K83" s="200"/>
      <c r="L83" s="200"/>
      <c r="M83" s="200">
        <f t="shared" si="10"/>
        <v>0</v>
      </c>
    </row>
    <row r="84" spans="2:13" x14ac:dyDescent="0.35">
      <c r="B84" s="117"/>
      <c r="C84" s="117"/>
      <c r="D84" s="117"/>
      <c r="E84" s="117"/>
      <c r="F84" s="200"/>
      <c r="G84" s="200"/>
      <c r="H84" s="200"/>
      <c r="I84" s="200"/>
      <c r="J84" s="200"/>
      <c r="K84" s="200"/>
      <c r="L84" s="200"/>
      <c r="M84" s="200">
        <f t="shared" si="10"/>
        <v>0</v>
      </c>
    </row>
    <row r="85" spans="2:13" x14ac:dyDescent="0.35">
      <c r="B85" s="117"/>
      <c r="C85" s="117"/>
      <c r="D85" s="117"/>
      <c r="E85" s="117"/>
      <c r="F85" s="200"/>
      <c r="G85" s="200"/>
      <c r="H85" s="200"/>
      <c r="I85" s="200"/>
      <c r="J85" s="200"/>
      <c r="K85" s="200"/>
      <c r="L85" s="200"/>
      <c r="M85" s="200">
        <f t="shared" si="10"/>
        <v>0</v>
      </c>
    </row>
    <row r="86" spans="2:13" x14ac:dyDescent="0.35">
      <c r="B86" s="117"/>
      <c r="C86" s="117"/>
      <c r="D86" s="117"/>
      <c r="E86" s="117"/>
      <c r="F86" s="200"/>
      <c r="G86" s="200"/>
      <c r="H86" s="200"/>
      <c r="I86" s="200"/>
      <c r="J86" s="200"/>
      <c r="K86" s="200"/>
      <c r="L86" s="200"/>
      <c r="M86" s="200">
        <f t="shared" si="10"/>
        <v>0</v>
      </c>
    </row>
    <row r="87" spans="2:13" x14ac:dyDescent="0.35">
      <c r="B87" s="117"/>
      <c r="C87" s="117"/>
      <c r="D87" s="117"/>
      <c r="E87" s="117"/>
      <c r="F87" s="200"/>
      <c r="G87" s="200"/>
      <c r="H87" s="200"/>
      <c r="I87" s="200"/>
      <c r="J87" s="200"/>
      <c r="K87" s="200"/>
      <c r="L87" s="200"/>
      <c r="M87" s="200">
        <f t="shared" si="10"/>
        <v>0</v>
      </c>
    </row>
    <row r="88" spans="2:13" x14ac:dyDescent="0.35">
      <c r="B88" s="117"/>
      <c r="C88" s="117"/>
      <c r="D88" s="117"/>
      <c r="E88" s="117"/>
      <c r="F88" s="200"/>
      <c r="G88" s="200"/>
      <c r="H88" s="200"/>
      <c r="I88" s="200"/>
      <c r="J88" s="200"/>
      <c r="K88" s="200"/>
      <c r="L88" s="200"/>
      <c r="M88" s="200">
        <f t="shared" si="10"/>
        <v>0</v>
      </c>
    </row>
    <row r="89" spans="2:13" x14ac:dyDescent="0.35">
      <c r="B89" s="117"/>
      <c r="C89" s="117"/>
      <c r="D89" s="117"/>
      <c r="E89" s="117"/>
      <c r="F89" s="200"/>
      <c r="G89" s="200"/>
      <c r="H89" s="200"/>
      <c r="I89" s="200"/>
      <c r="J89" s="200"/>
      <c r="K89" s="200"/>
      <c r="L89" s="200"/>
      <c r="M89" s="200">
        <f t="shared" si="10"/>
        <v>0</v>
      </c>
    </row>
    <row r="90" spans="2:13" x14ac:dyDescent="0.35">
      <c r="B90" s="117"/>
      <c r="C90" s="117"/>
      <c r="D90" s="117"/>
      <c r="E90" s="117"/>
      <c r="F90" s="200"/>
      <c r="G90" s="200"/>
      <c r="H90" s="200"/>
      <c r="I90" s="200"/>
      <c r="J90" s="200"/>
      <c r="K90" s="200"/>
      <c r="L90" s="200"/>
      <c r="M90" s="200">
        <f t="shared" si="10"/>
        <v>0</v>
      </c>
    </row>
    <row r="91" spans="2:13" x14ac:dyDescent="0.35">
      <c r="B91" s="117"/>
      <c r="C91" s="117"/>
      <c r="D91" s="117"/>
      <c r="E91" s="117"/>
      <c r="F91" s="200"/>
      <c r="G91" s="200"/>
      <c r="H91" s="200"/>
      <c r="I91" s="200"/>
      <c r="J91" s="200"/>
      <c r="K91" s="200"/>
      <c r="L91" s="200"/>
      <c r="M91" s="200">
        <f t="shared" si="10"/>
        <v>0</v>
      </c>
    </row>
    <row r="92" spans="2:13" x14ac:dyDescent="0.35">
      <c r="B92" s="117"/>
      <c r="C92" s="117"/>
      <c r="D92" s="117"/>
      <c r="E92" s="117"/>
      <c r="F92" s="200"/>
      <c r="G92" s="200"/>
      <c r="H92" s="200"/>
      <c r="I92" s="200"/>
      <c r="J92" s="200"/>
      <c r="K92" s="200"/>
      <c r="L92" s="200"/>
      <c r="M92" s="200">
        <f t="shared" si="10"/>
        <v>0</v>
      </c>
    </row>
    <row r="93" spans="2:13" x14ac:dyDescent="0.35">
      <c r="B93" s="117"/>
      <c r="C93" s="117"/>
      <c r="D93" s="117"/>
      <c r="E93" s="117"/>
      <c r="F93" s="200"/>
      <c r="G93" s="200"/>
      <c r="H93" s="200"/>
      <c r="I93" s="200"/>
      <c r="J93" s="200"/>
      <c r="K93" s="200"/>
      <c r="L93" s="200"/>
      <c r="M93" s="200">
        <f t="shared" si="10"/>
        <v>0</v>
      </c>
    </row>
    <row r="94" spans="2:13" x14ac:dyDescent="0.35">
      <c r="B94" s="117"/>
      <c r="C94" s="117"/>
      <c r="D94" s="117"/>
      <c r="E94" s="117"/>
      <c r="F94" s="200"/>
      <c r="G94" s="200"/>
      <c r="H94" s="200"/>
      <c r="I94" s="200"/>
      <c r="J94" s="200"/>
      <c r="K94" s="200"/>
      <c r="L94" s="200"/>
      <c r="M94" s="200">
        <f t="shared" si="10"/>
        <v>0</v>
      </c>
    </row>
    <row r="95" spans="2:13" x14ac:dyDescent="0.35">
      <c r="B95" s="117"/>
      <c r="C95" s="117"/>
      <c r="D95" s="117"/>
      <c r="E95" s="117"/>
      <c r="F95" s="200"/>
      <c r="G95" s="200"/>
      <c r="H95" s="200"/>
      <c r="I95" s="200"/>
      <c r="J95" s="200"/>
      <c r="K95" s="200"/>
      <c r="L95" s="200"/>
      <c r="M95" s="200">
        <f t="shared" si="10"/>
        <v>0</v>
      </c>
    </row>
    <row r="96" spans="2:13" x14ac:dyDescent="0.35">
      <c r="B96" s="117"/>
      <c r="C96" s="117"/>
      <c r="D96" s="117"/>
      <c r="E96" s="117"/>
      <c r="F96" s="200"/>
      <c r="G96" s="200"/>
      <c r="H96" s="200"/>
      <c r="I96" s="200"/>
      <c r="J96" s="200"/>
      <c r="K96" s="200"/>
      <c r="L96" s="200"/>
      <c r="M96" s="200">
        <f t="shared" si="10"/>
        <v>0</v>
      </c>
    </row>
    <row r="97" spans="2:13" x14ac:dyDescent="0.35">
      <c r="B97" s="117"/>
      <c r="C97" s="117"/>
      <c r="D97" s="117"/>
      <c r="E97" s="117"/>
      <c r="F97" s="200"/>
      <c r="G97" s="200"/>
      <c r="H97" s="200"/>
      <c r="I97" s="200"/>
      <c r="J97" s="200"/>
      <c r="K97" s="200"/>
      <c r="L97" s="200"/>
      <c r="M97" s="200">
        <f t="shared" si="10"/>
        <v>0</v>
      </c>
    </row>
    <row r="98" spans="2:13" x14ac:dyDescent="0.35">
      <c r="B98" s="117"/>
      <c r="C98" s="117"/>
      <c r="D98" s="117"/>
      <c r="E98" s="117"/>
      <c r="F98" s="200"/>
      <c r="G98" s="200"/>
      <c r="H98" s="200"/>
      <c r="I98" s="200"/>
      <c r="J98" s="200"/>
      <c r="K98" s="200">
        <f>SUMIF(AE!C:C,ATB!C:C,AE!F:F)</f>
        <v>0</v>
      </c>
      <c r="L98" s="200">
        <f t="shared" ref="L98:L129" si="11">ROUND(IF(F98+H98+J98-G98-I98-K98&gt;0,F98+H98+J98-G98-I98-K98,0),0)</f>
        <v>0</v>
      </c>
      <c r="M98" s="200">
        <f t="shared" si="10"/>
        <v>0</v>
      </c>
    </row>
    <row r="99" spans="2:13" x14ac:dyDescent="0.35">
      <c r="B99" s="117"/>
      <c r="C99" s="117"/>
      <c r="D99" s="117"/>
      <c r="E99" s="117"/>
      <c r="F99" s="200"/>
      <c r="G99" s="200"/>
      <c r="H99" s="200"/>
      <c r="I99" s="200"/>
      <c r="J99" s="200"/>
      <c r="K99" s="200">
        <f>SUMIF(AE!C:C,ATB!C:C,AE!F:F)</f>
        <v>0</v>
      </c>
      <c r="L99" s="200">
        <f t="shared" si="11"/>
        <v>0</v>
      </c>
      <c r="M99" s="200">
        <f t="shared" si="10"/>
        <v>0</v>
      </c>
    </row>
    <row r="100" spans="2:13" x14ac:dyDescent="0.35">
      <c r="B100" s="117"/>
      <c r="C100" s="117"/>
      <c r="D100" s="117"/>
      <c r="E100" s="117"/>
      <c r="F100" s="200"/>
      <c r="G100" s="200"/>
      <c r="H100" s="200"/>
      <c r="I100" s="200"/>
      <c r="J100" s="200"/>
      <c r="K100" s="200">
        <f>SUMIF(AE!C:C,ATB!C:C,AE!F:F)</f>
        <v>0</v>
      </c>
      <c r="L100" s="200">
        <f t="shared" si="11"/>
        <v>0</v>
      </c>
      <c r="M100" s="200">
        <f t="shared" si="10"/>
        <v>0</v>
      </c>
    </row>
    <row r="101" spans="2:13" x14ac:dyDescent="0.35">
      <c r="B101" s="117"/>
      <c r="C101" s="117"/>
      <c r="D101" s="117"/>
      <c r="E101" s="117"/>
      <c r="F101" s="200"/>
      <c r="G101" s="200"/>
      <c r="H101" s="200"/>
      <c r="I101" s="200"/>
      <c r="J101" s="200"/>
      <c r="K101" s="200">
        <f>SUMIF(AE!C:C,ATB!C:C,AE!F:F)</f>
        <v>0</v>
      </c>
      <c r="L101" s="200">
        <f t="shared" si="11"/>
        <v>0</v>
      </c>
      <c r="M101" s="200">
        <f t="shared" si="10"/>
        <v>0</v>
      </c>
    </row>
    <row r="102" spans="2:13" x14ac:dyDescent="0.35">
      <c r="B102" s="117"/>
      <c r="C102" s="117"/>
      <c r="D102" s="117"/>
      <c r="E102" s="117"/>
      <c r="F102" s="200"/>
      <c r="G102" s="200"/>
      <c r="H102" s="200"/>
      <c r="I102" s="200"/>
      <c r="J102" s="200"/>
      <c r="K102" s="200">
        <f>SUMIF(AE!C:C,ATB!C:C,AE!F:F)</f>
        <v>0</v>
      </c>
      <c r="L102" s="200">
        <f t="shared" si="11"/>
        <v>0</v>
      </c>
      <c r="M102" s="200">
        <f t="shared" si="10"/>
        <v>0</v>
      </c>
    </row>
    <row r="103" spans="2:13" x14ac:dyDescent="0.35">
      <c r="B103" s="117"/>
      <c r="C103" s="117"/>
      <c r="D103" s="117"/>
      <c r="E103" s="117"/>
      <c r="F103" s="200"/>
      <c r="G103" s="200"/>
      <c r="H103" s="200"/>
      <c r="I103" s="200"/>
      <c r="J103" s="200"/>
      <c r="K103" s="200">
        <f>SUMIF(AE!C:C,ATB!C:C,AE!F:F)</f>
        <v>0</v>
      </c>
      <c r="L103" s="200">
        <f t="shared" si="11"/>
        <v>0</v>
      </c>
      <c r="M103" s="200">
        <f t="shared" si="10"/>
        <v>0</v>
      </c>
    </row>
    <row r="104" spans="2:13" x14ac:dyDescent="0.35">
      <c r="B104" s="117"/>
      <c r="C104" s="117"/>
      <c r="D104" s="117"/>
      <c r="E104" s="117"/>
      <c r="F104" s="200"/>
      <c r="G104" s="200"/>
      <c r="H104" s="200"/>
      <c r="I104" s="200"/>
      <c r="J104" s="200"/>
      <c r="K104" s="200">
        <f>SUMIF(AE!C:C,ATB!C:C,AE!F:F)</f>
        <v>0</v>
      </c>
      <c r="L104" s="200">
        <f t="shared" si="11"/>
        <v>0</v>
      </c>
      <c r="M104" s="200">
        <f t="shared" si="10"/>
        <v>0</v>
      </c>
    </row>
    <row r="105" spans="2:13" x14ac:dyDescent="0.35">
      <c r="B105" s="117"/>
      <c r="C105" s="117"/>
      <c r="D105" s="117"/>
      <c r="E105" s="117"/>
      <c r="F105" s="200"/>
      <c r="G105" s="200"/>
      <c r="H105" s="200"/>
      <c r="I105" s="200"/>
      <c r="J105" s="200"/>
      <c r="K105" s="200">
        <f>SUMIF(AE!C:C,ATB!C:C,AE!F:F)</f>
        <v>0</v>
      </c>
      <c r="L105" s="200">
        <f t="shared" si="11"/>
        <v>0</v>
      </c>
      <c r="M105" s="200">
        <f t="shared" si="10"/>
        <v>0</v>
      </c>
    </row>
    <row r="106" spans="2:13" x14ac:dyDescent="0.35">
      <c r="B106" s="117"/>
      <c r="C106" s="117"/>
      <c r="D106" s="117"/>
      <c r="E106" s="117"/>
      <c r="F106" s="200"/>
      <c r="G106" s="200"/>
      <c r="H106" s="200"/>
      <c r="I106" s="200"/>
      <c r="J106" s="200"/>
      <c r="K106" s="200">
        <f>SUMIF(AE!C:C,ATB!C:C,AE!F:F)</f>
        <v>0</v>
      </c>
      <c r="L106" s="200">
        <f t="shared" si="11"/>
        <v>0</v>
      </c>
      <c r="M106" s="200">
        <f t="shared" si="10"/>
        <v>0</v>
      </c>
    </row>
    <row r="107" spans="2:13" x14ac:dyDescent="0.35">
      <c r="B107" s="117"/>
      <c r="C107" s="117"/>
      <c r="D107" s="117"/>
      <c r="E107" s="117"/>
      <c r="F107" s="200"/>
      <c r="G107" s="200"/>
      <c r="H107" s="200"/>
      <c r="I107" s="200"/>
      <c r="J107" s="200"/>
      <c r="K107" s="200">
        <f>SUMIF(AE!C:C,ATB!C:C,AE!F:F)</f>
        <v>0</v>
      </c>
      <c r="L107" s="200">
        <f t="shared" si="11"/>
        <v>0</v>
      </c>
      <c r="M107" s="200">
        <f t="shared" si="10"/>
        <v>0</v>
      </c>
    </row>
    <row r="108" spans="2:13" x14ac:dyDescent="0.35">
      <c r="B108" s="117"/>
      <c r="C108" s="117"/>
      <c r="D108" s="117"/>
      <c r="E108" s="117"/>
      <c r="F108" s="200"/>
      <c r="G108" s="200"/>
      <c r="H108" s="200"/>
      <c r="I108" s="200"/>
      <c r="J108" s="200"/>
      <c r="K108" s="200">
        <f>SUMIF(AE!C:C,ATB!C:C,AE!F:F)</f>
        <v>0</v>
      </c>
      <c r="L108" s="200">
        <f t="shared" si="11"/>
        <v>0</v>
      </c>
      <c r="M108" s="200">
        <f t="shared" si="10"/>
        <v>0</v>
      </c>
    </row>
    <row r="109" spans="2:13" x14ac:dyDescent="0.35">
      <c r="B109" s="117"/>
      <c r="C109" s="117"/>
      <c r="D109" s="117"/>
      <c r="E109" s="117"/>
      <c r="F109" s="200"/>
      <c r="G109" s="200"/>
      <c r="H109" s="200"/>
      <c r="I109" s="200"/>
      <c r="J109" s="200"/>
      <c r="K109" s="200">
        <f>SUMIF(AE!C:C,ATB!C:C,AE!F:F)</f>
        <v>0</v>
      </c>
      <c r="L109" s="200">
        <f t="shared" si="11"/>
        <v>0</v>
      </c>
      <c r="M109" s="200">
        <f t="shared" si="10"/>
        <v>0</v>
      </c>
    </row>
    <row r="110" spans="2:13" x14ac:dyDescent="0.35">
      <c r="B110" s="117"/>
      <c r="C110" s="117"/>
      <c r="D110" s="117"/>
      <c r="E110" s="117"/>
      <c r="F110" s="200"/>
      <c r="G110" s="200"/>
      <c r="H110" s="200"/>
      <c r="I110" s="200"/>
      <c r="J110" s="200"/>
      <c r="K110" s="200">
        <f>SUMIF(AE!C:C,ATB!C:C,AE!F:F)</f>
        <v>0</v>
      </c>
      <c r="L110" s="200">
        <f t="shared" si="11"/>
        <v>0</v>
      </c>
      <c r="M110" s="200">
        <f t="shared" si="10"/>
        <v>0</v>
      </c>
    </row>
    <row r="111" spans="2:13" x14ac:dyDescent="0.35">
      <c r="B111" s="117"/>
      <c r="C111" s="117"/>
      <c r="D111" s="117"/>
      <c r="E111" s="117"/>
      <c r="F111" s="200"/>
      <c r="G111" s="200"/>
      <c r="H111" s="200"/>
      <c r="I111" s="200"/>
      <c r="J111" s="200"/>
      <c r="K111" s="200">
        <f>SUMIF(AE!C:C,ATB!C:C,AE!F:F)</f>
        <v>0</v>
      </c>
      <c r="L111" s="200">
        <f t="shared" si="11"/>
        <v>0</v>
      </c>
      <c r="M111" s="200">
        <f t="shared" si="10"/>
        <v>0</v>
      </c>
    </row>
    <row r="112" spans="2:13" x14ac:dyDescent="0.35">
      <c r="B112" s="117"/>
      <c r="C112" s="117"/>
      <c r="D112" s="117"/>
      <c r="E112" s="117"/>
      <c r="F112" s="200"/>
      <c r="G112" s="200"/>
      <c r="H112" s="200"/>
      <c r="I112" s="200"/>
      <c r="J112" s="200"/>
      <c r="K112" s="200">
        <f>SUMIF(AE!C:C,ATB!C:C,AE!F:F)</f>
        <v>0</v>
      </c>
      <c r="L112" s="200">
        <f t="shared" si="11"/>
        <v>0</v>
      </c>
      <c r="M112" s="200">
        <f t="shared" si="10"/>
        <v>0</v>
      </c>
    </row>
    <row r="113" spans="2:13" x14ac:dyDescent="0.35">
      <c r="B113" s="117"/>
      <c r="C113" s="117"/>
      <c r="D113" s="117"/>
      <c r="E113" s="117"/>
      <c r="F113" s="200"/>
      <c r="G113" s="200"/>
      <c r="H113" s="200"/>
      <c r="I113" s="200"/>
      <c r="J113" s="200"/>
      <c r="K113" s="200">
        <f>SUMIF(AE!C:C,ATB!C:C,AE!F:F)</f>
        <v>0</v>
      </c>
      <c r="L113" s="200">
        <f t="shared" si="11"/>
        <v>0</v>
      </c>
      <c r="M113" s="200">
        <f t="shared" si="10"/>
        <v>0</v>
      </c>
    </row>
    <row r="114" spans="2:13" x14ac:dyDescent="0.35">
      <c r="B114" s="117"/>
      <c r="C114" s="117"/>
      <c r="D114" s="117"/>
      <c r="E114" s="117"/>
      <c r="F114" s="200"/>
      <c r="G114" s="200"/>
      <c r="H114" s="200"/>
      <c r="I114" s="200"/>
      <c r="J114" s="200"/>
      <c r="K114" s="200">
        <f>SUMIF(AE!C:C,ATB!C:C,AE!F:F)</f>
        <v>0</v>
      </c>
      <c r="L114" s="200">
        <f t="shared" si="11"/>
        <v>0</v>
      </c>
      <c r="M114" s="200">
        <f t="shared" si="10"/>
        <v>0</v>
      </c>
    </row>
    <row r="115" spans="2:13" x14ac:dyDescent="0.35">
      <c r="B115" s="117"/>
      <c r="C115" s="117"/>
      <c r="D115" s="117"/>
      <c r="E115" s="117"/>
      <c r="F115" s="200"/>
      <c r="G115" s="200"/>
      <c r="H115" s="200"/>
      <c r="I115" s="200"/>
      <c r="J115" s="200"/>
      <c r="K115" s="200">
        <f>SUMIF(AE!C:C,ATB!C:C,AE!F:F)</f>
        <v>0</v>
      </c>
      <c r="L115" s="200">
        <f t="shared" si="11"/>
        <v>0</v>
      </c>
      <c r="M115" s="200">
        <f t="shared" si="10"/>
        <v>0</v>
      </c>
    </row>
    <row r="116" spans="2:13" x14ac:dyDescent="0.35">
      <c r="B116" s="117"/>
      <c r="C116" s="117"/>
      <c r="D116" s="117"/>
      <c r="E116" s="117"/>
      <c r="F116" s="200"/>
      <c r="G116" s="200"/>
      <c r="H116" s="200"/>
      <c r="I116" s="200"/>
      <c r="J116" s="200"/>
      <c r="K116" s="200">
        <f>SUMIF(AE!C:C,ATB!C:C,AE!F:F)</f>
        <v>0</v>
      </c>
      <c r="L116" s="200">
        <f t="shared" si="11"/>
        <v>0</v>
      </c>
      <c r="M116" s="200">
        <f t="shared" si="10"/>
        <v>0</v>
      </c>
    </row>
    <row r="117" spans="2:13" x14ac:dyDescent="0.35">
      <c r="B117" s="117"/>
      <c r="C117" s="117"/>
      <c r="D117" s="117"/>
      <c r="E117" s="117"/>
      <c r="F117" s="200"/>
      <c r="G117" s="200"/>
      <c r="H117" s="200"/>
      <c r="I117" s="200"/>
      <c r="J117" s="200"/>
      <c r="K117" s="200">
        <f>SUMIF(AE!C:C,ATB!C:C,AE!F:F)</f>
        <v>0</v>
      </c>
      <c r="L117" s="200">
        <f t="shared" si="11"/>
        <v>0</v>
      </c>
      <c r="M117" s="200">
        <f t="shared" si="10"/>
        <v>0</v>
      </c>
    </row>
    <row r="118" spans="2:13" x14ac:dyDescent="0.35">
      <c r="B118" s="117"/>
      <c r="C118" s="117"/>
      <c r="D118" s="117"/>
      <c r="E118" s="117"/>
      <c r="F118" s="200"/>
      <c r="G118" s="200"/>
      <c r="H118" s="200"/>
      <c r="I118" s="200"/>
      <c r="J118" s="200"/>
      <c r="K118" s="200">
        <f>SUMIF(AE!C:C,ATB!C:C,AE!F:F)</f>
        <v>0</v>
      </c>
      <c r="L118" s="200">
        <f t="shared" si="11"/>
        <v>0</v>
      </c>
      <c r="M118" s="200">
        <f t="shared" si="10"/>
        <v>0</v>
      </c>
    </row>
    <row r="119" spans="2:13" x14ac:dyDescent="0.35">
      <c r="B119" s="117"/>
      <c r="C119" s="117"/>
      <c r="D119" s="117"/>
      <c r="E119" s="117"/>
      <c r="F119" s="200"/>
      <c r="G119" s="200"/>
      <c r="H119" s="200"/>
      <c r="I119" s="200"/>
      <c r="J119" s="200"/>
      <c r="K119" s="200">
        <f>SUMIF(AE!C:C,ATB!C:C,AE!F:F)</f>
        <v>0</v>
      </c>
      <c r="L119" s="200">
        <f t="shared" si="11"/>
        <v>0</v>
      </c>
      <c r="M119" s="200">
        <f t="shared" si="10"/>
        <v>0</v>
      </c>
    </row>
    <row r="120" spans="2:13" x14ac:dyDescent="0.35">
      <c r="B120" s="117"/>
      <c r="C120" s="117"/>
      <c r="D120" s="117"/>
      <c r="E120" s="117"/>
      <c r="F120" s="200"/>
      <c r="G120" s="200"/>
      <c r="H120" s="200"/>
      <c r="I120" s="200"/>
      <c r="J120" s="200"/>
      <c r="K120" s="200">
        <f>SUMIF(AE!C:C,ATB!C:C,AE!F:F)</f>
        <v>0</v>
      </c>
      <c r="L120" s="200">
        <f t="shared" si="11"/>
        <v>0</v>
      </c>
      <c r="M120" s="200">
        <f t="shared" si="10"/>
        <v>0</v>
      </c>
    </row>
    <row r="121" spans="2:13" x14ac:dyDescent="0.35">
      <c r="B121" s="117"/>
      <c r="C121" s="117"/>
      <c r="D121" s="117"/>
      <c r="E121" s="117"/>
      <c r="F121" s="200"/>
      <c r="G121" s="200"/>
      <c r="H121" s="200"/>
      <c r="I121" s="200"/>
      <c r="J121" s="200"/>
      <c r="K121" s="200">
        <f>SUMIF(AE!C:C,ATB!C:C,AE!F:F)</f>
        <v>0</v>
      </c>
      <c r="L121" s="200">
        <f t="shared" si="11"/>
        <v>0</v>
      </c>
      <c r="M121" s="200">
        <f t="shared" si="10"/>
        <v>0</v>
      </c>
    </row>
    <row r="122" spans="2:13" x14ac:dyDescent="0.35">
      <c r="B122" s="117"/>
      <c r="C122" s="117"/>
      <c r="D122" s="117"/>
      <c r="E122" s="117"/>
      <c r="F122" s="200"/>
      <c r="G122" s="200"/>
      <c r="H122" s="200"/>
      <c r="I122" s="200"/>
      <c r="J122" s="200"/>
      <c r="K122" s="200">
        <f>SUMIF(AE!C:C,ATB!C:C,AE!F:F)</f>
        <v>0</v>
      </c>
      <c r="L122" s="200">
        <f t="shared" si="11"/>
        <v>0</v>
      </c>
      <c r="M122" s="200">
        <f t="shared" si="10"/>
        <v>0</v>
      </c>
    </row>
    <row r="123" spans="2:13" x14ac:dyDescent="0.35">
      <c r="B123" s="117"/>
      <c r="C123" s="117"/>
      <c r="D123" s="117"/>
      <c r="E123" s="117"/>
      <c r="F123" s="200"/>
      <c r="G123" s="200"/>
      <c r="H123" s="200"/>
      <c r="I123" s="200"/>
      <c r="J123" s="200"/>
      <c r="K123" s="200">
        <f>SUMIF(AE!C:C,ATB!C:C,AE!F:F)</f>
        <v>0</v>
      </c>
      <c r="L123" s="200">
        <f t="shared" si="11"/>
        <v>0</v>
      </c>
      <c r="M123" s="200">
        <f t="shared" si="10"/>
        <v>0</v>
      </c>
    </row>
    <row r="124" spans="2:13" x14ac:dyDescent="0.35">
      <c r="B124" s="117"/>
      <c r="C124" s="117"/>
      <c r="D124" s="117"/>
      <c r="E124" s="117"/>
      <c r="F124" s="200"/>
      <c r="G124" s="200"/>
      <c r="H124" s="200"/>
      <c r="I124" s="200"/>
      <c r="J124" s="200"/>
      <c r="K124" s="200">
        <f>SUMIF(AE!C:C,ATB!C:C,AE!F:F)</f>
        <v>0</v>
      </c>
      <c r="L124" s="200">
        <f t="shared" si="11"/>
        <v>0</v>
      </c>
      <c r="M124" s="200">
        <f t="shared" si="10"/>
        <v>0</v>
      </c>
    </row>
    <row r="125" spans="2:13" x14ac:dyDescent="0.35">
      <c r="B125" s="117"/>
      <c r="C125" s="117"/>
      <c r="D125" s="117"/>
      <c r="E125" s="117"/>
      <c r="F125" s="200"/>
      <c r="G125" s="200"/>
      <c r="H125" s="200"/>
      <c r="I125" s="200"/>
      <c r="J125" s="200"/>
      <c r="K125" s="200">
        <f>SUMIF(AE!C:C,ATB!C:C,AE!F:F)</f>
        <v>0</v>
      </c>
      <c r="L125" s="200">
        <f t="shared" si="11"/>
        <v>0</v>
      </c>
      <c r="M125" s="200">
        <f t="shared" si="10"/>
        <v>0</v>
      </c>
    </row>
    <row r="126" spans="2:13" x14ac:dyDescent="0.35">
      <c r="B126" s="117"/>
      <c r="C126" s="117"/>
      <c r="D126" s="117"/>
      <c r="E126" s="117"/>
      <c r="F126" s="200"/>
      <c r="G126" s="200"/>
      <c r="H126" s="200"/>
      <c r="I126" s="200"/>
      <c r="J126" s="200"/>
      <c r="K126" s="200">
        <f>SUMIF(AE!C:C,ATB!C:C,AE!F:F)</f>
        <v>0</v>
      </c>
      <c r="L126" s="200">
        <f t="shared" si="11"/>
        <v>0</v>
      </c>
      <c r="M126" s="200">
        <f t="shared" si="10"/>
        <v>0</v>
      </c>
    </row>
    <row r="127" spans="2:13" x14ac:dyDescent="0.35">
      <c r="B127" s="117"/>
      <c r="C127" s="117"/>
      <c r="D127" s="117"/>
      <c r="E127" s="117"/>
      <c r="F127" s="200"/>
      <c r="G127" s="200"/>
      <c r="H127" s="200"/>
      <c r="I127" s="200"/>
      <c r="J127" s="200"/>
      <c r="K127" s="200">
        <f>SUMIF(AE!C:C,ATB!C:C,AE!F:F)</f>
        <v>0</v>
      </c>
      <c r="L127" s="200">
        <f t="shared" si="11"/>
        <v>0</v>
      </c>
      <c r="M127" s="200">
        <f t="shared" si="10"/>
        <v>0</v>
      </c>
    </row>
    <row r="128" spans="2:13" x14ac:dyDescent="0.35">
      <c r="B128" s="117"/>
      <c r="C128" s="117"/>
      <c r="D128" s="117"/>
      <c r="E128" s="117"/>
      <c r="F128" s="200"/>
      <c r="G128" s="200"/>
      <c r="H128" s="200"/>
      <c r="I128" s="200"/>
      <c r="J128" s="200"/>
      <c r="K128" s="200">
        <f>SUMIF(AE!C:C,ATB!C:C,AE!F:F)</f>
        <v>0</v>
      </c>
      <c r="L128" s="200">
        <f t="shared" si="11"/>
        <v>0</v>
      </c>
      <c r="M128" s="200">
        <f t="shared" si="10"/>
        <v>0</v>
      </c>
    </row>
    <row r="129" spans="2:13" x14ac:dyDescent="0.35">
      <c r="B129" s="117"/>
      <c r="C129" s="117"/>
      <c r="D129" s="117"/>
      <c r="E129" s="117"/>
      <c r="F129" s="200"/>
      <c r="G129" s="200"/>
      <c r="H129" s="200"/>
      <c r="I129" s="200"/>
      <c r="J129" s="200"/>
      <c r="K129" s="200">
        <f>SUMIF(AE!C:C,ATB!C:C,AE!F:F)</f>
        <v>0</v>
      </c>
      <c r="L129" s="200">
        <f t="shared" si="11"/>
        <v>0</v>
      </c>
      <c r="M129" s="200">
        <f t="shared" si="10"/>
        <v>0</v>
      </c>
    </row>
    <row r="130" spans="2:13" x14ac:dyDescent="0.35">
      <c r="B130" s="117"/>
      <c r="C130" s="117"/>
      <c r="D130" s="117"/>
      <c r="E130" s="117"/>
      <c r="F130" s="200"/>
      <c r="G130" s="200"/>
      <c r="H130" s="200"/>
      <c r="I130" s="200"/>
      <c r="J130" s="200"/>
      <c r="K130" s="200">
        <f>SUMIF(AE!C:C,ATB!C:C,AE!F:F)</f>
        <v>0</v>
      </c>
      <c r="L130" s="200">
        <f t="shared" ref="L130:L193" si="12">ROUND(IF(F130+H130+J130-G130-I130-K130&gt;0,F130+H130+J130-G130-I130-K130,0),0)</f>
        <v>0</v>
      </c>
      <c r="M130" s="200">
        <f t="shared" ref="M130:M193" si="13">-ROUND(IF(F130+H130+J130-G130-I130-K130&lt;0,F130+H130+J130-G130-I130-K130,0),0)</f>
        <v>0</v>
      </c>
    </row>
    <row r="131" spans="2:13" x14ac:dyDescent="0.35">
      <c r="B131" s="117"/>
      <c r="C131" s="117"/>
      <c r="D131" s="117"/>
      <c r="E131" s="117"/>
      <c r="F131" s="200"/>
      <c r="G131" s="200"/>
      <c r="H131" s="200"/>
      <c r="I131" s="200"/>
      <c r="J131" s="200"/>
      <c r="K131" s="200">
        <f>SUMIF(AE!C:C,ATB!C:C,AE!F:F)</f>
        <v>0</v>
      </c>
      <c r="L131" s="200">
        <f t="shared" si="12"/>
        <v>0</v>
      </c>
      <c r="M131" s="200">
        <f t="shared" si="13"/>
        <v>0</v>
      </c>
    </row>
    <row r="132" spans="2:13" x14ac:dyDescent="0.35">
      <c r="B132" s="117"/>
      <c r="C132" s="117"/>
      <c r="D132" s="117"/>
      <c r="E132" s="117"/>
      <c r="F132" s="200"/>
      <c r="G132" s="200"/>
      <c r="H132" s="200"/>
      <c r="I132" s="200"/>
      <c r="J132" s="200"/>
      <c r="K132" s="200">
        <f>SUMIF(AE!C:C,ATB!C:C,AE!F:F)</f>
        <v>0</v>
      </c>
      <c r="L132" s="200">
        <f t="shared" si="12"/>
        <v>0</v>
      </c>
      <c r="M132" s="200">
        <f t="shared" si="13"/>
        <v>0</v>
      </c>
    </row>
    <row r="133" spans="2:13" x14ac:dyDescent="0.35">
      <c r="B133" s="117"/>
      <c r="C133" s="117"/>
      <c r="D133" s="117"/>
      <c r="E133" s="117"/>
      <c r="F133" s="200"/>
      <c r="G133" s="200"/>
      <c r="H133" s="200"/>
      <c r="I133" s="200"/>
      <c r="J133" s="200"/>
      <c r="K133" s="200">
        <f>SUMIF(AE!C:C,ATB!C:C,AE!F:F)</f>
        <v>0</v>
      </c>
      <c r="L133" s="200">
        <f t="shared" si="12"/>
        <v>0</v>
      </c>
      <c r="M133" s="200">
        <f t="shared" si="13"/>
        <v>0</v>
      </c>
    </row>
    <row r="134" spans="2:13" x14ac:dyDescent="0.35">
      <c r="B134" s="117"/>
      <c r="C134" s="117"/>
      <c r="D134" s="117"/>
      <c r="E134" s="117"/>
      <c r="F134" s="200"/>
      <c r="G134" s="200"/>
      <c r="H134" s="200"/>
      <c r="I134" s="200"/>
      <c r="J134" s="200"/>
      <c r="K134" s="200">
        <f>SUMIF(AE!C:C,ATB!C:C,AE!F:F)</f>
        <v>0</v>
      </c>
      <c r="L134" s="200">
        <f t="shared" si="12"/>
        <v>0</v>
      </c>
      <c r="M134" s="200">
        <f t="shared" si="13"/>
        <v>0</v>
      </c>
    </row>
    <row r="135" spans="2:13" x14ac:dyDescent="0.35">
      <c r="B135" s="117"/>
      <c r="C135" s="117"/>
      <c r="D135" s="117"/>
      <c r="E135" s="117"/>
      <c r="F135" s="200"/>
      <c r="G135" s="200"/>
      <c r="H135" s="200"/>
      <c r="I135" s="200"/>
      <c r="J135" s="200"/>
      <c r="K135" s="200">
        <f>SUMIF(AE!C:C,ATB!C:C,AE!F:F)</f>
        <v>0</v>
      </c>
      <c r="L135" s="200">
        <f t="shared" si="12"/>
        <v>0</v>
      </c>
      <c r="M135" s="200">
        <f t="shared" si="13"/>
        <v>0</v>
      </c>
    </row>
    <row r="136" spans="2:13" x14ac:dyDescent="0.35">
      <c r="B136" s="117"/>
      <c r="C136" s="117"/>
      <c r="D136" s="117"/>
      <c r="E136" s="117"/>
      <c r="F136" s="200"/>
      <c r="G136" s="200"/>
      <c r="H136" s="200"/>
      <c r="I136" s="200"/>
      <c r="J136" s="200"/>
      <c r="K136" s="200">
        <f>SUMIF(AE!C:C,ATB!C:C,AE!F:F)</f>
        <v>0</v>
      </c>
      <c r="L136" s="200">
        <f t="shared" si="12"/>
        <v>0</v>
      </c>
      <c r="M136" s="200">
        <f t="shared" si="13"/>
        <v>0</v>
      </c>
    </row>
    <row r="137" spans="2:13" x14ac:dyDescent="0.35">
      <c r="B137" s="117"/>
      <c r="C137" s="117"/>
      <c r="D137" s="117"/>
      <c r="E137" s="117"/>
      <c r="F137" s="200"/>
      <c r="G137" s="200"/>
      <c r="H137" s="200"/>
      <c r="I137" s="200"/>
      <c r="J137" s="200"/>
      <c r="K137" s="200">
        <f>SUMIF(AE!C:C,ATB!C:C,AE!F:F)</f>
        <v>0</v>
      </c>
      <c r="L137" s="200">
        <f t="shared" si="12"/>
        <v>0</v>
      </c>
      <c r="M137" s="200">
        <f t="shared" si="13"/>
        <v>0</v>
      </c>
    </row>
    <row r="138" spans="2:13" x14ac:dyDescent="0.35">
      <c r="B138" s="117"/>
      <c r="C138" s="117"/>
      <c r="D138" s="117"/>
      <c r="E138" s="117"/>
      <c r="F138" s="200"/>
      <c r="G138" s="200"/>
      <c r="H138" s="200"/>
      <c r="I138" s="200"/>
      <c r="J138" s="200"/>
      <c r="K138" s="200">
        <f>SUMIF(AE!C:C,ATB!C:C,AE!F:F)</f>
        <v>0</v>
      </c>
      <c r="L138" s="200">
        <f t="shared" si="12"/>
        <v>0</v>
      </c>
      <c r="M138" s="200">
        <f t="shared" si="13"/>
        <v>0</v>
      </c>
    </row>
    <row r="139" spans="2:13" x14ac:dyDescent="0.35">
      <c r="B139" s="117"/>
      <c r="C139" s="117"/>
      <c r="D139" s="117"/>
      <c r="E139" s="117"/>
      <c r="F139" s="200"/>
      <c r="G139" s="200"/>
      <c r="H139" s="200"/>
      <c r="I139" s="200"/>
      <c r="J139" s="200"/>
      <c r="K139" s="200">
        <f>SUMIF(AE!C:C,ATB!C:C,AE!F:F)</f>
        <v>0</v>
      </c>
      <c r="L139" s="200">
        <f t="shared" si="12"/>
        <v>0</v>
      </c>
      <c r="M139" s="200">
        <f t="shared" si="13"/>
        <v>0</v>
      </c>
    </row>
    <row r="140" spans="2:13" x14ac:dyDescent="0.35">
      <c r="B140" s="117"/>
      <c r="C140" s="117"/>
      <c r="D140" s="117"/>
      <c r="E140" s="117"/>
      <c r="F140" s="200"/>
      <c r="G140" s="200"/>
      <c r="H140" s="200"/>
      <c r="I140" s="200"/>
      <c r="J140" s="200"/>
      <c r="K140" s="200">
        <f>SUMIF(AE!C:C,ATB!C:C,AE!F:F)</f>
        <v>0</v>
      </c>
      <c r="L140" s="200">
        <f t="shared" si="12"/>
        <v>0</v>
      </c>
      <c r="M140" s="200">
        <f t="shared" si="13"/>
        <v>0</v>
      </c>
    </row>
    <row r="141" spans="2:13" x14ac:dyDescent="0.35">
      <c r="B141" s="117"/>
      <c r="C141" s="117"/>
      <c r="D141" s="117"/>
      <c r="E141" s="117"/>
      <c r="F141" s="200"/>
      <c r="G141" s="200"/>
      <c r="H141" s="200"/>
      <c r="I141" s="200"/>
      <c r="J141" s="200"/>
      <c r="K141" s="200">
        <f>SUMIF(AE!C:C,ATB!C:C,AE!F:F)</f>
        <v>0</v>
      </c>
      <c r="L141" s="200">
        <f t="shared" si="12"/>
        <v>0</v>
      </c>
      <c r="M141" s="200">
        <f t="shared" si="13"/>
        <v>0</v>
      </c>
    </row>
    <row r="142" spans="2:13" x14ac:dyDescent="0.35">
      <c r="B142" s="117"/>
      <c r="C142" s="117"/>
      <c r="D142" s="117"/>
      <c r="E142" s="117"/>
      <c r="F142" s="200"/>
      <c r="G142" s="200"/>
      <c r="H142" s="200"/>
      <c r="I142" s="200"/>
      <c r="J142" s="200"/>
      <c r="K142" s="200">
        <f>SUMIF(AE!C:C,ATB!C:C,AE!F:F)</f>
        <v>0</v>
      </c>
      <c r="L142" s="200">
        <f t="shared" si="12"/>
        <v>0</v>
      </c>
      <c r="M142" s="200">
        <f t="shared" si="13"/>
        <v>0</v>
      </c>
    </row>
    <row r="143" spans="2:13" x14ac:dyDescent="0.35">
      <c r="B143" s="117"/>
      <c r="C143" s="117"/>
      <c r="D143" s="117"/>
      <c r="E143" s="117"/>
      <c r="F143" s="200"/>
      <c r="G143" s="200"/>
      <c r="H143" s="200"/>
      <c r="I143" s="200"/>
      <c r="J143" s="200"/>
      <c r="K143" s="200">
        <f>SUMIF(AE!C:C,ATB!C:C,AE!F:F)</f>
        <v>0</v>
      </c>
      <c r="L143" s="200">
        <f t="shared" si="12"/>
        <v>0</v>
      </c>
      <c r="M143" s="200">
        <f t="shared" si="13"/>
        <v>0</v>
      </c>
    </row>
    <row r="144" spans="2:13" x14ac:dyDescent="0.35">
      <c r="B144" s="117"/>
      <c r="C144" s="117"/>
      <c r="D144" s="117"/>
      <c r="E144" s="117"/>
      <c r="F144" s="200"/>
      <c r="G144" s="200"/>
      <c r="H144" s="200"/>
      <c r="I144" s="200"/>
      <c r="J144" s="200"/>
      <c r="K144" s="200">
        <f>SUMIF(AE!C:C,ATB!C:C,AE!F:F)</f>
        <v>0</v>
      </c>
      <c r="L144" s="200">
        <f t="shared" si="12"/>
        <v>0</v>
      </c>
      <c r="M144" s="200">
        <f t="shared" si="13"/>
        <v>0</v>
      </c>
    </row>
    <row r="145" spans="2:13" x14ac:dyDescent="0.35">
      <c r="B145" s="117"/>
      <c r="C145" s="117"/>
      <c r="D145" s="117"/>
      <c r="E145" s="117"/>
      <c r="F145" s="200"/>
      <c r="G145" s="200"/>
      <c r="H145" s="200"/>
      <c r="I145" s="200"/>
      <c r="J145" s="200"/>
      <c r="K145" s="200">
        <f>SUMIF(AE!C:C,ATB!C:C,AE!F:F)</f>
        <v>0</v>
      </c>
      <c r="L145" s="200">
        <f t="shared" si="12"/>
        <v>0</v>
      </c>
      <c r="M145" s="200">
        <f t="shared" si="13"/>
        <v>0</v>
      </c>
    </row>
    <row r="146" spans="2:13" x14ac:dyDescent="0.35">
      <c r="B146" s="117"/>
      <c r="C146" s="117"/>
      <c r="D146" s="117"/>
      <c r="E146" s="117"/>
      <c r="F146" s="200"/>
      <c r="G146" s="200"/>
      <c r="H146" s="200"/>
      <c r="I146" s="200"/>
      <c r="J146" s="200"/>
      <c r="K146" s="200">
        <f>SUMIF(AE!C:C,ATB!C:C,AE!F:F)</f>
        <v>0</v>
      </c>
      <c r="L146" s="200">
        <f t="shared" si="12"/>
        <v>0</v>
      </c>
      <c r="M146" s="200">
        <f t="shared" si="13"/>
        <v>0</v>
      </c>
    </row>
    <row r="147" spans="2:13" x14ac:dyDescent="0.35">
      <c r="B147" s="117"/>
      <c r="C147" s="117"/>
      <c r="D147" s="117"/>
      <c r="E147" s="117"/>
      <c r="F147" s="200"/>
      <c r="G147" s="200"/>
      <c r="H147" s="200"/>
      <c r="I147" s="200"/>
      <c r="J147" s="200"/>
      <c r="K147" s="200">
        <f>SUMIF(AE!C:C,ATB!C:C,AE!F:F)</f>
        <v>0</v>
      </c>
      <c r="L147" s="200">
        <f t="shared" si="12"/>
        <v>0</v>
      </c>
      <c r="M147" s="200">
        <f t="shared" si="13"/>
        <v>0</v>
      </c>
    </row>
    <row r="148" spans="2:13" x14ac:dyDescent="0.35">
      <c r="B148" s="117"/>
      <c r="C148" s="117"/>
      <c r="D148" s="117"/>
      <c r="E148" s="117"/>
      <c r="F148" s="200"/>
      <c r="G148" s="200"/>
      <c r="H148" s="200"/>
      <c r="I148" s="200"/>
      <c r="J148" s="200"/>
      <c r="K148" s="200">
        <f>SUMIF(AE!C:C,ATB!C:C,AE!F:F)</f>
        <v>0</v>
      </c>
      <c r="L148" s="200">
        <f t="shared" si="12"/>
        <v>0</v>
      </c>
      <c r="M148" s="200">
        <f t="shared" si="13"/>
        <v>0</v>
      </c>
    </row>
    <row r="149" spans="2:13" x14ac:dyDescent="0.35">
      <c r="B149" s="117"/>
      <c r="C149" s="117"/>
      <c r="D149" s="117"/>
      <c r="E149" s="117"/>
      <c r="F149" s="200"/>
      <c r="G149" s="200"/>
      <c r="H149" s="200"/>
      <c r="I149" s="200"/>
      <c r="J149" s="200"/>
      <c r="K149" s="200">
        <f>SUMIF(AE!C:C,ATB!C:C,AE!F:F)</f>
        <v>0</v>
      </c>
      <c r="L149" s="200">
        <f t="shared" si="12"/>
        <v>0</v>
      </c>
      <c r="M149" s="200">
        <f t="shared" si="13"/>
        <v>0</v>
      </c>
    </row>
    <row r="150" spans="2:13" x14ac:dyDescent="0.35">
      <c r="B150" s="117"/>
      <c r="C150" s="117"/>
      <c r="D150" s="117"/>
      <c r="E150" s="117"/>
      <c r="F150" s="200"/>
      <c r="G150" s="200"/>
      <c r="H150" s="200"/>
      <c r="I150" s="200"/>
      <c r="J150" s="200"/>
      <c r="K150" s="200">
        <f>SUMIF(AE!C:C,ATB!C:C,AE!F:F)</f>
        <v>0</v>
      </c>
      <c r="L150" s="200">
        <f t="shared" si="12"/>
        <v>0</v>
      </c>
      <c r="M150" s="200">
        <f t="shared" si="13"/>
        <v>0</v>
      </c>
    </row>
    <row r="151" spans="2:13" x14ac:dyDescent="0.35">
      <c r="B151" s="117"/>
      <c r="C151" s="117"/>
      <c r="D151" s="117"/>
      <c r="E151" s="117"/>
      <c r="F151" s="200"/>
      <c r="G151" s="200"/>
      <c r="H151" s="200"/>
      <c r="I151" s="200"/>
      <c r="J151" s="200"/>
      <c r="K151" s="200">
        <f>SUMIF(AE!C:C,ATB!C:C,AE!F:F)</f>
        <v>0</v>
      </c>
      <c r="L151" s="200">
        <f t="shared" si="12"/>
        <v>0</v>
      </c>
      <c r="M151" s="200">
        <f t="shared" si="13"/>
        <v>0</v>
      </c>
    </row>
    <row r="152" spans="2:13" x14ac:dyDescent="0.35">
      <c r="B152" s="117"/>
      <c r="C152" s="117"/>
      <c r="D152" s="117"/>
      <c r="E152" s="117"/>
      <c r="F152" s="200"/>
      <c r="G152" s="200"/>
      <c r="H152" s="200"/>
      <c r="I152" s="200"/>
      <c r="J152" s="200"/>
      <c r="K152" s="200">
        <f>SUMIF(AE!C:C,ATB!C:C,AE!F:F)</f>
        <v>0</v>
      </c>
      <c r="L152" s="200">
        <f t="shared" si="12"/>
        <v>0</v>
      </c>
      <c r="M152" s="200">
        <f t="shared" si="13"/>
        <v>0</v>
      </c>
    </row>
    <row r="153" spans="2:13" x14ac:dyDescent="0.35">
      <c r="B153" s="117"/>
      <c r="C153" s="117"/>
      <c r="D153" s="117"/>
      <c r="E153" s="117"/>
      <c r="F153" s="200"/>
      <c r="G153" s="200"/>
      <c r="H153" s="200"/>
      <c r="I153" s="200"/>
      <c r="J153" s="200"/>
      <c r="K153" s="200">
        <f>SUMIF(AE!C:C,ATB!C:C,AE!F:F)</f>
        <v>0</v>
      </c>
      <c r="L153" s="200">
        <f t="shared" si="12"/>
        <v>0</v>
      </c>
      <c r="M153" s="200">
        <f t="shared" si="13"/>
        <v>0</v>
      </c>
    </row>
    <row r="154" spans="2:13" x14ac:dyDescent="0.35">
      <c r="B154" s="117"/>
      <c r="C154" s="117"/>
      <c r="D154" s="117"/>
      <c r="E154" s="117"/>
      <c r="F154" s="200"/>
      <c r="G154" s="200"/>
      <c r="H154" s="200"/>
      <c r="I154" s="200"/>
      <c r="J154" s="200"/>
      <c r="K154" s="200">
        <f>SUMIF(AE!C:C,ATB!C:C,AE!F:F)</f>
        <v>0</v>
      </c>
      <c r="L154" s="200">
        <f t="shared" si="12"/>
        <v>0</v>
      </c>
      <c r="M154" s="200">
        <f t="shared" si="13"/>
        <v>0</v>
      </c>
    </row>
    <row r="155" spans="2:13" x14ac:dyDescent="0.35">
      <c r="B155" s="117"/>
      <c r="C155" s="117"/>
      <c r="D155" s="117"/>
      <c r="E155" s="117"/>
      <c r="F155" s="200"/>
      <c r="G155" s="200"/>
      <c r="H155" s="200"/>
      <c r="I155" s="200"/>
      <c r="J155" s="200"/>
      <c r="K155" s="200">
        <f>SUMIF(AE!C:C,ATB!C:C,AE!F:F)</f>
        <v>0</v>
      </c>
      <c r="L155" s="200">
        <f t="shared" si="12"/>
        <v>0</v>
      </c>
      <c r="M155" s="200">
        <f t="shared" si="13"/>
        <v>0</v>
      </c>
    </row>
    <row r="156" spans="2:13" x14ac:dyDescent="0.35">
      <c r="B156" s="117"/>
      <c r="C156" s="117"/>
      <c r="D156" s="117"/>
      <c r="E156" s="117"/>
      <c r="F156" s="200"/>
      <c r="G156" s="200"/>
      <c r="H156" s="200"/>
      <c r="I156" s="200"/>
      <c r="J156" s="200"/>
      <c r="K156" s="200">
        <f>SUMIF(AE!C:C,ATB!C:C,AE!F:F)</f>
        <v>0</v>
      </c>
      <c r="L156" s="200">
        <f t="shared" si="12"/>
        <v>0</v>
      </c>
      <c r="M156" s="200">
        <f t="shared" si="13"/>
        <v>0</v>
      </c>
    </row>
    <row r="157" spans="2:13" x14ac:dyDescent="0.35">
      <c r="B157" s="117"/>
      <c r="C157" s="117"/>
      <c r="D157" s="117"/>
      <c r="E157" s="117"/>
      <c r="F157" s="200"/>
      <c r="G157" s="200"/>
      <c r="H157" s="200"/>
      <c r="I157" s="200"/>
      <c r="J157" s="200"/>
      <c r="K157" s="200">
        <f>SUMIF(AE!C:C,ATB!C:C,AE!F:F)</f>
        <v>0</v>
      </c>
      <c r="L157" s="200">
        <f t="shared" si="12"/>
        <v>0</v>
      </c>
      <c r="M157" s="200">
        <f t="shared" si="13"/>
        <v>0</v>
      </c>
    </row>
    <row r="158" spans="2:13" x14ac:dyDescent="0.35">
      <c r="B158" s="117"/>
      <c r="C158" s="117"/>
      <c r="D158" s="117"/>
      <c r="E158" s="117"/>
      <c r="F158" s="200"/>
      <c r="G158" s="200"/>
      <c r="H158" s="200"/>
      <c r="I158" s="200"/>
      <c r="J158" s="200"/>
      <c r="K158" s="200">
        <f>SUMIF(AE!C:C,ATB!C:C,AE!F:F)</f>
        <v>0</v>
      </c>
      <c r="L158" s="200">
        <f t="shared" si="12"/>
        <v>0</v>
      </c>
      <c r="M158" s="200">
        <f t="shared" si="13"/>
        <v>0</v>
      </c>
    </row>
    <row r="159" spans="2:13" x14ac:dyDescent="0.35">
      <c r="B159" s="117"/>
      <c r="C159" s="117"/>
      <c r="D159" s="117"/>
      <c r="E159" s="117"/>
      <c r="F159" s="200"/>
      <c r="G159" s="200"/>
      <c r="H159" s="200"/>
      <c r="I159" s="200"/>
      <c r="J159" s="200"/>
      <c r="K159" s="200">
        <f>SUMIF(AE!C:C,ATB!C:C,AE!F:F)</f>
        <v>0</v>
      </c>
      <c r="L159" s="200">
        <f t="shared" si="12"/>
        <v>0</v>
      </c>
      <c r="M159" s="200">
        <f t="shared" si="13"/>
        <v>0</v>
      </c>
    </row>
    <row r="160" spans="2:13" x14ac:dyDescent="0.35">
      <c r="B160" s="117"/>
      <c r="C160" s="117"/>
      <c r="D160" s="117"/>
      <c r="E160" s="117"/>
      <c r="F160" s="200"/>
      <c r="G160" s="200"/>
      <c r="H160" s="200"/>
      <c r="I160" s="200"/>
      <c r="J160" s="200"/>
      <c r="K160" s="200">
        <f>SUMIF(AE!C:C,ATB!C:C,AE!F:F)</f>
        <v>0</v>
      </c>
      <c r="L160" s="200">
        <f t="shared" si="12"/>
        <v>0</v>
      </c>
      <c r="M160" s="200">
        <f t="shared" si="13"/>
        <v>0</v>
      </c>
    </row>
    <row r="161" spans="2:13" x14ac:dyDescent="0.35">
      <c r="B161" s="117"/>
      <c r="C161" s="117"/>
      <c r="D161" s="117"/>
      <c r="E161" s="117"/>
      <c r="F161" s="200"/>
      <c r="G161" s="200"/>
      <c r="H161" s="200"/>
      <c r="I161" s="200"/>
      <c r="J161" s="200"/>
      <c r="K161" s="200">
        <f>SUMIF(AE!C:C,ATB!C:C,AE!F:F)</f>
        <v>0</v>
      </c>
      <c r="L161" s="200">
        <f t="shared" si="12"/>
        <v>0</v>
      </c>
      <c r="M161" s="200">
        <f t="shared" si="13"/>
        <v>0</v>
      </c>
    </row>
    <row r="162" spans="2:13" x14ac:dyDescent="0.35">
      <c r="B162" s="117"/>
      <c r="C162" s="117"/>
      <c r="D162" s="117"/>
      <c r="E162" s="117"/>
      <c r="F162" s="200"/>
      <c r="G162" s="200"/>
      <c r="H162" s="200"/>
      <c r="I162" s="200"/>
      <c r="J162" s="200"/>
      <c r="K162" s="200">
        <f>SUMIF(AE!C:C,ATB!C:C,AE!F:F)</f>
        <v>0</v>
      </c>
      <c r="L162" s="200">
        <f t="shared" si="12"/>
        <v>0</v>
      </c>
      <c r="M162" s="200">
        <f t="shared" si="13"/>
        <v>0</v>
      </c>
    </row>
    <row r="163" spans="2:13" x14ac:dyDescent="0.35">
      <c r="B163" s="117"/>
      <c r="C163" s="117"/>
      <c r="D163" s="117"/>
      <c r="E163" s="117"/>
      <c r="F163" s="200"/>
      <c r="G163" s="200"/>
      <c r="H163" s="200"/>
      <c r="I163" s="200"/>
      <c r="J163" s="200"/>
      <c r="K163" s="200">
        <f>SUMIF(AE!C:C,ATB!C:C,AE!F:F)</f>
        <v>0</v>
      </c>
      <c r="L163" s="200">
        <f t="shared" si="12"/>
        <v>0</v>
      </c>
      <c r="M163" s="200">
        <f t="shared" si="13"/>
        <v>0</v>
      </c>
    </row>
    <row r="164" spans="2:13" x14ac:dyDescent="0.35">
      <c r="B164" s="117"/>
      <c r="C164" s="117"/>
      <c r="D164" s="117"/>
      <c r="E164" s="117"/>
      <c r="F164" s="200"/>
      <c r="G164" s="200"/>
      <c r="H164" s="200"/>
      <c r="I164" s="200"/>
      <c r="J164" s="200"/>
      <c r="K164" s="200">
        <f>SUMIF(AE!C:C,ATB!C:C,AE!F:F)</f>
        <v>0</v>
      </c>
      <c r="L164" s="200">
        <f t="shared" si="12"/>
        <v>0</v>
      </c>
      <c r="M164" s="200">
        <f t="shared" si="13"/>
        <v>0</v>
      </c>
    </row>
    <row r="165" spans="2:13" x14ac:dyDescent="0.35">
      <c r="B165" s="117"/>
      <c r="C165" s="117"/>
      <c r="D165" s="117"/>
      <c r="E165" s="117"/>
      <c r="F165" s="200"/>
      <c r="G165" s="200"/>
      <c r="H165" s="200"/>
      <c r="I165" s="200"/>
      <c r="J165" s="200"/>
      <c r="K165" s="200">
        <f>SUMIF(AE!C:C,ATB!C:C,AE!F:F)</f>
        <v>0</v>
      </c>
      <c r="L165" s="200">
        <f t="shared" si="12"/>
        <v>0</v>
      </c>
      <c r="M165" s="200">
        <f t="shared" si="13"/>
        <v>0</v>
      </c>
    </row>
    <row r="166" spans="2:13" x14ac:dyDescent="0.35">
      <c r="B166" s="117"/>
      <c r="C166" s="117"/>
      <c r="D166" s="117"/>
      <c r="E166" s="117"/>
      <c r="F166" s="200"/>
      <c r="G166" s="200"/>
      <c r="H166" s="200"/>
      <c r="I166" s="200"/>
      <c r="J166" s="200"/>
      <c r="K166" s="200">
        <f>SUMIF(AE!C:C,ATB!C:C,AE!F:F)</f>
        <v>0</v>
      </c>
      <c r="L166" s="200">
        <f t="shared" si="12"/>
        <v>0</v>
      </c>
      <c r="M166" s="200">
        <f t="shared" si="13"/>
        <v>0</v>
      </c>
    </row>
    <row r="167" spans="2:13" x14ac:dyDescent="0.35">
      <c r="B167" s="117"/>
      <c r="C167" s="117"/>
      <c r="D167" s="117"/>
      <c r="E167" s="117"/>
      <c r="F167" s="200"/>
      <c r="G167" s="200"/>
      <c r="H167" s="200"/>
      <c r="I167" s="200"/>
      <c r="J167" s="200"/>
      <c r="K167" s="200">
        <f>SUMIF(AE!C:C,ATB!C:C,AE!F:F)</f>
        <v>0</v>
      </c>
      <c r="L167" s="200">
        <f t="shared" si="12"/>
        <v>0</v>
      </c>
      <c r="M167" s="200">
        <f t="shared" si="13"/>
        <v>0</v>
      </c>
    </row>
    <row r="168" spans="2:13" x14ac:dyDescent="0.35">
      <c r="B168" s="117"/>
      <c r="C168" s="117"/>
      <c r="D168" s="117"/>
      <c r="E168" s="117"/>
      <c r="F168" s="200"/>
      <c r="G168" s="200"/>
      <c r="H168" s="200"/>
      <c r="I168" s="200"/>
      <c r="J168" s="200"/>
      <c r="K168" s="200">
        <f>SUMIF(AE!C:C,ATB!C:C,AE!F:F)</f>
        <v>0</v>
      </c>
      <c r="L168" s="200">
        <f t="shared" si="12"/>
        <v>0</v>
      </c>
      <c r="M168" s="200">
        <f t="shared" si="13"/>
        <v>0</v>
      </c>
    </row>
    <row r="169" spans="2:13" x14ac:dyDescent="0.35">
      <c r="B169" s="117"/>
      <c r="C169" s="117"/>
      <c r="D169" s="117"/>
      <c r="E169" s="117"/>
      <c r="F169" s="200"/>
      <c r="G169" s="200"/>
      <c r="H169" s="200"/>
      <c r="I169" s="200"/>
      <c r="J169" s="200"/>
      <c r="K169" s="200">
        <f>SUMIF(AE!C:C,ATB!C:C,AE!F:F)</f>
        <v>0</v>
      </c>
      <c r="L169" s="200">
        <f t="shared" si="12"/>
        <v>0</v>
      </c>
      <c r="M169" s="200">
        <f t="shared" si="13"/>
        <v>0</v>
      </c>
    </row>
    <row r="170" spans="2:13" x14ac:dyDescent="0.35">
      <c r="B170" s="117"/>
      <c r="C170" s="117"/>
      <c r="D170" s="117"/>
      <c r="E170" s="117"/>
      <c r="F170" s="200"/>
      <c r="G170" s="200"/>
      <c r="H170" s="200"/>
      <c r="I170" s="200"/>
      <c r="J170" s="200"/>
      <c r="K170" s="200">
        <f>SUMIF(AE!C:C,ATB!C:C,AE!F:F)</f>
        <v>0</v>
      </c>
      <c r="L170" s="200">
        <f t="shared" si="12"/>
        <v>0</v>
      </c>
      <c r="M170" s="200">
        <f t="shared" si="13"/>
        <v>0</v>
      </c>
    </row>
    <row r="171" spans="2:13" x14ac:dyDescent="0.35">
      <c r="B171" s="117"/>
      <c r="C171" s="117"/>
      <c r="D171" s="117"/>
      <c r="E171" s="117"/>
      <c r="F171" s="200"/>
      <c r="G171" s="200"/>
      <c r="H171" s="200"/>
      <c r="I171" s="200"/>
      <c r="J171" s="200"/>
      <c r="K171" s="200">
        <f>SUMIF(AE!C:C,ATB!C:C,AE!F:F)</f>
        <v>0</v>
      </c>
      <c r="L171" s="200">
        <f t="shared" si="12"/>
        <v>0</v>
      </c>
      <c r="M171" s="200">
        <f t="shared" si="13"/>
        <v>0</v>
      </c>
    </row>
    <row r="172" spans="2:13" x14ac:dyDescent="0.35">
      <c r="B172" s="117"/>
      <c r="C172" s="117"/>
      <c r="D172" s="117"/>
      <c r="E172" s="117"/>
      <c r="F172" s="200"/>
      <c r="G172" s="200"/>
      <c r="H172" s="200"/>
      <c r="I172" s="200"/>
      <c r="J172" s="200"/>
      <c r="K172" s="200">
        <f>SUMIF(AE!C:C,ATB!C:C,AE!F:F)</f>
        <v>0</v>
      </c>
      <c r="L172" s="200">
        <f t="shared" si="12"/>
        <v>0</v>
      </c>
      <c r="M172" s="200">
        <f t="shared" si="13"/>
        <v>0</v>
      </c>
    </row>
    <row r="173" spans="2:13" x14ac:dyDescent="0.35">
      <c r="B173" s="117"/>
      <c r="C173" s="117"/>
      <c r="D173" s="117"/>
      <c r="E173" s="117"/>
      <c r="F173" s="200"/>
      <c r="G173" s="200"/>
      <c r="H173" s="200"/>
      <c r="I173" s="200"/>
      <c r="J173" s="200"/>
      <c r="K173" s="200">
        <f>SUMIF(AE!C:C,ATB!C:C,AE!F:F)</f>
        <v>0</v>
      </c>
      <c r="L173" s="200">
        <f t="shared" si="12"/>
        <v>0</v>
      </c>
      <c r="M173" s="200">
        <f t="shared" si="13"/>
        <v>0</v>
      </c>
    </row>
    <row r="174" spans="2:13" x14ac:dyDescent="0.35">
      <c r="B174" s="117"/>
      <c r="C174" s="117"/>
      <c r="D174" s="117"/>
      <c r="E174" s="117"/>
      <c r="F174" s="200"/>
      <c r="G174" s="200"/>
      <c r="H174" s="200"/>
      <c r="I174" s="200"/>
      <c r="J174" s="200"/>
      <c r="K174" s="200">
        <f>SUMIF(AE!C:C,ATB!C:C,AE!F:F)</f>
        <v>0</v>
      </c>
      <c r="L174" s="200">
        <f t="shared" si="12"/>
        <v>0</v>
      </c>
      <c r="M174" s="200">
        <f t="shared" si="13"/>
        <v>0</v>
      </c>
    </row>
    <row r="175" spans="2:13" x14ac:dyDescent="0.35">
      <c r="B175" s="117"/>
      <c r="C175" s="117"/>
      <c r="D175" s="117"/>
      <c r="E175" s="117"/>
      <c r="F175" s="200"/>
      <c r="G175" s="200"/>
      <c r="H175" s="200"/>
      <c r="I175" s="200"/>
      <c r="J175" s="200"/>
      <c r="K175" s="200">
        <f>SUMIF(AE!C:C,ATB!C:C,AE!F:F)</f>
        <v>0</v>
      </c>
      <c r="L175" s="200">
        <f t="shared" si="12"/>
        <v>0</v>
      </c>
      <c r="M175" s="200">
        <f t="shared" si="13"/>
        <v>0</v>
      </c>
    </row>
    <row r="176" spans="2:13" x14ac:dyDescent="0.35">
      <c r="B176" s="117"/>
      <c r="C176" s="117"/>
      <c r="D176" s="117"/>
      <c r="E176" s="117"/>
      <c r="F176" s="200"/>
      <c r="G176" s="200"/>
      <c r="H176" s="200"/>
      <c r="I176" s="200"/>
      <c r="J176" s="200"/>
      <c r="K176" s="200">
        <f>SUMIF(AE!C:C,ATB!C:C,AE!F:F)</f>
        <v>0</v>
      </c>
      <c r="L176" s="200">
        <f t="shared" si="12"/>
        <v>0</v>
      </c>
      <c r="M176" s="200">
        <f t="shared" si="13"/>
        <v>0</v>
      </c>
    </row>
    <row r="177" spans="2:13" x14ac:dyDescent="0.35">
      <c r="B177" s="117"/>
      <c r="C177" s="117"/>
      <c r="D177" s="117"/>
      <c r="E177" s="117"/>
      <c r="F177" s="200"/>
      <c r="G177" s="200"/>
      <c r="H177" s="200"/>
      <c r="I177" s="200"/>
      <c r="J177" s="200"/>
      <c r="K177" s="200">
        <f>SUMIF(AE!C:C,ATB!C:C,AE!F:F)</f>
        <v>0</v>
      </c>
      <c r="L177" s="200">
        <f t="shared" si="12"/>
        <v>0</v>
      </c>
      <c r="M177" s="200">
        <f t="shared" si="13"/>
        <v>0</v>
      </c>
    </row>
    <row r="178" spans="2:13" x14ac:dyDescent="0.35">
      <c r="B178" s="117"/>
      <c r="C178" s="117"/>
      <c r="D178" s="117"/>
      <c r="E178" s="117"/>
      <c r="F178" s="200"/>
      <c r="G178" s="200"/>
      <c r="H178" s="200"/>
      <c r="I178" s="200"/>
      <c r="J178" s="200"/>
      <c r="K178" s="200">
        <f>SUMIF(AE!C:C,ATB!C:C,AE!F:F)</f>
        <v>0</v>
      </c>
      <c r="L178" s="200">
        <f t="shared" si="12"/>
        <v>0</v>
      </c>
      <c r="M178" s="200">
        <f t="shared" si="13"/>
        <v>0</v>
      </c>
    </row>
    <row r="179" spans="2:13" x14ac:dyDescent="0.35">
      <c r="B179" s="117"/>
      <c r="C179" s="117"/>
      <c r="D179" s="117"/>
      <c r="E179" s="117"/>
      <c r="F179" s="200"/>
      <c r="G179" s="200"/>
      <c r="H179" s="200"/>
      <c r="I179" s="200"/>
      <c r="J179" s="200"/>
      <c r="K179" s="200">
        <f>SUMIF(AE!C:C,ATB!C:C,AE!F:F)</f>
        <v>0</v>
      </c>
      <c r="L179" s="200">
        <f t="shared" si="12"/>
        <v>0</v>
      </c>
      <c r="M179" s="200">
        <f t="shared" si="13"/>
        <v>0</v>
      </c>
    </row>
    <row r="180" spans="2:13" x14ac:dyDescent="0.35">
      <c r="B180" s="117"/>
      <c r="C180" s="117"/>
      <c r="D180" s="117"/>
      <c r="E180" s="117"/>
      <c r="F180" s="200"/>
      <c r="G180" s="200"/>
      <c r="H180" s="200"/>
      <c r="I180" s="200"/>
      <c r="J180" s="200"/>
      <c r="K180" s="200">
        <f>SUMIF(AE!C:C,ATB!C:C,AE!F:F)</f>
        <v>0</v>
      </c>
      <c r="L180" s="200">
        <f t="shared" si="12"/>
        <v>0</v>
      </c>
      <c r="M180" s="200">
        <f t="shared" si="13"/>
        <v>0</v>
      </c>
    </row>
    <row r="181" spans="2:13" x14ac:dyDescent="0.35">
      <c r="B181" s="117"/>
      <c r="C181" s="117"/>
      <c r="D181" s="117"/>
      <c r="E181" s="117"/>
      <c r="F181" s="200"/>
      <c r="G181" s="200"/>
      <c r="H181" s="200"/>
      <c r="I181" s="200"/>
      <c r="J181" s="200"/>
      <c r="K181" s="200">
        <f>SUMIF(AE!C:C,ATB!C:C,AE!F:F)</f>
        <v>0</v>
      </c>
      <c r="L181" s="200">
        <f t="shared" si="12"/>
        <v>0</v>
      </c>
      <c r="M181" s="200">
        <f t="shared" si="13"/>
        <v>0</v>
      </c>
    </row>
    <row r="182" spans="2:13" x14ac:dyDescent="0.35">
      <c r="B182" s="117"/>
      <c r="C182" s="117"/>
      <c r="D182" s="117"/>
      <c r="E182" s="117"/>
      <c r="F182" s="200"/>
      <c r="G182" s="200"/>
      <c r="H182" s="200"/>
      <c r="I182" s="200"/>
      <c r="J182" s="200"/>
      <c r="K182" s="200">
        <f>SUMIF(AE!C:C,ATB!C:C,AE!F:F)</f>
        <v>0</v>
      </c>
      <c r="L182" s="200">
        <f t="shared" si="12"/>
        <v>0</v>
      </c>
      <c r="M182" s="200">
        <f t="shared" si="13"/>
        <v>0</v>
      </c>
    </row>
    <row r="183" spans="2:13" x14ac:dyDescent="0.35">
      <c r="B183" s="117"/>
      <c r="C183" s="117"/>
      <c r="D183" s="117"/>
      <c r="E183" s="117"/>
      <c r="F183" s="200"/>
      <c r="G183" s="200"/>
      <c r="H183" s="200"/>
      <c r="I183" s="200"/>
      <c r="J183" s="200"/>
      <c r="K183" s="200">
        <f>SUMIF(AE!C:C,ATB!C:C,AE!F:F)</f>
        <v>0</v>
      </c>
      <c r="L183" s="200">
        <f t="shared" si="12"/>
        <v>0</v>
      </c>
      <c r="M183" s="200">
        <f t="shared" si="13"/>
        <v>0</v>
      </c>
    </row>
    <row r="184" spans="2:13" x14ac:dyDescent="0.35">
      <c r="B184" s="117"/>
      <c r="C184" s="117"/>
      <c r="D184" s="117"/>
      <c r="E184" s="117"/>
      <c r="F184" s="200"/>
      <c r="G184" s="200"/>
      <c r="H184" s="200"/>
      <c r="I184" s="200"/>
      <c r="J184" s="200"/>
      <c r="K184" s="200">
        <f>SUMIF(AE!C:C,ATB!C:C,AE!F:F)</f>
        <v>0</v>
      </c>
      <c r="L184" s="200">
        <f t="shared" si="12"/>
        <v>0</v>
      </c>
      <c r="M184" s="200">
        <f t="shared" si="13"/>
        <v>0</v>
      </c>
    </row>
    <row r="185" spans="2:13" x14ac:dyDescent="0.35">
      <c r="B185" s="117"/>
      <c r="C185" s="117"/>
      <c r="D185" s="117"/>
      <c r="E185" s="117"/>
      <c r="F185" s="200"/>
      <c r="G185" s="200"/>
      <c r="H185" s="200"/>
      <c r="I185" s="200"/>
      <c r="J185" s="200"/>
      <c r="K185" s="200">
        <f>SUMIF(AE!C:C,ATB!C:C,AE!F:F)</f>
        <v>0</v>
      </c>
      <c r="L185" s="200">
        <f t="shared" si="12"/>
        <v>0</v>
      </c>
      <c r="M185" s="200">
        <f t="shared" si="13"/>
        <v>0</v>
      </c>
    </row>
    <row r="186" spans="2:13" x14ac:dyDescent="0.35">
      <c r="B186" s="117"/>
      <c r="C186" s="117"/>
      <c r="D186" s="117"/>
      <c r="E186" s="117"/>
      <c r="F186" s="200"/>
      <c r="G186" s="200"/>
      <c r="H186" s="200"/>
      <c r="I186" s="200"/>
      <c r="J186" s="200"/>
      <c r="K186" s="200">
        <f>SUMIF(AE!C:C,ATB!C:C,AE!F:F)</f>
        <v>0</v>
      </c>
      <c r="L186" s="200">
        <f t="shared" si="12"/>
        <v>0</v>
      </c>
      <c r="M186" s="200">
        <f t="shared" si="13"/>
        <v>0</v>
      </c>
    </row>
    <row r="187" spans="2:13" x14ac:dyDescent="0.35">
      <c r="B187" s="117"/>
      <c r="C187" s="117"/>
      <c r="D187" s="117"/>
      <c r="E187" s="117"/>
      <c r="F187" s="200"/>
      <c r="G187" s="200"/>
      <c r="H187" s="200"/>
      <c r="I187" s="200"/>
      <c r="J187" s="200"/>
      <c r="K187" s="200">
        <f>SUMIF(AE!C:C,ATB!C:C,AE!F:F)</f>
        <v>0</v>
      </c>
      <c r="L187" s="200">
        <f t="shared" si="12"/>
        <v>0</v>
      </c>
      <c r="M187" s="200">
        <f t="shared" si="13"/>
        <v>0</v>
      </c>
    </row>
    <row r="188" spans="2:13" x14ac:dyDescent="0.35">
      <c r="B188" s="117"/>
      <c r="C188" s="117"/>
      <c r="D188" s="117"/>
      <c r="E188" s="117"/>
      <c r="F188" s="200"/>
      <c r="G188" s="200"/>
      <c r="H188" s="200"/>
      <c r="I188" s="200"/>
      <c r="J188" s="200"/>
      <c r="K188" s="200">
        <f>SUMIF(AE!C:C,ATB!C:C,AE!F:F)</f>
        <v>0</v>
      </c>
      <c r="L188" s="200">
        <f t="shared" si="12"/>
        <v>0</v>
      </c>
      <c r="M188" s="200">
        <f t="shared" si="13"/>
        <v>0</v>
      </c>
    </row>
    <row r="189" spans="2:13" x14ac:dyDescent="0.35">
      <c r="B189" s="117"/>
      <c r="C189" s="117"/>
      <c r="D189" s="117"/>
      <c r="E189" s="117"/>
      <c r="F189" s="200"/>
      <c r="G189" s="200"/>
      <c r="H189" s="200"/>
      <c r="I189" s="200"/>
      <c r="J189" s="200"/>
      <c r="K189" s="200">
        <f>SUMIF(AE!C:C,ATB!C:C,AE!F:F)</f>
        <v>0</v>
      </c>
      <c r="L189" s="200">
        <f t="shared" si="12"/>
        <v>0</v>
      </c>
      <c r="M189" s="200">
        <f t="shared" si="13"/>
        <v>0</v>
      </c>
    </row>
    <row r="190" spans="2:13" x14ac:dyDescent="0.35">
      <c r="B190" s="117"/>
      <c r="C190" s="117"/>
      <c r="D190" s="117"/>
      <c r="E190" s="117"/>
      <c r="F190" s="200"/>
      <c r="G190" s="200"/>
      <c r="H190" s="200"/>
      <c r="I190" s="200"/>
      <c r="J190" s="200"/>
      <c r="K190" s="200">
        <f>SUMIF(AE!C:C,ATB!C:C,AE!F:F)</f>
        <v>0</v>
      </c>
      <c r="L190" s="200">
        <f t="shared" si="12"/>
        <v>0</v>
      </c>
      <c r="M190" s="200">
        <f t="shared" si="13"/>
        <v>0</v>
      </c>
    </row>
    <row r="191" spans="2:13" x14ac:dyDescent="0.35">
      <c r="B191" s="117"/>
      <c r="C191" s="117"/>
      <c r="D191" s="117"/>
      <c r="E191" s="117"/>
      <c r="F191" s="200"/>
      <c r="G191" s="200"/>
      <c r="H191" s="200"/>
      <c r="I191" s="200"/>
      <c r="J191" s="200"/>
      <c r="K191" s="200">
        <f>SUMIF(AE!C:C,ATB!C:C,AE!F:F)</f>
        <v>0</v>
      </c>
      <c r="L191" s="200">
        <f t="shared" si="12"/>
        <v>0</v>
      </c>
      <c r="M191" s="200">
        <f t="shared" si="13"/>
        <v>0</v>
      </c>
    </row>
    <row r="192" spans="2:13" x14ac:dyDescent="0.35">
      <c r="B192" s="117"/>
      <c r="C192" s="117"/>
      <c r="D192" s="117"/>
      <c r="E192" s="117"/>
      <c r="F192" s="200"/>
      <c r="G192" s="200"/>
      <c r="H192" s="200"/>
      <c r="I192" s="200"/>
      <c r="J192" s="200"/>
      <c r="K192" s="200">
        <f>SUMIF(AE!C:C,ATB!C:C,AE!F:F)</f>
        <v>0</v>
      </c>
      <c r="L192" s="200">
        <f t="shared" si="12"/>
        <v>0</v>
      </c>
      <c r="M192" s="200">
        <f t="shared" si="13"/>
        <v>0</v>
      </c>
    </row>
    <row r="193" spans="2:13" x14ac:dyDescent="0.35">
      <c r="B193" s="117"/>
      <c r="C193" s="117"/>
      <c r="D193" s="117"/>
      <c r="E193" s="117"/>
      <c r="F193" s="200"/>
      <c r="G193" s="200"/>
      <c r="H193" s="200"/>
      <c r="I193" s="200"/>
      <c r="J193" s="200"/>
      <c r="K193" s="200">
        <f>SUMIF(AE!C:C,ATB!C:C,AE!F:F)</f>
        <v>0</v>
      </c>
      <c r="L193" s="200">
        <f t="shared" si="12"/>
        <v>0</v>
      </c>
      <c r="M193" s="200">
        <f t="shared" si="13"/>
        <v>0</v>
      </c>
    </row>
    <row r="194" spans="2:13" x14ac:dyDescent="0.35">
      <c r="B194" s="117"/>
      <c r="C194" s="117"/>
      <c r="D194" s="117"/>
      <c r="E194" s="117"/>
      <c r="F194" s="200"/>
      <c r="G194" s="200"/>
      <c r="H194" s="200"/>
      <c r="I194" s="200"/>
      <c r="J194" s="200"/>
      <c r="K194" s="200">
        <f>SUMIF(AE!C:C,ATB!C:C,AE!F:F)</f>
        <v>0</v>
      </c>
      <c r="L194" s="200">
        <f t="shared" ref="L194:L257" si="14">ROUND(IF(F194+H194+J194-G194-I194-K194&gt;0,F194+H194+J194-G194-I194-K194,0),0)</f>
        <v>0</v>
      </c>
      <c r="M194" s="200">
        <f t="shared" ref="M194:M257" si="15">-ROUND(IF(F194+H194+J194-G194-I194-K194&lt;0,F194+H194+J194-G194-I194-K194,0),0)</f>
        <v>0</v>
      </c>
    </row>
    <row r="195" spans="2:13" x14ac:dyDescent="0.35">
      <c r="B195" s="117"/>
      <c r="C195" s="117"/>
      <c r="D195" s="117"/>
      <c r="E195" s="117"/>
      <c r="F195" s="200"/>
      <c r="G195" s="200"/>
      <c r="H195" s="200"/>
      <c r="I195" s="200"/>
      <c r="J195" s="200"/>
      <c r="K195" s="200">
        <f>SUMIF(AE!C:C,ATB!C:C,AE!F:F)</f>
        <v>0</v>
      </c>
      <c r="L195" s="200">
        <f t="shared" si="14"/>
        <v>0</v>
      </c>
      <c r="M195" s="200">
        <f t="shared" si="15"/>
        <v>0</v>
      </c>
    </row>
    <row r="196" spans="2:13" x14ac:dyDescent="0.35">
      <c r="B196" s="117"/>
      <c r="C196" s="117"/>
      <c r="D196" s="117"/>
      <c r="E196" s="117"/>
      <c r="F196" s="200"/>
      <c r="G196" s="200"/>
      <c r="H196" s="200"/>
      <c r="I196" s="200"/>
      <c r="J196" s="200"/>
      <c r="K196" s="200">
        <f>SUMIF(AE!C:C,ATB!C:C,AE!F:F)</f>
        <v>0</v>
      </c>
      <c r="L196" s="200">
        <f t="shared" si="14"/>
        <v>0</v>
      </c>
      <c r="M196" s="200">
        <f t="shared" si="15"/>
        <v>0</v>
      </c>
    </row>
    <row r="197" spans="2:13" x14ac:dyDescent="0.35">
      <c r="B197" s="117"/>
      <c r="C197" s="117"/>
      <c r="D197" s="117"/>
      <c r="E197" s="117"/>
      <c r="F197" s="200"/>
      <c r="G197" s="200"/>
      <c r="H197" s="200"/>
      <c r="I197" s="200"/>
      <c r="J197" s="200"/>
      <c r="K197" s="200">
        <f>SUMIF(AE!C:C,ATB!C:C,AE!F:F)</f>
        <v>0</v>
      </c>
      <c r="L197" s="200">
        <f t="shared" si="14"/>
        <v>0</v>
      </c>
      <c r="M197" s="200">
        <f t="shared" si="15"/>
        <v>0</v>
      </c>
    </row>
    <row r="198" spans="2:13" x14ac:dyDescent="0.35">
      <c r="B198" s="117"/>
      <c r="C198" s="117"/>
      <c r="D198" s="117"/>
      <c r="E198" s="117"/>
      <c r="F198" s="200"/>
      <c r="G198" s="200"/>
      <c r="H198" s="200"/>
      <c r="I198" s="200"/>
      <c r="J198" s="200"/>
      <c r="K198" s="200">
        <f>SUMIF(AE!C:C,ATB!C:C,AE!F:F)</f>
        <v>0</v>
      </c>
      <c r="L198" s="200">
        <f t="shared" si="14"/>
        <v>0</v>
      </c>
      <c r="M198" s="200">
        <f t="shared" si="15"/>
        <v>0</v>
      </c>
    </row>
    <row r="199" spans="2:13" x14ac:dyDescent="0.35">
      <c r="B199" s="117"/>
      <c r="C199" s="117"/>
      <c r="D199" s="117"/>
      <c r="E199" s="117"/>
      <c r="F199" s="200"/>
      <c r="G199" s="200"/>
      <c r="H199" s="200"/>
      <c r="I199" s="200"/>
      <c r="J199" s="200"/>
      <c r="K199" s="200">
        <f>SUMIF(AE!C:C,ATB!C:C,AE!F:F)</f>
        <v>0</v>
      </c>
      <c r="L199" s="200">
        <f t="shared" si="14"/>
        <v>0</v>
      </c>
      <c r="M199" s="200">
        <f t="shared" si="15"/>
        <v>0</v>
      </c>
    </row>
    <row r="200" spans="2:13" x14ac:dyDescent="0.35">
      <c r="B200" s="117"/>
      <c r="C200" s="117"/>
      <c r="D200" s="117"/>
      <c r="E200" s="117"/>
      <c r="F200" s="200"/>
      <c r="G200" s="200"/>
      <c r="H200" s="200"/>
      <c r="I200" s="200"/>
      <c r="J200" s="200"/>
      <c r="K200" s="200">
        <f>SUMIF(AE!C:C,ATB!C:C,AE!F:F)</f>
        <v>0</v>
      </c>
      <c r="L200" s="200">
        <f t="shared" si="14"/>
        <v>0</v>
      </c>
      <c r="M200" s="200">
        <f t="shared" si="15"/>
        <v>0</v>
      </c>
    </row>
    <row r="201" spans="2:13" x14ac:dyDescent="0.35">
      <c r="B201" s="117"/>
      <c r="C201" s="117"/>
      <c r="D201" s="117"/>
      <c r="E201" s="117"/>
      <c r="F201" s="200"/>
      <c r="G201" s="200"/>
      <c r="H201" s="200"/>
      <c r="I201" s="200"/>
      <c r="J201" s="200"/>
      <c r="K201" s="200">
        <f>SUMIF(AE!C:C,ATB!C:C,AE!F:F)</f>
        <v>0</v>
      </c>
      <c r="L201" s="200">
        <f t="shared" si="14"/>
        <v>0</v>
      </c>
      <c r="M201" s="200">
        <f t="shared" si="15"/>
        <v>0</v>
      </c>
    </row>
    <row r="202" spans="2:13" x14ac:dyDescent="0.35">
      <c r="B202" s="117"/>
      <c r="C202" s="117"/>
      <c r="D202" s="117"/>
      <c r="E202" s="117"/>
      <c r="F202" s="200"/>
      <c r="G202" s="200"/>
      <c r="H202" s="200"/>
      <c r="I202" s="200"/>
      <c r="J202" s="200"/>
      <c r="K202" s="200">
        <f>SUMIF(AE!C:C,ATB!C:C,AE!F:F)</f>
        <v>0</v>
      </c>
      <c r="L202" s="200">
        <f t="shared" si="14"/>
        <v>0</v>
      </c>
      <c r="M202" s="200">
        <f t="shared" si="15"/>
        <v>0</v>
      </c>
    </row>
    <row r="203" spans="2:13" x14ac:dyDescent="0.35">
      <c r="B203" s="117"/>
      <c r="C203" s="117"/>
      <c r="D203" s="117"/>
      <c r="E203" s="117"/>
      <c r="F203" s="200"/>
      <c r="G203" s="200"/>
      <c r="H203" s="200"/>
      <c r="I203" s="200"/>
      <c r="J203" s="200"/>
      <c r="K203" s="200">
        <f>SUMIF(AE!C:C,ATB!C:C,AE!F:F)</f>
        <v>0</v>
      </c>
      <c r="L203" s="200">
        <f t="shared" si="14"/>
        <v>0</v>
      </c>
      <c r="M203" s="200">
        <f t="shared" si="15"/>
        <v>0</v>
      </c>
    </row>
    <row r="204" spans="2:13" x14ac:dyDescent="0.35">
      <c r="B204" s="117"/>
      <c r="C204" s="117"/>
      <c r="D204" s="117"/>
      <c r="E204" s="117"/>
      <c r="F204" s="200"/>
      <c r="G204" s="200"/>
      <c r="H204" s="200"/>
      <c r="I204" s="200"/>
      <c r="J204" s="200"/>
      <c r="K204" s="200">
        <f>SUMIF(AE!C:C,ATB!C:C,AE!F:F)</f>
        <v>0</v>
      </c>
      <c r="L204" s="200">
        <f t="shared" si="14"/>
        <v>0</v>
      </c>
      <c r="M204" s="200">
        <f t="shared" si="15"/>
        <v>0</v>
      </c>
    </row>
    <row r="205" spans="2:13" x14ac:dyDescent="0.35">
      <c r="B205" s="117"/>
      <c r="C205" s="117"/>
      <c r="D205" s="117"/>
      <c r="E205" s="117"/>
      <c r="F205" s="200"/>
      <c r="G205" s="200"/>
      <c r="H205" s="200"/>
      <c r="I205" s="200"/>
      <c r="J205" s="200"/>
      <c r="K205" s="200">
        <f>SUMIF(AE!C:C,ATB!C:C,AE!F:F)</f>
        <v>0</v>
      </c>
      <c r="L205" s="200">
        <f t="shared" si="14"/>
        <v>0</v>
      </c>
      <c r="M205" s="200">
        <f t="shared" si="15"/>
        <v>0</v>
      </c>
    </row>
    <row r="206" spans="2:13" x14ac:dyDescent="0.35">
      <c r="B206" s="117"/>
      <c r="C206" s="117"/>
      <c r="D206" s="117"/>
      <c r="E206" s="117"/>
      <c r="F206" s="200"/>
      <c r="G206" s="200"/>
      <c r="H206" s="200"/>
      <c r="I206" s="200"/>
      <c r="J206" s="200"/>
      <c r="K206" s="200">
        <f>SUMIF(AE!C:C,ATB!C:C,AE!F:F)</f>
        <v>0</v>
      </c>
      <c r="L206" s="200">
        <f t="shared" si="14"/>
        <v>0</v>
      </c>
      <c r="M206" s="200">
        <f t="shared" si="15"/>
        <v>0</v>
      </c>
    </row>
    <row r="207" spans="2:13" x14ac:dyDescent="0.35">
      <c r="B207" s="117"/>
      <c r="C207" s="117"/>
      <c r="D207" s="117"/>
      <c r="E207" s="117"/>
      <c r="F207" s="200"/>
      <c r="G207" s="200"/>
      <c r="H207" s="200"/>
      <c r="I207" s="200"/>
      <c r="J207" s="200"/>
      <c r="K207" s="200">
        <f>SUMIF(AE!C:C,ATB!C:C,AE!F:F)</f>
        <v>0</v>
      </c>
      <c r="L207" s="200">
        <f t="shared" si="14"/>
        <v>0</v>
      </c>
      <c r="M207" s="200">
        <f t="shared" si="15"/>
        <v>0</v>
      </c>
    </row>
    <row r="208" spans="2:13" x14ac:dyDescent="0.35">
      <c r="B208" s="117"/>
      <c r="C208" s="117"/>
      <c r="D208" s="117"/>
      <c r="E208" s="117"/>
      <c r="F208" s="200"/>
      <c r="G208" s="200"/>
      <c r="H208" s="200"/>
      <c r="I208" s="200"/>
      <c r="J208" s="200"/>
      <c r="K208" s="200">
        <f>SUMIF(AE!C:C,ATB!C:C,AE!F:F)</f>
        <v>0</v>
      </c>
      <c r="L208" s="200">
        <f t="shared" si="14"/>
        <v>0</v>
      </c>
      <c r="M208" s="200">
        <f t="shared" si="15"/>
        <v>0</v>
      </c>
    </row>
    <row r="209" spans="2:13" x14ac:dyDescent="0.35">
      <c r="B209" s="117"/>
      <c r="C209" s="117"/>
      <c r="D209" s="117"/>
      <c r="E209" s="117"/>
      <c r="F209" s="200"/>
      <c r="G209" s="200"/>
      <c r="H209" s="200"/>
      <c r="I209" s="200"/>
      <c r="J209" s="200"/>
      <c r="K209" s="200">
        <f>SUMIF(AE!C:C,ATB!C:C,AE!F:F)</f>
        <v>0</v>
      </c>
      <c r="L209" s="200">
        <f t="shared" si="14"/>
        <v>0</v>
      </c>
      <c r="M209" s="200">
        <f t="shared" si="15"/>
        <v>0</v>
      </c>
    </row>
    <row r="210" spans="2:13" x14ac:dyDescent="0.35">
      <c r="B210" s="117"/>
      <c r="C210" s="117"/>
      <c r="D210" s="117"/>
      <c r="E210" s="117"/>
      <c r="F210" s="200"/>
      <c r="G210" s="200"/>
      <c r="H210" s="200"/>
      <c r="I210" s="200"/>
      <c r="J210" s="200"/>
      <c r="K210" s="200">
        <f>SUMIF(AE!C:C,ATB!C:C,AE!F:F)</f>
        <v>0</v>
      </c>
      <c r="L210" s="200">
        <f t="shared" si="14"/>
        <v>0</v>
      </c>
      <c r="M210" s="200">
        <f t="shared" si="15"/>
        <v>0</v>
      </c>
    </row>
    <row r="211" spans="2:13" x14ac:dyDescent="0.35">
      <c r="B211" s="117"/>
      <c r="C211" s="117"/>
      <c r="D211" s="117"/>
      <c r="E211" s="117"/>
      <c r="F211" s="200"/>
      <c r="G211" s="200"/>
      <c r="H211" s="200"/>
      <c r="I211" s="200"/>
      <c r="J211" s="200"/>
      <c r="K211" s="200">
        <f>SUMIF(AE!C:C,ATB!C:C,AE!F:F)</f>
        <v>0</v>
      </c>
      <c r="L211" s="200">
        <f t="shared" si="14"/>
        <v>0</v>
      </c>
      <c r="M211" s="200">
        <f t="shared" si="15"/>
        <v>0</v>
      </c>
    </row>
    <row r="212" spans="2:13" x14ac:dyDescent="0.35">
      <c r="B212" s="117"/>
      <c r="C212" s="117"/>
      <c r="D212" s="117"/>
      <c r="E212" s="117"/>
      <c r="F212" s="200"/>
      <c r="G212" s="200"/>
      <c r="H212" s="200"/>
      <c r="I212" s="200"/>
      <c r="J212" s="200"/>
      <c r="K212" s="200">
        <f>SUMIF(AE!C:C,ATB!C:C,AE!F:F)</f>
        <v>0</v>
      </c>
      <c r="L212" s="200">
        <f t="shared" si="14"/>
        <v>0</v>
      </c>
      <c r="M212" s="200">
        <f t="shared" si="15"/>
        <v>0</v>
      </c>
    </row>
    <row r="213" spans="2:13" x14ac:dyDescent="0.35">
      <c r="B213" s="117"/>
      <c r="C213" s="117"/>
      <c r="D213" s="117"/>
      <c r="E213" s="117"/>
      <c r="F213" s="200"/>
      <c r="G213" s="200"/>
      <c r="H213" s="200"/>
      <c r="I213" s="200"/>
      <c r="J213" s="200"/>
      <c r="K213" s="200">
        <f>SUMIF(AE!C:C,ATB!C:C,AE!F:F)</f>
        <v>0</v>
      </c>
      <c r="L213" s="200">
        <f t="shared" si="14"/>
        <v>0</v>
      </c>
      <c r="M213" s="200">
        <f t="shared" si="15"/>
        <v>0</v>
      </c>
    </row>
    <row r="214" spans="2:13" x14ac:dyDescent="0.35">
      <c r="B214" s="117"/>
      <c r="C214" s="117"/>
      <c r="D214" s="117"/>
      <c r="E214" s="117"/>
      <c r="F214" s="200"/>
      <c r="G214" s="200"/>
      <c r="H214" s="200"/>
      <c r="I214" s="200"/>
      <c r="J214" s="200"/>
      <c r="K214" s="200">
        <f>SUMIF(AE!C:C,ATB!C:C,AE!F:F)</f>
        <v>0</v>
      </c>
      <c r="L214" s="200">
        <f t="shared" si="14"/>
        <v>0</v>
      </c>
      <c r="M214" s="200">
        <f t="shared" si="15"/>
        <v>0</v>
      </c>
    </row>
    <row r="215" spans="2:13" x14ac:dyDescent="0.35">
      <c r="B215" s="117"/>
      <c r="C215" s="117"/>
      <c r="D215" s="117"/>
      <c r="E215" s="117"/>
      <c r="F215" s="200"/>
      <c r="G215" s="200"/>
      <c r="H215" s="200"/>
      <c r="I215" s="200"/>
      <c r="J215" s="200"/>
      <c r="K215" s="200">
        <f>SUMIF(AE!C:C,ATB!C:C,AE!F:F)</f>
        <v>0</v>
      </c>
      <c r="L215" s="200">
        <f t="shared" si="14"/>
        <v>0</v>
      </c>
      <c r="M215" s="200">
        <f t="shared" si="15"/>
        <v>0</v>
      </c>
    </row>
    <row r="216" spans="2:13" x14ac:dyDescent="0.35">
      <c r="B216" s="117"/>
      <c r="C216" s="117"/>
      <c r="D216" s="117"/>
      <c r="E216" s="117"/>
      <c r="F216" s="200"/>
      <c r="G216" s="200"/>
      <c r="H216" s="200"/>
      <c r="I216" s="200"/>
      <c r="J216" s="200"/>
      <c r="K216" s="200">
        <f>SUMIF(AE!C:C,ATB!C:C,AE!F:F)</f>
        <v>0</v>
      </c>
      <c r="L216" s="200">
        <f t="shared" si="14"/>
        <v>0</v>
      </c>
      <c r="M216" s="200">
        <f t="shared" si="15"/>
        <v>0</v>
      </c>
    </row>
    <row r="217" spans="2:13" x14ac:dyDescent="0.35">
      <c r="B217" s="117"/>
      <c r="C217" s="117"/>
      <c r="D217" s="117"/>
      <c r="E217" s="117"/>
      <c r="F217" s="200"/>
      <c r="G217" s="200"/>
      <c r="H217" s="200"/>
      <c r="I217" s="200"/>
      <c r="J217" s="200"/>
      <c r="K217" s="200">
        <f>SUMIF(AE!C:C,ATB!C:C,AE!F:F)</f>
        <v>0</v>
      </c>
      <c r="L217" s="200">
        <f t="shared" si="14"/>
        <v>0</v>
      </c>
      <c r="M217" s="200">
        <f t="shared" si="15"/>
        <v>0</v>
      </c>
    </row>
    <row r="218" spans="2:13" x14ac:dyDescent="0.35">
      <c r="B218" s="117"/>
      <c r="C218" s="117"/>
      <c r="D218" s="117"/>
      <c r="E218" s="117"/>
      <c r="F218" s="200"/>
      <c r="G218" s="200"/>
      <c r="H218" s="200"/>
      <c r="I218" s="200"/>
      <c r="J218" s="200"/>
      <c r="K218" s="200">
        <f>SUMIF(AE!C:C,ATB!C:C,AE!F:F)</f>
        <v>0</v>
      </c>
      <c r="L218" s="200">
        <f t="shared" si="14"/>
        <v>0</v>
      </c>
      <c r="M218" s="200">
        <f t="shared" si="15"/>
        <v>0</v>
      </c>
    </row>
    <row r="219" spans="2:13" x14ac:dyDescent="0.35">
      <c r="B219" s="117"/>
      <c r="C219" s="117"/>
      <c r="D219" s="117"/>
      <c r="E219" s="117"/>
      <c r="F219" s="200"/>
      <c r="G219" s="200"/>
      <c r="H219" s="200"/>
      <c r="I219" s="200"/>
      <c r="J219" s="200"/>
      <c r="K219" s="200">
        <f>SUMIF(AE!C:C,ATB!C:C,AE!F:F)</f>
        <v>0</v>
      </c>
      <c r="L219" s="200">
        <f t="shared" si="14"/>
        <v>0</v>
      </c>
      <c r="M219" s="200">
        <f t="shared" si="15"/>
        <v>0</v>
      </c>
    </row>
    <row r="220" spans="2:13" x14ac:dyDescent="0.35">
      <c r="B220" s="117"/>
      <c r="C220" s="117"/>
      <c r="D220" s="117"/>
      <c r="E220" s="117"/>
      <c r="F220" s="200"/>
      <c r="G220" s="200"/>
      <c r="H220" s="200"/>
      <c r="I220" s="200"/>
      <c r="J220" s="200"/>
      <c r="K220" s="200">
        <f>SUMIF(AE!C:C,ATB!C:C,AE!F:F)</f>
        <v>0</v>
      </c>
      <c r="L220" s="200">
        <f t="shared" si="14"/>
        <v>0</v>
      </c>
      <c r="M220" s="200">
        <f t="shared" si="15"/>
        <v>0</v>
      </c>
    </row>
    <row r="221" spans="2:13" x14ac:dyDescent="0.35">
      <c r="B221" s="117"/>
      <c r="C221" s="117"/>
      <c r="D221" s="117"/>
      <c r="E221" s="117"/>
      <c r="F221" s="200"/>
      <c r="G221" s="200"/>
      <c r="H221" s="200"/>
      <c r="I221" s="200"/>
      <c r="J221" s="200"/>
      <c r="K221" s="200">
        <f>SUMIF(AE!C:C,ATB!C:C,AE!F:F)</f>
        <v>0</v>
      </c>
      <c r="L221" s="200">
        <f t="shared" si="14"/>
        <v>0</v>
      </c>
      <c r="M221" s="200">
        <f t="shared" si="15"/>
        <v>0</v>
      </c>
    </row>
    <row r="222" spans="2:13" x14ac:dyDescent="0.35">
      <c r="B222" s="117"/>
      <c r="C222" s="117"/>
      <c r="D222" s="117"/>
      <c r="E222" s="117"/>
      <c r="F222" s="200"/>
      <c r="G222" s="200"/>
      <c r="H222" s="200"/>
      <c r="I222" s="200"/>
      <c r="J222" s="200"/>
      <c r="K222" s="200">
        <f>SUMIF(AE!C:C,ATB!C:C,AE!F:F)</f>
        <v>0</v>
      </c>
      <c r="L222" s="200">
        <f t="shared" si="14"/>
        <v>0</v>
      </c>
      <c r="M222" s="200">
        <f t="shared" si="15"/>
        <v>0</v>
      </c>
    </row>
    <row r="223" spans="2:13" x14ac:dyDescent="0.35">
      <c r="B223" s="117"/>
      <c r="C223" s="117"/>
      <c r="D223" s="117"/>
      <c r="E223" s="117"/>
      <c r="F223" s="200"/>
      <c r="G223" s="200"/>
      <c r="H223" s="200"/>
      <c r="I223" s="200"/>
      <c r="J223" s="200"/>
      <c r="K223" s="200">
        <f>SUMIF(AE!C:C,ATB!C:C,AE!F:F)</f>
        <v>0</v>
      </c>
      <c r="L223" s="200">
        <f t="shared" si="14"/>
        <v>0</v>
      </c>
      <c r="M223" s="200">
        <f t="shared" si="15"/>
        <v>0</v>
      </c>
    </row>
    <row r="224" spans="2:13" x14ac:dyDescent="0.35">
      <c r="B224" s="117"/>
      <c r="C224" s="117"/>
      <c r="D224" s="117"/>
      <c r="E224" s="117"/>
      <c r="F224" s="200"/>
      <c r="G224" s="200"/>
      <c r="H224" s="200"/>
      <c r="I224" s="200"/>
      <c r="J224" s="200"/>
      <c r="K224" s="200">
        <f>SUMIF(AE!C:C,ATB!C:C,AE!F:F)</f>
        <v>0</v>
      </c>
      <c r="L224" s="200">
        <f t="shared" si="14"/>
        <v>0</v>
      </c>
      <c r="M224" s="200">
        <f t="shared" si="15"/>
        <v>0</v>
      </c>
    </row>
    <row r="225" spans="2:13" x14ac:dyDescent="0.35">
      <c r="B225" s="117"/>
      <c r="C225" s="117"/>
      <c r="D225" s="117"/>
      <c r="E225" s="117"/>
      <c r="F225" s="200"/>
      <c r="G225" s="200"/>
      <c r="H225" s="200"/>
      <c r="I225" s="200"/>
      <c r="J225" s="200"/>
      <c r="K225" s="200">
        <f>SUMIF(AE!C:C,ATB!C:C,AE!F:F)</f>
        <v>0</v>
      </c>
      <c r="L225" s="200">
        <f t="shared" si="14"/>
        <v>0</v>
      </c>
      <c r="M225" s="200">
        <f t="shared" si="15"/>
        <v>0</v>
      </c>
    </row>
    <row r="226" spans="2:13" x14ac:dyDescent="0.35">
      <c r="B226" s="117"/>
      <c r="C226" s="117"/>
      <c r="D226" s="117"/>
      <c r="E226" s="117"/>
      <c r="F226" s="200"/>
      <c r="G226" s="200"/>
      <c r="H226" s="200"/>
      <c r="I226" s="200"/>
      <c r="J226" s="200"/>
      <c r="K226" s="200">
        <f>SUMIF(AE!C:C,ATB!C:C,AE!F:F)</f>
        <v>0</v>
      </c>
      <c r="L226" s="200">
        <f t="shared" si="14"/>
        <v>0</v>
      </c>
      <c r="M226" s="200">
        <f t="shared" si="15"/>
        <v>0</v>
      </c>
    </row>
    <row r="227" spans="2:13" x14ac:dyDescent="0.35">
      <c r="B227" s="117"/>
      <c r="C227" s="117"/>
      <c r="D227" s="117"/>
      <c r="E227" s="117"/>
      <c r="F227" s="200"/>
      <c r="G227" s="200"/>
      <c r="H227" s="200"/>
      <c r="I227" s="200"/>
      <c r="J227" s="200"/>
      <c r="K227" s="200">
        <f>SUMIF(AE!C:C,ATB!C:C,AE!F:F)</f>
        <v>0</v>
      </c>
      <c r="L227" s="200">
        <f t="shared" si="14"/>
        <v>0</v>
      </c>
      <c r="M227" s="200">
        <f t="shared" si="15"/>
        <v>0</v>
      </c>
    </row>
    <row r="228" spans="2:13" x14ac:dyDescent="0.35">
      <c r="B228" s="117"/>
      <c r="C228" s="117"/>
      <c r="D228" s="117"/>
      <c r="E228" s="117"/>
      <c r="F228" s="200"/>
      <c r="G228" s="200"/>
      <c r="H228" s="200"/>
      <c r="I228" s="200"/>
      <c r="J228" s="200"/>
      <c r="K228" s="200">
        <f>SUMIF(AE!C:C,ATB!C:C,AE!F:F)</f>
        <v>0</v>
      </c>
      <c r="L228" s="200">
        <f t="shared" si="14"/>
        <v>0</v>
      </c>
      <c r="M228" s="200">
        <f t="shared" si="15"/>
        <v>0</v>
      </c>
    </row>
    <row r="229" spans="2:13" x14ac:dyDescent="0.35">
      <c r="B229" s="117"/>
      <c r="C229" s="117"/>
      <c r="D229" s="117"/>
      <c r="E229" s="117"/>
      <c r="F229" s="200"/>
      <c r="G229" s="200"/>
      <c r="H229" s="200"/>
      <c r="I229" s="200"/>
      <c r="J229" s="200"/>
      <c r="K229" s="200">
        <f>SUMIF(AE!C:C,ATB!C:C,AE!F:F)</f>
        <v>0</v>
      </c>
      <c r="L229" s="200">
        <f t="shared" si="14"/>
        <v>0</v>
      </c>
      <c r="M229" s="200">
        <f t="shared" si="15"/>
        <v>0</v>
      </c>
    </row>
    <row r="230" spans="2:13" x14ac:dyDescent="0.35">
      <c r="B230" s="117"/>
      <c r="C230" s="117"/>
      <c r="D230" s="117"/>
      <c r="E230" s="117"/>
      <c r="F230" s="200"/>
      <c r="G230" s="200"/>
      <c r="H230" s="200"/>
      <c r="I230" s="200"/>
      <c r="J230" s="200"/>
      <c r="K230" s="200">
        <f>SUMIF(AE!C:C,ATB!C:C,AE!F:F)</f>
        <v>0</v>
      </c>
      <c r="L230" s="200">
        <f t="shared" si="14"/>
        <v>0</v>
      </c>
      <c r="M230" s="200">
        <f t="shared" si="15"/>
        <v>0</v>
      </c>
    </row>
    <row r="231" spans="2:13" x14ac:dyDescent="0.35">
      <c r="B231" s="117"/>
      <c r="C231" s="117"/>
      <c r="D231" s="117"/>
      <c r="E231" s="117"/>
      <c r="F231" s="200"/>
      <c r="G231" s="200"/>
      <c r="H231" s="200"/>
      <c r="I231" s="200"/>
      <c r="J231" s="200"/>
      <c r="K231" s="200">
        <f>SUMIF(AE!C:C,ATB!C:C,AE!F:F)</f>
        <v>0</v>
      </c>
      <c r="L231" s="200">
        <f t="shared" si="14"/>
        <v>0</v>
      </c>
      <c r="M231" s="200">
        <f t="shared" si="15"/>
        <v>0</v>
      </c>
    </row>
    <row r="232" spans="2:13" x14ac:dyDescent="0.35">
      <c r="B232" s="117"/>
      <c r="C232" s="117"/>
      <c r="D232" s="117"/>
      <c r="E232" s="117"/>
      <c r="F232" s="200"/>
      <c r="G232" s="200"/>
      <c r="H232" s="200"/>
      <c r="I232" s="200"/>
      <c r="J232" s="200"/>
      <c r="K232" s="200">
        <f>SUMIF(AE!C:C,ATB!C:C,AE!F:F)</f>
        <v>0</v>
      </c>
      <c r="L232" s="200">
        <f t="shared" si="14"/>
        <v>0</v>
      </c>
      <c r="M232" s="200">
        <f t="shared" si="15"/>
        <v>0</v>
      </c>
    </row>
    <row r="233" spans="2:13" x14ac:dyDescent="0.35">
      <c r="B233" s="117"/>
      <c r="C233" s="117"/>
      <c r="D233" s="117"/>
      <c r="E233" s="117"/>
      <c r="F233" s="200"/>
      <c r="G233" s="200"/>
      <c r="H233" s="200"/>
      <c r="I233" s="200"/>
      <c r="J233" s="200"/>
      <c r="K233" s="200">
        <f>SUMIF(AE!C:C,ATB!C:C,AE!F:F)</f>
        <v>0</v>
      </c>
      <c r="L233" s="200">
        <f t="shared" si="14"/>
        <v>0</v>
      </c>
      <c r="M233" s="200">
        <f t="shared" si="15"/>
        <v>0</v>
      </c>
    </row>
    <row r="234" spans="2:13" x14ac:dyDescent="0.35">
      <c r="B234" s="117"/>
      <c r="C234" s="117"/>
      <c r="D234" s="117"/>
      <c r="E234" s="117"/>
      <c r="F234" s="200"/>
      <c r="G234" s="200"/>
      <c r="H234" s="200"/>
      <c r="I234" s="200"/>
      <c r="J234" s="200"/>
      <c r="K234" s="200">
        <f>SUMIF(AE!C:C,ATB!C:C,AE!F:F)</f>
        <v>0</v>
      </c>
      <c r="L234" s="200">
        <f t="shared" si="14"/>
        <v>0</v>
      </c>
      <c r="M234" s="200">
        <f t="shared" si="15"/>
        <v>0</v>
      </c>
    </row>
    <row r="235" spans="2:13" x14ac:dyDescent="0.35">
      <c r="B235" s="117"/>
      <c r="C235" s="117"/>
      <c r="D235" s="117"/>
      <c r="E235" s="117"/>
      <c r="F235" s="200"/>
      <c r="G235" s="200"/>
      <c r="H235" s="200"/>
      <c r="I235" s="200"/>
      <c r="J235" s="200"/>
      <c r="K235" s="200">
        <f>SUMIF(AE!C:C,ATB!C:C,AE!F:F)</f>
        <v>0</v>
      </c>
      <c r="L235" s="200">
        <f t="shared" si="14"/>
        <v>0</v>
      </c>
      <c r="M235" s="200">
        <f t="shared" si="15"/>
        <v>0</v>
      </c>
    </row>
    <row r="236" spans="2:13" x14ac:dyDescent="0.35">
      <c r="B236" s="117"/>
      <c r="C236" s="117"/>
      <c r="D236" s="117"/>
      <c r="E236" s="117"/>
      <c r="F236" s="200"/>
      <c r="G236" s="200"/>
      <c r="H236" s="200"/>
      <c r="I236" s="200"/>
      <c r="J236" s="200"/>
      <c r="K236" s="200">
        <f>SUMIF(AE!C:C,ATB!C:C,AE!F:F)</f>
        <v>0</v>
      </c>
      <c r="L236" s="200">
        <f t="shared" si="14"/>
        <v>0</v>
      </c>
      <c r="M236" s="200">
        <f t="shared" si="15"/>
        <v>0</v>
      </c>
    </row>
    <row r="237" spans="2:13" x14ac:dyDescent="0.35">
      <c r="B237" s="117"/>
      <c r="C237" s="117"/>
      <c r="D237" s="117"/>
      <c r="E237" s="117"/>
      <c r="F237" s="200"/>
      <c r="G237" s="200"/>
      <c r="H237" s="200"/>
      <c r="I237" s="200"/>
      <c r="J237" s="200"/>
      <c r="K237" s="200">
        <f>SUMIF(AE!C:C,ATB!C:C,AE!F:F)</f>
        <v>0</v>
      </c>
      <c r="L237" s="200">
        <f t="shared" si="14"/>
        <v>0</v>
      </c>
      <c r="M237" s="200">
        <f t="shared" si="15"/>
        <v>0</v>
      </c>
    </row>
    <row r="238" spans="2:13" x14ac:dyDescent="0.35">
      <c r="B238" s="117"/>
      <c r="C238" s="117"/>
      <c r="D238" s="117"/>
      <c r="E238" s="117"/>
      <c r="F238" s="200"/>
      <c r="G238" s="200"/>
      <c r="H238" s="200"/>
      <c r="I238" s="200"/>
      <c r="J238" s="200"/>
      <c r="K238" s="200">
        <f>SUMIF(AE!C:C,ATB!C:C,AE!F:F)</f>
        <v>0</v>
      </c>
      <c r="L238" s="200">
        <f t="shared" si="14"/>
        <v>0</v>
      </c>
      <c r="M238" s="200">
        <f t="shared" si="15"/>
        <v>0</v>
      </c>
    </row>
    <row r="239" spans="2:13" x14ac:dyDescent="0.35">
      <c r="B239" s="117"/>
      <c r="C239" s="117"/>
      <c r="D239" s="117"/>
      <c r="E239" s="117"/>
      <c r="F239" s="200"/>
      <c r="G239" s="200"/>
      <c r="H239" s="200"/>
      <c r="I239" s="200"/>
      <c r="J239" s="200"/>
      <c r="K239" s="200">
        <f>SUMIF(AE!C:C,ATB!C:C,AE!F:F)</f>
        <v>0</v>
      </c>
      <c r="L239" s="200">
        <f t="shared" si="14"/>
        <v>0</v>
      </c>
      <c r="M239" s="200">
        <f t="shared" si="15"/>
        <v>0</v>
      </c>
    </row>
    <row r="240" spans="2:13" x14ac:dyDescent="0.35">
      <c r="B240" s="117"/>
      <c r="C240" s="117"/>
      <c r="D240" s="117"/>
      <c r="E240" s="117"/>
      <c r="F240" s="200"/>
      <c r="G240" s="200"/>
      <c r="H240" s="200"/>
      <c r="I240" s="200"/>
      <c r="J240" s="200"/>
      <c r="K240" s="200">
        <f>SUMIF(AE!C:C,ATB!C:C,AE!F:F)</f>
        <v>0</v>
      </c>
      <c r="L240" s="200">
        <f t="shared" si="14"/>
        <v>0</v>
      </c>
      <c r="M240" s="200">
        <f t="shared" si="15"/>
        <v>0</v>
      </c>
    </row>
    <row r="241" spans="2:13" x14ac:dyDescent="0.35">
      <c r="B241" s="117"/>
      <c r="C241" s="117"/>
      <c r="D241" s="117"/>
      <c r="E241" s="117"/>
      <c r="F241" s="200"/>
      <c r="G241" s="200"/>
      <c r="H241" s="200"/>
      <c r="I241" s="200"/>
      <c r="J241" s="200"/>
      <c r="K241" s="200">
        <f>SUMIF(AE!C:C,ATB!C:C,AE!F:F)</f>
        <v>0</v>
      </c>
      <c r="L241" s="200">
        <f t="shared" si="14"/>
        <v>0</v>
      </c>
      <c r="M241" s="200">
        <f t="shared" si="15"/>
        <v>0</v>
      </c>
    </row>
    <row r="242" spans="2:13" x14ac:dyDescent="0.35">
      <c r="B242" s="117"/>
      <c r="C242" s="117"/>
      <c r="D242" s="117"/>
      <c r="E242" s="117"/>
      <c r="F242" s="200"/>
      <c r="G242" s="200"/>
      <c r="H242" s="200"/>
      <c r="I242" s="200"/>
      <c r="J242" s="200"/>
      <c r="K242" s="200">
        <f>SUMIF(AE!C:C,ATB!C:C,AE!F:F)</f>
        <v>0</v>
      </c>
      <c r="L242" s="200">
        <f t="shared" si="14"/>
        <v>0</v>
      </c>
      <c r="M242" s="200">
        <f t="shared" si="15"/>
        <v>0</v>
      </c>
    </row>
    <row r="243" spans="2:13" x14ac:dyDescent="0.35">
      <c r="B243" s="117"/>
      <c r="C243" s="117"/>
      <c r="D243" s="117"/>
      <c r="E243" s="117"/>
      <c r="F243" s="200"/>
      <c r="G243" s="200"/>
      <c r="H243" s="200"/>
      <c r="I243" s="200"/>
      <c r="J243" s="200"/>
      <c r="K243" s="200">
        <f>SUMIF(AE!C:C,ATB!C:C,AE!F:F)</f>
        <v>0</v>
      </c>
      <c r="L243" s="200">
        <f t="shared" si="14"/>
        <v>0</v>
      </c>
      <c r="M243" s="200">
        <f t="shared" si="15"/>
        <v>0</v>
      </c>
    </row>
    <row r="244" spans="2:13" x14ac:dyDescent="0.35">
      <c r="B244" s="117"/>
      <c r="C244" s="117"/>
      <c r="D244" s="117"/>
      <c r="E244" s="117"/>
      <c r="F244" s="200"/>
      <c r="G244" s="200"/>
      <c r="H244" s="200"/>
      <c r="I244" s="200"/>
      <c r="J244" s="200"/>
      <c r="K244" s="200">
        <f>SUMIF(AE!C:C,ATB!C:C,AE!F:F)</f>
        <v>0</v>
      </c>
      <c r="L244" s="200">
        <f t="shared" si="14"/>
        <v>0</v>
      </c>
      <c r="M244" s="200">
        <f t="shared" si="15"/>
        <v>0</v>
      </c>
    </row>
    <row r="245" spans="2:13" x14ac:dyDescent="0.35">
      <c r="B245" s="117"/>
      <c r="C245" s="117"/>
      <c r="D245" s="117"/>
      <c r="E245" s="117"/>
      <c r="F245" s="200"/>
      <c r="G245" s="200"/>
      <c r="H245" s="200"/>
      <c r="I245" s="200"/>
      <c r="J245" s="200"/>
      <c r="K245" s="200">
        <f>SUMIF(AE!C:C,ATB!C:C,AE!F:F)</f>
        <v>0</v>
      </c>
      <c r="L245" s="200">
        <f t="shared" si="14"/>
        <v>0</v>
      </c>
      <c r="M245" s="200">
        <f t="shared" si="15"/>
        <v>0</v>
      </c>
    </row>
    <row r="246" spans="2:13" x14ac:dyDescent="0.35">
      <c r="B246" s="117"/>
      <c r="C246" s="117"/>
      <c r="D246" s="117"/>
      <c r="E246" s="117"/>
      <c r="F246" s="200"/>
      <c r="G246" s="200"/>
      <c r="H246" s="200"/>
      <c r="I246" s="200"/>
      <c r="J246" s="200"/>
      <c r="K246" s="200">
        <f>SUMIF(AE!C:C,ATB!C:C,AE!F:F)</f>
        <v>0</v>
      </c>
      <c r="L246" s="200">
        <f t="shared" si="14"/>
        <v>0</v>
      </c>
      <c r="M246" s="200">
        <f t="shared" si="15"/>
        <v>0</v>
      </c>
    </row>
    <row r="247" spans="2:13" x14ac:dyDescent="0.35">
      <c r="B247" s="117"/>
      <c r="C247" s="117"/>
      <c r="D247" s="117"/>
      <c r="E247" s="117"/>
      <c r="F247" s="200"/>
      <c r="G247" s="200"/>
      <c r="H247" s="200"/>
      <c r="I247" s="200"/>
      <c r="J247" s="200"/>
      <c r="K247" s="200">
        <f>SUMIF(AE!C:C,ATB!C:C,AE!F:F)</f>
        <v>0</v>
      </c>
      <c r="L247" s="200">
        <f t="shared" si="14"/>
        <v>0</v>
      </c>
      <c r="M247" s="200">
        <f t="shared" si="15"/>
        <v>0</v>
      </c>
    </row>
    <row r="248" spans="2:13" x14ac:dyDescent="0.35">
      <c r="B248" s="117"/>
      <c r="C248" s="117"/>
      <c r="D248" s="117"/>
      <c r="E248" s="117"/>
      <c r="F248" s="200"/>
      <c r="G248" s="200"/>
      <c r="H248" s="200"/>
      <c r="I248" s="200"/>
      <c r="J248" s="200"/>
      <c r="K248" s="200">
        <f>SUMIF(AE!C:C,ATB!C:C,AE!F:F)</f>
        <v>0</v>
      </c>
      <c r="L248" s="200">
        <f t="shared" si="14"/>
        <v>0</v>
      </c>
      <c r="M248" s="200">
        <f t="shared" si="15"/>
        <v>0</v>
      </c>
    </row>
    <row r="249" spans="2:13" x14ac:dyDescent="0.35">
      <c r="B249" s="117"/>
      <c r="C249" s="117"/>
      <c r="D249" s="117"/>
      <c r="E249" s="117"/>
      <c r="F249" s="200"/>
      <c r="G249" s="200"/>
      <c r="H249" s="200"/>
      <c r="I249" s="200"/>
      <c r="J249" s="200"/>
      <c r="K249" s="200">
        <f>SUMIF(AE!C:C,ATB!C:C,AE!F:F)</f>
        <v>0</v>
      </c>
      <c r="L249" s="200">
        <f t="shared" si="14"/>
        <v>0</v>
      </c>
      <c r="M249" s="200">
        <f t="shared" si="15"/>
        <v>0</v>
      </c>
    </row>
    <row r="250" spans="2:13" x14ac:dyDescent="0.35">
      <c r="B250" s="117"/>
      <c r="C250" s="117"/>
      <c r="D250" s="117"/>
      <c r="E250" s="117"/>
      <c r="F250" s="200"/>
      <c r="G250" s="200"/>
      <c r="H250" s="200"/>
      <c r="I250" s="200"/>
      <c r="J250" s="200"/>
      <c r="K250" s="200">
        <f>SUMIF(AE!C:C,ATB!C:C,AE!F:F)</f>
        <v>0</v>
      </c>
      <c r="L250" s="200">
        <f t="shared" si="14"/>
        <v>0</v>
      </c>
      <c r="M250" s="200">
        <f t="shared" si="15"/>
        <v>0</v>
      </c>
    </row>
    <row r="251" spans="2:13" x14ac:dyDescent="0.35">
      <c r="B251" s="117"/>
      <c r="C251" s="117"/>
      <c r="D251" s="117"/>
      <c r="E251" s="117"/>
      <c r="F251" s="200"/>
      <c r="G251" s="200"/>
      <c r="H251" s="200"/>
      <c r="I251" s="200"/>
      <c r="J251" s="200"/>
      <c r="K251" s="200">
        <f>SUMIF(AE!C:C,ATB!C:C,AE!F:F)</f>
        <v>0</v>
      </c>
      <c r="L251" s="200">
        <f t="shared" si="14"/>
        <v>0</v>
      </c>
      <c r="M251" s="200">
        <f t="shared" si="15"/>
        <v>0</v>
      </c>
    </row>
    <row r="252" spans="2:13" x14ac:dyDescent="0.35">
      <c r="B252" s="117"/>
      <c r="C252" s="117"/>
      <c r="D252" s="117"/>
      <c r="E252" s="117"/>
      <c r="F252" s="200"/>
      <c r="G252" s="200"/>
      <c r="H252" s="200"/>
      <c r="I252" s="200"/>
      <c r="J252" s="200"/>
      <c r="K252" s="200">
        <f>SUMIF(AE!C:C,ATB!C:C,AE!F:F)</f>
        <v>0</v>
      </c>
      <c r="L252" s="200">
        <f t="shared" si="14"/>
        <v>0</v>
      </c>
      <c r="M252" s="200">
        <f t="shared" si="15"/>
        <v>0</v>
      </c>
    </row>
    <row r="253" spans="2:13" x14ac:dyDescent="0.35">
      <c r="B253" s="117"/>
      <c r="C253" s="117"/>
      <c r="D253" s="117"/>
      <c r="E253" s="117"/>
      <c r="F253" s="200"/>
      <c r="G253" s="200"/>
      <c r="H253" s="200"/>
      <c r="I253" s="200"/>
      <c r="J253" s="200"/>
      <c r="K253" s="200">
        <f>SUMIF(AE!C:C,ATB!C:C,AE!F:F)</f>
        <v>0</v>
      </c>
      <c r="L253" s="200">
        <f t="shared" si="14"/>
        <v>0</v>
      </c>
      <c r="M253" s="200">
        <f t="shared" si="15"/>
        <v>0</v>
      </c>
    </row>
    <row r="254" spans="2:13" x14ac:dyDescent="0.35">
      <c r="B254" s="117"/>
      <c r="C254" s="117"/>
      <c r="D254" s="117"/>
      <c r="E254" s="117"/>
      <c r="F254" s="200"/>
      <c r="G254" s="200"/>
      <c r="H254" s="200"/>
      <c r="I254" s="200"/>
      <c r="J254" s="200"/>
      <c r="K254" s="200">
        <f>SUMIF(AE!C:C,ATB!C:C,AE!F:F)</f>
        <v>0</v>
      </c>
      <c r="L254" s="200">
        <f t="shared" si="14"/>
        <v>0</v>
      </c>
      <c r="M254" s="200">
        <f t="shared" si="15"/>
        <v>0</v>
      </c>
    </row>
    <row r="255" spans="2:13" x14ac:dyDescent="0.35">
      <c r="B255" s="117"/>
      <c r="C255" s="117"/>
      <c r="D255" s="117"/>
      <c r="E255" s="117"/>
      <c r="F255" s="200"/>
      <c r="G255" s="200"/>
      <c r="H255" s="200"/>
      <c r="I255" s="200"/>
      <c r="J255" s="200"/>
      <c r="K255" s="200">
        <f>SUMIF(AE!C:C,ATB!C:C,AE!F:F)</f>
        <v>0</v>
      </c>
      <c r="L255" s="200">
        <f t="shared" si="14"/>
        <v>0</v>
      </c>
      <c r="M255" s="200">
        <f t="shared" si="15"/>
        <v>0</v>
      </c>
    </row>
    <row r="256" spans="2:13" x14ac:dyDescent="0.35">
      <c r="B256" s="117"/>
      <c r="C256" s="117"/>
      <c r="D256" s="117"/>
      <c r="E256" s="117"/>
      <c r="F256" s="200"/>
      <c r="G256" s="200"/>
      <c r="H256" s="200"/>
      <c r="I256" s="200"/>
      <c r="J256" s="200"/>
      <c r="K256" s="200">
        <f>SUMIF(AE!C:C,ATB!C:C,AE!F:F)</f>
        <v>0</v>
      </c>
      <c r="L256" s="200">
        <f t="shared" si="14"/>
        <v>0</v>
      </c>
      <c r="M256" s="200">
        <f t="shared" si="15"/>
        <v>0</v>
      </c>
    </row>
    <row r="257" spans="2:13" x14ac:dyDescent="0.35">
      <c r="B257" s="117"/>
      <c r="C257" s="117"/>
      <c r="D257" s="117"/>
      <c r="E257" s="117"/>
      <c r="F257" s="200"/>
      <c r="G257" s="200"/>
      <c r="H257" s="200"/>
      <c r="I257" s="200"/>
      <c r="J257" s="200"/>
      <c r="K257" s="200">
        <f>SUMIF(AE!C:C,ATB!C:C,AE!F:F)</f>
        <v>0</v>
      </c>
      <c r="L257" s="200">
        <f t="shared" si="14"/>
        <v>0</v>
      </c>
      <c r="M257" s="200">
        <f t="shared" si="15"/>
        <v>0</v>
      </c>
    </row>
    <row r="258" spans="2:13" x14ac:dyDescent="0.35">
      <c r="B258" s="117"/>
      <c r="C258" s="117"/>
      <c r="D258" s="117"/>
      <c r="E258" s="117"/>
      <c r="F258" s="200"/>
      <c r="G258" s="200"/>
      <c r="H258" s="200"/>
      <c r="I258" s="200"/>
      <c r="J258" s="200"/>
      <c r="K258" s="200">
        <f>SUMIF(AE!C:C,ATB!C:C,AE!F:F)</f>
        <v>0</v>
      </c>
      <c r="L258" s="200">
        <f t="shared" ref="L258:L321" si="16">ROUND(IF(F258+H258+J258-G258-I258-K258&gt;0,F258+H258+J258-G258-I258-K258,0),0)</f>
        <v>0</v>
      </c>
      <c r="M258" s="200">
        <f t="shared" ref="M258:M321" si="17">-ROUND(IF(F258+H258+J258-G258-I258-K258&lt;0,F258+H258+J258-G258-I258-K258,0),0)</f>
        <v>0</v>
      </c>
    </row>
    <row r="259" spans="2:13" x14ac:dyDescent="0.35">
      <c r="B259" s="117"/>
      <c r="C259" s="117"/>
      <c r="D259" s="117"/>
      <c r="E259" s="117"/>
      <c r="F259" s="200"/>
      <c r="G259" s="200"/>
      <c r="H259" s="200"/>
      <c r="I259" s="200"/>
      <c r="J259" s="200"/>
      <c r="K259" s="200">
        <f>SUMIF(AE!C:C,ATB!C:C,AE!F:F)</f>
        <v>0</v>
      </c>
      <c r="L259" s="200">
        <f t="shared" si="16"/>
        <v>0</v>
      </c>
      <c r="M259" s="200">
        <f t="shared" si="17"/>
        <v>0</v>
      </c>
    </row>
    <row r="260" spans="2:13" x14ac:dyDescent="0.35">
      <c r="B260" s="117"/>
      <c r="C260" s="117"/>
      <c r="D260" s="117"/>
      <c r="E260" s="117"/>
      <c r="F260" s="200"/>
      <c r="G260" s="200"/>
      <c r="H260" s="200"/>
      <c r="I260" s="200"/>
      <c r="J260" s="200"/>
      <c r="K260" s="200">
        <f>SUMIF(AE!C:C,ATB!C:C,AE!F:F)</f>
        <v>0</v>
      </c>
      <c r="L260" s="200">
        <f t="shared" si="16"/>
        <v>0</v>
      </c>
      <c r="M260" s="200">
        <f t="shared" si="17"/>
        <v>0</v>
      </c>
    </row>
    <row r="261" spans="2:13" x14ac:dyDescent="0.35">
      <c r="B261" s="117"/>
      <c r="C261" s="117"/>
      <c r="D261" s="117"/>
      <c r="E261" s="117"/>
      <c r="F261" s="200"/>
      <c r="G261" s="200"/>
      <c r="H261" s="200"/>
      <c r="I261" s="200"/>
      <c r="J261" s="200"/>
      <c r="K261" s="200">
        <f>SUMIF(AE!C:C,ATB!C:C,AE!F:F)</f>
        <v>0</v>
      </c>
      <c r="L261" s="200">
        <f t="shared" si="16"/>
        <v>0</v>
      </c>
      <c r="M261" s="200">
        <f t="shared" si="17"/>
        <v>0</v>
      </c>
    </row>
    <row r="262" spans="2:13" x14ac:dyDescent="0.35">
      <c r="B262" s="117"/>
      <c r="C262" s="117"/>
      <c r="D262" s="117"/>
      <c r="E262" s="117"/>
      <c r="F262" s="200"/>
      <c r="G262" s="200"/>
      <c r="H262" s="200"/>
      <c r="I262" s="200"/>
      <c r="J262" s="200"/>
      <c r="K262" s="200">
        <f>SUMIF(AE!C:C,ATB!C:C,AE!F:F)</f>
        <v>0</v>
      </c>
      <c r="L262" s="200">
        <f t="shared" si="16"/>
        <v>0</v>
      </c>
      <c r="M262" s="200">
        <f t="shared" si="17"/>
        <v>0</v>
      </c>
    </row>
    <row r="263" spans="2:13" x14ac:dyDescent="0.35">
      <c r="B263" s="117"/>
      <c r="C263" s="117"/>
      <c r="D263" s="117"/>
      <c r="E263" s="117"/>
      <c r="F263" s="200"/>
      <c r="G263" s="200"/>
      <c r="H263" s="200"/>
      <c r="I263" s="200"/>
      <c r="J263" s="200"/>
      <c r="K263" s="200">
        <f>SUMIF(AE!C:C,ATB!C:C,AE!F:F)</f>
        <v>0</v>
      </c>
      <c r="L263" s="200">
        <f t="shared" si="16"/>
        <v>0</v>
      </c>
      <c r="M263" s="200">
        <f t="shared" si="17"/>
        <v>0</v>
      </c>
    </row>
    <row r="264" spans="2:13" x14ac:dyDescent="0.35">
      <c r="B264" s="117"/>
      <c r="C264" s="117"/>
      <c r="D264" s="117"/>
      <c r="E264" s="117"/>
      <c r="F264" s="200"/>
      <c r="G264" s="200"/>
      <c r="H264" s="200"/>
      <c r="I264" s="200"/>
      <c r="J264" s="200"/>
      <c r="K264" s="200">
        <f>SUMIF(AE!C:C,ATB!C:C,AE!F:F)</f>
        <v>0</v>
      </c>
      <c r="L264" s="200">
        <f t="shared" si="16"/>
        <v>0</v>
      </c>
      <c r="M264" s="200">
        <f t="shared" si="17"/>
        <v>0</v>
      </c>
    </row>
    <row r="265" spans="2:13" x14ac:dyDescent="0.35">
      <c r="B265" s="117"/>
      <c r="C265" s="117"/>
      <c r="D265" s="117"/>
      <c r="E265" s="117"/>
      <c r="F265" s="200"/>
      <c r="G265" s="200"/>
      <c r="H265" s="200"/>
      <c r="I265" s="200"/>
      <c r="J265" s="200"/>
      <c r="K265" s="200">
        <f>SUMIF(AE!C:C,ATB!C:C,AE!F:F)</f>
        <v>0</v>
      </c>
      <c r="L265" s="200">
        <f t="shared" si="16"/>
        <v>0</v>
      </c>
      <c r="M265" s="200">
        <f t="shared" si="17"/>
        <v>0</v>
      </c>
    </row>
    <row r="266" spans="2:13" x14ac:dyDescent="0.35">
      <c r="B266" s="117"/>
      <c r="C266" s="117"/>
      <c r="D266" s="117"/>
      <c r="E266" s="117"/>
      <c r="F266" s="200"/>
      <c r="G266" s="200"/>
      <c r="H266" s="200"/>
      <c r="I266" s="200"/>
      <c r="J266" s="200"/>
      <c r="K266" s="200">
        <f>SUMIF(AE!C:C,ATB!C:C,AE!F:F)</f>
        <v>0</v>
      </c>
      <c r="L266" s="200">
        <f t="shared" si="16"/>
        <v>0</v>
      </c>
      <c r="M266" s="200">
        <f t="shared" si="17"/>
        <v>0</v>
      </c>
    </row>
    <row r="267" spans="2:13" x14ac:dyDescent="0.35">
      <c r="B267" s="117"/>
      <c r="C267" s="117"/>
      <c r="D267" s="117"/>
      <c r="E267" s="117"/>
      <c r="F267" s="200"/>
      <c r="G267" s="200"/>
      <c r="H267" s="200"/>
      <c r="I267" s="200"/>
      <c r="J267" s="200"/>
      <c r="K267" s="200">
        <f>SUMIF(AE!C:C,ATB!C:C,AE!F:F)</f>
        <v>0</v>
      </c>
      <c r="L267" s="200">
        <f t="shared" si="16"/>
        <v>0</v>
      </c>
      <c r="M267" s="200">
        <f t="shared" si="17"/>
        <v>0</v>
      </c>
    </row>
    <row r="268" spans="2:13" x14ac:dyDescent="0.35">
      <c r="B268" s="117"/>
      <c r="C268" s="117"/>
      <c r="D268" s="117"/>
      <c r="E268" s="117"/>
      <c r="F268" s="200"/>
      <c r="G268" s="200"/>
      <c r="H268" s="200"/>
      <c r="I268" s="200"/>
      <c r="J268" s="200"/>
      <c r="K268" s="200">
        <f>SUMIF(AE!C:C,ATB!C:C,AE!F:F)</f>
        <v>0</v>
      </c>
      <c r="L268" s="200">
        <f t="shared" si="16"/>
        <v>0</v>
      </c>
      <c r="M268" s="200">
        <f t="shared" si="17"/>
        <v>0</v>
      </c>
    </row>
    <row r="269" spans="2:13" x14ac:dyDescent="0.35">
      <c r="B269" s="117"/>
      <c r="C269" s="117"/>
      <c r="D269" s="117"/>
      <c r="E269" s="117"/>
      <c r="F269" s="200"/>
      <c r="G269" s="200"/>
      <c r="H269" s="200"/>
      <c r="I269" s="200"/>
      <c r="J269" s="200"/>
      <c r="K269" s="200">
        <f>SUMIF(AE!C:C,ATB!C:C,AE!F:F)</f>
        <v>0</v>
      </c>
      <c r="L269" s="200">
        <f t="shared" si="16"/>
        <v>0</v>
      </c>
      <c r="M269" s="200">
        <f t="shared" si="17"/>
        <v>0</v>
      </c>
    </row>
    <row r="270" spans="2:13" x14ac:dyDescent="0.35">
      <c r="B270" s="117"/>
      <c r="C270" s="117"/>
      <c r="D270" s="117"/>
      <c r="E270" s="117"/>
      <c r="F270" s="200"/>
      <c r="G270" s="200"/>
      <c r="H270" s="200"/>
      <c r="I270" s="200"/>
      <c r="J270" s="200"/>
      <c r="K270" s="200">
        <f>SUMIF(AE!C:C,ATB!C:C,AE!F:F)</f>
        <v>0</v>
      </c>
      <c r="L270" s="200">
        <f t="shared" si="16"/>
        <v>0</v>
      </c>
      <c r="M270" s="200">
        <f t="shared" si="17"/>
        <v>0</v>
      </c>
    </row>
    <row r="271" spans="2:13" x14ac:dyDescent="0.35">
      <c r="B271" s="117"/>
      <c r="C271" s="117"/>
      <c r="D271" s="117"/>
      <c r="E271" s="117"/>
      <c r="F271" s="200"/>
      <c r="G271" s="200"/>
      <c r="H271" s="200"/>
      <c r="I271" s="200"/>
      <c r="J271" s="200"/>
      <c r="K271" s="200">
        <f>SUMIF(AE!C:C,ATB!C:C,AE!F:F)</f>
        <v>0</v>
      </c>
      <c r="L271" s="200">
        <f t="shared" si="16"/>
        <v>0</v>
      </c>
      <c r="M271" s="200">
        <f t="shared" si="17"/>
        <v>0</v>
      </c>
    </row>
    <row r="272" spans="2:13" x14ac:dyDescent="0.35">
      <c r="B272" s="117"/>
      <c r="C272" s="117"/>
      <c r="D272" s="117"/>
      <c r="E272" s="117"/>
      <c r="F272" s="200"/>
      <c r="G272" s="200"/>
      <c r="H272" s="200"/>
      <c r="I272" s="200"/>
      <c r="J272" s="200"/>
      <c r="K272" s="200">
        <f>SUMIF(AE!C:C,ATB!C:C,AE!F:F)</f>
        <v>0</v>
      </c>
      <c r="L272" s="200">
        <f t="shared" si="16"/>
        <v>0</v>
      </c>
      <c r="M272" s="200">
        <f t="shared" si="17"/>
        <v>0</v>
      </c>
    </row>
    <row r="273" spans="2:13" x14ac:dyDescent="0.35">
      <c r="B273" s="117"/>
      <c r="C273" s="117"/>
      <c r="D273" s="117"/>
      <c r="E273" s="117"/>
      <c r="F273" s="200"/>
      <c r="G273" s="200"/>
      <c r="H273" s="200"/>
      <c r="I273" s="200"/>
      <c r="J273" s="200"/>
      <c r="K273" s="200">
        <f>SUMIF(AE!C:C,ATB!C:C,AE!F:F)</f>
        <v>0</v>
      </c>
      <c r="L273" s="200">
        <f t="shared" si="16"/>
        <v>0</v>
      </c>
      <c r="M273" s="200">
        <f t="shared" si="17"/>
        <v>0</v>
      </c>
    </row>
    <row r="274" spans="2:13" x14ac:dyDescent="0.35">
      <c r="B274" s="117"/>
      <c r="C274" s="117"/>
      <c r="D274" s="117"/>
      <c r="E274" s="117"/>
      <c r="F274" s="200"/>
      <c r="G274" s="200"/>
      <c r="H274" s="200"/>
      <c r="I274" s="200"/>
      <c r="J274" s="200"/>
      <c r="K274" s="200">
        <f>SUMIF(AE!C:C,ATB!C:C,AE!F:F)</f>
        <v>0</v>
      </c>
      <c r="L274" s="200">
        <f t="shared" si="16"/>
        <v>0</v>
      </c>
      <c r="M274" s="200">
        <f t="shared" si="17"/>
        <v>0</v>
      </c>
    </row>
    <row r="275" spans="2:13" x14ac:dyDescent="0.35">
      <c r="B275" s="117"/>
      <c r="C275" s="117"/>
      <c r="D275" s="117"/>
      <c r="E275" s="117"/>
      <c r="F275" s="200"/>
      <c r="G275" s="200"/>
      <c r="H275" s="200"/>
      <c r="I275" s="200"/>
      <c r="J275" s="200"/>
      <c r="K275" s="200">
        <f>SUMIF(AE!C:C,ATB!C:C,AE!F:F)</f>
        <v>0</v>
      </c>
      <c r="L275" s="200">
        <f t="shared" si="16"/>
        <v>0</v>
      </c>
      <c r="M275" s="200">
        <f t="shared" si="17"/>
        <v>0</v>
      </c>
    </row>
    <row r="276" spans="2:13" x14ac:dyDescent="0.35">
      <c r="B276" s="117"/>
      <c r="C276" s="117"/>
      <c r="D276" s="117"/>
      <c r="E276" s="117"/>
      <c r="F276" s="200"/>
      <c r="G276" s="200"/>
      <c r="H276" s="200"/>
      <c r="I276" s="200"/>
      <c r="J276" s="200"/>
      <c r="K276" s="200">
        <f>SUMIF(AE!C:C,ATB!C:C,AE!F:F)</f>
        <v>0</v>
      </c>
      <c r="L276" s="200">
        <f t="shared" si="16"/>
        <v>0</v>
      </c>
      <c r="M276" s="200">
        <f t="shared" si="17"/>
        <v>0</v>
      </c>
    </row>
    <row r="277" spans="2:13" x14ac:dyDescent="0.35">
      <c r="B277" s="117"/>
      <c r="C277" s="117"/>
      <c r="D277" s="117"/>
      <c r="E277" s="117"/>
      <c r="F277" s="200"/>
      <c r="G277" s="200"/>
      <c r="H277" s="200"/>
      <c r="I277" s="200"/>
      <c r="J277" s="200"/>
      <c r="K277" s="200">
        <f>SUMIF(AE!C:C,ATB!C:C,AE!F:F)</f>
        <v>0</v>
      </c>
      <c r="L277" s="200">
        <f t="shared" si="16"/>
        <v>0</v>
      </c>
      <c r="M277" s="200">
        <f t="shared" si="17"/>
        <v>0</v>
      </c>
    </row>
    <row r="278" spans="2:13" x14ac:dyDescent="0.35">
      <c r="B278" s="117"/>
      <c r="C278" s="117"/>
      <c r="D278" s="117"/>
      <c r="E278" s="117"/>
      <c r="F278" s="200"/>
      <c r="G278" s="200"/>
      <c r="H278" s="200"/>
      <c r="I278" s="200"/>
      <c r="J278" s="200"/>
      <c r="K278" s="200">
        <f>SUMIF(AE!C:C,ATB!C:C,AE!F:F)</f>
        <v>0</v>
      </c>
      <c r="L278" s="200">
        <f t="shared" si="16"/>
        <v>0</v>
      </c>
      <c r="M278" s="200">
        <f t="shared" si="17"/>
        <v>0</v>
      </c>
    </row>
    <row r="279" spans="2:13" x14ac:dyDescent="0.35">
      <c r="B279" s="117"/>
      <c r="C279" s="117"/>
      <c r="D279" s="117"/>
      <c r="E279" s="117"/>
      <c r="F279" s="200"/>
      <c r="G279" s="200"/>
      <c r="H279" s="200"/>
      <c r="I279" s="200"/>
      <c r="J279" s="200"/>
      <c r="K279" s="200">
        <f>SUMIF(AE!C:C,ATB!C:C,AE!F:F)</f>
        <v>0</v>
      </c>
      <c r="L279" s="200">
        <f t="shared" si="16"/>
        <v>0</v>
      </c>
      <c r="M279" s="200">
        <f t="shared" si="17"/>
        <v>0</v>
      </c>
    </row>
    <row r="280" spans="2:13" x14ac:dyDescent="0.35">
      <c r="B280" s="117"/>
      <c r="C280" s="117"/>
      <c r="D280" s="117"/>
      <c r="E280" s="117"/>
      <c r="F280" s="200"/>
      <c r="G280" s="200"/>
      <c r="H280" s="200"/>
      <c r="I280" s="200"/>
      <c r="J280" s="200"/>
      <c r="K280" s="200">
        <f>SUMIF(AE!C:C,ATB!C:C,AE!F:F)</f>
        <v>0</v>
      </c>
      <c r="L280" s="200">
        <f t="shared" si="16"/>
        <v>0</v>
      </c>
      <c r="M280" s="200">
        <f t="shared" si="17"/>
        <v>0</v>
      </c>
    </row>
    <row r="281" spans="2:13" x14ac:dyDescent="0.35">
      <c r="B281" s="117"/>
      <c r="C281" s="117"/>
      <c r="D281" s="117"/>
      <c r="E281" s="117"/>
      <c r="F281" s="200"/>
      <c r="G281" s="200"/>
      <c r="H281" s="200"/>
      <c r="I281" s="200"/>
      <c r="J281" s="200"/>
      <c r="K281" s="200">
        <f>SUMIF(AE!C:C,ATB!C:C,AE!F:F)</f>
        <v>0</v>
      </c>
      <c r="L281" s="200">
        <f t="shared" si="16"/>
        <v>0</v>
      </c>
      <c r="M281" s="200">
        <f t="shared" si="17"/>
        <v>0</v>
      </c>
    </row>
    <row r="282" spans="2:13" x14ac:dyDescent="0.35">
      <c r="B282" s="117"/>
      <c r="C282" s="117"/>
      <c r="D282" s="117"/>
      <c r="E282" s="117"/>
      <c r="F282" s="200"/>
      <c r="G282" s="200"/>
      <c r="H282" s="200"/>
      <c r="I282" s="200"/>
      <c r="J282" s="200"/>
      <c r="K282" s="200">
        <f>SUMIF(AE!C:C,ATB!C:C,AE!F:F)</f>
        <v>0</v>
      </c>
      <c r="L282" s="200">
        <f t="shared" si="16"/>
        <v>0</v>
      </c>
      <c r="M282" s="200">
        <f t="shared" si="17"/>
        <v>0</v>
      </c>
    </row>
    <row r="283" spans="2:13" x14ac:dyDescent="0.35">
      <c r="B283" s="117"/>
      <c r="C283" s="117"/>
      <c r="D283" s="117"/>
      <c r="E283" s="117"/>
      <c r="F283" s="200"/>
      <c r="G283" s="200"/>
      <c r="H283" s="200"/>
      <c r="I283" s="200"/>
      <c r="J283" s="200"/>
      <c r="K283" s="200">
        <f>SUMIF(AE!C:C,ATB!C:C,AE!F:F)</f>
        <v>0</v>
      </c>
      <c r="L283" s="200">
        <f t="shared" si="16"/>
        <v>0</v>
      </c>
      <c r="M283" s="200">
        <f t="shared" si="17"/>
        <v>0</v>
      </c>
    </row>
    <row r="284" spans="2:13" x14ac:dyDescent="0.35">
      <c r="B284" s="117"/>
      <c r="C284" s="117"/>
      <c r="D284" s="117"/>
      <c r="E284" s="117"/>
      <c r="F284" s="200"/>
      <c r="G284" s="200"/>
      <c r="H284" s="200"/>
      <c r="I284" s="200"/>
      <c r="J284" s="200"/>
      <c r="K284" s="200">
        <f>SUMIF(AE!C:C,ATB!C:C,AE!F:F)</f>
        <v>0</v>
      </c>
      <c r="L284" s="200">
        <f t="shared" si="16"/>
        <v>0</v>
      </c>
      <c r="M284" s="200">
        <f t="shared" si="17"/>
        <v>0</v>
      </c>
    </row>
    <row r="285" spans="2:13" x14ac:dyDescent="0.35">
      <c r="B285" s="117"/>
      <c r="C285" s="117"/>
      <c r="D285" s="117"/>
      <c r="E285" s="117"/>
      <c r="F285" s="200"/>
      <c r="G285" s="200"/>
      <c r="H285" s="200"/>
      <c r="I285" s="200"/>
      <c r="J285" s="200"/>
      <c r="K285" s="200">
        <f>SUMIF(AE!C:C,ATB!C:C,AE!F:F)</f>
        <v>0</v>
      </c>
      <c r="L285" s="200">
        <f t="shared" si="16"/>
        <v>0</v>
      </c>
      <c r="M285" s="200">
        <f t="shared" si="17"/>
        <v>0</v>
      </c>
    </row>
    <row r="286" spans="2:13" x14ac:dyDescent="0.35">
      <c r="B286" s="117"/>
      <c r="C286" s="117"/>
      <c r="D286" s="117"/>
      <c r="E286" s="117"/>
      <c r="F286" s="200"/>
      <c r="G286" s="200"/>
      <c r="H286" s="200"/>
      <c r="I286" s="200"/>
      <c r="J286" s="200"/>
      <c r="K286" s="200">
        <f>SUMIF(AE!C:C,ATB!C:C,AE!F:F)</f>
        <v>0</v>
      </c>
      <c r="L286" s="200">
        <f t="shared" si="16"/>
        <v>0</v>
      </c>
      <c r="M286" s="200">
        <f t="shared" si="17"/>
        <v>0</v>
      </c>
    </row>
    <row r="287" spans="2:13" x14ac:dyDescent="0.35">
      <c r="B287" s="117"/>
      <c r="C287" s="117"/>
      <c r="D287" s="117"/>
      <c r="E287" s="117"/>
      <c r="F287" s="200"/>
      <c r="G287" s="200"/>
      <c r="H287" s="200"/>
      <c r="I287" s="200"/>
      <c r="J287" s="200"/>
      <c r="K287" s="200">
        <f>SUMIF(AE!C:C,ATB!C:C,AE!F:F)</f>
        <v>0</v>
      </c>
      <c r="L287" s="200">
        <f t="shared" si="16"/>
        <v>0</v>
      </c>
      <c r="M287" s="200">
        <f t="shared" si="17"/>
        <v>0</v>
      </c>
    </row>
    <row r="288" spans="2:13" x14ac:dyDescent="0.35">
      <c r="B288" s="117"/>
      <c r="C288" s="117"/>
      <c r="D288" s="117"/>
      <c r="E288" s="117"/>
      <c r="F288" s="200"/>
      <c r="G288" s="200"/>
      <c r="H288" s="200"/>
      <c r="I288" s="200"/>
      <c r="J288" s="200"/>
      <c r="K288" s="200">
        <f>SUMIF(AE!C:C,ATB!C:C,AE!F:F)</f>
        <v>0</v>
      </c>
      <c r="L288" s="200">
        <f t="shared" si="16"/>
        <v>0</v>
      </c>
      <c r="M288" s="200">
        <f t="shared" si="17"/>
        <v>0</v>
      </c>
    </row>
    <row r="289" spans="2:13" x14ac:dyDescent="0.35">
      <c r="B289" s="117"/>
      <c r="C289" s="117"/>
      <c r="D289" s="117"/>
      <c r="E289" s="117"/>
      <c r="F289" s="200"/>
      <c r="G289" s="200"/>
      <c r="H289" s="200"/>
      <c r="I289" s="200"/>
      <c r="J289" s="200"/>
      <c r="K289" s="200">
        <f>SUMIF(AE!C:C,ATB!C:C,AE!F:F)</f>
        <v>0</v>
      </c>
      <c r="L289" s="200">
        <f t="shared" si="16"/>
        <v>0</v>
      </c>
      <c r="M289" s="200">
        <f t="shared" si="17"/>
        <v>0</v>
      </c>
    </row>
    <row r="290" spans="2:13" x14ac:dyDescent="0.35">
      <c r="B290" s="117"/>
      <c r="C290" s="117"/>
      <c r="D290" s="117"/>
      <c r="E290" s="117"/>
      <c r="F290" s="200"/>
      <c r="G290" s="200"/>
      <c r="H290" s="200"/>
      <c r="I290" s="200"/>
      <c r="J290" s="200"/>
      <c r="K290" s="200">
        <f>SUMIF(AE!C:C,ATB!C:C,AE!F:F)</f>
        <v>0</v>
      </c>
      <c r="L290" s="200">
        <f t="shared" si="16"/>
        <v>0</v>
      </c>
      <c r="M290" s="200">
        <f t="shared" si="17"/>
        <v>0</v>
      </c>
    </row>
    <row r="291" spans="2:13" x14ac:dyDescent="0.35">
      <c r="B291" s="117"/>
      <c r="C291" s="117"/>
      <c r="D291" s="117"/>
      <c r="E291" s="117"/>
      <c r="F291" s="200"/>
      <c r="G291" s="200"/>
      <c r="H291" s="200"/>
      <c r="I291" s="200"/>
      <c r="J291" s="200"/>
      <c r="K291" s="200">
        <f>SUMIF(AE!C:C,ATB!C:C,AE!F:F)</f>
        <v>0</v>
      </c>
      <c r="L291" s="200">
        <f t="shared" si="16"/>
        <v>0</v>
      </c>
      <c r="M291" s="200">
        <f t="shared" si="17"/>
        <v>0</v>
      </c>
    </row>
    <row r="292" spans="2:13" x14ac:dyDescent="0.35">
      <c r="B292" s="117"/>
      <c r="C292" s="117"/>
      <c r="D292" s="117"/>
      <c r="E292" s="117"/>
      <c r="F292" s="200"/>
      <c r="G292" s="200"/>
      <c r="H292" s="200"/>
      <c r="I292" s="200"/>
      <c r="J292" s="200"/>
      <c r="K292" s="200">
        <f>SUMIF(AE!C:C,ATB!C:C,AE!F:F)</f>
        <v>0</v>
      </c>
      <c r="L292" s="200">
        <f t="shared" si="16"/>
        <v>0</v>
      </c>
      <c r="M292" s="200">
        <f t="shared" si="17"/>
        <v>0</v>
      </c>
    </row>
    <row r="293" spans="2:13" x14ac:dyDescent="0.35">
      <c r="B293" s="117"/>
      <c r="C293" s="117"/>
      <c r="D293" s="117"/>
      <c r="E293" s="117"/>
      <c r="F293" s="200"/>
      <c r="G293" s="200"/>
      <c r="H293" s="200"/>
      <c r="I293" s="200"/>
      <c r="J293" s="200"/>
      <c r="K293" s="200">
        <f>SUMIF(AE!C:C,ATB!C:C,AE!F:F)</f>
        <v>0</v>
      </c>
      <c r="L293" s="200">
        <f t="shared" si="16"/>
        <v>0</v>
      </c>
      <c r="M293" s="200">
        <f t="shared" si="17"/>
        <v>0</v>
      </c>
    </row>
    <row r="294" spans="2:13" x14ac:dyDescent="0.35">
      <c r="B294" s="117"/>
      <c r="C294" s="117"/>
      <c r="D294" s="117"/>
      <c r="E294" s="117"/>
      <c r="F294" s="200"/>
      <c r="G294" s="200"/>
      <c r="H294" s="200"/>
      <c r="I294" s="200"/>
      <c r="J294" s="200"/>
      <c r="K294" s="200">
        <f>SUMIF(AE!C:C,ATB!C:C,AE!F:F)</f>
        <v>0</v>
      </c>
      <c r="L294" s="200">
        <f t="shared" si="16"/>
        <v>0</v>
      </c>
      <c r="M294" s="200">
        <f t="shared" si="17"/>
        <v>0</v>
      </c>
    </row>
    <row r="295" spans="2:13" x14ac:dyDescent="0.35">
      <c r="B295" s="117"/>
      <c r="C295" s="117"/>
      <c r="D295" s="117"/>
      <c r="E295" s="117"/>
      <c r="F295" s="200"/>
      <c r="G295" s="200"/>
      <c r="H295" s="200"/>
      <c r="I295" s="200"/>
      <c r="J295" s="200"/>
      <c r="K295" s="200">
        <f>SUMIF(AE!C:C,ATB!C:C,AE!F:F)</f>
        <v>0</v>
      </c>
      <c r="L295" s="200">
        <f t="shared" si="16"/>
        <v>0</v>
      </c>
      <c r="M295" s="200">
        <f t="shared" si="17"/>
        <v>0</v>
      </c>
    </row>
    <row r="296" spans="2:13" x14ac:dyDescent="0.35">
      <c r="B296" s="117"/>
      <c r="C296" s="117"/>
      <c r="D296" s="117"/>
      <c r="E296" s="117"/>
      <c r="F296" s="200"/>
      <c r="G296" s="200"/>
      <c r="H296" s="200"/>
      <c r="I296" s="200"/>
      <c r="J296" s="200"/>
      <c r="K296" s="200">
        <f>SUMIF(AE!C:C,ATB!C:C,AE!F:F)</f>
        <v>0</v>
      </c>
      <c r="L296" s="200">
        <f t="shared" si="16"/>
        <v>0</v>
      </c>
      <c r="M296" s="200">
        <f t="shared" si="17"/>
        <v>0</v>
      </c>
    </row>
    <row r="297" spans="2:13" x14ac:dyDescent="0.35">
      <c r="B297" s="117"/>
      <c r="C297" s="117"/>
      <c r="D297" s="117"/>
      <c r="E297" s="117"/>
      <c r="F297" s="200"/>
      <c r="G297" s="200"/>
      <c r="H297" s="200"/>
      <c r="I297" s="200"/>
      <c r="J297" s="200"/>
      <c r="K297" s="200">
        <f>SUMIF(AE!C:C,ATB!C:C,AE!F:F)</f>
        <v>0</v>
      </c>
      <c r="L297" s="200">
        <f t="shared" si="16"/>
        <v>0</v>
      </c>
      <c r="M297" s="200">
        <f t="shared" si="17"/>
        <v>0</v>
      </c>
    </row>
    <row r="298" spans="2:13" x14ac:dyDescent="0.35">
      <c r="B298" s="117"/>
      <c r="C298" s="117"/>
      <c r="D298" s="117"/>
      <c r="E298" s="117"/>
      <c r="F298" s="200"/>
      <c r="G298" s="200"/>
      <c r="H298" s="200"/>
      <c r="I298" s="200"/>
      <c r="J298" s="200"/>
      <c r="K298" s="200">
        <f>SUMIF(AE!C:C,ATB!C:C,AE!F:F)</f>
        <v>0</v>
      </c>
      <c r="L298" s="200">
        <f t="shared" si="16"/>
        <v>0</v>
      </c>
      <c r="M298" s="200">
        <f t="shared" si="17"/>
        <v>0</v>
      </c>
    </row>
    <row r="299" spans="2:13" x14ac:dyDescent="0.35">
      <c r="B299" s="117"/>
      <c r="C299" s="117"/>
      <c r="D299" s="117"/>
      <c r="E299" s="117"/>
      <c r="F299" s="200"/>
      <c r="G299" s="200"/>
      <c r="H299" s="200"/>
      <c r="I299" s="200"/>
      <c r="J299" s="200"/>
      <c r="K299" s="200">
        <f>SUMIF(AE!C:C,ATB!C:C,AE!F:F)</f>
        <v>0</v>
      </c>
      <c r="L299" s="200">
        <f t="shared" si="16"/>
        <v>0</v>
      </c>
      <c r="M299" s="200">
        <f t="shared" si="17"/>
        <v>0</v>
      </c>
    </row>
    <row r="300" spans="2:13" x14ac:dyDescent="0.35">
      <c r="B300" s="117"/>
      <c r="C300" s="117"/>
      <c r="D300" s="117"/>
      <c r="E300" s="117"/>
      <c r="F300" s="200"/>
      <c r="G300" s="200"/>
      <c r="H300" s="200"/>
      <c r="I300" s="200"/>
      <c r="J300" s="200"/>
      <c r="K300" s="200">
        <f>SUMIF(AE!C:C,ATB!C:C,AE!F:F)</f>
        <v>0</v>
      </c>
      <c r="L300" s="200">
        <f t="shared" si="16"/>
        <v>0</v>
      </c>
      <c r="M300" s="200">
        <f t="shared" si="17"/>
        <v>0</v>
      </c>
    </row>
    <row r="301" spans="2:13" x14ac:dyDescent="0.35">
      <c r="B301" s="117"/>
      <c r="C301" s="117"/>
      <c r="D301" s="117"/>
      <c r="E301" s="117"/>
      <c r="F301" s="200"/>
      <c r="G301" s="200"/>
      <c r="H301" s="200"/>
      <c r="I301" s="200"/>
      <c r="J301" s="200"/>
      <c r="K301" s="200">
        <f>SUMIF(AE!C:C,ATB!C:C,AE!F:F)</f>
        <v>0</v>
      </c>
      <c r="L301" s="200">
        <f t="shared" si="16"/>
        <v>0</v>
      </c>
      <c r="M301" s="200">
        <f t="shared" si="17"/>
        <v>0</v>
      </c>
    </row>
    <row r="302" spans="2:13" x14ac:dyDescent="0.35">
      <c r="B302" s="117"/>
      <c r="C302" s="117"/>
      <c r="D302" s="117"/>
      <c r="E302" s="117"/>
      <c r="F302" s="200"/>
      <c r="G302" s="200"/>
      <c r="H302" s="200"/>
      <c r="I302" s="200"/>
      <c r="J302" s="200"/>
      <c r="K302" s="200">
        <f>SUMIF(AE!C:C,ATB!C:C,AE!F:F)</f>
        <v>0</v>
      </c>
      <c r="L302" s="200">
        <f t="shared" si="16"/>
        <v>0</v>
      </c>
      <c r="M302" s="200">
        <f t="shared" si="17"/>
        <v>0</v>
      </c>
    </row>
    <row r="303" spans="2:13" x14ac:dyDescent="0.35">
      <c r="B303" s="117"/>
      <c r="C303" s="117"/>
      <c r="D303" s="117"/>
      <c r="E303" s="117"/>
      <c r="F303" s="200"/>
      <c r="G303" s="200"/>
      <c r="H303" s="200"/>
      <c r="I303" s="200"/>
      <c r="J303" s="200"/>
      <c r="K303" s="200">
        <f>SUMIF(AE!C:C,ATB!C:C,AE!F:F)</f>
        <v>0</v>
      </c>
      <c r="L303" s="200">
        <f t="shared" si="16"/>
        <v>0</v>
      </c>
      <c r="M303" s="200">
        <f t="shared" si="17"/>
        <v>0</v>
      </c>
    </row>
    <row r="304" spans="2:13" x14ac:dyDescent="0.35">
      <c r="B304" s="117"/>
      <c r="C304" s="117"/>
      <c r="D304" s="117"/>
      <c r="E304" s="117"/>
      <c r="F304" s="200"/>
      <c r="G304" s="200"/>
      <c r="H304" s="200"/>
      <c r="I304" s="200"/>
      <c r="J304" s="200"/>
      <c r="K304" s="200">
        <f>SUMIF(AE!C:C,ATB!C:C,AE!F:F)</f>
        <v>0</v>
      </c>
      <c r="L304" s="200">
        <f t="shared" si="16"/>
        <v>0</v>
      </c>
      <c r="M304" s="200">
        <f t="shared" si="17"/>
        <v>0</v>
      </c>
    </row>
    <row r="305" spans="2:13" x14ac:dyDescent="0.35">
      <c r="B305" s="117"/>
      <c r="C305" s="117"/>
      <c r="D305" s="117"/>
      <c r="E305" s="117"/>
      <c r="F305" s="200"/>
      <c r="G305" s="200"/>
      <c r="H305" s="200"/>
      <c r="I305" s="200"/>
      <c r="J305" s="200"/>
      <c r="K305" s="200">
        <f>SUMIF(AE!C:C,ATB!C:C,AE!F:F)</f>
        <v>0</v>
      </c>
      <c r="L305" s="200">
        <f t="shared" si="16"/>
        <v>0</v>
      </c>
      <c r="M305" s="200">
        <f t="shared" si="17"/>
        <v>0</v>
      </c>
    </row>
    <row r="306" spans="2:13" x14ac:dyDescent="0.35">
      <c r="B306" s="117"/>
      <c r="C306" s="117"/>
      <c r="D306" s="117"/>
      <c r="E306" s="117"/>
      <c r="F306" s="200"/>
      <c r="G306" s="200"/>
      <c r="H306" s="200"/>
      <c r="I306" s="200"/>
      <c r="J306" s="200"/>
      <c r="K306" s="200">
        <f>SUMIF(AE!C:C,ATB!C:C,AE!F:F)</f>
        <v>0</v>
      </c>
      <c r="L306" s="200">
        <f t="shared" si="16"/>
        <v>0</v>
      </c>
      <c r="M306" s="200">
        <f t="shared" si="17"/>
        <v>0</v>
      </c>
    </row>
    <row r="307" spans="2:13" x14ac:dyDescent="0.35">
      <c r="B307" s="117"/>
      <c r="C307" s="117"/>
      <c r="D307" s="117"/>
      <c r="E307" s="117"/>
      <c r="F307" s="200"/>
      <c r="G307" s="200"/>
      <c r="H307" s="200"/>
      <c r="I307" s="200"/>
      <c r="J307" s="200"/>
      <c r="K307" s="200">
        <f>SUMIF(AE!C:C,ATB!C:C,AE!F:F)</f>
        <v>0</v>
      </c>
      <c r="L307" s="200">
        <f t="shared" si="16"/>
        <v>0</v>
      </c>
      <c r="M307" s="200">
        <f t="shared" si="17"/>
        <v>0</v>
      </c>
    </row>
    <row r="308" spans="2:13" x14ac:dyDescent="0.35">
      <c r="B308" s="117"/>
      <c r="C308" s="117"/>
      <c r="D308" s="117"/>
      <c r="E308" s="117"/>
      <c r="F308" s="200"/>
      <c r="G308" s="200"/>
      <c r="H308" s="200"/>
      <c r="I308" s="200"/>
      <c r="J308" s="200"/>
      <c r="K308" s="200">
        <f>SUMIF(AE!C:C,ATB!C:C,AE!F:F)</f>
        <v>0</v>
      </c>
      <c r="L308" s="200">
        <f t="shared" si="16"/>
        <v>0</v>
      </c>
      <c r="M308" s="200">
        <f t="shared" si="17"/>
        <v>0</v>
      </c>
    </row>
    <row r="309" spans="2:13" x14ac:dyDescent="0.35">
      <c r="B309" s="117"/>
      <c r="C309" s="117"/>
      <c r="D309" s="117"/>
      <c r="E309" s="117"/>
      <c r="F309" s="200"/>
      <c r="G309" s="200"/>
      <c r="H309" s="200"/>
      <c r="I309" s="200"/>
      <c r="J309" s="200"/>
      <c r="K309" s="200">
        <f>SUMIF(AE!C:C,ATB!C:C,AE!F:F)</f>
        <v>0</v>
      </c>
      <c r="L309" s="200">
        <f t="shared" si="16"/>
        <v>0</v>
      </c>
      <c r="M309" s="200">
        <f t="shared" si="17"/>
        <v>0</v>
      </c>
    </row>
    <row r="310" spans="2:13" x14ac:dyDescent="0.35">
      <c r="B310" s="117"/>
      <c r="C310" s="117"/>
      <c r="D310" s="117"/>
      <c r="E310" s="117"/>
      <c r="F310" s="200"/>
      <c r="G310" s="200"/>
      <c r="H310" s="200"/>
      <c r="I310" s="200"/>
      <c r="J310" s="200"/>
      <c r="K310" s="200">
        <f>SUMIF(AE!C:C,ATB!C:C,AE!F:F)</f>
        <v>0</v>
      </c>
      <c r="L310" s="200">
        <f t="shared" si="16"/>
        <v>0</v>
      </c>
      <c r="M310" s="200">
        <f t="shared" si="17"/>
        <v>0</v>
      </c>
    </row>
    <row r="311" spans="2:13" x14ac:dyDescent="0.35">
      <c r="B311" s="117"/>
      <c r="C311" s="117"/>
      <c r="D311" s="117"/>
      <c r="E311" s="117"/>
      <c r="F311" s="200"/>
      <c r="G311" s="200"/>
      <c r="H311" s="200"/>
      <c r="I311" s="200"/>
      <c r="J311" s="200"/>
      <c r="K311" s="200">
        <f>SUMIF(AE!C:C,ATB!C:C,AE!F:F)</f>
        <v>0</v>
      </c>
      <c r="L311" s="200">
        <f t="shared" si="16"/>
        <v>0</v>
      </c>
      <c r="M311" s="200">
        <f t="shared" si="17"/>
        <v>0</v>
      </c>
    </row>
    <row r="312" spans="2:13" x14ac:dyDescent="0.35">
      <c r="B312" s="117"/>
      <c r="C312" s="117"/>
      <c r="D312" s="117"/>
      <c r="E312" s="117"/>
      <c r="F312" s="200"/>
      <c r="G312" s="200"/>
      <c r="H312" s="200"/>
      <c r="I312" s="200"/>
      <c r="J312" s="200"/>
      <c r="K312" s="200">
        <f>SUMIF(AE!C:C,ATB!C:C,AE!F:F)</f>
        <v>0</v>
      </c>
      <c r="L312" s="200">
        <f t="shared" si="16"/>
        <v>0</v>
      </c>
      <c r="M312" s="200">
        <f t="shared" si="17"/>
        <v>0</v>
      </c>
    </row>
    <row r="313" spans="2:13" x14ac:dyDescent="0.35">
      <c r="B313" s="117"/>
      <c r="C313" s="117"/>
      <c r="D313" s="117"/>
      <c r="E313" s="117"/>
      <c r="F313" s="200"/>
      <c r="G313" s="200"/>
      <c r="H313" s="200"/>
      <c r="I313" s="200"/>
      <c r="J313" s="200"/>
      <c r="K313" s="200">
        <f>SUMIF(AE!C:C,ATB!C:C,AE!F:F)</f>
        <v>0</v>
      </c>
      <c r="L313" s="200">
        <f t="shared" si="16"/>
        <v>0</v>
      </c>
      <c r="M313" s="200">
        <f t="shared" si="17"/>
        <v>0</v>
      </c>
    </row>
    <row r="314" spans="2:13" x14ac:dyDescent="0.35">
      <c r="B314" s="117"/>
      <c r="C314" s="117"/>
      <c r="D314" s="117"/>
      <c r="E314" s="117"/>
      <c r="F314" s="200"/>
      <c r="G314" s="200"/>
      <c r="H314" s="200"/>
      <c r="I314" s="200"/>
      <c r="J314" s="200"/>
      <c r="K314" s="200">
        <f>SUMIF(AE!C:C,ATB!C:C,AE!F:F)</f>
        <v>0</v>
      </c>
      <c r="L314" s="200">
        <f t="shared" si="16"/>
        <v>0</v>
      </c>
      <c r="M314" s="200">
        <f t="shared" si="17"/>
        <v>0</v>
      </c>
    </row>
    <row r="315" spans="2:13" x14ac:dyDescent="0.35">
      <c r="B315" s="117"/>
      <c r="C315" s="117"/>
      <c r="D315" s="117"/>
      <c r="E315" s="117"/>
      <c r="F315" s="200"/>
      <c r="G315" s="200"/>
      <c r="H315" s="200"/>
      <c r="I315" s="200"/>
      <c r="J315" s="200"/>
      <c r="K315" s="200">
        <f>SUMIF(AE!C:C,ATB!C:C,AE!F:F)</f>
        <v>0</v>
      </c>
      <c r="L315" s="200">
        <f t="shared" si="16"/>
        <v>0</v>
      </c>
      <c r="M315" s="200">
        <f t="shared" si="17"/>
        <v>0</v>
      </c>
    </row>
    <row r="316" spans="2:13" x14ac:dyDescent="0.35">
      <c r="B316" s="117"/>
      <c r="C316" s="117"/>
      <c r="D316" s="117"/>
      <c r="E316" s="117"/>
      <c r="F316" s="200"/>
      <c r="G316" s="200"/>
      <c r="H316" s="200"/>
      <c r="I316" s="200"/>
      <c r="J316" s="200"/>
      <c r="K316" s="200">
        <f>SUMIF(AE!C:C,ATB!C:C,AE!F:F)</f>
        <v>0</v>
      </c>
      <c r="L316" s="200">
        <f t="shared" si="16"/>
        <v>0</v>
      </c>
      <c r="M316" s="200">
        <f t="shared" si="17"/>
        <v>0</v>
      </c>
    </row>
    <row r="317" spans="2:13" x14ac:dyDescent="0.35">
      <c r="B317" s="117"/>
      <c r="C317" s="117"/>
      <c r="D317" s="117"/>
      <c r="E317" s="117"/>
      <c r="F317" s="200"/>
      <c r="G317" s="200"/>
      <c r="H317" s="200"/>
      <c r="I317" s="200"/>
      <c r="J317" s="200"/>
      <c r="K317" s="200">
        <f>SUMIF(AE!C:C,ATB!C:C,AE!F:F)</f>
        <v>0</v>
      </c>
      <c r="L317" s="200">
        <f t="shared" si="16"/>
        <v>0</v>
      </c>
      <c r="M317" s="200">
        <f t="shared" si="17"/>
        <v>0</v>
      </c>
    </row>
    <row r="318" spans="2:13" x14ac:dyDescent="0.35">
      <c r="B318" s="117"/>
      <c r="C318" s="117"/>
      <c r="D318" s="117"/>
      <c r="E318" s="117"/>
      <c r="F318" s="200"/>
      <c r="G318" s="200"/>
      <c r="H318" s="200"/>
      <c r="I318" s="200"/>
      <c r="J318" s="200"/>
      <c r="K318" s="200">
        <f>SUMIF(AE!C:C,ATB!C:C,AE!F:F)</f>
        <v>0</v>
      </c>
      <c r="L318" s="200">
        <f t="shared" si="16"/>
        <v>0</v>
      </c>
      <c r="M318" s="200">
        <f t="shared" si="17"/>
        <v>0</v>
      </c>
    </row>
    <row r="319" spans="2:13" x14ac:dyDescent="0.35">
      <c r="B319" s="117"/>
      <c r="C319" s="117"/>
      <c r="D319" s="117"/>
      <c r="E319" s="117"/>
      <c r="F319" s="200"/>
      <c r="G319" s="200"/>
      <c r="H319" s="200"/>
      <c r="I319" s="200"/>
      <c r="J319" s="200"/>
      <c r="K319" s="200">
        <f>SUMIF(AE!C:C,ATB!C:C,AE!F:F)</f>
        <v>0</v>
      </c>
      <c r="L319" s="200">
        <f t="shared" si="16"/>
        <v>0</v>
      </c>
      <c r="M319" s="200">
        <f t="shared" si="17"/>
        <v>0</v>
      </c>
    </row>
    <row r="320" spans="2:13" x14ac:dyDescent="0.35">
      <c r="B320" s="117"/>
      <c r="C320" s="117"/>
      <c r="D320" s="117"/>
      <c r="E320" s="117"/>
      <c r="F320" s="200"/>
      <c r="G320" s="200"/>
      <c r="H320" s="200"/>
      <c r="I320" s="200"/>
      <c r="J320" s="200"/>
      <c r="K320" s="200">
        <f>SUMIF(AE!C:C,ATB!C:C,AE!F:F)</f>
        <v>0</v>
      </c>
      <c r="L320" s="200">
        <f t="shared" si="16"/>
        <v>0</v>
      </c>
      <c r="M320" s="200">
        <f t="shared" si="17"/>
        <v>0</v>
      </c>
    </row>
    <row r="321" spans="2:13" x14ac:dyDescent="0.35">
      <c r="B321" s="117"/>
      <c r="C321" s="117"/>
      <c r="D321" s="117"/>
      <c r="E321" s="117"/>
      <c r="F321" s="200"/>
      <c r="G321" s="200"/>
      <c r="H321" s="200"/>
      <c r="I321" s="200"/>
      <c r="J321" s="200"/>
      <c r="K321" s="200">
        <f>SUMIF(AE!C:C,ATB!C:C,AE!F:F)</f>
        <v>0</v>
      </c>
      <c r="L321" s="200">
        <f t="shared" si="16"/>
        <v>0</v>
      </c>
      <c r="M321" s="200">
        <f t="shared" si="17"/>
        <v>0</v>
      </c>
    </row>
    <row r="322" spans="2:13" x14ac:dyDescent="0.35">
      <c r="B322" s="117"/>
      <c r="C322" s="117"/>
      <c r="D322" s="117"/>
      <c r="E322" s="117"/>
      <c r="F322" s="200"/>
      <c r="G322" s="200"/>
      <c r="H322" s="200"/>
      <c r="I322" s="200"/>
      <c r="J322" s="200"/>
      <c r="K322" s="200">
        <f>SUMIF(AE!C:C,ATB!C:C,AE!F:F)</f>
        <v>0</v>
      </c>
      <c r="L322" s="200">
        <f t="shared" ref="L322:L385" si="18">ROUND(IF(F322+H322+J322-G322-I322-K322&gt;0,F322+H322+J322-G322-I322-K322,0),0)</f>
        <v>0</v>
      </c>
      <c r="M322" s="200">
        <f t="shared" ref="M322:M385" si="19">-ROUND(IF(F322+H322+J322-G322-I322-K322&lt;0,F322+H322+J322-G322-I322-K322,0),0)</f>
        <v>0</v>
      </c>
    </row>
    <row r="323" spans="2:13" x14ac:dyDescent="0.35">
      <c r="B323" s="117"/>
      <c r="C323" s="117"/>
      <c r="D323" s="117"/>
      <c r="E323" s="117"/>
      <c r="F323" s="200"/>
      <c r="G323" s="200"/>
      <c r="H323" s="200"/>
      <c r="I323" s="200"/>
      <c r="J323" s="200"/>
      <c r="K323" s="200">
        <f>SUMIF(AE!C:C,ATB!C:C,AE!F:F)</f>
        <v>0</v>
      </c>
      <c r="L323" s="200">
        <f t="shared" si="18"/>
        <v>0</v>
      </c>
      <c r="M323" s="200">
        <f t="shared" si="19"/>
        <v>0</v>
      </c>
    </row>
    <row r="324" spans="2:13" x14ac:dyDescent="0.35">
      <c r="B324" s="117"/>
      <c r="C324" s="117"/>
      <c r="D324" s="117"/>
      <c r="E324" s="117"/>
      <c r="F324" s="200"/>
      <c r="G324" s="200"/>
      <c r="H324" s="200"/>
      <c r="I324" s="200"/>
      <c r="J324" s="200"/>
      <c r="K324" s="200">
        <f>SUMIF(AE!C:C,ATB!C:C,AE!F:F)</f>
        <v>0</v>
      </c>
      <c r="L324" s="200">
        <f t="shared" si="18"/>
        <v>0</v>
      </c>
      <c r="M324" s="200">
        <f t="shared" si="19"/>
        <v>0</v>
      </c>
    </row>
    <row r="325" spans="2:13" x14ac:dyDescent="0.35">
      <c r="B325" s="117"/>
      <c r="C325" s="117"/>
      <c r="D325" s="117"/>
      <c r="E325" s="117"/>
      <c r="F325" s="200"/>
      <c r="G325" s="200"/>
      <c r="H325" s="200"/>
      <c r="I325" s="200"/>
      <c r="J325" s="200"/>
      <c r="K325" s="200">
        <f>SUMIF(AE!C:C,ATB!C:C,AE!F:F)</f>
        <v>0</v>
      </c>
      <c r="L325" s="200">
        <f t="shared" si="18"/>
        <v>0</v>
      </c>
      <c r="M325" s="200">
        <f t="shared" si="19"/>
        <v>0</v>
      </c>
    </row>
    <row r="326" spans="2:13" x14ac:dyDescent="0.35">
      <c r="B326" s="117"/>
      <c r="C326" s="117"/>
      <c r="D326" s="117"/>
      <c r="E326" s="117"/>
      <c r="F326" s="200"/>
      <c r="G326" s="200"/>
      <c r="H326" s="200"/>
      <c r="I326" s="200"/>
      <c r="J326" s="200"/>
      <c r="K326" s="200">
        <f>SUMIF(AE!C:C,ATB!C:C,AE!F:F)</f>
        <v>0</v>
      </c>
      <c r="L326" s="200">
        <f t="shared" si="18"/>
        <v>0</v>
      </c>
      <c r="M326" s="200">
        <f t="shared" si="19"/>
        <v>0</v>
      </c>
    </row>
    <row r="327" spans="2:13" x14ac:dyDescent="0.35">
      <c r="B327" s="117"/>
      <c r="C327" s="117"/>
      <c r="D327" s="117"/>
      <c r="E327" s="117"/>
      <c r="F327" s="200"/>
      <c r="G327" s="200"/>
      <c r="H327" s="200"/>
      <c r="I327" s="200"/>
      <c r="J327" s="200"/>
      <c r="K327" s="200">
        <f>SUMIF(AE!C:C,ATB!C:C,AE!F:F)</f>
        <v>0</v>
      </c>
      <c r="L327" s="200">
        <f t="shared" si="18"/>
        <v>0</v>
      </c>
      <c r="M327" s="200">
        <f t="shared" si="19"/>
        <v>0</v>
      </c>
    </row>
    <row r="328" spans="2:13" x14ac:dyDescent="0.35">
      <c r="B328" s="117"/>
      <c r="C328" s="117"/>
      <c r="D328" s="117"/>
      <c r="E328" s="117"/>
      <c r="F328" s="200"/>
      <c r="G328" s="200"/>
      <c r="H328" s="200"/>
      <c r="I328" s="200"/>
      <c r="J328" s="200"/>
      <c r="K328" s="200">
        <f>SUMIF(AE!C:C,ATB!C:C,AE!F:F)</f>
        <v>0</v>
      </c>
      <c r="L328" s="200">
        <f t="shared" si="18"/>
        <v>0</v>
      </c>
      <c r="M328" s="200">
        <f t="shared" si="19"/>
        <v>0</v>
      </c>
    </row>
    <row r="329" spans="2:13" x14ac:dyDescent="0.35">
      <c r="B329" s="117"/>
      <c r="C329" s="117"/>
      <c r="D329" s="117"/>
      <c r="E329" s="117"/>
      <c r="F329" s="200"/>
      <c r="G329" s="200"/>
      <c r="H329" s="200"/>
      <c r="I329" s="200"/>
      <c r="J329" s="200"/>
      <c r="K329" s="200">
        <f>SUMIF(AE!C:C,ATB!C:C,AE!F:F)</f>
        <v>0</v>
      </c>
      <c r="L329" s="200">
        <f t="shared" si="18"/>
        <v>0</v>
      </c>
      <c r="M329" s="200">
        <f t="shared" si="19"/>
        <v>0</v>
      </c>
    </row>
    <row r="330" spans="2:13" x14ac:dyDescent="0.35">
      <c r="B330" s="117"/>
      <c r="C330" s="117"/>
      <c r="D330" s="117"/>
      <c r="E330" s="117"/>
      <c r="F330" s="200"/>
      <c r="G330" s="200"/>
      <c r="H330" s="200"/>
      <c r="I330" s="200"/>
      <c r="J330" s="200"/>
      <c r="K330" s="200">
        <f>SUMIF(AE!C:C,ATB!C:C,AE!F:F)</f>
        <v>0</v>
      </c>
      <c r="L330" s="200">
        <f t="shared" si="18"/>
        <v>0</v>
      </c>
      <c r="M330" s="200">
        <f t="shared" si="19"/>
        <v>0</v>
      </c>
    </row>
    <row r="331" spans="2:13" x14ac:dyDescent="0.35">
      <c r="B331" s="117"/>
      <c r="C331" s="117"/>
      <c r="D331" s="117"/>
      <c r="E331" s="117"/>
      <c r="F331" s="200"/>
      <c r="G331" s="200"/>
      <c r="H331" s="200"/>
      <c r="I331" s="200"/>
      <c r="J331" s="200"/>
      <c r="K331" s="200">
        <f>SUMIF(AE!C:C,ATB!C:C,AE!F:F)</f>
        <v>0</v>
      </c>
      <c r="L331" s="200">
        <f t="shared" si="18"/>
        <v>0</v>
      </c>
      <c r="M331" s="200">
        <f t="shared" si="19"/>
        <v>0</v>
      </c>
    </row>
    <row r="332" spans="2:13" x14ac:dyDescent="0.35">
      <c r="B332" s="117"/>
      <c r="C332" s="117"/>
      <c r="D332" s="117"/>
      <c r="E332" s="117"/>
      <c r="F332" s="200"/>
      <c r="G332" s="200"/>
      <c r="H332" s="200"/>
      <c r="I332" s="200"/>
      <c r="J332" s="200"/>
      <c r="K332" s="200">
        <f>SUMIF(AE!C:C,ATB!C:C,AE!F:F)</f>
        <v>0</v>
      </c>
      <c r="L332" s="200">
        <f t="shared" si="18"/>
        <v>0</v>
      </c>
      <c r="M332" s="200">
        <f t="shared" si="19"/>
        <v>0</v>
      </c>
    </row>
    <row r="333" spans="2:13" x14ac:dyDescent="0.35">
      <c r="B333" s="117"/>
      <c r="C333" s="117"/>
      <c r="D333" s="117"/>
      <c r="E333" s="117"/>
      <c r="F333" s="200"/>
      <c r="G333" s="200"/>
      <c r="H333" s="200"/>
      <c r="I333" s="200"/>
      <c r="J333" s="200"/>
      <c r="K333" s="200">
        <f>SUMIF(AE!C:C,ATB!C:C,AE!F:F)</f>
        <v>0</v>
      </c>
      <c r="L333" s="200">
        <f t="shared" si="18"/>
        <v>0</v>
      </c>
      <c r="M333" s="200">
        <f t="shared" si="19"/>
        <v>0</v>
      </c>
    </row>
    <row r="334" spans="2:13" x14ac:dyDescent="0.35">
      <c r="B334" s="117"/>
      <c r="C334" s="117"/>
      <c r="D334" s="117"/>
      <c r="E334" s="117"/>
      <c r="F334" s="200"/>
      <c r="G334" s="200"/>
      <c r="H334" s="200"/>
      <c r="I334" s="200"/>
      <c r="J334" s="200"/>
      <c r="K334" s="200">
        <f>SUMIF(AE!C:C,ATB!C:C,AE!F:F)</f>
        <v>0</v>
      </c>
      <c r="L334" s="200">
        <f t="shared" si="18"/>
        <v>0</v>
      </c>
      <c r="M334" s="200">
        <f t="shared" si="19"/>
        <v>0</v>
      </c>
    </row>
    <row r="335" spans="2:13" x14ac:dyDescent="0.35">
      <c r="B335" s="117"/>
      <c r="C335" s="117"/>
      <c r="D335" s="117"/>
      <c r="E335" s="117"/>
      <c r="F335" s="200"/>
      <c r="G335" s="200"/>
      <c r="H335" s="200"/>
      <c r="I335" s="200"/>
      <c r="J335" s="200"/>
      <c r="K335" s="200">
        <f>SUMIF(AE!C:C,ATB!C:C,AE!F:F)</f>
        <v>0</v>
      </c>
      <c r="L335" s="200">
        <f t="shared" si="18"/>
        <v>0</v>
      </c>
      <c r="M335" s="200">
        <f t="shared" si="19"/>
        <v>0</v>
      </c>
    </row>
    <row r="336" spans="2:13" x14ac:dyDescent="0.35">
      <c r="B336" s="117"/>
      <c r="C336" s="117"/>
      <c r="D336" s="117"/>
      <c r="E336" s="117"/>
      <c r="F336" s="200"/>
      <c r="G336" s="200"/>
      <c r="H336" s="200"/>
      <c r="I336" s="200"/>
      <c r="J336" s="200"/>
      <c r="K336" s="200">
        <f>SUMIF(AE!C:C,ATB!C:C,AE!F:F)</f>
        <v>0</v>
      </c>
      <c r="L336" s="200">
        <f t="shared" si="18"/>
        <v>0</v>
      </c>
      <c r="M336" s="200">
        <f t="shared" si="19"/>
        <v>0</v>
      </c>
    </row>
    <row r="337" spans="2:13" x14ac:dyDescent="0.35">
      <c r="B337" s="117"/>
      <c r="C337" s="117"/>
      <c r="D337" s="117"/>
      <c r="E337" s="117"/>
      <c r="F337" s="200"/>
      <c r="G337" s="200"/>
      <c r="H337" s="200"/>
      <c r="I337" s="200"/>
      <c r="J337" s="200"/>
      <c r="K337" s="200">
        <f>SUMIF(AE!C:C,ATB!C:C,AE!F:F)</f>
        <v>0</v>
      </c>
      <c r="L337" s="200">
        <f t="shared" si="18"/>
        <v>0</v>
      </c>
      <c r="M337" s="200">
        <f t="shared" si="19"/>
        <v>0</v>
      </c>
    </row>
    <row r="338" spans="2:13" x14ac:dyDescent="0.35">
      <c r="B338" s="117"/>
      <c r="C338" s="117"/>
      <c r="D338" s="117"/>
      <c r="E338" s="117"/>
      <c r="F338" s="200"/>
      <c r="G338" s="200"/>
      <c r="H338" s="200"/>
      <c r="I338" s="200"/>
      <c r="J338" s="200"/>
      <c r="K338" s="200">
        <f>SUMIF(AE!C:C,ATB!C:C,AE!F:F)</f>
        <v>0</v>
      </c>
      <c r="L338" s="200">
        <f t="shared" si="18"/>
        <v>0</v>
      </c>
      <c r="M338" s="200">
        <f t="shared" si="19"/>
        <v>0</v>
      </c>
    </row>
    <row r="339" spans="2:13" x14ac:dyDescent="0.35">
      <c r="B339" s="117"/>
      <c r="C339" s="117"/>
      <c r="D339" s="117"/>
      <c r="E339" s="117"/>
      <c r="F339" s="200"/>
      <c r="G339" s="200"/>
      <c r="H339" s="200"/>
      <c r="I339" s="200"/>
      <c r="J339" s="200"/>
      <c r="K339" s="200">
        <f>SUMIF(AE!C:C,ATB!C:C,AE!F:F)</f>
        <v>0</v>
      </c>
      <c r="L339" s="200">
        <f t="shared" si="18"/>
        <v>0</v>
      </c>
      <c r="M339" s="200">
        <f t="shared" si="19"/>
        <v>0</v>
      </c>
    </row>
    <row r="340" spans="2:13" x14ac:dyDescent="0.35">
      <c r="B340" s="117"/>
      <c r="C340" s="117"/>
      <c r="D340" s="117"/>
      <c r="E340" s="117"/>
      <c r="F340" s="200"/>
      <c r="G340" s="200"/>
      <c r="H340" s="200"/>
      <c r="I340" s="200"/>
      <c r="J340" s="200"/>
      <c r="K340" s="200">
        <f>SUMIF(AE!C:C,ATB!C:C,AE!F:F)</f>
        <v>0</v>
      </c>
      <c r="L340" s="200">
        <f t="shared" si="18"/>
        <v>0</v>
      </c>
      <c r="M340" s="200">
        <f t="shared" si="19"/>
        <v>0</v>
      </c>
    </row>
    <row r="341" spans="2:13" x14ac:dyDescent="0.35">
      <c r="B341" s="117"/>
      <c r="C341" s="117"/>
      <c r="D341" s="117"/>
      <c r="E341" s="117"/>
      <c r="F341" s="200"/>
      <c r="G341" s="200"/>
      <c r="H341" s="200"/>
      <c r="I341" s="200"/>
      <c r="J341" s="200"/>
      <c r="K341" s="200">
        <f>SUMIF(AE!C:C,ATB!C:C,AE!F:F)</f>
        <v>0</v>
      </c>
      <c r="L341" s="200">
        <f t="shared" si="18"/>
        <v>0</v>
      </c>
      <c r="M341" s="200">
        <f t="shared" si="19"/>
        <v>0</v>
      </c>
    </row>
    <row r="342" spans="2:13" x14ac:dyDescent="0.35">
      <c r="B342" s="117"/>
      <c r="C342" s="117"/>
      <c r="D342" s="117"/>
      <c r="E342" s="117"/>
      <c r="F342" s="200"/>
      <c r="G342" s="200"/>
      <c r="H342" s="200"/>
      <c r="I342" s="200"/>
      <c r="J342" s="200"/>
      <c r="K342" s="200">
        <f>SUMIF(AE!C:C,ATB!C:C,AE!F:F)</f>
        <v>0</v>
      </c>
      <c r="L342" s="200">
        <f t="shared" si="18"/>
        <v>0</v>
      </c>
      <c r="M342" s="200">
        <f t="shared" si="19"/>
        <v>0</v>
      </c>
    </row>
    <row r="343" spans="2:13" x14ac:dyDescent="0.35">
      <c r="B343" s="117"/>
      <c r="C343" s="117"/>
      <c r="D343" s="117"/>
      <c r="E343" s="117"/>
      <c r="F343" s="200"/>
      <c r="G343" s="200"/>
      <c r="H343" s="200"/>
      <c r="I343" s="200"/>
      <c r="J343" s="200"/>
      <c r="K343" s="200">
        <f>SUMIF(AE!C:C,ATB!C:C,AE!F:F)</f>
        <v>0</v>
      </c>
      <c r="L343" s="200">
        <f t="shared" si="18"/>
        <v>0</v>
      </c>
      <c r="M343" s="200">
        <f t="shared" si="19"/>
        <v>0</v>
      </c>
    </row>
    <row r="344" spans="2:13" x14ac:dyDescent="0.35">
      <c r="B344" s="117"/>
      <c r="C344" s="117"/>
      <c r="D344" s="117"/>
      <c r="E344" s="117"/>
      <c r="F344" s="200"/>
      <c r="G344" s="200"/>
      <c r="H344" s="200"/>
      <c r="I344" s="200"/>
      <c r="J344" s="200"/>
      <c r="K344" s="200">
        <f>SUMIF(AE!C:C,ATB!C:C,AE!F:F)</f>
        <v>0</v>
      </c>
      <c r="L344" s="200">
        <f t="shared" si="18"/>
        <v>0</v>
      </c>
      <c r="M344" s="200">
        <f t="shared" si="19"/>
        <v>0</v>
      </c>
    </row>
    <row r="345" spans="2:13" x14ac:dyDescent="0.35">
      <c r="B345" s="117"/>
      <c r="C345" s="117"/>
      <c r="D345" s="117"/>
      <c r="E345" s="117"/>
      <c r="F345" s="200"/>
      <c r="G345" s="200"/>
      <c r="H345" s="200"/>
      <c r="I345" s="200"/>
      <c r="J345" s="200"/>
      <c r="K345" s="200">
        <f>SUMIF(AE!C:C,ATB!C:C,AE!F:F)</f>
        <v>0</v>
      </c>
      <c r="L345" s="200">
        <f t="shared" si="18"/>
        <v>0</v>
      </c>
      <c r="M345" s="200">
        <f t="shared" si="19"/>
        <v>0</v>
      </c>
    </row>
    <row r="346" spans="2:13" x14ac:dyDescent="0.35">
      <c r="B346" s="117"/>
      <c r="C346" s="117"/>
      <c r="D346" s="117"/>
      <c r="E346" s="117"/>
      <c r="F346" s="200"/>
      <c r="G346" s="200"/>
      <c r="H346" s="200"/>
      <c r="I346" s="200"/>
      <c r="J346" s="200"/>
      <c r="K346" s="200">
        <f>SUMIF(AE!C:C,ATB!C:C,AE!F:F)</f>
        <v>0</v>
      </c>
      <c r="L346" s="200">
        <f t="shared" si="18"/>
        <v>0</v>
      </c>
      <c r="M346" s="200">
        <f t="shared" si="19"/>
        <v>0</v>
      </c>
    </row>
    <row r="347" spans="2:13" x14ac:dyDescent="0.35">
      <c r="B347" s="117"/>
      <c r="C347" s="117"/>
      <c r="D347" s="117"/>
      <c r="E347" s="117"/>
      <c r="F347" s="200"/>
      <c r="G347" s="200"/>
      <c r="H347" s="200"/>
      <c r="I347" s="200"/>
      <c r="J347" s="200"/>
      <c r="K347" s="200">
        <f>SUMIF(AE!C:C,ATB!C:C,AE!F:F)</f>
        <v>0</v>
      </c>
      <c r="L347" s="200">
        <f t="shared" si="18"/>
        <v>0</v>
      </c>
      <c r="M347" s="200">
        <f t="shared" si="19"/>
        <v>0</v>
      </c>
    </row>
    <row r="348" spans="2:13" x14ac:dyDescent="0.35">
      <c r="B348" s="117"/>
      <c r="C348" s="117"/>
      <c r="D348" s="117"/>
      <c r="E348" s="117"/>
      <c r="F348" s="200"/>
      <c r="G348" s="200"/>
      <c r="H348" s="200"/>
      <c r="I348" s="200"/>
      <c r="J348" s="200"/>
      <c r="K348" s="200">
        <f>SUMIF(AE!C:C,ATB!C:C,AE!F:F)</f>
        <v>0</v>
      </c>
      <c r="L348" s="200">
        <f t="shared" si="18"/>
        <v>0</v>
      </c>
      <c r="M348" s="200">
        <f t="shared" si="19"/>
        <v>0</v>
      </c>
    </row>
    <row r="349" spans="2:13" x14ac:dyDescent="0.35">
      <c r="B349" s="117"/>
      <c r="C349" s="117"/>
      <c r="D349" s="117"/>
      <c r="E349" s="117"/>
      <c r="F349" s="200"/>
      <c r="G349" s="200"/>
      <c r="H349" s="200"/>
      <c r="I349" s="200"/>
      <c r="J349" s="200"/>
      <c r="K349" s="200">
        <f>SUMIF(AE!C:C,ATB!C:C,AE!F:F)</f>
        <v>0</v>
      </c>
      <c r="L349" s="200">
        <f t="shared" si="18"/>
        <v>0</v>
      </c>
      <c r="M349" s="200">
        <f t="shared" si="19"/>
        <v>0</v>
      </c>
    </row>
    <row r="350" spans="2:13" x14ac:dyDescent="0.35">
      <c r="B350" s="117"/>
      <c r="C350" s="117"/>
      <c r="D350" s="117"/>
      <c r="E350" s="117"/>
      <c r="F350" s="200"/>
      <c r="G350" s="200"/>
      <c r="H350" s="200"/>
      <c r="I350" s="200"/>
      <c r="J350" s="200"/>
      <c r="K350" s="200">
        <f>SUMIF(AE!C:C,ATB!C:C,AE!F:F)</f>
        <v>0</v>
      </c>
      <c r="L350" s="200">
        <f t="shared" si="18"/>
        <v>0</v>
      </c>
      <c r="M350" s="200">
        <f t="shared" si="19"/>
        <v>0</v>
      </c>
    </row>
    <row r="351" spans="2:13" x14ac:dyDescent="0.35">
      <c r="B351" s="117"/>
      <c r="C351" s="117"/>
      <c r="D351" s="117"/>
      <c r="E351" s="117"/>
      <c r="F351" s="200"/>
      <c r="G351" s="200"/>
      <c r="H351" s="200"/>
      <c r="I351" s="200"/>
      <c r="J351" s="200"/>
      <c r="K351" s="200">
        <f>SUMIF(AE!C:C,ATB!C:C,AE!F:F)</f>
        <v>0</v>
      </c>
      <c r="L351" s="200">
        <f t="shared" si="18"/>
        <v>0</v>
      </c>
      <c r="M351" s="200">
        <f t="shared" si="19"/>
        <v>0</v>
      </c>
    </row>
    <row r="352" spans="2:13" x14ac:dyDescent="0.35">
      <c r="B352" s="117"/>
      <c r="C352" s="117"/>
      <c r="D352" s="117"/>
      <c r="E352" s="117"/>
      <c r="F352" s="200"/>
      <c r="G352" s="200"/>
      <c r="H352" s="200"/>
      <c r="I352" s="200"/>
      <c r="J352" s="200"/>
      <c r="K352" s="200">
        <f>SUMIF(AE!C:C,ATB!C:C,AE!F:F)</f>
        <v>0</v>
      </c>
      <c r="L352" s="200">
        <f t="shared" si="18"/>
        <v>0</v>
      </c>
      <c r="M352" s="200">
        <f t="shared" si="19"/>
        <v>0</v>
      </c>
    </row>
    <row r="353" spans="2:13" x14ac:dyDescent="0.35">
      <c r="B353" s="117"/>
      <c r="C353" s="117"/>
      <c r="D353" s="117"/>
      <c r="E353" s="117"/>
      <c r="F353" s="200"/>
      <c r="G353" s="200"/>
      <c r="H353" s="200"/>
      <c r="I353" s="200"/>
      <c r="J353" s="200"/>
      <c r="K353" s="200">
        <f>SUMIF(AE!C:C,ATB!C:C,AE!F:F)</f>
        <v>0</v>
      </c>
      <c r="L353" s="200">
        <f t="shared" si="18"/>
        <v>0</v>
      </c>
      <c r="M353" s="200">
        <f t="shared" si="19"/>
        <v>0</v>
      </c>
    </row>
    <row r="354" spans="2:13" x14ac:dyDescent="0.35">
      <c r="B354" s="117"/>
      <c r="C354" s="117"/>
      <c r="D354" s="117"/>
      <c r="E354" s="117"/>
      <c r="F354" s="200"/>
      <c r="G354" s="200"/>
      <c r="H354" s="200"/>
      <c r="I354" s="200"/>
      <c r="J354" s="200"/>
      <c r="K354" s="200">
        <f>SUMIF(AE!C:C,ATB!C:C,AE!F:F)</f>
        <v>0</v>
      </c>
      <c r="L354" s="200">
        <f t="shared" si="18"/>
        <v>0</v>
      </c>
      <c r="M354" s="200">
        <f t="shared" si="19"/>
        <v>0</v>
      </c>
    </row>
    <row r="355" spans="2:13" x14ac:dyDescent="0.35">
      <c r="B355" s="117"/>
      <c r="C355" s="117"/>
      <c r="D355" s="117"/>
      <c r="E355" s="117"/>
      <c r="F355" s="200"/>
      <c r="G355" s="200"/>
      <c r="H355" s="200"/>
      <c r="I355" s="200"/>
      <c r="J355" s="200"/>
      <c r="K355" s="200">
        <f>SUMIF(AE!C:C,ATB!C:C,AE!F:F)</f>
        <v>0</v>
      </c>
      <c r="L355" s="200">
        <f t="shared" si="18"/>
        <v>0</v>
      </c>
      <c r="M355" s="200">
        <f t="shared" si="19"/>
        <v>0</v>
      </c>
    </row>
    <row r="356" spans="2:13" x14ac:dyDescent="0.35">
      <c r="B356" s="117"/>
      <c r="C356" s="117"/>
      <c r="D356" s="117"/>
      <c r="E356" s="117"/>
      <c r="F356" s="200"/>
      <c r="G356" s="200"/>
      <c r="H356" s="200"/>
      <c r="I356" s="200"/>
      <c r="J356" s="200"/>
      <c r="K356" s="200">
        <f>SUMIF(AE!C:C,ATB!C:C,AE!F:F)</f>
        <v>0</v>
      </c>
      <c r="L356" s="200">
        <f t="shared" si="18"/>
        <v>0</v>
      </c>
      <c r="M356" s="200">
        <f t="shared" si="19"/>
        <v>0</v>
      </c>
    </row>
    <row r="357" spans="2:13" x14ac:dyDescent="0.35">
      <c r="B357" s="117"/>
      <c r="C357" s="117"/>
      <c r="D357" s="117"/>
      <c r="E357" s="117"/>
      <c r="F357" s="200"/>
      <c r="G357" s="200"/>
      <c r="H357" s="200"/>
      <c r="I357" s="200"/>
      <c r="J357" s="200"/>
      <c r="K357" s="200">
        <f>SUMIF(AE!C:C,ATB!C:C,AE!F:F)</f>
        <v>0</v>
      </c>
      <c r="L357" s="200">
        <f t="shared" si="18"/>
        <v>0</v>
      </c>
      <c r="M357" s="200">
        <f t="shared" si="19"/>
        <v>0</v>
      </c>
    </row>
    <row r="358" spans="2:13" x14ac:dyDescent="0.35">
      <c r="B358" s="117"/>
      <c r="C358" s="117"/>
      <c r="D358" s="117"/>
      <c r="E358" s="117"/>
      <c r="F358" s="200"/>
      <c r="G358" s="200"/>
      <c r="H358" s="200"/>
      <c r="I358" s="200"/>
      <c r="J358" s="200"/>
      <c r="K358" s="200">
        <f>SUMIF(AE!C:C,ATB!C:C,AE!F:F)</f>
        <v>0</v>
      </c>
      <c r="L358" s="200">
        <f t="shared" si="18"/>
        <v>0</v>
      </c>
      <c r="M358" s="200">
        <f t="shared" si="19"/>
        <v>0</v>
      </c>
    </row>
    <row r="359" spans="2:13" x14ac:dyDescent="0.35">
      <c r="B359" s="117"/>
      <c r="C359" s="117"/>
      <c r="D359" s="117"/>
      <c r="E359" s="117"/>
      <c r="F359" s="200"/>
      <c r="G359" s="200"/>
      <c r="H359" s="200"/>
      <c r="I359" s="200"/>
      <c r="J359" s="200"/>
      <c r="K359" s="200">
        <f>SUMIF(AE!C:C,ATB!C:C,AE!F:F)</f>
        <v>0</v>
      </c>
      <c r="L359" s="200">
        <f t="shared" si="18"/>
        <v>0</v>
      </c>
      <c r="M359" s="200">
        <f t="shared" si="19"/>
        <v>0</v>
      </c>
    </row>
    <row r="360" spans="2:13" x14ac:dyDescent="0.35">
      <c r="B360" s="117"/>
      <c r="C360" s="117"/>
      <c r="D360" s="117"/>
      <c r="E360" s="117"/>
      <c r="F360" s="200"/>
      <c r="G360" s="200"/>
      <c r="H360" s="200"/>
      <c r="I360" s="200"/>
      <c r="J360" s="200"/>
      <c r="K360" s="200">
        <f>SUMIF(AE!C:C,ATB!C:C,AE!F:F)</f>
        <v>0</v>
      </c>
      <c r="L360" s="200">
        <f t="shared" si="18"/>
        <v>0</v>
      </c>
      <c r="M360" s="200">
        <f t="shared" si="19"/>
        <v>0</v>
      </c>
    </row>
    <row r="361" spans="2:13" x14ac:dyDescent="0.35">
      <c r="B361" s="117"/>
      <c r="C361" s="117"/>
      <c r="D361" s="117"/>
      <c r="E361" s="117"/>
      <c r="F361" s="200"/>
      <c r="G361" s="200"/>
      <c r="H361" s="200"/>
      <c r="I361" s="200"/>
      <c r="J361" s="200"/>
      <c r="K361" s="200">
        <f>SUMIF(AE!C:C,ATB!C:C,AE!F:F)</f>
        <v>0</v>
      </c>
      <c r="L361" s="200">
        <f t="shared" si="18"/>
        <v>0</v>
      </c>
      <c r="M361" s="200">
        <f t="shared" si="19"/>
        <v>0</v>
      </c>
    </row>
    <row r="362" spans="2:13" x14ac:dyDescent="0.35">
      <c r="B362" s="117"/>
      <c r="C362" s="117"/>
      <c r="D362" s="117"/>
      <c r="E362" s="117"/>
      <c r="F362" s="200"/>
      <c r="G362" s="200"/>
      <c r="H362" s="200"/>
      <c r="I362" s="200"/>
      <c r="J362" s="200"/>
      <c r="K362" s="200">
        <f>SUMIF(AE!C:C,ATB!C:C,AE!F:F)</f>
        <v>0</v>
      </c>
      <c r="L362" s="200">
        <f t="shared" si="18"/>
        <v>0</v>
      </c>
      <c r="M362" s="200">
        <f t="shared" si="19"/>
        <v>0</v>
      </c>
    </row>
    <row r="363" spans="2:13" x14ac:dyDescent="0.35">
      <c r="B363" s="117"/>
      <c r="C363" s="117"/>
      <c r="D363" s="117"/>
      <c r="E363" s="117"/>
      <c r="F363" s="200"/>
      <c r="G363" s="200"/>
      <c r="H363" s="200"/>
      <c r="I363" s="200"/>
      <c r="J363" s="200"/>
      <c r="K363" s="200">
        <f>SUMIF(AE!C:C,ATB!C:C,AE!F:F)</f>
        <v>0</v>
      </c>
      <c r="L363" s="200">
        <f t="shared" si="18"/>
        <v>0</v>
      </c>
      <c r="M363" s="200">
        <f t="shared" si="19"/>
        <v>0</v>
      </c>
    </row>
    <row r="364" spans="2:13" x14ac:dyDescent="0.35">
      <c r="B364" s="117"/>
      <c r="C364" s="117"/>
      <c r="D364" s="117"/>
      <c r="E364" s="117"/>
      <c r="F364" s="200"/>
      <c r="G364" s="200"/>
      <c r="H364" s="200"/>
      <c r="I364" s="200"/>
      <c r="J364" s="200"/>
      <c r="K364" s="200">
        <f>SUMIF(AE!C:C,ATB!C:C,AE!F:F)</f>
        <v>0</v>
      </c>
      <c r="L364" s="200">
        <f t="shared" si="18"/>
        <v>0</v>
      </c>
      <c r="M364" s="200">
        <f t="shared" si="19"/>
        <v>0</v>
      </c>
    </row>
    <row r="365" spans="2:13" x14ac:dyDescent="0.35">
      <c r="B365" s="117"/>
      <c r="C365" s="117"/>
      <c r="D365" s="117"/>
      <c r="E365" s="117"/>
      <c r="F365" s="200"/>
      <c r="G365" s="200"/>
      <c r="H365" s="200"/>
      <c r="I365" s="200"/>
      <c r="J365" s="200"/>
      <c r="K365" s="200">
        <f>SUMIF(AE!C:C,ATB!C:C,AE!F:F)</f>
        <v>0</v>
      </c>
      <c r="L365" s="200">
        <f t="shared" si="18"/>
        <v>0</v>
      </c>
      <c r="M365" s="200">
        <f t="shared" si="19"/>
        <v>0</v>
      </c>
    </row>
    <row r="366" spans="2:13" x14ac:dyDescent="0.35">
      <c r="B366" s="117"/>
      <c r="C366" s="117"/>
      <c r="D366" s="117"/>
      <c r="E366" s="117"/>
      <c r="F366" s="200"/>
      <c r="G366" s="200"/>
      <c r="H366" s="200"/>
      <c r="I366" s="200"/>
      <c r="J366" s="200"/>
      <c r="K366" s="200">
        <f>SUMIF(AE!C:C,ATB!C:C,AE!F:F)</f>
        <v>0</v>
      </c>
      <c r="L366" s="200">
        <f t="shared" si="18"/>
        <v>0</v>
      </c>
      <c r="M366" s="200">
        <f t="shared" si="19"/>
        <v>0</v>
      </c>
    </row>
    <row r="367" spans="2:13" x14ac:dyDescent="0.35">
      <c r="B367" s="117"/>
      <c r="C367" s="117"/>
      <c r="D367" s="117"/>
      <c r="E367" s="117"/>
      <c r="F367" s="200"/>
      <c r="G367" s="200"/>
      <c r="H367" s="200"/>
      <c r="I367" s="200"/>
      <c r="J367" s="200"/>
      <c r="K367" s="200">
        <f>SUMIF(AE!C:C,ATB!C:C,AE!F:F)</f>
        <v>0</v>
      </c>
      <c r="L367" s="200">
        <f t="shared" si="18"/>
        <v>0</v>
      </c>
      <c r="M367" s="200">
        <f t="shared" si="19"/>
        <v>0</v>
      </c>
    </row>
    <row r="368" spans="2:13" x14ac:dyDescent="0.35">
      <c r="B368" s="117"/>
      <c r="C368" s="117"/>
      <c r="D368" s="117"/>
      <c r="E368" s="117"/>
      <c r="F368" s="200"/>
      <c r="G368" s="200"/>
      <c r="H368" s="200"/>
      <c r="I368" s="200"/>
      <c r="J368" s="200"/>
      <c r="K368" s="200">
        <f>SUMIF(AE!C:C,ATB!C:C,AE!F:F)</f>
        <v>0</v>
      </c>
      <c r="L368" s="200">
        <f t="shared" si="18"/>
        <v>0</v>
      </c>
      <c r="M368" s="200">
        <f t="shared" si="19"/>
        <v>0</v>
      </c>
    </row>
    <row r="369" spans="2:13" x14ac:dyDescent="0.35">
      <c r="B369" s="117"/>
      <c r="C369" s="117"/>
      <c r="D369" s="117"/>
      <c r="E369" s="117"/>
      <c r="F369" s="200"/>
      <c r="G369" s="200"/>
      <c r="H369" s="200"/>
      <c r="I369" s="200"/>
      <c r="J369" s="200"/>
      <c r="K369" s="200">
        <f>SUMIF(AE!C:C,ATB!C:C,AE!F:F)</f>
        <v>0</v>
      </c>
      <c r="L369" s="200">
        <f t="shared" si="18"/>
        <v>0</v>
      </c>
      <c r="M369" s="200">
        <f t="shared" si="19"/>
        <v>0</v>
      </c>
    </row>
    <row r="370" spans="2:13" x14ac:dyDescent="0.35">
      <c r="B370" s="117"/>
      <c r="C370" s="117"/>
      <c r="D370" s="117"/>
      <c r="E370" s="117"/>
      <c r="F370" s="200"/>
      <c r="G370" s="200"/>
      <c r="H370" s="200"/>
      <c r="I370" s="200"/>
      <c r="J370" s="200"/>
      <c r="K370" s="200">
        <f>SUMIF(AE!C:C,ATB!C:C,AE!F:F)</f>
        <v>0</v>
      </c>
      <c r="L370" s="200">
        <f t="shared" si="18"/>
        <v>0</v>
      </c>
      <c r="M370" s="200">
        <f t="shared" si="19"/>
        <v>0</v>
      </c>
    </row>
    <row r="371" spans="2:13" x14ac:dyDescent="0.35">
      <c r="B371" s="117"/>
      <c r="C371" s="117"/>
      <c r="D371" s="117"/>
      <c r="E371" s="117"/>
      <c r="F371" s="200"/>
      <c r="G371" s="200"/>
      <c r="H371" s="200"/>
      <c r="I371" s="200"/>
      <c r="J371" s="200"/>
      <c r="K371" s="200">
        <f>SUMIF(AE!C:C,ATB!C:C,AE!F:F)</f>
        <v>0</v>
      </c>
      <c r="L371" s="200">
        <f t="shared" si="18"/>
        <v>0</v>
      </c>
      <c r="M371" s="200">
        <f t="shared" si="19"/>
        <v>0</v>
      </c>
    </row>
    <row r="372" spans="2:13" x14ac:dyDescent="0.35">
      <c r="B372" s="117"/>
      <c r="C372" s="117"/>
      <c r="D372" s="117"/>
      <c r="E372" s="117"/>
      <c r="F372" s="200"/>
      <c r="G372" s="200"/>
      <c r="H372" s="200"/>
      <c r="I372" s="200"/>
      <c r="J372" s="200"/>
      <c r="K372" s="200">
        <f>SUMIF(AE!C:C,ATB!C:C,AE!F:F)</f>
        <v>0</v>
      </c>
      <c r="L372" s="200">
        <f t="shared" si="18"/>
        <v>0</v>
      </c>
      <c r="M372" s="200">
        <f t="shared" si="19"/>
        <v>0</v>
      </c>
    </row>
    <row r="373" spans="2:13" x14ac:dyDescent="0.35">
      <c r="B373" s="117"/>
      <c r="C373" s="117"/>
      <c r="D373" s="117"/>
      <c r="E373" s="117"/>
      <c r="F373" s="200"/>
      <c r="G373" s="200"/>
      <c r="H373" s="200"/>
      <c r="I373" s="200"/>
      <c r="J373" s="200"/>
      <c r="K373" s="200">
        <f>SUMIF(AE!C:C,ATB!C:C,AE!F:F)</f>
        <v>0</v>
      </c>
      <c r="L373" s="200">
        <f t="shared" si="18"/>
        <v>0</v>
      </c>
      <c r="M373" s="200">
        <f t="shared" si="19"/>
        <v>0</v>
      </c>
    </row>
    <row r="374" spans="2:13" x14ac:dyDescent="0.35">
      <c r="B374" s="117"/>
      <c r="C374" s="117"/>
      <c r="D374" s="117"/>
      <c r="E374" s="117"/>
      <c r="F374" s="200"/>
      <c r="G374" s="200"/>
      <c r="H374" s="200"/>
      <c r="I374" s="200"/>
      <c r="J374" s="200"/>
      <c r="K374" s="200">
        <f>SUMIF(AE!C:C,ATB!C:C,AE!F:F)</f>
        <v>0</v>
      </c>
      <c r="L374" s="200">
        <f t="shared" si="18"/>
        <v>0</v>
      </c>
      <c r="M374" s="200">
        <f t="shared" si="19"/>
        <v>0</v>
      </c>
    </row>
    <row r="375" spans="2:13" x14ac:dyDescent="0.35">
      <c r="B375" s="117"/>
      <c r="C375" s="117"/>
      <c r="D375" s="117"/>
      <c r="E375" s="117"/>
      <c r="F375" s="200"/>
      <c r="G375" s="200"/>
      <c r="H375" s="200"/>
      <c r="I375" s="200"/>
      <c r="J375" s="200"/>
      <c r="K375" s="200">
        <f>SUMIF(AE!C:C,ATB!C:C,AE!F:F)</f>
        <v>0</v>
      </c>
      <c r="L375" s="200">
        <f t="shared" si="18"/>
        <v>0</v>
      </c>
      <c r="M375" s="200">
        <f t="shared" si="19"/>
        <v>0</v>
      </c>
    </row>
    <row r="376" spans="2:13" x14ac:dyDescent="0.35">
      <c r="B376" s="117"/>
      <c r="C376" s="117"/>
      <c r="D376" s="117"/>
      <c r="E376" s="117"/>
      <c r="F376" s="200"/>
      <c r="G376" s="200"/>
      <c r="H376" s="200"/>
      <c r="I376" s="200"/>
      <c r="J376" s="200"/>
      <c r="K376" s="200">
        <f>SUMIF(AE!C:C,ATB!C:C,AE!F:F)</f>
        <v>0</v>
      </c>
      <c r="L376" s="200">
        <f t="shared" si="18"/>
        <v>0</v>
      </c>
      <c r="M376" s="200">
        <f t="shared" si="19"/>
        <v>0</v>
      </c>
    </row>
    <row r="377" spans="2:13" x14ac:dyDescent="0.35">
      <c r="B377" s="117"/>
      <c r="C377" s="117"/>
      <c r="D377" s="117"/>
      <c r="E377" s="117"/>
      <c r="F377" s="200"/>
      <c r="G377" s="200"/>
      <c r="H377" s="200"/>
      <c r="I377" s="200"/>
      <c r="J377" s="200"/>
      <c r="K377" s="200">
        <f>SUMIF(AE!C:C,ATB!C:C,AE!F:F)</f>
        <v>0</v>
      </c>
      <c r="L377" s="200">
        <f t="shared" si="18"/>
        <v>0</v>
      </c>
      <c r="M377" s="200">
        <f t="shared" si="19"/>
        <v>0</v>
      </c>
    </row>
    <row r="378" spans="2:13" x14ac:dyDescent="0.35">
      <c r="B378" s="117"/>
      <c r="C378" s="117"/>
      <c r="D378" s="117"/>
      <c r="E378" s="117"/>
      <c r="F378" s="200"/>
      <c r="G378" s="200"/>
      <c r="H378" s="200"/>
      <c r="I378" s="200"/>
      <c r="J378" s="200"/>
      <c r="K378" s="200">
        <f>SUMIF(AE!C:C,ATB!C:C,AE!F:F)</f>
        <v>0</v>
      </c>
      <c r="L378" s="200">
        <f t="shared" si="18"/>
        <v>0</v>
      </c>
      <c r="M378" s="200">
        <f t="shared" si="19"/>
        <v>0</v>
      </c>
    </row>
    <row r="379" spans="2:13" x14ac:dyDescent="0.35">
      <c r="B379" s="117"/>
      <c r="C379" s="117"/>
      <c r="D379" s="117"/>
      <c r="E379" s="117"/>
      <c r="F379" s="200"/>
      <c r="G379" s="200"/>
      <c r="H379" s="200"/>
      <c r="I379" s="200"/>
      <c r="J379" s="200"/>
      <c r="K379" s="200">
        <f>SUMIF(AE!C:C,ATB!C:C,AE!F:F)</f>
        <v>0</v>
      </c>
      <c r="L379" s="200">
        <f t="shared" si="18"/>
        <v>0</v>
      </c>
      <c r="M379" s="200">
        <f t="shared" si="19"/>
        <v>0</v>
      </c>
    </row>
    <row r="380" spans="2:13" x14ac:dyDescent="0.35">
      <c r="B380" s="117"/>
      <c r="C380" s="117"/>
      <c r="D380" s="117"/>
      <c r="E380" s="117"/>
      <c r="F380" s="200"/>
      <c r="G380" s="200"/>
      <c r="H380" s="200"/>
      <c r="I380" s="200"/>
      <c r="J380" s="200"/>
      <c r="K380" s="200">
        <f>SUMIF(AE!C:C,ATB!C:C,AE!F:F)</f>
        <v>0</v>
      </c>
      <c r="L380" s="200">
        <f t="shared" si="18"/>
        <v>0</v>
      </c>
      <c r="M380" s="200">
        <f t="shared" si="19"/>
        <v>0</v>
      </c>
    </row>
    <row r="381" spans="2:13" x14ac:dyDescent="0.35">
      <c r="B381" s="117"/>
      <c r="C381" s="117"/>
      <c r="D381" s="117"/>
      <c r="E381" s="117"/>
      <c r="F381" s="200"/>
      <c r="G381" s="200"/>
      <c r="H381" s="200"/>
      <c r="I381" s="200"/>
      <c r="J381" s="200"/>
      <c r="K381" s="200">
        <f>SUMIF(AE!C:C,ATB!C:C,AE!F:F)</f>
        <v>0</v>
      </c>
      <c r="L381" s="200">
        <f t="shared" si="18"/>
        <v>0</v>
      </c>
      <c r="M381" s="200">
        <f t="shared" si="19"/>
        <v>0</v>
      </c>
    </row>
    <row r="382" spans="2:13" x14ac:dyDescent="0.35">
      <c r="B382" s="117"/>
      <c r="C382" s="117"/>
      <c r="D382" s="117"/>
      <c r="E382" s="117"/>
      <c r="F382" s="200"/>
      <c r="G382" s="200"/>
      <c r="H382" s="200"/>
      <c r="I382" s="200"/>
      <c r="J382" s="200"/>
      <c r="K382" s="200">
        <f>SUMIF(AE!C:C,ATB!C:C,AE!F:F)</f>
        <v>0</v>
      </c>
      <c r="L382" s="200">
        <f t="shared" si="18"/>
        <v>0</v>
      </c>
      <c r="M382" s="200">
        <f t="shared" si="19"/>
        <v>0</v>
      </c>
    </row>
    <row r="383" spans="2:13" x14ac:dyDescent="0.35">
      <c r="B383" s="117"/>
      <c r="C383" s="117"/>
      <c r="D383" s="117"/>
      <c r="E383" s="117"/>
      <c r="F383" s="200"/>
      <c r="G383" s="200"/>
      <c r="H383" s="200"/>
      <c r="I383" s="200"/>
      <c r="J383" s="200"/>
      <c r="K383" s="200">
        <f>SUMIF(AE!C:C,ATB!C:C,AE!F:F)</f>
        <v>0</v>
      </c>
      <c r="L383" s="200">
        <f t="shared" si="18"/>
        <v>0</v>
      </c>
      <c r="M383" s="200">
        <f t="shared" si="19"/>
        <v>0</v>
      </c>
    </row>
    <row r="384" spans="2:13" x14ac:dyDescent="0.35">
      <c r="B384" s="117"/>
      <c r="C384" s="117"/>
      <c r="D384" s="117"/>
      <c r="E384" s="117"/>
      <c r="F384" s="200"/>
      <c r="G384" s="200"/>
      <c r="H384" s="200"/>
      <c r="I384" s="200"/>
      <c r="J384" s="200"/>
      <c r="K384" s="200">
        <f>SUMIF(AE!C:C,ATB!C:C,AE!F:F)</f>
        <v>0</v>
      </c>
      <c r="L384" s="200">
        <f t="shared" si="18"/>
        <v>0</v>
      </c>
      <c r="M384" s="200">
        <f t="shared" si="19"/>
        <v>0</v>
      </c>
    </row>
    <row r="385" spans="2:13" x14ac:dyDescent="0.35">
      <c r="B385" s="117"/>
      <c r="C385" s="117"/>
      <c r="D385" s="117"/>
      <c r="E385" s="117"/>
      <c r="F385" s="200"/>
      <c r="G385" s="200"/>
      <c r="H385" s="200"/>
      <c r="I385" s="200"/>
      <c r="J385" s="200"/>
      <c r="K385" s="200">
        <f>SUMIF(AE!C:C,ATB!C:C,AE!F:F)</f>
        <v>0</v>
      </c>
      <c r="L385" s="200">
        <f t="shared" si="18"/>
        <v>0</v>
      </c>
      <c r="M385" s="200">
        <f t="shared" si="19"/>
        <v>0</v>
      </c>
    </row>
    <row r="386" spans="2:13" x14ac:dyDescent="0.35">
      <c r="B386" s="117"/>
      <c r="C386" s="117"/>
      <c r="D386" s="117"/>
      <c r="E386" s="117"/>
      <c r="F386" s="200"/>
      <c r="G386" s="200"/>
      <c r="H386" s="200"/>
      <c r="I386" s="200"/>
      <c r="J386" s="200"/>
      <c r="K386" s="200">
        <f>SUMIF(AE!C:C,ATB!C:C,AE!F:F)</f>
        <v>0</v>
      </c>
      <c r="L386" s="200">
        <f t="shared" ref="L386:L449" si="20">ROUND(IF(F386+H386+J386-G386-I386-K386&gt;0,F386+H386+J386-G386-I386-K386,0),0)</f>
        <v>0</v>
      </c>
      <c r="M386" s="200">
        <f t="shared" ref="M386:M449" si="21">-ROUND(IF(F386+H386+J386-G386-I386-K386&lt;0,F386+H386+J386-G386-I386-K386,0),0)</f>
        <v>0</v>
      </c>
    </row>
    <row r="387" spans="2:13" x14ac:dyDescent="0.35">
      <c r="B387" s="117"/>
      <c r="C387" s="117"/>
      <c r="D387" s="117"/>
      <c r="E387" s="117"/>
      <c r="F387" s="200"/>
      <c r="G387" s="200"/>
      <c r="H387" s="200"/>
      <c r="I387" s="200"/>
      <c r="J387" s="200"/>
      <c r="K387" s="200">
        <f>SUMIF(AE!C:C,ATB!C:C,AE!F:F)</f>
        <v>0</v>
      </c>
      <c r="L387" s="200">
        <f t="shared" si="20"/>
        <v>0</v>
      </c>
      <c r="M387" s="200">
        <f t="shared" si="21"/>
        <v>0</v>
      </c>
    </row>
    <row r="388" spans="2:13" x14ac:dyDescent="0.35">
      <c r="B388" s="117"/>
      <c r="C388" s="117"/>
      <c r="D388" s="117"/>
      <c r="E388" s="117"/>
      <c r="F388" s="200"/>
      <c r="G388" s="200"/>
      <c r="H388" s="200"/>
      <c r="I388" s="200"/>
      <c r="J388" s="200"/>
      <c r="K388" s="200">
        <f>SUMIF(AE!C:C,ATB!C:C,AE!F:F)</f>
        <v>0</v>
      </c>
      <c r="L388" s="200">
        <f t="shared" si="20"/>
        <v>0</v>
      </c>
      <c r="M388" s="200">
        <f t="shared" si="21"/>
        <v>0</v>
      </c>
    </row>
    <row r="389" spans="2:13" x14ac:dyDescent="0.35">
      <c r="B389" s="117"/>
      <c r="C389" s="117"/>
      <c r="D389" s="117"/>
      <c r="E389" s="117"/>
      <c r="F389" s="200"/>
      <c r="G389" s="200"/>
      <c r="H389" s="200"/>
      <c r="I389" s="200"/>
      <c r="J389" s="200"/>
      <c r="K389" s="200">
        <f>SUMIF(AE!C:C,ATB!C:C,AE!F:F)</f>
        <v>0</v>
      </c>
      <c r="L389" s="200">
        <f t="shared" si="20"/>
        <v>0</v>
      </c>
      <c r="M389" s="200">
        <f t="shared" si="21"/>
        <v>0</v>
      </c>
    </row>
    <row r="390" spans="2:13" x14ac:dyDescent="0.35">
      <c r="B390" s="117"/>
      <c r="C390" s="117"/>
      <c r="D390" s="117"/>
      <c r="E390" s="117"/>
      <c r="F390" s="200"/>
      <c r="G390" s="200"/>
      <c r="H390" s="200"/>
      <c r="I390" s="200"/>
      <c r="J390" s="200"/>
      <c r="K390" s="200">
        <f>SUMIF(AE!C:C,ATB!C:C,AE!F:F)</f>
        <v>0</v>
      </c>
      <c r="L390" s="200">
        <f t="shared" si="20"/>
        <v>0</v>
      </c>
      <c r="M390" s="200">
        <f t="shared" si="21"/>
        <v>0</v>
      </c>
    </row>
    <row r="391" spans="2:13" x14ac:dyDescent="0.35">
      <c r="B391" s="117"/>
      <c r="C391" s="117"/>
      <c r="D391" s="117"/>
      <c r="E391" s="117"/>
      <c r="F391" s="200"/>
      <c r="G391" s="200"/>
      <c r="H391" s="200"/>
      <c r="I391" s="200"/>
      <c r="J391" s="200"/>
      <c r="K391" s="200">
        <f>SUMIF(AE!C:C,ATB!C:C,AE!F:F)</f>
        <v>0</v>
      </c>
      <c r="L391" s="200">
        <f t="shared" si="20"/>
        <v>0</v>
      </c>
      <c r="M391" s="200">
        <f t="shared" si="21"/>
        <v>0</v>
      </c>
    </row>
    <row r="392" spans="2:13" x14ac:dyDescent="0.35">
      <c r="B392" s="117"/>
      <c r="C392" s="117"/>
      <c r="D392" s="117"/>
      <c r="E392" s="117"/>
      <c r="F392" s="200"/>
      <c r="G392" s="200"/>
      <c r="H392" s="200"/>
      <c r="I392" s="200"/>
      <c r="J392" s="200"/>
      <c r="K392" s="200">
        <f>SUMIF(AE!C:C,ATB!C:C,AE!F:F)</f>
        <v>0</v>
      </c>
      <c r="L392" s="200">
        <f t="shared" si="20"/>
        <v>0</v>
      </c>
      <c r="M392" s="200">
        <f t="shared" si="21"/>
        <v>0</v>
      </c>
    </row>
    <row r="393" spans="2:13" x14ac:dyDescent="0.35">
      <c r="B393" s="117"/>
      <c r="C393" s="117"/>
      <c r="D393" s="117"/>
      <c r="E393" s="117"/>
      <c r="F393" s="200"/>
      <c r="G393" s="200"/>
      <c r="H393" s="200"/>
      <c r="I393" s="200"/>
      <c r="J393" s="200"/>
      <c r="K393" s="200">
        <f>SUMIF(AE!C:C,ATB!C:C,AE!F:F)</f>
        <v>0</v>
      </c>
      <c r="L393" s="200">
        <f t="shared" si="20"/>
        <v>0</v>
      </c>
      <c r="M393" s="200">
        <f t="shared" si="21"/>
        <v>0</v>
      </c>
    </row>
    <row r="394" spans="2:13" x14ac:dyDescent="0.35">
      <c r="B394" s="117"/>
      <c r="C394" s="117"/>
      <c r="D394" s="117"/>
      <c r="E394" s="117"/>
      <c r="F394" s="200"/>
      <c r="G394" s="200"/>
      <c r="H394" s="200"/>
      <c r="I394" s="200"/>
      <c r="J394" s="200"/>
      <c r="K394" s="200">
        <f>SUMIF(AE!C:C,ATB!C:C,AE!F:F)</f>
        <v>0</v>
      </c>
      <c r="L394" s="200">
        <f t="shared" si="20"/>
        <v>0</v>
      </c>
      <c r="M394" s="200">
        <f t="shared" si="21"/>
        <v>0</v>
      </c>
    </row>
    <row r="395" spans="2:13" x14ac:dyDescent="0.35">
      <c r="B395" s="117"/>
      <c r="C395" s="117"/>
      <c r="D395" s="117"/>
      <c r="E395" s="117"/>
      <c r="F395" s="200"/>
      <c r="G395" s="200"/>
      <c r="H395" s="200"/>
      <c r="I395" s="200"/>
      <c r="J395" s="200"/>
      <c r="K395" s="200">
        <f>SUMIF(AE!C:C,ATB!C:C,AE!F:F)</f>
        <v>0</v>
      </c>
      <c r="L395" s="200">
        <f t="shared" si="20"/>
        <v>0</v>
      </c>
      <c r="M395" s="200">
        <f t="shared" si="21"/>
        <v>0</v>
      </c>
    </row>
    <row r="396" spans="2:13" x14ac:dyDescent="0.35">
      <c r="B396" s="117"/>
      <c r="C396" s="117"/>
      <c r="D396" s="117"/>
      <c r="E396" s="117"/>
      <c r="F396" s="200"/>
      <c r="G396" s="200"/>
      <c r="H396" s="200"/>
      <c r="I396" s="200"/>
      <c r="J396" s="200"/>
      <c r="K396" s="200">
        <f>SUMIF(AE!C:C,ATB!C:C,AE!F:F)</f>
        <v>0</v>
      </c>
      <c r="L396" s="200">
        <f t="shared" si="20"/>
        <v>0</v>
      </c>
      <c r="M396" s="200">
        <f t="shared" si="21"/>
        <v>0</v>
      </c>
    </row>
    <row r="397" spans="2:13" x14ac:dyDescent="0.35">
      <c r="B397" s="117"/>
      <c r="C397" s="117"/>
      <c r="D397" s="117"/>
      <c r="E397" s="117"/>
      <c r="F397" s="200"/>
      <c r="G397" s="200"/>
      <c r="H397" s="200"/>
      <c r="I397" s="200"/>
      <c r="J397" s="200"/>
      <c r="K397" s="200">
        <f>SUMIF(AE!C:C,ATB!C:C,AE!F:F)</f>
        <v>0</v>
      </c>
      <c r="L397" s="200">
        <f t="shared" si="20"/>
        <v>0</v>
      </c>
      <c r="M397" s="200">
        <f t="shared" si="21"/>
        <v>0</v>
      </c>
    </row>
    <row r="398" spans="2:13" x14ac:dyDescent="0.35">
      <c r="B398" s="117"/>
      <c r="C398" s="117"/>
      <c r="D398" s="117"/>
      <c r="E398" s="117"/>
      <c r="F398" s="200"/>
      <c r="G398" s="200"/>
      <c r="H398" s="200"/>
      <c r="I398" s="200"/>
      <c r="J398" s="200"/>
      <c r="K398" s="200">
        <f>SUMIF(AE!C:C,ATB!C:C,AE!F:F)</f>
        <v>0</v>
      </c>
      <c r="L398" s="200">
        <f t="shared" si="20"/>
        <v>0</v>
      </c>
      <c r="M398" s="200">
        <f t="shared" si="21"/>
        <v>0</v>
      </c>
    </row>
    <row r="399" spans="2:13" x14ac:dyDescent="0.35">
      <c r="B399" s="117"/>
      <c r="C399" s="117"/>
      <c r="D399" s="117"/>
      <c r="E399" s="117"/>
      <c r="F399" s="200"/>
      <c r="G399" s="200"/>
      <c r="H399" s="200"/>
      <c r="I399" s="200"/>
      <c r="J399" s="200"/>
      <c r="K399" s="200">
        <f>SUMIF(AE!C:C,ATB!C:C,AE!F:F)</f>
        <v>0</v>
      </c>
      <c r="L399" s="200">
        <f t="shared" si="20"/>
        <v>0</v>
      </c>
      <c r="M399" s="200">
        <f t="shared" si="21"/>
        <v>0</v>
      </c>
    </row>
    <row r="400" spans="2:13" x14ac:dyDescent="0.35">
      <c r="B400" s="117"/>
      <c r="C400" s="117"/>
      <c r="D400" s="117"/>
      <c r="E400" s="117"/>
      <c r="F400" s="200"/>
      <c r="G400" s="200"/>
      <c r="H400" s="200"/>
      <c r="I400" s="200"/>
      <c r="J400" s="200"/>
      <c r="K400" s="200">
        <f>SUMIF(AE!C:C,ATB!C:C,AE!F:F)</f>
        <v>0</v>
      </c>
      <c r="L400" s="200">
        <f t="shared" si="20"/>
        <v>0</v>
      </c>
      <c r="M400" s="200">
        <f t="shared" si="21"/>
        <v>0</v>
      </c>
    </row>
    <row r="401" spans="2:13" x14ac:dyDescent="0.35">
      <c r="B401" s="117"/>
      <c r="C401" s="117"/>
      <c r="D401" s="117"/>
      <c r="E401" s="117"/>
      <c r="F401" s="200"/>
      <c r="G401" s="200"/>
      <c r="H401" s="200"/>
      <c r="I401" s="200"/>
      <c r="J401" s="200"/>
      <c r="K401" s="200">
        <f>SUMIF(AE!C:C,ATB!C:C,AE!F:F)</f>
        <v>0</v>
      </c>
      <c r="L401" s="200">
        <f t="shared" si="20"/>
        <v>0</v>
      </c>
      <c r="M401" s="200">
        <f t="shared" si="21"/>
        <v>0</v>
      </c>
    </row>
    <row r="402" spans="2:13" x14ac:dyDescent="0.35">
      <c r="B402" s="117"/>
      <c r="C402" s="117"/>
      <c r="D402" s="117"/>
      <c r="E402" s="117"/>
      <c r="F402" s="200"/>
      <c r="G402" s="200"/>
      <c r="H402" s="200"/>
      <c r="I402" s="200"/>
      <c r="J402" s="200"/>
      <c r="K402" s="200">
        <f>SUMIF(AE!C:C,ATB!C:C,AE!F:F)</f>
        <v>0</v>
      </c>
      <c r="L402" s="200">
        <f t="shared" si="20"/>
        <v>0</v>
      </c>
      <c r="M402" s="200">
        <f t="shared" si="21"/>
        <v>0</v>
      </c>
    </row>
    <row r="403" spans="2:13" x14ac:dyDescent="0.35">
      <c r="B403" s="117"/>
      <c r="C403" s="117"/>
      <c r="D403" s="117"/>
      <c r="E403" s="117"/>
      <c r="F403" s="200"/>
      <c r="G403" s="200"/>
      <c r="H403" s="200"/>
      <c r="I403" s="200"/>
      <c r="J403" s="200"/>
      <c r="K403" s="200">
        <f>SUMIF(AE!C:C,ATB!C:C,AE!F:F)</f>
        <v>0</v>
      </c>
      <c r="L403" s="200">
        <f t="shared" si="20"/>
        <v>0</v>
      </c>
      <c r="M403" s="200">
        <f t="shared" si="21"/>
        <v>0</v>
      </c>
    </row>
    <row r="404" spans="2:13" x14ac:dyDescent="0.35">
      <c r="B404" s="117"/>
      <c r="C404" s="117"/>
      <c r="D404" s="117"/>
      <c r="E404" s="117"/>
      <c r="F404" s="200"/>
      <c r="G404" s="200"/>
      <c r="H404" s="200"/>
      <c r="I404" s="200"/>
      <c r="J404" s="200"/>
      <c r="K404" s="200">
        <f>SUMIF(AE!C:C,ATB!C:C,AE!F:F)</f>
        <v>0</v>
      </c>
      <c r="L404" s="200">
        <f t="shared" si="20"/>
        <v>0</v>
      </c>
      <c r="M404" s="200">
        <f t="shared" si="21"/>
        <v>0</v>
      </c>
    </row>
    <row r="405" spans="2:13" x14ac:dyDescent="0.35">
      <c r="B405" s="117"/>
      <c r="C405" s="117"/>
      <c r="D405" s="117"/>
      <c r="E405" s="117"/>
      <c r="F405" s="200"/>
      <c r="G405" s="200"/>
      <c r="H405" s="200"/>
      <c r="I405" s="200"/>
      <c r="J405" s="200"/>
      <c r="K405" s="200">
        <f>SUMIF(AE!C:C,ATB!C:C,AE!F:F)</f>
        <v>0</v>
      </c>
      <c r="L405" s="200">
        <f t="shared" si="20"/>
        <v>0</v>
      </c>
      <c r="M405" s="200">
        <f t="shared" si="21"/>
        <v>0</v>
      </c>
    </row>
    <row r="406" spans="2:13" x14ac:dyDescent="0.35">
      <c r="B406" s="117"/>
      <c r="C406" s="117"/>
      <c r="D406" s="117"/>
      <c r="E406" s="117"/>
      <c r="F406" s="200"/>
      <c r="G406" s="200"/>
      <c r="H406" s="200"/>
      <c r="I406" s="200"/>
      <c r="J406" s="200"/>
      <c r="K406" s="200">
        <f>SUMIF(AE!C:C,ATB!C:C,AE!F:F)</f>
        <v>0</v>
      </c>
      <c r="L406" s="200">
        <f t="shared" si="20"/>
        <v>0</v>
      </c>
      <c r="M406" s="200">
        <f t="shared" si="21"/>
        <v>0</v>
      </c>
    </row>
    <row r="407" spans="2:13" x14ac:dyDescent="0.35">
      <c r="B407" s="117"/>
      <c r="C407" s="117"/>
      <c r="D407" s="117"/>
      <c r="E407" s="117"/>
      <c r="F407" s="200"/>
      <c r="G407" s="200"/>
      <c r="H407" s="200"/>
      <c r="I407" s="200"/>
      <c r="J407" s="200"/>
      <c r="K407" s="200">
        <f>SUMIF(AE!C:C,ATB!C:C,AE!F:F)</f>
        <v>0</v>
      </c>
      <c r="L407" s="200">
        <f t="shared" si="20"/>
        <v>0</v>
      </c>
      <c r="M407" s="200">
        <f t="shared" si="21"/>
        <v>0</v>
      </c>
    </row>
    <row r="408" spans="2:13" x14ac:dyDescent="0.35">
      <c r="B408" s="117"/>
      <c r="C408" s="117"/>
      <c r="D408" s="117"/>
      <c r="E408" s="117"/>
      <c r="F408" s="200"/>
      <c r="G408" s="200"/>
      <c r="H408" s="200"/>
      <c r="I408" s="200"/>
      <c r="J408" s="200"/>
      <c r="K408" s="200">
        <f>SUMIF(AE!C:C,ATB!C:C,AE!F:F)</f>
        <v>0</v>
      </c>
      <c r="L408" s="200">
        <f t="shared" si="20"/>
        <v>0</v>
      </c>
      <c r="M408" s="200">
        <f t="shared" si="21"/>
        <v>0</v>
      </c>
    </row>
    <row r="409" spans="2:13" x14ac:dyDescent="0.35">
      <c r="B409" s="117"/>
      <c r="C409" s="117"/>
      <c r="D409" s="117"/>
      <c r="E409" s="117"/>
      <c r="F409" s="200"/>
      <c r="G409" s="200"/>
      <c r="H409" s="200"/>
      <c r="I409" s="200"/>
      <c r="J409" s="200"/>
      <c r="K409" s="200">
        <f>SUMIF(AE!C:C,ATB!C:C,AE!F:F)</f>
        <v>0</v>
      </c>
      <c r="L409" s="200">
        <f t="shared" si="20"/>
        <v>0</v>
      </c>
      <c r="M409" s="200">
        <f t="shared" si="21"/>
        <v>0</v>
      </c>
    </row>
    <row r="410" spans="2:13" x14ac:dyDescent="0.35">
      <c r="B410" s="117"/>
      <c r="C410" s="117"/>
      <c r="D410" s="117"/>
      <c r="E410" s="117"/>
      <c r="F410" s="200"/>
      <c r="G410" s="200"/>
      <c r="H410" s="200"/>
      <c r="I410" s="200"/>
      <c r="J410" s="200"/>
      <c r="K410" s="200">
        <f>SUMIF(AE!C:C,ATB!C:C,AE!F:F)</f>
        <v>0</v>
      </c>
      <c r="L410" s="200">
        <f t="shared" si="20"/>
        <v>0</v>
      </c>
      <c r="M410" s="200">
        <f t="shared" si="21"/>
        <v>0</v>
      </c>
    </row>
    <row r="411" spans="2:13" x14ac:dyDescent="0.35">
      <c r="B411" s="117"/>
      <c r="C411" s="117"/>
      <c r="D411" s="117"/>
      <c r="E411" s="117"/>
      <c r="F411" s="200"/>
      <c r="G411" s="200"/>
      <c r="H411" s="200"/>
      <c r="I411" s="200"/>
      <c r="J411" s="200"/>
      <c r="K411" s="200">
        <f>SUMIF(AE!C:C,ATB!C:C,AE!F:F)</f>
        <v>0</v>
      </c>
      <c r="L411" s="200">
        <f t="shared" si="20"/>
        <v>0</v>
      </c>
      <c r="M411" s="200">
        <f t="shared" si="21"/>
        <v>0</v>
      </c>
    </row>
    <row r="412" spans="2:13" x14ac:dyDescent="0.35">
      <c r="B412" s="117"/>
      <c r="C412" s="117"/>
      <c r="D412" s="117"/>
      <c r="E412" s="117"/>
      <c r="F412" s="200"/>
      <c r="G412" s="200"/>
      <c r="H412" s="200"/>
      <c r="I412" s="200"/>
      <c r="J412" s="200"/>
      <c r="K412" s="200">
        <f>SUMIF(AE!C:C,ATB!C:C,AE!F:F)</f>
        <v>0</v>
      </c>
      <c r="L412" s="200">
        <f t="shared" si="20"/>
        <v>0</v>
      </c>
      <c r="M412" s="200">
        <f t="shared" si="21"/>
        <v>0</v>
      </c>
    </row>
    <row r="413" spans="2:13" x14ac:dyDescent="0.35">
      <c r="B413" s="117"/>
      <c r="C413" s="117"/>
      <c r="D413" s="117"/>
      <c r="E413" s="117"/>
      <c r="F413" s="200"/>
      <c r="G413" s="200"/>
      <c r="H413" s="200"/>
      <c r="I413" s="200"/>
      <c r="J413" s="200"/>
      <c r="K413" s="200">
        <f>SUMIF(AE!C:C,ATB!C:C,AE!F:F)</f>
        <v>0</v>
      </c>
      <c r="L413" s="200">
        <f t="shared" si="20"/>
        <v>0</v>
      </c>
      <c r="M413" s="200">
        <f t="shared" si="21"/>
        <v>0</v>
      </c>
    </row>
    <row r="414" spans="2:13" x14ac:dyDescent="0.35">
      <c r="B414" s="117"/>
      <c r="C414" s="117"/>
      <c r="D414" s="117"/>
      <c r="E414" s="117"/>
      <c r="F414" s="200"/>
      <c r="G414" s="200"/>
      <c r="H414" s="200"/>
      <c r="I414" s="200"/>
      <c r="J414" s="200"/>
      <c r="K414" s="200">
        <f>SUMIF(AE!C:C,ATB!C:C,AE!F:F)</f>
        <v>0</v>
      </c>
      <c r="L414" s="200">
        <f t="shared" si="20"/>
        <v>0</v>
      </c>
      <c r="M414" s="200">
        <f t="shared" si="21"/>
        <v>0</v>
      </c>
    </row>
    <row r="415" spans="2:13" x14ac:dyDescent="0.35">
      <c r="B415" s="117"/>
      <c r="C415" s="117"/>
      <c r="D415" s="117"/>
      <c r="E415" s="117"/>
      <c r="F415" s="200"/>
      <c r="G415" s="200"/>
      <c r="H415" s="200"/>
      <c r="I415" s="200"/>
      <c r="J415" s="200"/>
      <c r="K415" s="200">
        <f>SUMIF(AE!C:C,ATB!C:C,AE!F:F)</f>
        <v>0</v>
      </c>
      <c r="L415" s="200">
        <f t="shared" si="20"/>
        <v>0</v>
      </c>
      <c r="M415" s="200">
        <f t="shared" si="21"/>
        <v>0</v>
      </c>
    </row>
    <row r="416" spans="2:13" x14ac:dyDescent="0.35">
      <c r="B416" s="117"/>
      <c r="C416" s="117"/>
      <c r="D416" s="117"/>
      <c r="E416" s="117"/>
      <c r="F416" s="200"/>
      <c r="G416" s="200"/>
      <c r="H416" s="200"/>
      <c r="I416" s="200"/>
      <c r="J416" s="200"/>
      <c r="K416" s="200">
        <f>SUMIF(AE!C:C,ATB!C:C,AE!F:F)</f>
        <v>0</v>
      </c>
      <c r="L416" s="200">
        <f t="shared" si="20"/>
        <v>0</v>
      </c>
      <c r="M416" s="200">
        <f t="shared" si="21"/>
        <v>0</v>
      </c>
    </row>
    <row r="417" spans="2:13" x14ac:dyDescent="0.35">
      <c r="B417" s="117"/>
      <c r="C417" s="117"/>
      <c r="D417" s="117"/>
      <c r="E417" s="117"/>
      <c r="F417" s="200"/>
      <c r="G417" s="200"/>
      <c r="H417" s="200"/>
      <c r="I417" s="200"/>
      <c r="J417" s="200"/>
      <c r="K417" s="200">
        <f>SUMIF(AE!C:C,ATB!C:C,AE!F:F)</f>
        <v>0</v>
      </c>
      <c r="L417" s="200">
        <f t="shared" si="20"/>
        <v>0</v>
      </c>
      <c r="M417" s="200">
        <f t="shared" si="21"/>
        <v>0</v>
      </c>
    </row>
    <row r="418" spans="2:13" x14ac:dyDescent="0.35">
      <c r="B418" s="117"/>
      <c r="C418" s="117"/>
      <c r="D418" s="117"/>
      <c r="E418" s="117"/>
      <c r="F418" s="200"/>
      <c r="G418" s="200"/>
      <c r="H418" s="200"/>
      <c r="I418" s="200"/>
      <c r="J418" s="200"/>
      <c r="K418" s="200">
        <f>SUMIF(AE!C:C,ATB!C:C,AE!F:F)</f>
        <v>0</v>
      </c>
      <c r="L418" s="200">
        <f t="shared" si="20"/>
        <v>0</v>
      </c>
      <c r="M418" s="200">
        <f t="shared" si="21"/>
        <v>0</v>
      </c>
    </row>
    <row r="419" spans="2:13" x14ac:dyDescent="0.35">
      <c r="B419" s="117"/>
      <c r="C419" s="117"/>
      <c r="D419" s="117"/>
      <c r="E419" s="117"/>
      <c r="F419" s="200"/>
      <c r="G419" s="200"/>
      <c r="H419" s="200"/>
      <c r="I419" s="200"/>
      <c r="J419" s="200"/>
      <c r="K419" s="200">
        <f>SUMIF(AE!C:C,ATB!C:C,AE!F:F)</f>
        <v>0</v>
      </c>
      <c r="L419" s="200">
        <f t="shared" si="20"/>
        <v>0</v>
      </c>
      <c r="M419" s="200">
        <f t="shared" si="21"/>
        <v>0</v>
      </c>
    </row>
    <row r="420" spans="2:13" x14ac:dyDescent="0.35">
      <c r="B420" s="117"/>
      <c r="C420" s="117"/>
      <c r="D420" s="117"/>
      <c r="E420" s="117"/>
      <c r="F420" s="200"/>
      <c r="G420" s="200"/>
      <c r="H420" s="200"/>
      <c r="I420" s="200"/>
      <c r="J420" s="200"/>
      <c r="K420" s="200">
        <f>SUMIF(AE!C:C,ATB!C:C,AE!F:F)</f>
        <v>0</v>
      </c>
      <c r="L420" s="200">
        <f t="shared" si="20"/>
        <v>0</v>
      </c>
      <c r="M420" s="200">
        <f t="shared" si="21"/>
        <v>0</v>
      </c>
    </row>
    <row r="421" spans="2:13" x14ac:dyDescent="0.35">
      <c r="B421" s="117"/>
      <c r="C421" s="117"/>
      <c r="D421" s="117"/>
      <c r="E421" s="117"/>
      <c r="F421" s="200"/>
      <c r="G421" s="200"/>
      <c r="H421" s="200"/>
      <c r="I421" s="200"/>
      <c r="J421" s="200"/>
      <c r="K421" s="200">
        <f>SUMIF(AE!C:C,ATB!C:C,AE!F:F)</f>
        <v>0</v>
      </c>
      <c r="L421" s="200">
        <f t="shared" si="20"/>
        <v>0</v>
      </c>
      <c r="M421" s="200">
        <f t="shared" si="21"/>
        <v>0</v>
      </c>
    </row>
    <row r="422" spans="2:13" x14ac:dyDescent="0.35">
      <c r="B422" s="117"/>
      <c r="C422" s="117"/>
      <c r="D422" s="117"/>
      <c r="E422" s="117"/>
      <c r="F422" s="200"/>
      <c r="G422" s="200"/>
      <c r="H422" s="200"/>
      <c r="I422" s="200"/>
      <c r="J422" s="200"/>
      <c r="K422" s="200">
        <f>SUMIF(AE!C:C,ATB!C:C,AE!F:F)</f>
        <v>0</v>
      </c>
      <c r="L422" s="200">
        <f t="shared" si="20"/>
        <v>0</v>
      </c>
      <c r="M422" s="200">
        <f t="shared" si="21"/>
        <v>0</v>
      </c>
    </row>
    <row r="423" spans="2:13" x14ac:dyDescent="0.35">
      <c r="B423" s="117"/>
      <c r="C423" s="117"/>
      <c r="D423" s="117"/>
      <c r="E423" s="117"/>
      <c r="F423" s="200"/>
      <c r="G423" s="200"/>
      <c r="H423" s="200"/>
      <c r="I423" s="200"/>
      <c r="J423" s="200"/>
      <c r="K423" s="200">
        <f>SUMIF(AE!C:C,ATB!C:C,AE!F:F)</f>
        <v>0</v>
      </c>
      <c r="L423" s="200">
        <f t="shared" si="20"/>
        <v>0</v>
      </c>
      <c r="M423" s="200">
        <f t="shared" si="21"/>
        <v>0</v>
      </c>
    </row>
    <row r="424" spans="2:13" x14ac:dyDescent="0.35">
      <c r="B424" s="117"/>
      <c r="C424" s="117"/>
      <c r="D424" s="117"/>
      <c r="E424" s="117"/>
      <c r="F424" s="200"/>
      <c r="G424" s="200"/>
      <c r="H424" s="200"/>
      <c r="I424" s="200"/>
      <c r="J424" s="200"/>
      <c r="K424" s="200">
        <f>SUMIF(AE!C:C,ATB!C:C,AE!F:F)</f>
        <v>0</v>
      </c>
      <c r="L424" s="200">
        <f t="shared" si="20"/>
        <v>0</v>
      </c>
      <c r="M424" s="200">
        <f t="shared" si="21"/>
        <v>0</v>
      </c>
    </row>
    <row r="425" spans="2:13" x14ac:dyDescent="0.35">
      <c r="B425" s="117"/>
      <c r="C425" s="117"/>
      <c r="D425" s="117"/>
      <c r="E425" s="117"/>
      <c r="F425" s="200"/>
      <c r="G425" s="200"/>
      <c r="H425" s="200"/>
      <c r="I425" s="200"/>
      <c r="J425" s="200"/>
      <c r="K425" s="200">
        <f>SUMIF(AE!C:C,ATB!C:C,AE!F:F)</f>
        <v>0</v>
      </c>
      <c r="L425" s="200">
        <f t="shared" si="20"/>
        <v>0</v>
      </c>
      <c r="M425" s="200">
        <f t="shared" si="21"/>
        <v>0</v>
      </c>
    </row>
    <row r="426" spans="2:13" x14ac:dyDescent="0.35">
      <c r="B426" s="117"/>
      <c r="C426" s="117"/>
      <c r="D426" s="117"/>
      <c r="E426" s="117"/>
      <c r="F426" s="200"/>
      <c r="G426" s="200"/>
      <c r="H426" s="200"/>
      <c r="I426" s="200"/>
      <c r="J426" s="200"/>
      <c r="K426" s="200">
        <f>SUMIF(AE!C:C,ATB!C:C,AE!F:F)</f>
        <v>0</v>
      </c>
      <c r="L426" s="200">
        <f t="shared" si="20"/>
        <v>0</v>
      </c>
      <c r="M426" s="200">
        <f t="shared" si="21"/>
        <v>0</v>
      </c>
    </row>
    <row r="427" spans="2:13" x14ac:dyDescent="0.35">
      <c r="B427" s="117"/>
      <c r="C427" s="117"/>
      <c r="D427" s="117"/>
      <c r="E427" s="117"/>
      <c r="F427" s="200"/>
      <c r="G427" s="200"/>
      <c r="H427" s="200"/>
      <c r="I427" s="200"/>
      <c r="J427" s="200"/>
      <c r="K427" s="200">
        <f>SUMIF(AE!C:C,ATB!C:C,AE!F:F)</f>
        <v>0</v>
      </c>
      <c r="L427" s="200">
        <f t="shared" si="20"/>
        <v>0</v>
      </c>
      <c r="M427" s="200">
        <f t="shared" si="21"/>
        <v>0</v>
      </c>
    </row>
    <row r="428" spans="2:13" x14ac:dyDescent="0.35">
      <c r="B428" s="117"/>
      <c r="C428" s="117"/>
      <c r="D428" s="117"/>
      <c r="E428" s="117"/>
      <c r="F428" s="200"/>
      <c r="G428" s="200"/>
      <c r="H428" s="200"/>
      <c r="I428" s="200"/>
      <c r="J428" s="200"/>
      <c r="K428" s="200">
        <f>SUMIF(AE!C:C,ATB!C:C,AE!F:F)</f>
        <v>0</v>
      </c>
      <c r="L428" s="200">
        <f t="shared" si="20"/>
        <v>0</v>
      </c>
      <c r="M428" s="200">
        <f t="shared" si="21"/>
        <v>0</v>
      </c>
    </row>
    <row r="429" spans="2:13" x14ac:dyDescent="0.35">
      <c r="B429" s="117"/>
      <c r="C429" s="117"/>
      <c r="D429" s="117"/>
      <c r="E429" s="117"/>
      <c r="F429" s="200"/>
      <c r="G429" s="200"/>
      <c r="H429" s="200"/>
      <c r="I429" s="200"/>
      <c r="J429" s="200"/>
      <c r="K429" s="200">
        <f>SUMIF(AE!C:C,ATB!C:C,AE!F:F)</f>
        <v>0</v>
      </c>
      <c r="L429" s="200">
        <f t="shared" si="20"/>
        <v>0</v>
      </c>
      <c r="M429" s="200">
        <f t="shared" si="21"/>
        <v>0</v>
      </c>
    </row>
    <row r="430" spans="2:13" x14ac:dyDescent="0.35">
      <c r="B430" s="117"/>
      <c r="C430" s="117"/>
      <c r="D430" s="117"/>
      <c r="E430" s="117"/>
      <c r="F430" s="200"/>
      <c r="G430" s="200"/>
      <c r="H430" s="200"/>
      <c r="I430" s="200"/>
      <c r="J430" s="200"/>
      <c r="K430" s="200">
        <f>SUMIF(AE!C:C,ATB!C:C,AE!F:F)</f>
        <v>0</v>
      </c>
      <c r="L430" s="200">
        <f t="shared" si="20"/>
        <v>0</v>
      </c>
      <c r="M430" s="200">
        <f t="shared" si="21"/>
        <v>0</v>
      </c>
    </row>
    <row r="431" spans="2:13" x14ac:dyDescent="0.35">
      <c r="B431" s="117"/>
      <c r="C431" s="117"/>
      <c r="D431" s="117"/>
      <c r="E431" s="117"/>
      <c r="F431" s="200"/>
      <c r="G431" s="200"/>
      <c r="H431" s="200"/>
      <c r="I431" s="200"/>
      <c r="J431" s="200"/>
      <c r="K431" s="200">
        <f>SUMIF(AE!C:C,ATB!C:C,AE!F:F)</f>
        <v>0</v>
      </c>
      <c r="L431" s="200">
        <f t="shared" si="20"/>
        <v>0</v>
      </c>
      <c r="M431" s="200">
        <f t="shared" si="21"/>
        <v>0</v>
      </c>
    </row>
    <row r="432" spans="2:13" x14ac:dyDescent="0.35">
      <c r="B432" s="117"/>
      <c r="C432" s="117"/>
      <c r="D432" s="117"/>
      <c r="E432" s="117"/>
      <c r="F432" s="200"/>
      <c r="G432" s="200"/>
      <c r="H432" s="200"/>
      <c r="I432" s="200"/>
      <c r="J432" s="200"/>
      <c r="K432" s="200">
        <f>SUMIF(AE!C:C,ATB!C:C,AE!F:F)</f>
        <v>0</v>
      </c>
      <c r="L432" s="200">
        <f t="shared" si="20"/>
        <v>0</v>
      </c>
      <c r="M432" s="200">
        <f t="shared" si="21"/>
        <v>0</v>
      </c>
    </row>
    <row r="433" spans="2:13" x14ac:dyDescent="0.35">
      <c r="B433" s="117"/>
      <c r="C433" s="117"/>
      <c r="D433" s="117"/>
      <c r="E433" s="117"/>
      <c r="F433" s="200"/>
      <c r="G433" s="200"/>
      <c r="H433" s="200"/>
      <c r="I433" s="200"/>
      <c r="J433" s="200"/>
      <c r="K433" s="200">
        <f>SUMIF(AE!C:C,ATB!C:C,AE!F:F)</f>
        <v>0</v>
      </c>
      <c r="L433" s="200">
        <f t="shared" si="20"/>
        <v>0</v>
      </c>
      <c r="M433" s="200">
        <f t="shared" si="21"/>
        <v>0</v>
      </c>
    </row>
    <row r="434" spans="2:13" x14ac:dyDescent="0.35">
      <c r="B434" s="117"/>
      <c r="C434" s="117"/>
      <c r="D434" s="117"/>
      <c r="E434" s="117"/>
      <c r="F434" s="200"/>
      <c r="G434" s="200"/>
      <c r="H434" s="200"/>
      <c r="I434" s="200"/>
      <c r="J434" s="200"/>
      <c r="K434" s="200">
        <f>SUMIF(AE!C:C,ATB!C:C,AE!F:F)</f>
        <v>0</v>
      </c>
      <c r="L434" s="200">
        <f t="shared" si="20"/>
        <v>0</v>
      </c>
      <c r="M434" s="200">
        <f t="shared" si="21"/>
        <v>0</v>
      </c>
    </row>
    <row r="435" spans="2:13" x14ac:dyDescent="0.35">
      <c r="B435" s="117"/>
      <c r="C435" s="117"/>
      <c r="D435" s="117"/>
      <c r="E435" s="117"/>
      <c r="F435" s="200"/>
      <c r="G435" s="200"/>
      <c r="H435" s="200"/>
      <c r="I435" s="200"/>
      <c r="J435" s="200"/>
      <c r="K435" s="200">
        <f>SUMIF(AE!C:C,ATB!C:C,AE!F:F)</f>
        <v>0</v>
      </c>
      <c r="L435" s="200">
        <f t="shared" si="20"/>
        <v>0</v>
      </c>
      <c r="M435" s="200">
        <f t="shared" si="21"/>
        <v>0</v>
      </c>
    </row>
    <row r="436" spans="2:13" x14ac:dyDescent="0.35">
      <c r="B436" s="117"/>
      <c r="C436" s="117"/>
      <c r="D436" s="117"/>
      <c r="E436" s="117"/>
      <c r="F436" s="200"/>
      <c r="G436" s="200"/>
      <c r="H436" s="200"/>
      <c r="I436" s="200"/>
      <c r="J436" s="200"/>
      <c r="K436" s="200">
        <f>SUMIF(AE!C:C,ATB!C:C,AE!F:F)</f>
        <v>0</v>
      </c>
      <c r="L436" s="200">
        <f t="shared" si="20"/>
        <v>0</v>
      </c>
      <c r="M436" s="200">
        <f t="shared" si="21"/>
        <v>0</v>
      </c>
    </row>
    <row r="437" spans="2:13" x14ac:dyDescent="0.35">
      <c r="B437" s="117"/>
      <c r="C437" s="117"/>
      <c r="D437" s="117"/>
      <c r="E437" s="117"/>
      <c r="F437" s="200"/>
      <c r="G437" s="200"/>
      <c r="H437" s="200"/>
      <c r="I437" s="200"/>
      <c r="J437" s="200"/>
      <c r="K437" s="200">
        <f>SUMIF(AE!C:C,ATB!C:C,AE!F:F)</f>
        <v>0</v>
      </c>
      <c r="L437" s="200">
        <f t="shared" si="20"/>
        <v>0</v>
      </c>
      <c r="M437" s="200">
        <f t="shared" si="21"/>
        <v>0</v>
      </c>
    </row>
    <row r="438" spans="2:13" x14ac:dyDescent="0.35">
      <c r="B438" s="117"/>
      <c r="C438" s="117"/>
      <c r="D438" s="117"/>
      <c r="E438" s="117"/>
      <c r="F438" s="200"/>
      <c r="G438" s="200"/>
      <c r="H438" s="200"/>
      <c r="I438" s="200"/>
      <c r="J438" s="200"/>
      <c r="K438" s="200">
        <f>SUMIF(AE!C:C,ATB!C:C,AE!F:F)</f>
        <v>0</v>
      </c>
      <c r="L438" s="200">
        <f t="shared" si="20"/>
        <v>0</v>
      </c>
      <c r="M438" s="200">
        <f t="shared" si="21"/>
        <v>0</v>
      </c>
    </row>
    <row r="439" spans="2:13" x14ac:dyDescent="0.35">
      <c r="B439" s="117"/>
      <c r="C439" s="117"/>
      <c r="D439" s="117"/>
      <c r="E439" s="117"/>
      <c r="F439" s="200"/>
      <c r="G439" s="200"/>
      <c r="H439" s="200"/>
      <c r="I439" s="200"/>
      <c r="J439" s="200"/>
      <c r="K439" s="200">
        <f>SUMIF(AE!C:C,ATB!C:C,AE!F:F)</f>
        <v>0</v>
      </c>
      <c r="L439" s="200">
        <f t="shared" si="20"/>
        <v>0</v>
      </c>
      <c r="M439" s="200">
        <f t="shared" si="21"/>
        <v>0</v>
      </c>
    </row>
    <row r="440" spans="2:13" x14ac:dyDescent="0.35">
      <c r="B440" s="117"/>
      <c r="C440" s="117"/>
      <c r="D440" s="117"/>
      <c r="E440" s="117"/>
      <c r="F440" s="200"/>
      <c r="G440" s="200"/>
      <c r="H440" s="200"/>
      <c r="I440" s="200"/>
      <c r="J440" s="200"/>
      <c r="K440" s="200">
        <f>SUMIF(AE!C:C,ATB!C:C,AE!F:F)</f>
        <v>0</v>
      </c>
      <c r="L440" s="200">
        <f t="shared" si="20"/>
        <v>0</v>
      </c>
      <c r="M440" s="200">
        <f t="shared" si="21"/>
        <v>0</v>
      </c>
    </row>
    <row r="441" spans="2:13" x14ac:dyDescent="0.35">
      <c r="B441" s="117"/>
      <c r="C441" s="117"/>
      <c r="D441" s="117"/>
      <c r="E441" s="117"/>
      <c r="F441" s="200"/>
      <c r="G441" s="200"/>
      <c r="H441" s="200"/>
      <c r="I441" s="200"/>
      <c r="J441" s="200"/>
      <c r="K441" s="200">
        <f>SUMIF(AE!C:C,ATB!C:C,AE!F:F)</f>
        <v>0</v>
      </c>
      <c r="L441" s="200">
        <f t="shared" si="20"/>
        <v>0</v>
      </c>
      <c r="M441" s="200">
        <f t="shared" si="21"/>
        <v>0</v>
      </c>
    </row>
    <row r="442" spans="2:13" x14ac:dyDescent="0.35">
      <c r="B442" s="117"/>
      <c r="C442" s="117"/>
      <c r="D442" s="117"/>
      <c r="E442" s="117"/>
      <c r="F442" s="200"/>
      <c r="G442" s="200"/>
      <c r="H442" s="200"/>
      <c r="I442" s="200"/>
      <c r="J442" s="200"/>
      <c r="K442" s="200">
        <f>SUMIF(AE!C:C,ATB!C:C,AE!F:F)</f>
        <v>0</v>
      </c>
      <c r="L442" s="200">
        <f t="shared" si="20"/>
        <v>0</v>
      </c>
      <c r="M442" s="200">
        <f t="shared" si="21"/>
        <v>0</v>
      </c>
    </row>
    <row r="443" spans="2:13" x14ac:dyDescent="0.35">
      <c r="B443" s="117"/>
      <c r="C443" s="117"/>
      <c r="D443" s="117"/>
      <c r="E443" s="117"/>
      <c r="F443" s="200"/>
      <c r="G443" s="200"/>
      <c r="H443" s="200"/>
      <c r="I443" s="200"/>
      <c r="J443" s="200"/>
      <c r="K443" s="200">
        <f>SUMIF(AE!C:C,ATB!C:C,AE!F:F)</f>
        <v>0</v>
      </c>
      <c r="L443" s="200">
        <f t="shared" si="20"/>
        <v>0</v>
      </c>
      <c r="M443" s="200">
        <f t="shared" si="21"/>
        <v>0</v>
      </c>
    </row>
    <row r="444" spans="2:13" x14ac:dyDescent="0.35">
      <c r="B444" s="117"/>
      <c r="C444" s="117"/>
      <c r="D444" s="117"/>
      <c r="E444" s="117"/>
      <c r="F444" s="200"/>
      <c r="G444" s="200"/>
      <c r="H444" s="200"/>
      <c r="I444" s="200"/>
      <c r="J444" s="200"/>
      <c r="K444" s="200">
        <f>SUMIF(AE!C:C,ATB!C:C,AE!F:F)</f>
        <v>0</v>
      </c>
      <c r="L444" s="200">
        <f t="shared" si="20"/>
        <v>0</v>
      </c>
      <c r="M444" s="200">
        <f t="shared" si="21"/>
        <v>0</v>
      </c>
    </row>
    <row r="445" spans="2:13" x14ac:dyDescent="0.35">
      <c r="B445" s="117"/>
      <c r="C445" s="117"/>
      <c r="D445" s="117"/>
      <c r="E445" s="117"/>
      <c r="F445" s="200"/>
      <c r="G445" s="200"/>
      <c r="H445" s="200"/>
      <c r="I445" s="200"/>
      <c r="J445" s="200"/>
      <c r="K445" s="200">
        <f>SUMIF(AE!C:C,ATB!C:C,AE!F:F)</f>
        <v>0</v>
      </c>
      <c r="L445" s="200">
        <f t="shared" si="20"/>
        <v>0</v>
      </c>
      <c r="M445" s="200">
        <f t="shared" si="21"/>
        <v>0</v>
      </c>
    </row>
    <row r="446" spans="2:13" x14ac:dyDescent="0.35">
      <c r="B446" s="117"/>
      <c r="C446" s="117"/>
      <c r="D446" s="117"/>
      <c r="E446" s="117"/>
      <c r="F446" s="200"/>
      <c r="G446" s="200"/>
      <c r="H446" s="200"/>
      <c r="I446" s="200"/>
      <c r="J446" s="200"/>
      <c r="K446" s="200">
        <f>SUMIF(AE!C:C,ATB!C:C,AE!F:F)</f>
        <v>0</v>
      </c>
      <c r="L446" s="200">
        <f t="shared" si="20"/>
        <v>0</v>
      </c>
      <c r="M446" s="200">
        <f t="shared" si="21"/>
        <v>0</v>
      </c>
    </row>
    <row r="447" spans="2:13" x14ac:dyDescent="0.35">
      <c r="B447" s="117"/>
      <c r="C447" s="117"/>
      <c r="D447" s="117"/>
      <c r="E447" s="117"/>
      <c r="F447" s="200"/>
      <c r="G447" s="200"/>
      <c r="H447" s="200"/>
      <c r="I447" s="200"/>
      <c r="J447" s="200"/>
      <c r="K447" s="200">
        <f>SUMIF(AE!C:C,ATB!C:C,AE!F:F)</f>
        <v>0</v>
      </c>
      <c r="L447" s="200">
        <f t="shared" si="20"/>
        <v>0</v>
      </c>
      <c r="M447" s="200">
        <f t="shared" si="21"/>
        <v>0</v>
      </c>
    </row>
    <row r="448" spans="2:13" x14ac:dyDescent="0.35">
      <c r="B448" s="117"/>
      <c r="C448" s="117"/>
      <c r="D448" s="117"/>
      <c r="E448" s="117"/>
      <c r="F448" s="200"/>
      <c r="G448" s="200"/>
      <c r="H448" s="200"/>
      <c r="I448" s="200"/>
      <c r="J448" s="200"/>
      <c r="K448" s="200">
        <f>SUMIF(AE!C:C,ATB!C:C,AE!F:F)</f>
        <v>0</v>
      </c>
      <c r="L448" s="200">
        <f t="shared" si="20"/>
        <v>0</v>
      </c>
      <c r="M448" s="200">
        <f t="shared" si="21"/>
        <v>0</v>
      </c>
    </row>
    <row r="449" spans="2:13" x14ac:dyDescent="0.35">
      <c r="B449" s="117"/>
      <c r="C449" s="117"/>
      <c r="D449" s="117"/>
      <c r="E449" s="117"/>
      <c r="F449" s="200"/>
      <c r="G449" s="200"/>
      <c r="H449" s="200"/>
      <c r="I449" s="200"/>
      <c r="J449" s="200"/>
      <c r="K449" s="200">
        <f>SUMIF(AE!C:C,ATB!C:C,AE!F:F)</f>
        <v>0</v>
      </c>
      <c r="L449" s="200">
        <f t="shared" si="20"/>
        <v>0</v>
      </c>
      <c r="M449" s="200">
        <f t="shared" si="21"/>
        <v>0</v>
      </c>
    </row>
    <row r="450" spans="2:13" x14ac:dyDescent="0.35">
      <c r="B450" s="117"/>
      <c r="C450" s="117"/>
      <c r="D450" s="117"/>
      <c r="E450" s="117"/>
      <c r="F450" s="200"/>
      <c r="G450" s="200"/>
      <c r="H450" s="200"/>
      <c r="I450" s="200"/>
      <c r="J450" s="200"/>
      <c r="K450" s="200">
        <f>SUMIF(AE!C:C,ATB!C:C,AE!F:F)</f>
        <v>0</v>
      </c>
      <c r="L450" s="200">
        <f t="shared" ref="L450:L513" si="22">ROUND(IF(F450+H450+J450-G450-I450-K450&gt;0,F450+H450+J450-G450-I450-K450,0),0)</f>
        <v>0</v>
      </c>
      <c r="M450" s="200">
        <f t="shared" ref="M450:M513" si="23">-ROUND(IF(F450+H450+J450-G450-I450-K450&lt;0,F450+H450+J450-G450-I450-K450,0),0)</f>
        <v>0</v>
      </c>
    </row>
    <row r="451" spans="2:13" x14ac:dyDescent="0.35">
      <c r="B451" s="117"/>
      <c r="C451" s="117"/>
      <c r="D451" s="117"/>
      <c r="E451" s="117"/>
      <c r="F451" s="200"/>
      <c r="G451" s="200"/>
      <c r="H451" s="200"/>
      <c r="I451" s="200"/>
      <c r="J451" s="200"/>
      <c r="K451" s="200">
        <f>SUMIF(AE!C:C,ATB!C:C,AE!F:F)</f>
        <v>0</v>
      </c>
      <c r="L451" s="200">
        <f t="shared" si="22"/>
        <v>0</v>
      </c>
      <c r="M451" s="200">
        <f t="shared" si="23"/>
        <v>0</v>
      </c>
    </row>
    <row r="452" spans="2:13" x14ac:dyDescent="0.35">
      <c r="B452" s="117"/>
      <c r="C452" s="117"/>
      <c r="D452" s="117"/>
      <c r="E452" s="117"/>
      <c r="F452" s="200"/>
      <c r="G452" s="200"/>
      <c r="H452" s="200"/>
      <c r="I452" s="200"/>
      <c r="J452" s="200"/>
      <c r="K452" s="200">
        <f>SUMIF(AE!C:C,ATB!C:C,AE!F:F)</f>
        <v>0</v>
      </c>
      <c r="L452" s="200">
        <f t="shared" si="22"/>
        <v>0</v>
      </c>
      <c r="M452" s="200">
        <f t="shared" si="23"/>
        <v>0</v>
      </c>
    </row>
    <row r="453" spans="2:13" x14ac:dyDescent="0.35">
      <c r="B453" s="117"/>
      <c r="C453" s="117"/>
      <c r="D453" s="117"/>
      <c r="E453" s="117"/>
      <c r="F453" s="200"/>
      <c r="G453" s="200"/>
      <c r="H453" s="200"/>
      <c r="I453" s="200"/>
      <c r="J453" s="200"/>
      <c r="K453" s="200">
        <f>SUMIF(AE!C:C,ATB!C:C,AE!F:F)</f>
        <v>0</v>
      </c>
      <c r="L453" s="200">
        <f t="shared" si="22"/>
        <v>0</v>
      </c>
      <c r="M453" s="200">
        <f t="shared" si="23"/>
        <v>0</v>
      </c>
    </row>
    <row r="454" spans="2:13" x14ac:dyDescent="0.35">
      <c r="B454" s="117"/>
      <c r="C454" s="117"/>
      <c r="D454" s="117"/>
      <c r="E454" s="117"/>
      <c r="F454" s="200"/>
      <c r="G454" s="200"/>
      <c r="H454" s="200"/>
      <c r="I454" s="200"/>
      <c r="J454" s="200"/>
      <c r="K454" s="200">
        <f>SUMIF(AE!C:C,ATB!C:C,AE!F:F)</f>
        <v>0</v>
      </c>
      <c r="L454" s="200">
        <f t="shared" si="22"/>
        <v>0</v>
      </c>
      <c r="M454" s="200">
        <f t="shared" si="23"/>
        <v>0</v>
      </c>
    </row>
    <row r="455" spans="2:13" x14ac:dyDescent="0.35">
      <c r="B455" s="117"/>
      <c r="C455" s="117"/>
      <c r="D455" s="117"/>
      <c r="E455" s="117"/>
      <c r="F455" s="200"/>
      <c r="G455" s="200"/>
      <c r="H455" s="200"/>
      <c r="I455" s="200"/>
      <c r="J455" s="200"/>
      <c r="K455" s="200">
        <f>SUMIF(AE!C:C,ATB!C:C,AE!F:F)</f>
        <v>0</v>
      </c>
      <c r="L455" s="200">
        <f t="shared" si="22"/>
        <v>0</v>
      </c>
      <c r="M455" s="200">
        <f t="shared" si="23"/>
        <v>0</v>
      </c>
    </row>
    <row r="456" spans="2:13" x14ac:dyDescent="0.35">
      <c r="B456" s="117"/>
      <c r="C456" s="117"/>
      <c r="D456" s="117"/>
      <c r="E456" s="117"/>
      <c r="F456" s="200"/>
      <c r="G456" s="200"/>
      <c r="H456" s="200"/>
      <c r="I456" s="200"/>
      <c r="J456" s="200"/>
      <c r="K456" s="200">
        <f>SUMIF(AE!C:C,ATB!C:C,AE!F:F)</f>
        <v>0</v>
      </c>
      <c r="L456" s="200">
        <f t="shared" si="22"/>
        <v>0</v>
      </c>
      <c r="M456" s="200">
        <f t="shared" si="23"/>
        <v>0</v>
      </c>
    </row>
    <row r="457" spans="2:13" x14ac:dyDescent="0.35">
      <c r="B457" s="117"/>
      <c r="C457" s="117"/>
      <c r="D457" s="117"/>
      <c r="E457" s="117"/>
      <c r="F457" s="200"/>
      <c r="G457" s="200"/>
      <c r="H457" s="200"/>
      <c r="I457" s="200"/>
      <c r="J457" s="200"/>
      <c r="K457" s="200">
        <f>SUMIF(AE!C:C,ATB!C:C,AE!F:F)</f>
        <v>0</v>
      </c>
      <c r="L457" s="200">
        <f t="shared" si="22"/>
        <v>0</v>
      </c>
      <c r="M457" s="200">
        <f t="shared" si="23"/>
        <v>0</v>
      </c>
    </row>
    <row r="458" spans="2:13" x14ac:dyDescent="0.35">
      <c r="B458" s="117"/>
      <c r="C458" s="117"/>
      <c r="D458" s="117"/>
      <c r="E458" s="117"/>
      <c r="F458" s="200"/>
      <c r="G458" s="200"/>
      <c r="H458" s="200"/>
      <c r="I458" s="200"/>
      <c r="J458" s="200"/>
      <c r="K458" s="200">
        <f>SUMIF(AE!C:C,ATB!C:C,AE!F:F)</f>
        <v>0</v>
      </c>
      <c r="L458" s="200">
        <f t="shared" si="22"/>
        <v>0</v>
      </c>
      <c r="M458" s="200">
        <f t="shared" si="23"/>
        <v>0</v>
      </c>
    </row>
    <row r="459" spans="2:13" x14ac:dyDescent="0.35">
      <c r="B459" s="117"/>
      <c r="C459" s="117"/>
      <c r="D459" s="117"/>
      <c r="E459" s="117"/>
      <c r="F459" s="200"/>
      <c r="G459" s="200"/>
      <c r="H459" s="200"/>
      <c r="I459" s="200"/>
      <c r="J459" s="200"/>
      <c r="K459" s="200">
        <f>SUMIF(AE!C:C,ATB!C:C,AE!F:F)</f>
        <v>0</v>
      </c>
      <c r="L459" s="200">
        <f t="shared" si="22"/>
        <v>0</v>
      </c>
      <c r="M459" s="200">
        <f t="shared" si="23"/>
        <v>0</v>
      </c>
    </row>
    <row r="460" spans="2:13" x14ac:dyDescent="0.35">
      <c r="B460" s="117"/>
      <c r="C460" s="117"/>
      <c r="D460" s="117"/>
      <c r="E460" s="117"/>
      <c r="F460" s="200"/>
      <c r="G460" s="200"/>
      <c r="H460" s="200"/>
      <c r="I460" s="200"/>
      <c r="J460" s="200"/>
      <c r="K460" s="200">
        <f>SUMIF(AE!C:C,ATB!C:C,AE!F:F)</f>
        <v>0</v>
      </c>
      <c r="L460" s="200">
        <f t="shared" si="22"/>
        <v>0</v>
      </c>
      <c r="M460" s="200">
        <f t="shared" si="23"/>
        <v>0</v>
      </c>
    </row>
    <row r="461" spans="2:13" x14ac:dyDescent="0.35">
      <c r="B461" s="117"/>
      <c r="C461" s="117"/>
      <c r="D461" s="117"/>
      <c r="E461" s="117"/>
      <c r="F461" s="200"/>
      <c r="G461" s="200"/>
      <c r="H461" s="200"/>
      <c r="I461" s="200"/>
      <c r="J461" s="200"/>
      <c r="K461" s="200">
        <f>SUMIF(AE!C:C,ATB!C:C,AE!F:F)</f>
        <v>0</v>
      </c>
      <c r="L461" s="200">
        <f t="shared" si="22"/>
        <v>0</v>
      </c>
      <c r="M461" s="200">
        <f t="shared" si="23"/>
        <v>0</v>
      </c>
    </row>
    <row r="462" spans="2:13" x14ac:dyDescent="0.35">
      <c r="B462" s="117"/>
      <c r="C462" s="117"/>
      <c r="D462" s="117"/>
      <c r="E462" s="117"/>
      <c r="F462" s="200"/>
      <c r="G462" s="200"/>
      <c r="H462" s="200"/>
      <c r="I462" s="200"/>
      <c r="J462" s="200"/>
      <c r="K462" s="200">
        <f>SUMIF(AE!C:C,ATB!C:C,AE!F:F)</f>
        <v>0</v>
      </c>
      <c r="L462" s="200">
        <f t="shared" si="22"/>
        <v>0</v>
      </c>
      <c r="M462" s="200">
        <f t="shared" si="23"/>
        <v>0</v>
      </c>
    </row>
    <row r="463" spans="2:13" x14ac:dyDescent="0.35">
      <c r="B463" s="117"/>
      <c r="C463" s="117"/>
      <c r="D463" s="117"/>
      <c r="E463" s="117"/>
      <c r="F463" s="200"/>
      <c r="G463" s="200"/>
      <c r="H463" s="200"/>
      <c r="I463" s="200"/>
      <c r="J463" s="200"/>
      <c r="K463" s="200">
        <f>SUMIF(AE!C:C,ATB!C:C,AE!F:F)</f>
        <v>0</v>
      </c>
      <c r="L463" s="200">
        <f t="shared" si="22"/>
        <v>0</v>
      </c>
      <c r="M463" s="200">
        <f t="shared" si="23"/>
        <v>0</v>
      </c>
    </row>
    <row r="464" spans="2:13" x14ac:dyDescent="0.35">
      <c r="B464" s="117"/>
      <c r="C464" s="117"/>
      <c r="D464" s="117"/>
      <c r="E464" s="117"/>
      <c r="F464" s="200"/>
      <c r="G464" s="200"/>
      <c r="H464" s="200"/>
      <c r="I464" s="200"/>
      <c r="J464" s="200"/>
      <c r="K464" s="200">
        <f>SUMIF(AE!C:C,ATB!C:C,AE!F:F)</f>
        <v>0</v>
      </c>
      <c r="L464" s="200">
        <f t="shared" si="22"/>
        <v>0</v>
      </c>
      <c r="M464" s="200">
        <f t="shared" si="23"/>
        <v>0</v>
      </c>
    </row>
    <row r="465" spans="2:13" x14ac:dyDescent="0.35">
      <c r="B465" s="117"/>
      <c r="C465" s="117"/>
      <c r="D465" s="117"/>
      <c r="E465" s="117"/>
      <c r="F465" s="200"/>
      <c r="G465" s="200"/>
      <c r="H465" s="200"/>
      <c r="I465" s="200"/>
      <c r="J465" s="200"/>
      <c r="K465" s="200">
        <f>SUMIF(AE!C:C,ATB!C:C,AE!F:F)</f>
        <v>0</v>
      </c>
      <c r="L465" s="200">
        <f t="shared" si="22"/>
        <v>0</v>
      </c>
      <c r="M465" s="200">
        <f t="shared" si="23"/>
        <v>0</v>
      </c>
    </row>
    <row r="466" spans="2:13" x14ac:dyDescent="0.35">
      <c r="B466" s="117"/>
      <c r="C466" s="117"/>
      <c r="D466" s="117"/>
      <c r="E466" s="117"/>
      <c r="F466" s="200"/>
      <c r="G466" s="200"/>
      <c r="H466" s="200"/>
      <c r="I466" s="200"/>
      <c r="J466" s="200"/>
      <c r="K466" s="200">
        <f>SUMIF(AE!C:C,ATB!C:C,AE!F:F)</f>
        <v>0</v>
      </c>
      <c r="L466" s="200">
        <f t="shared" si="22"/>
        <v>0</v>
      </c>
      <c r="M466" s="200">
        <f t="shared" si="23"/>
        <v>0</v>
      </c>
    </row>
    <row r="467" spans="2:13" x14ac:dyDescent="0.35">
      <c r="B467" s="117"/>
      <c r="C467" s="117"/>
      <c r="D467" s="117"/>
      <c r="E467" s="117"/>
      <c r="F467" s="200"/>
      <c r="G467" s="200"/>
      <c r="H467" s="200"/>
      <c r="I467" s="200"/>
      <c r="J467" s="200"/>
      <c r="K467" s="200">
        <f>SUMIF(AE!C:C,ATB!C:C,AE!F:F)</f>
        <v>0</v>
      </c>
      <c r="L467" s="200">
        <f t="shared" si="22"/>
        <v>0</v>
      </c>
      <c r="M467" s="200">
        <f t="shared" si="23"/>
        <v>0</v>
      </c>
    </row>
    <row r="468" spans="2:13" x14ac:dyDescent="0.35">
      <c r="B468" s="117"/>
      <c r="C468" s="117"/>
      <c r="D468" s="117"/>
      <c r="E468" s="117"/>
      <c r="F468" s="200"/>
      <c r="G468" s="200"/>
      <c r="H468" s="200"/>
      <c r="I468" s="200"/>
      <c r="J468" s="200"/>
      <c r="K468" s="200">
        <f>SUMIF(AE!C:C,ATB!C:C,AE!F:F)</f>
        <v>0</v>
      </c>
      <c r="L468" s="200">
        <f t="shared" si="22"/>
        <v>0</v>
      </c>
      <c r="M468" s="200">
        <f t="shared" si="23"/>
        <v>0</v>
      </c>
    </row>
    <row r="469" spans="2:13" x14ac:dyDescent="0.35">
      <c r="B469" s="117"/>
      <c r="C469" s="117"/>
      <c r="D469" s="117"/>
      <c r="E469" s="117"/>
      <c r="F469" s="200"/>
      <c r="G469" s="200"/>
      <c r="H469" s="200"/>
      <c r="I469" s="200"/>
      <c r="J469" s="200"/>
      <c r="K469" s="200">
        <f>SUMIF(AE!C:C,ATB!C:C,AE!F:F)</f>
        <v>0</v>
      </c>
      <c r="L469" s="200">
        <f t="shared" si="22"/>
        <v>0</v>
      </c>
      <c r="M469" s="200">
        <f t="shared" si="23"/>
        <v>0</v>
      </c>
    </row>
    <row r="470" spans="2:13" x14ac:dyDescent="0.35">
      <c r="B470" s="117"/>
      <c r="C470" s="117"/>
      <c r="D470" s="117"/>
      <c r="E470" s="117"/>
      <c r="F470" s="200"/>
      <c r="G470" s="200"/>
      <c r="H470" s="200"/>
      <c r="I470" s="200"/>
      <c r="J470" s="200"/>
      <c r="K470" s="200">
        <f>SUMIF(AE!C:C,ATB!C:C,AE!F:F)</f>
        <v>0</v>
      </c>
      <c r="L470" s="200">
        <f t="shared" si="22"/>
        <v>0</v>
      </c>
      <c r="M470" s="200">
        <f t="shared" si="23"/>
        <v>0</v>
      </c>
    </row>
    <row r="471" spans="2:13" x14ac:dyDescent="0.35">
      <c r="B471" s="117"/>
      <c r="C471" s="117"/>
      <c r="D471" s="117"/>
      <c r="E471" s="117"/>
      <c r="F471" s="200"/>
      <c r="G471" s="200"/>
      <c r="H471" s="200"/>
      <c r="I471" s="200"/>
      <c r="J471" s="200"/>
      <c r="K471" s="200">
        <f>SUMIF(AE!C:C,ATB!C:C,AE!F:F)</f>
        <v>0</v>
      </c>
      <c r="L471" s="200">
        <f t="shared" si="22"/>
        <v>0</v>
      </c>
      <c r="M471" s="200">
        <f t="shared" si="23"/>
        <v>0</v>
      </c>
    </row>
    <row r="472" spans="2:13" x14ac:dyDescent="0.35">
      <c r="B472" s="117"/>
      <c r="C472" s="117"/>
      <c r="D472" s="117"/>
      <c r="E472" s="117"/>
      <c r="F472" s="200"/>
      <c r="G472" s="200"/>
      <c r="H472" s="200"/>
      <c r="I472" s="200"/>
      <c r="J472" s="200"/>
      <c r="K472" s="200">
        <f>SUMIF(AE!C:C,ATB!C:C,AE!F:F)</f>
        <v>0</v>
      </c>
      <c r="L472" s="200">
        <f t="shared" si="22"/>
        <v>0</v>
      </c>
      <c r="M472" s="200">
        <f t="shared" si="23"/>
        <v>0</v>
      </c>
    </row>
    <row r="473" spans="2:13" x14ac:dyDescent="0.35">
      <c r="B473" s="117"/>
      <c r="C473" s="117"/>
      <c r="D473" s="117"/>
      <c r="E473" s="117"/>
      <c r="F473" s="200"/>
      <c r="G473" s="200"/>
      <c r="H473" s="200"/>
      <c r="I473" s="200"/>
      <c r="J473" s="200"/>
      <c r="K473" s="200">
        <f>SUMIF(AE!C:C,ATB!C:C,AE!F:F)</f>
        <v>0</v>
      </c>
      <c r="L473" s="200">
        <f t="shared" si="22"/>
        <v>0</v>
      </c>
      <c r="M473" s="200">
        <f t="shared" si="23"/>
        <v>0</v>
      </c>
    </row>
    <row r="474" spans="2:13" x14ac:dyDescent="0.35">
      <c r="B474" s="117"/>
      <c r="C474" s="117"/>
      <c r="D474" s="117"/>
      <c r="E474" s="117"/>
      <c r="F474" s="200"/>
      <c r="G474" s="200"/>
      <c r="H474" s="200"/>
      <c r="I474" s="200"/>
      <c r="J474" s="200"/>
      <c r="K474" s="200">
        <f>SUMIF(AE!C:C,ATB!C:C,AE!F:F)</f>
        <v>0</v>
      </c>
      <c r="L474" s="200">
        <f t="shared" si="22"/>
        <v>0</v>
      </c>
      <c r="M474" s="200">
        <f t="shared" si="23"/>
        <v>0</v>
      </c>
    </row>
    <row r="475" spans="2:13" x14ac:dyDescent="0.35">
      <c r="B475" s="117"/>
      <c r="C475" s="117"/>
      <c r="D475" s="117"/>
      <c r="E475" s="117"/>
      <c r="F475" s="200"/>
      <c r="G475" s="200"/>
      <c r="H475" s="200"/>
      <c r="I475" s="200"/>
      <c r="J475" s="200"/>
      <c r="K475" s="200">
        <f>SUMIF(AE!C:C,ATB!C:C,AE!F:F)</f>
        <v>0</v>
      </c>
      <c r="L475" s="200">
        <f t="shared" si="22"/>
        <v>0</v>
      </c>
      <c r="M475" s="200">
        <f t="shared" si="23"/>
        <v>0</v>
      </c>
    </row>
    <row r="476" spans="2:13" x14ac:dyDescent="0.35">
      <c r="B476" s="117"/>
      <c r="C476" s="117"/>
      <c r="D476" s="117"/>
      <c r="E476" s="117"/>
      <c r="F476" s="200"/>
      <c r="G476" s="200"/>
      <c r="H476" s="200"/>
      <c r="I476" s="200"/>
      <c r="J476" s="200"/>
      <c r="K476" s="200">
        <f>SUMIF(AE!C:C,ATB!C:C,AE!F:F)</f>
        <v>0</v>
      </c>
      <c r="L476" s="200">
        <f t="shared" si="22"/>
        <v>0</v>
      </c>
      <c r="M476" s="200">
        <f t="shared" si="23"/>
        <v>0</v>
      </c>
    </row>
    <row r="477" spans="2:13" x14ac:dyDescent="0.35">
      <c r="B477" s="117"/>
      <c r="C477" s="117"/>
      <c r="D477" s="117"/>
      <c r="E477" s="117"/>
      <c r="F477" s="200"/>
      <c r="G477" s="200"/>
      <c r="H477" s="200"/>
      <c r="I477" s="200"/>
      <c r="J477" s="200"/>
      <c r="K477" s="200">
        <f>SUMIF(AE!C:C,ATB!C:C,AE!F:F)</f>
        <v>0</v>
      </c>
      <c r="L477" s="200">
        <f t="shared" si="22"/>
        <v>0</v>
      </c>
      <c r="M477" s="200">
        <f t="shared" si="23"/>
        <v>0</v>
      </c>
    </row>
    <row r="478" spans="2:13" x14ac:dyDescent="0.35">
      <c r="B478" s="117"/>
      <c r="C478" s="117"/>
      <c r="D478" s="117"/>
      <c r="E478" s="117"/>
      <c r="F478" s="200"/>
      <c r="G478" s="200"/>
      <c r="H478" s="200"/>
      <c r="I478" s="200"/>
      <c r="J478" s="200"/>
      <c r="K478" s="200">
        <f>SUMIF(AE!C:C,ATB!C:C,AE!F:F)</f>
        <v>0</v>
      </c>
      <c r="L478" s="200">
        <f t="shared" si="22"/>
        <v>0</v>
      </c>
      <c r="M478" s="200">
        <f t="shared" si="23"/>
        <v>0</v>
      </c>
    </row>
    <row r="479" spans="2:13" x14ac:dyDescent="0.35">
      <c r="B479" s="117"/>
      <c r="C479" s="117"/>
      <c r="D479" s="117"/>
      <c r="E479" s="117"/>
      <c r="F479" s="200"/>
      <c r="G479" s="200"/>
      <c r="H479" s="200"/>
      <c r="I479" s="200"/>
      <c r="J479" s="200"/>
      <c r="K479" s="200">
        <f>SUMIF(AE!C:C,ATB!C:C,AE!F:F)</f>
        <v>0</v>
      </c>
      <c r="L479" s="200">
        <f t="shared" si="22"/>
        <v>0</v>
      </c>
      <c r="M479" s="200">
        <f t="shared" si="23"/>
        <v>0</v>
      </c>
    </row>
    <row r="480" spans="2:13" x14ac:dyDescent="0.35">
      <c r="B480" s="117"/>
      <c r="C480" s="117"/>
      <c r="D480" s="117"/>
      <c r="E480" s="117"/>
      <c r="F480" s="200"/>
      <c r="G480" s="200"/>
      <c r="H480" s="200"/>
      <c r="I480" s="200"/>
      <c r="J480" s="200"/>
      <c r="K480" s="200">
        <f>SUMIF(AE!C:C,ATB!C:C,AE!F:F)</f>
        <v>0</v>
      </c>
      <c r="L480" s="200">
        <f t="shared" si="22"/>
        <v>0</v>
      </c>
      <c r="M480" s="200">
        <f t="shared" si="23"/>
        <v>0</v>
      </c>
    </row>
    <row r="481" spans="2:13" x14ac:dyDescent="0.35">
      <c r="B481" s="117"/>
      <c r="C481" s="117"/>
      <c r="D481" s="117"/>
      <c r="E481" s="117"/>
      <c r="F481" s="200"/>
      <c r="G481" s="200"/>
      <c r="H481" s="200"/>
      <c r="I481" s="200"/>
      <c r="J481" s="200"/>
      <c r="K481" s="200">
        <f>SUMIF(AE!C:C,ATB!C:C,AE!F:F)</f>
        <v>0</v>
      </c>
      <c r="L481" s="200">
        <f t="shared" si="22"/>
        <v>0</v>
      </c>
      <c r="M481" s="200">
        <f t="shared" si="23"/>
        <v>0</v>
      </c>
    </row>
    <row r="482" spans="2:13" x14ac:dyDescent="0.35">
      <c r="B482" s="117"/>
      <c r="C482" s="117"/>
      <c r="D482" s="117"/>
      <c r="E482" s="117"/>
      <c r="F482" s="200"/>
      <c r="G482" s="200"/>
      <c r="H482" s="200"/>
      <c r="I482" s="200"/>
      <c r="J482" s="200"/>
      <c r="K482" s="200">
        <f>SUMIF(AE!C:C,ATB!C:C,AE!F:F)</f>
        <v>0</v>
      </c>
      <c r="L482" s="200">
        <f t="shared" si="22"/>
        <v>0</v>
      </c>
      <c r="M482" s="200">
        <f t="shared" si="23"/>
        <v>0</v>
      </c>
    </row>
    <row r="483" spans="2:13" x14ac:dyDescent="0.35">
      <c r="B483" s="117"/>
      <c r="C483" s="117"/>
      <c r="D483" s="117"/>
      <c r="E483" s="117"/>
      <c r="F483" s="200"/>
      <c r="G483" s="200"/>
      <c r="H483" s="200"/>
      <c r="I483" s="200"/>
      <c r="J483" s="200"/>
      <c r="K483" s="200">
        <f>SUMIF(AE!C:C,ATB!C:C,AE!F:F)</f>
        <v>0</v>
      </c>
      <c r="L483" s="200">
        <f t="shared" si="22"/>
        <v>0</v>
      </c>
      <c r="M483" s="200">
        <f t="shared" si="23"/>
        <v>0</v>
      </c>
    </row>
    <row r="484" spans="2:13" x14ac:dyDescent="0.35">
      <c r="B484" s="117"/>
      <c r="C484" s="117"/>
      <c r="D484" s="117"/>
      <c r="E484" s="117"/>
      <c r="F484" s="200"/>
      <c r="G484" s="200"/>
      <c r="H484" s="200"/>
      <c r="I484" s="200"/>
      <c r="J484" s="200"/>
      <c r="K484" s="200">
        <f>SUMIF(AE!C:C,ATB!C:C,AE!F:F)</f>
        <v>0</v>
      </c>
      <c r="L484" s="200">
        <f t="shared" si="22"/>
        <v>0</v>
      </c>
      <c r="M484" s="200">
        <f t="shared" si="23"/>
        <v>0</v>
      </c>
    </row>
    <row r="485" spans="2:13" x14ac:dyDescent="0.35">
      <c r="B485" s="117"/>
      <c r="C485" s="117"/>
      <c r="D485" s="117"/>
      <c r="E485" s="117"/>
      <c r="F485" s="200"/>
      <c r="G485" s="200"/>
      <c r="H485" s="200"/>
      <c r="I485" s="200"/>
      <c r="J485" s="200"/>
      <c r="K485" s="200">
        <f>SUMIF(AE!C:C,ATB!C:C,AE!F:F)</f>
        <v>0</v>
      </c>
      <c r="L485" s="200">
        <f t="shared" si="22"/>
        <v>0</v>
      </c>
      <c r="M485" s="200">
        <f t="shared" si="23"/>
        <v>0</v>
      </c>
    </row>
    <row r="486" spans="2:13" x14ac:dyDescent="0.35">
      <c r="B486" s="117"/>
      <c r="C486" s="117"/>
      <c r="D486" s="117"/>
      <c r="E486" s="117"/>
      <c r="F486" s="200"/>
      <c r="G486" s="200"/>
      <c r="H486" s="200"/>
      <c r="I486" s="200"/>
      <c r="J486" s="200"/>
      <c r="K486" s="200">
        <f>SUMIF(AE!C:C,ATB!C:C,AE!F:F)</f>
        <v>0</v>
      </c>
      <c r="L486" s="200">
        <f t="shared" si="22"/>
        <v>0</v>
      </c>
      <c r="M486" s="200">
        <f t="shared" si="23"/>
        <v>0</v>
      </c>
    </row>
    <row r="487" spans="2:13" x14ac:dyDescent="0.35">
      <c r="B487" s="117"/>
      <c r="C487" s="117"/>
      <c r="D487" s="117"/>
      <c r="E487" s="117"/>
      <c r="F487" s="200"/>
      <c r="G487" s="200"/>
      <c r="H487" s="200"/>
      <c r="I487" s="200"/>
      <c r="J487" s="200"/>
      <c r="K487" s="200">
        <f>SUMIF(AE!C:C,ATB!C:C,AE!F:F)</f>
        <v>0</v>
      </c>
      <c r="L487" s="200">
        <f t="shared" si="22"/>
        <v>0</v>
      </c>
      <c r="M487" s="200">
        <f t="shared" si="23"/>
        <v>0</v>
      </c>
    </row>
    <row r="488" spans="2:13" x14ac:dyDescent="0.35">
      <c r="B488" s="117"/>
      <c r="C488" s="117"/>
      <c r="D488" s="117"/>
      <c r="E488" s="117"/>
      <c r="F488" s="200"/>
      <c r="G488" s="200"/>
      <c r="H488" s="200"/>
      <c r="I488" s="200"/>
      <c r="J488" s="200"/>
      <c r="K488" s="200">
        <f>SUMIF(AE!C:C,ATB!C:C,AE!F:F)</f>
        <v>0</v>
      </c>
      <c r="L488" s="200">
        <f t="shared" si="22"/>
        <v>0</v>
      </c>
      <c r="M488" s="200">
        <f t="shared" si="23"/>
        <v>0</v>
      </c>
    </row>
    <row r="489" spans="2:13" x14ac:dyDescent="0.35">
      <c r="B489" s="117"/>
      <c r="C489" s="117"/>
      <c r="D489" s="117"/>
      <c r="E489" s="117"/>
      <c r="F489" s="200"/>
      <c r="G489" s="200"/>
      <c r="H489" s="200"/>
      <c r="I489" s="200"/>
      <c r="J489" s="200"/>
      <c r="K489" s="200">
        <f>SUMIF(AE!C:C,ATB!C:C,AE!F:F)</f>
        <v>0</v>
      </c>
      <c r="L489" s="200">
        <f t="shared" si="22"/>
        <v>0</v>
      </c>
      <c r="M489" s="200">
        <f t="shared" si="23"/>
        <v>0</v>
      </c>
    </row>
    <row r="490" spans="2:13" x14ac:dyDescent="0.35">
      <c r="B490" s="117"/>
      <c r="C490" s="117"/>
      <c r="D490" s="117"/>
      <c r="E490" s="117"/>
      <c r="F490" s="200"/>
      <c r="G490" s="200"/>
      <c r="H490" s="200"/>
      <c r="I490" s="200"/>
      <c r="J490" s="200"/>
      <c r="K490" s="200">
        <f>SUMIF(AE!C:C,ATB!C:C,AE!F:F)</f>
        <v>0</v>
      </c>
      <c r="L490" s="200">
        <f t="shared" si="22"/>
        <v>0</v>
      </c>
      <c r="M490" s="200">
        <f t="shared" si="23"/>
        <v>0</v>
      </c>
    </row>
    <row r="491" spans="2:13" x14ac:dyDescent="0.35">
      <c r="B491" s="117"/>
      <c r="C491" s="117"/>
      <c r="D491" s="117"/>
      <c r="E491" s="117"/>
      <c r="F491" s="200"/>
      <c r="G491" s="200"/>
      <c r="H491" s="200"/>
      <c r="I491" s="200"/>
      <c r="J491" s="200"/>
      <c r="K491" s="200">
        <f>SUMIF(AE!C:C,ATB!C:C,AE!F:F)</f>
        <v>0</v>
      </c>
      <c r="L491" s="200">
        <f t="shared" si="22"/>
        <v>0</v>
      </c>
      <c r="M491" s="200">
        <f t="shared" si="23"/>
        <v>0</v>
      </c>
    </row>
    <row r="492" spans="2:13" x14ac:dyDescent="0.35">
      <c r="B492" s="117"/>
      <c r="C492" s="117"/>
      <c r="D492" s="117"/>
      <c r="E492" s="117"/>
      <c r="F492" s="200"/>
      <c r="G492" s="200"/>
      <c r="H492" s="200"/>
      <c r="I492" s="200"/>
      <c r="J492" s="200"/>
      <c r="K492" s="200">
        <f>SUMIF(AE!C:C,ATB!C:C,AE!F:F)</f>
        <v>0</v>
      </c>
      <c r="L492" s="200">
        <f t="shared" si="22"/>
        <v>0</v>
      </c>
      <c r="M492" s="200">
        <f t="shared" si="23"/>
        <v>0</v>
      </c>
    </row>
    <row r="493" spans="2:13" x14ac:dyDescent="0.35">
      <c r="B493" s="117"/>
      <c r="C493" s="117"/>
      <c r="D493" s="117"/>
      <c r="E493" s="117"/>
      <c r="F493" s="200"/>
      <c r="G493" s="200"/>
      <c r="H493" s="200"/>
      <c r="I493" s="200"/>
      <c r="J493" s="200"/>
      <c r="K493" s="200">
        <f>SUMIF(AE!C:C,ATB!C:C,AE!F:F)</f>
        <v>0</v>
      </c>
      <c r="L493" s="200">
        <f t="shared" si="22"/>
        <v>0</v>
      </c>
      <c r="M493" s="200">
        <f t="shared" si="23"/>
        <v>0</v>
      </c>
    </row>
    <row r="494" spans="2:13" x14ac:dyDescent="0.35">
      <c r="B494" s="117"/>
      <c r="C494" s="117"/>
      <c r="D494" s="117"/>
      <c r="E494" s="117"/>
      <c r="F494" s="200"/>
      <c r="G494" s="200"/>
      <c r="H494" s="200"/>
      <c r="I494" s="200"/>
      <c r="J494" s="200"/>
      <c r="K494" s="200">
        <f>SUMIF(AE!C:C,ATB!C:C,AE!F:F)</f>
        <v>0</v>
      </c>
      <c r="L494" s="200">
        <f t="shared" si="22"/>
        <v>0</v>
      </c>
      <c r="M494" s="200">
        <f t="shared" si="23"/>
        <v>0</v>
      </c>
    </row>
    <row r="495" spans="2:13" x14ac:dyDescent="0.35">
      <c r="B495" s="117"/>
      <c r="C495" s="117"/>
      <c r="D495" s="117"/>
      <c r="E495" s="117"/>
      <c r="F495" s="200"/>
      <c r="G495" s="200"/>
      <c r="H495" s="200"/>
      <c r="I495" s="200"/>
      <c r="J495" s="200"/>
      <c r="K495" s="200">
        <f>SUMIF(AE!C:C,ATB!C:C,AE!F:F)</f>
        <v>0</v>
      </c>
      <c r="L495" s="200">
        <f t="shared" si="22"/>
        <v>0</v>
      </c>
      <c r="M495" s="200">
        <f t="shared" si="23"/>
        <v>0</v>
      </c>
    </row>
    <row r="496" spans="2:13" x14ac:dyDescent="0.35">
      <c r="B496" s="117"/>
      <c r="C496" s="117"/>
      <c r="D496" s="117"/>
      <c r="E496" s="117"/>
      <c r="F496" s="200"/>
      <c r="G496" s="200"/>
      <c r="H496" s="200"/>
      <c r="I496" s="200"/>
      <c r="J496" s="200"/>
      <c r="K496" s="200">
        <f>SUMIF(AE!C:C,ATB!C:C,AE!F:F)</f>
        <v>0</v>
      </c>
      <c r="L496" s="200">
        <f t="shared" si="22"/>
        <v>0</v>
      </c>
      <c r="M496" s="200">
        <f t="shared" si="23"/>
        <v>0</v>
      </c>
    </row>
    <row r="497" spans="2:13" x14ac:dyDescent="0.35">
      <c r="B497" s="117"/>
      <c r="C497" s="117"/>
      <c r="D497" s="117"/>
      <c r="E497" s="117"/>
      <c r="F497" s="200"/>
      <c r="G497" s="200"/>
      <c r="H497" s="200"/>
      <c r="I497" s="200"/>
      <c r="J497" s="200"/>
      <c r="K497" s="200">
        <f>SUMIF(AE!C:C,ATB!C:C,AE!F:F)</f>
        <v>0</v>
      </c>
      <c r="L497" s="200">
        <f t="shared" si="22"/>
        <v>0</v>
      </c>
      <c r="M497" s="200">
        <f t="shared" si="23"/>
        <v>0</v>
      </c>
    </row>
    <row r="498" spans="2:13" x14ac:dyDescent="0.35">
      <c r="B498" s="117"/>
      <c r="C498" s="117"/>
      <c r="D498" s="117"/>
      <c r="E498" s="117"/>
      <c r="F498" s="200"/>
      <c r="G498" s="200"/>
      <c r="H498" s="200"/>
      <c r="I498" s="200"/>
      <c r="J498" s="200"/>
      <c r="K498" s="200">
        <f>SUMIF(AE!C:C,ATB!C:C,AE!F:F)</f>
        <v>0</v>
      </c>
      <c r="L498" s="200">
        <f t="shared" si="22"/>
        <v>0</v>
      </c>
      <c r="M498" s="200">
        <f t="shared" si="23"/>
        <v>0</v>
      </c>
    </row>
    <row r="499" spans="2:13" x14ac:dyDescent="0.35">
      <c r="B499" s="117"/>
      <c r="C499" s="117"/>
      <c r="D499" s="117"/>
      <c r="E499" s="117"/>
      <c r="F499" s="200"/>
      <c r="G499" s="200"/>
      <c r="H499" s="200"/>
      <c r="I499" s="200"/>
      <c r="J499" s="200"/>
      <c r="K499" s="200">
        <f>SUMIF(AE!C:C,ATB!C:C,AE!F:F)</f>
        <v>0</v>
      </c>
      <c r="L499" s="200">
        <f t="shared" si="22"/>
        <v>0</v>
      </c>
      <c r="M499" s="200">
        <f t="shared" si="23"/>
        <v>0</v>
      </c>
    </row>
    <row r="500" spans="2:13" x14ac:dyDescent="0.35">
      <c r="B500" s="117"/>
      <c r="C500" s="117"/>
      <c r="D500" s="117"/>
      <c r="E500" s="117"/>
      <c r="F500" s="200"/>
      <c r="G500" s="200"/>
      <c r="H500" s="200"/>
      <c r="I500" s="200"/>
      <c r="J500" s="200"/>
      <c r="K500" s="200">
        <f>SUMIF(AE!C:C,ATB!C:C,AE!F:F)</f>
        <v>0</v>
      </c>
      <c r="L500" s="200">
        <f t="shared" si="22"/>
        <v>0</v>
      </c>
      <c r="M500" s="200">
        <f t="shared" si="23"/>
        <v>0</v>
      </c>
    </row>
    <row r="501" spans="2:13" x14ac:dyDescent="0.35">
      <c r="B501" s="117"/>
      <c r="C501" s="117"/>
      <c r="D501" s="117"/>
      <c r="E501" s="117"/>
      <c r="F501" s="200"/>
      <c r="G501" s="200"/>
      <c r="H501" s="200"/>
      <c r="I501" s="200"/>
      <c r="J501" s="200"/>
      <c r="K501" s="200">
        <f>SUMIF(AE!C:C,ATB!C:C,AE!F:F)</f>
        <v>0</v>
      </c>
      <c r="L501" s="200">
        <f t="shared" si="22"/>
        <v>0</v>
      </c>
      <c r="M501" s="200">
        <f t="shared" si="23"/>
        <v>0</v>
      </c>
    </row>
    <row r="502" spans="2:13" x14ac:dyDescent="0.35">
      <c r="B502" s="117"/>
      <c r="C502" s="117"/>
      <c r="D502" s="117"/>
      <c r="E502" s="117"/>
      <c r="F502" s="200"/>
      <c r="G502" s="200"/>
      <c r="H502" s="200"/>
      <c r="I502" s="200"/>
      <c r="J502" s="200"/>
      <c r="K502" s="200">
        <f>SUMIF(AE!C:C,ATB!C:C,AE!F:F)</f>
        <v>0</v>
      </c>
      <c r="L502" s="200">
        <f t="shared" si="22"/>
        <v>0</v>
      </c>
      <c r="M502" s="200">
        <f t="shared" si="23"/>
        <v>0</v>
      </c>
    </row>
    <row r="503" spans="2:13" x14ac:dyDescent="0.35">
      <c r="B503" s="117"/>
      <c r="C503" s="117"/>
      <c r="D503" s="117"/>
      <c r="E503" s="117"/>
      <c r="F503" s="200"/>
      <c r="G503" s="200"/>
      <c r="H503" s="200"/>
      <c r="I503" s="200"/>
      <c r="J503" s="200"/>
      <c r="K503" s="200">
        <f>SUMIF(AE!C:C,ATB!C:C,AE!F:F)</f>
        <v>0</v>
      </c>
      <c r="L503" s="200">
        <f t="shared" si="22"/>
        <v>0</v>
      </c>
      <c r="M503" s="200">
        <f t="shared" si="23"/>
        <v>0</v>
      </c>
    </row>
    <row r="504" spans="2:13" x14ac:dyDescent="0.35">
      <c r="B504" s="117"/>
      <c r="C504" s="117"/>
      <c r="D504" s="117"/>
      <c r="E504" s="117"/>
      <c r="F504" s="200"/>
      <c r="G504" s="200"/>
      <c r="H504" s="200"/>
      <c r="I504" s="200"/>
      <c r="J504" s="200"/>
      <c r="K504" s="200">
        <f>SUMIF(AE!C:C,ATB!C:C,AE!F:F)</f>
        <v>0</v>
      </c>
      <c r="L504" s="200">
        <f t="shared" si="22"/>
        <v>0</v>
      </c>
      <c r="M504" s="200">
        <f t="shared" si="23"/>
        <v>0</v>
      </c>
    </row>
    <row r="505" spans="2:13" x14ac:dyDescent="0.35">
      <c r="B505" s="117"/>
      <c r="C505" s="117"/>
      <c r="D505" s="117"/>
      <c r="E505" s="117"/>
      <c r="F505" s="200"/>
      <c r="G505" s="200"/>
      <c r="H505" s="200"/>
      <c r="I505" s="200"/>
      <c r="J505" s="200"/>
      <c r="K505" s="200">
        <f>SUMIF(AE!C:C,ATB!C:C,AE!F:F)</f>
        <v>0</v>
      </c>
      <c r="L505" s="200">
        <f t="shared" si="22"/>
        <v>0</v>
      </c>
      <c r="M505" s="200">
        <f t="shared" si="23"/>
        <v>0</v>
      </c>
    </row>
    <row r="506" spans="2:13" x14ac:dyDescent="0.35">
      <c r="B506" s="117"/>
      <c r="C506" s="117"/>
      <c r="D506" s="117"/>
      <c r="E506" s="117"/>
      <c r="F506" s="200"/>
      <c r="G506" s="200"/>
      <c r="H506" s="200"/>
      <c r="I506" s="200"/>
      <c r="J506" s="200"/>
      <c r="K506" s="200">
        <f>SUMIF(AE!C:C,ATB!C:C,AE!F:F)</f>
        <v>0</v>
      </c>
      <c r="L506" s="200">
        <f t="shared" si="22"/>
        <v>0</v>
      </c>
      <c r="M506" s="200">
        <f t="shared" si="23"/>
        <v>0</v>
      </c>
    </row>
    <row r="507" spans="2:13" x14ac:dyDescent="0.35">
      <c r="B507" s="117"/>
      <c r="C507" s="117"/>
      <c r="D507" s="117"/>
      <c r="E507" s="117"/>
      <c r="F507" s="200"/>
      <c r="G507" s="200"/>
      <c r="H507" s="200"/>
      <c r="I507" s="200"/>
      <c r="J507" s="200"/>
      <c r="K507" s="200">
        <f>SUMIF(AE!C:C,ATB!C:C,AE!F:F)</f>
        <v>0</v>
      </c>
      <c r="L507" s="200">
        <f t="shared" si="22"/>
        <v>0</v>
      </c>
      <c r="M507" s="200">
        <f t="shared" si="23"/>
        <v>0</v>
      </c>
    </row>
    <row r="508" spans="2:13" x14ac:dyDescent="0.35">
      <c r="B508" s="117"/>
      <c r="C508" s="117"/>
      <c r="D508" s="117"/>
      <c r="E508" s="117"/>
      <c r="F508" s="200"/>
      <c r="G508" s="200"/>
      <c r="H508" s="200"/>
      <c r="I508" s="200"/>
      <c r="J508" s="200"/>
      <c r="K508" s="200">
        <f>SUMIF(AE!C:C,ATB!C:C,AE!F:F)</f>
        <v>0</v>
      </c>
      <c r="L508" s="200">
        <f t="shared" si="22"/>
        <v>0</v>
      </c>
      <c r="M508" s="200">
        <f t="shared" si="23"/>
        <v>0</v>
      </c>
    </row>
    <row r="509" spans="2:13" x14ac:dyDescent="0.35">
      <c r="B509" s="117"/>
      <c r="C509" s="117"/>
      <c r="D509" s="117"/>
      <c r="E509" s="117"/>
      <c r="F509" s="200"/>
      <c r="G509" s="200"/>
      <c r="H509" s="200"/>
      <c r="I509" s="200"/>
      <c r="J509" s="200"/>
      <c r="K509" s="200">
        <f>SUMIF(AE!C:C,ATB!C:C,AE!F:F)</f>
        <v>0</v>
      </c>
      <c r="L509" s="200">
        <f t="shared" si="22"/>
        <v>0</v>
      </c>
      <c r="M509" s="200">
        <f t="shared" si="23"/>
        <v>0</v>
      </c>
    </row>
    <row r="510" spans="2:13" x14ac:dyDescent="0.35">
      <c r="B510" s="117"/>
      <c r="C510" s="117"/>
      <c r="D510" s="117"/>
      <c r="E510" s="117"/>
      <c r="F510" s="200"/>
      <c r="G510" s="200"/>
      <c r="H510" s="200"/>
      <c r="I510" s="200"/>
      <c r="J510" s="200"/>
      <c r="K510" s="200">
        <f>SUMIF(AE!C:C,ATB!C:C,AE!F:F)</f>
        <v>0</v>
      </c>
      <c r="L510" s="200">
        <f t="shared" si="22"/>
        <v>0</v>
      </c>
      <c r="M510" s="200">
        <f t="shared" si="23"/>
        <v>0</v>
      </c>
    </row>
    <row r="511" spans="2:13" x14ac:dyDescent="0.35">
      <c r="B511" s="117"/>
      <c r="C511" s="117"/>
      <c r="D511" s="117"/>
      <c r="E511" s="117"/>
      <c r="F511" s="200"/>
      <c r="G511" s="200"/>
      <c r="H511" s="200"/>
      <c r="I511" s="200"/>
      <c r="J511" s="200"/>
      <c r="K511" s="200">
        <f>SUMIF(AE!C:C,ATB!C:C,AE!F:F)</f>
        <v>0</v>
      </c>
      <c r="L511" s="200">
        <f t="shared" si="22"/>
        <v>0</v>
      </c>
      <c r="M511" s="200">
        <f t="shared" si="23"/>
        <v>0</v>
      </c>
    </row>
    <row r="512" spans="2:13" x14ac:dyDescent="0.35">
      <c r="B512" s="117"/>
      <c r="C512" s="117"/>
      <c r="D512" s="117"/>
      <c r="E512" s="117"/>
      <c r="F512" s="200"/>
      <c r="G512" s="200"/>
      <c r="H512" s="200"/>
      <c r="I512" s="200"/>
      <c r="J512" s="200"/>
      <c r="K512" s="200">
        <f>SUMIF(AE!C:C,ATB!C:C,AE!F:F)</f>
        <v>0</v>
      </c>
      <c r="L512" s="200">
        <f t="shared" si="22"/>
        <v>0</v>
      </c>
      <c r="M512" s="200">
        <f t="shared" si="23"/>
        <v>0</v>
      </c>
    </row>
    <row r="513" spans="2:13" x14ac:dyDescent="0.35">
      <c r="B513" s="117"/>
      <c r="C513" s="117"/>
      <c r="D513" s="117"/>
      <c r="E513" s="117"/>
      <c r="F513" s="200"/>
      <c r="G513" s="200"/>
      <c r="H513" s="200"/>
      <c r="I513" s="200"/>
      <c r="J513" s="200"/>
      <c r="K513" s="200">
        <f>SUMIF(AE!C:C,ATB!C:C,AE!F:F)</f>
        <v>0</v>
      </c>
      <c r="L513" s="200">
        <f t="shared" si="22"/>
        <v>0</v>
      </c>
      <c r="M513" s="200">
        <f t="shared" si="23"/>
        <v>0</v>
      </c>
    </row>
    <row r="514" spans="2:13" x14ac:dyDescent="0.35">
      <c r="B514" s="117"/>
      <c r="C514" s="117"/>
      <c r="D514" s="117"/>
      <c r="E514" s="117"/>
      <c r="F514" s="200"/>
      <c r="G514" s="200"/>
      <c r="H514" s="200"/>
      <c r="I514" s="200"/>
      <c r="J514" s="200"/>
      <c r="K514" s="200">
        <f>SUMIF(AE!C:C,ATB!C:C,AE!F:F)</f>
        <v>0</v>
      </c>
      <c r="L514" s="200">
        <f t="shared" ref="L514:L577" si="24">ROUND(IF(F514+H514+J514-G514-I514-K514&gt;0,F514+H514+J514-G514-I514-K514,0),0)</f>
        <v>0</v>
      </c>
      <c r="M514" s="200">
        <f t="shared" ref="M514:M577" si="25">-ROUND(IF(F514+H514+J514-G514-I514-K514&lt;0,F514+H514+J514-G514-I514-K514,0),0)</f>
        <v>0</v>
      </c>
    </row>
    <row r="515" spans="2:13" x14ac:dyDescent="0.35">
      <c r="B515" s="117"/>
      <c r="C515" s="117"/>
      <c r="D515" s="117"/>
      <c r="E515" s="117"/>
      <c r="F515" s="200"/>
      <c r="G515" s="200"/>
      <c r="H515" s="200"/>
      <c r="I515" s="200"/>
      <c r="J515" s="200"/>
      <c r="K515" s="200">
        <f>SUMIF(AE!C:C,ATB!C:C,AE!F:F)</f>
        <v>0</v>
      </c>
      <c r="L515" s="200">
        <f t="shared" si="24"/>
        <v>0</v>
      </c>
      <c r="M515" s="200">
        <f t="shared" si="25"/>
        <v>0</v>
      </c>
    </row>
    <row r="516" spans="2:13" x14ac:dyDescent="0.35">
      <c r="B516" s="117"/>
      <c r="C516" s="117"/>
      <c r="D516" s="117"/>
      <c r="E516" s="117"/>
      <c r="F516" s="200"/>
      <c r="G516" s="200"/>
      <c r="H516" s="200"/>
      <c r="I516" s="200"/>
      <c r="J516" s="200"/>
      <c r="K516" s="200">
        <f>SUMIF(AE!C:C,ATB!C:C,AE!F:F)</f>
        <v>0</v>
      </c>
      <c r="L516" s="200">
        <f t="shared" si="24"/>
        <v>0</v>
      </c>
      <c r="M516" s="200">
        <f t="shared" si="25"/>
        <v>0</v>
      </c>
    </row>
    <row r="517" spans="2:13" x14ac:dyDescent="0.35">
      <c r="B517" s="117"/>
      <c r="C517" s="117"/>
      <c r="D517" s="117"/>
      <c r="E517" s="117"/>
      <c r="F517" s="200"/>
      <c r="G517" s="200"/>
      <c r="H517" s="200"/>
      <c r="I517" s="200"/>
      <c r="J517" s="200"/>
      <c r="K517" s="200">
        <f>SUMIF(AE!C:C,ATB!C:C,AE!F:F)</f>
        <v>0</v>
      </c>
      <c r="L517" s="200">
        <f t="shared" si="24"/>
        <v>0</v>
      </c>
      <c r="M517" s="200">
        <f t="shared" si="25"/>
        <v>0</v>
      </c>
    </row>
    <row r="518" spans="2:13" x14ac:dyDescent="0.35">
      <c r="B518" s="117"/>
      <c r="C518" s="117"/>
      <c r="D518" s="117"/>
      <c r="E518" s="117"/>
      <c r="F518" s="200"/>
      <c r="G518" s="200"/>
      <c r="H518" s="200"/>
      <c r="I518" s="200"/>
      <c r="J518" s="200"/>
      <c r="K518" s="200">
        <f>SUMIF(AE!C:C,ATB!C:C,AE!F:F)</f>
        <v>0</v>
      </c>
      <c r="L518" s="200">
        <f t="shared" si="24"/>
        <v>0</v>
      </c>
      <c r="M518" s="200">
        <f t="shared" si="25"/>
        <v>0</v>
      </c>
    </row>
    <row r="519" spans="2:13" x14ac:dyDescent="0.35">
      <c r="B519" s="117"/>
      <c r="C519" s="117"/>
      <c r="D519" s="117"/>
      <c r="E519" s="117"/>
      <c r="F519" s="200"/>
      <c r="G519" s="200"/>
      <c r="H519" s="200"/>
      <c r="I519" s="200"/>
      <c r="J519" s="200"/>
      <c r="K519" s="200">
        <f>SUMIF(AE!C:C,ATB!C:C,AE!F:F)</f>
        <v>0</v>
      </c>
      <c r="L519" s="200">
        <f t="shared" si="24"/>
        <v>0</v>
      </c>
      <c r="M519" s="200">
        <f t="shared" si="25"/>
        <v>0</v>
      </c>
    </row>
    <row r="520" spans="2:13" x14ac:dyDescent="0.35">
      <c r="B520" s="117"/>
      <c r="C520" s="117"/>
      <c r="D520" s="117"/>
      <c r="E520" s="117"/>
      <c r="F520" s="200"/>
      <c r="G520" s="200"/>
      <c r="H520" s="200"/>
      <c r="I520" s="200"/>
      <c r="J520" s="200"/>
      <c r="K520" s="200">
        <f>SUMIF(AE!C:C,ATB!C:C,AE!F:F)</f>
        <v>0</v>
      </c>
      <c r="L520" s="200">
        <f t="shared" si="24"/>
        <v>0</v>
      </c>
      <c r="M520" s="200">
        <f t="shared" si="25"/>
        <v>0</v>
      </c>
    </row>
    <row r="521" spans="2:13" x14ac:dyDescent="0.35">
      <c r="B521" s="117"/>
      <c r="C521" s="117"/>
      <c r="D521" s="117"/>
      <c r="E521" s="117"/>
      <c r="F521" s="200"/>
      <c r="G521" s="200"/>
      <c r="H521" s="200"/>
      <c r="I521" s="200"/>
      <c r="J521" s="200"/>
      <c r="K521" s="200">
        <f>SUMIF(AE!C:C,ATB!C:C,AE!F:F)</f>
        <v>0</v>
      </c>
      <c r="L521" s="200">
        <f t="shared" si="24"/>
        <v>0</v>
      </c>
      <c r="M521" s="200">
        <f t="shared" si="25"/>
        <v>0</v>
      </c>
    </row>
    <row r="522" spans="2:13" x14ac:dyDescent="0.35">
      <c r="B522" s="117"/>
      <c r="C522" s="117"/>
      <c r="D522" s="117"/>
      <c r="E522" s="117"/>
      <c r="F522" s="200"/>
      <c r="G522" s="200"/>
      <c r="H522" s="200"/>
      <c r="I522" s="200"/>
      <c r="J522" s="200"/>
      <c r="K522" s="200">
        <f>SUMIF(AE!C:C,ATB!C:C,AE!F:F)</f>
        <v>0</v>
      </c>
      <c r="L522" s="200">
        <f t="shared" si="24"/>
        <v>0</v>
      </c>
      <c r="M522" s="200">
        <f t="shared" si="25"/>
        <v>0</v>
      </c>
    </row>
    <row r="523" spans="2:13" x14ac:dyDescent="0.35">
      <c r="B523" s="117"/>
      <c r="C523" s="117"/>
      <c r="D523" s="117"/>
      <c r="E523" s="117"/>
      <c r="F523" s="200"/>
      <c r="G523" s="200"/>
      <c r="H523" s="200"/>
      <c r="I523" s="200"/>
      <c r="J523" s="200"/>
      <c r="K523" s="200">
        <f>SUMIF(AE!C:C,ATB!C:C,AE!F:F)</f>
        <v>0</v>
      </c>
      <c r="L523" s="200">
        <f t="shared" si="24"/>
        <v>0</v>
      </c>
      <c r="M523" s="200">
        <f t="shared" si="25"/>
        <v>0</v>
      </c>
    </row>
    <row r="524" spans="2:13" x14ac:dyDescent="0.35">
      <c r="B524" s="117"/>
      <c r="C524" s="117"/>
      <c r="D524" s="117"/>
      <c r="E524" s="117"/>
      <c r="F524" s="200"/>
      <c r="G524" s="200"/>
      <c r="H524" s="200"/>
      <c r="I524" s="200"/>
      <c r="J524" s="200"/>
      <c r="K524" s="200">
        <f>SUMIF(AE!C:C,ATB!C:C,AE!F:F)</f>
        <v>0</v>
      </c>
      <c r="L524" s="200">
        <f t="shared" si="24"/>
        <v>0</v>
      </c>
      <c r="M524" s="200">
        <f t="shared" si="25"/>
        <v>0</v>
      </c>
    </row>
    <row r="525" spans="2:13" x14ac:dyDescent="0.35">
      <c r="B525" s="117"/>
      <c r="C525" s="117"/>
      <c r="D525" s="117"/>
      <c r="E525" s="117"/>
      <c r="F525" s="200"/>
      <c r="G525" s="200"/>
      <c r="H525" s="200"/>
      <c r="I525" s="200"/>
      <c r="J525" s="200"/>
      <c r="K525" s="200">
        <f>SUMIF(AE!C:C,ATB!C:C,AE!F:F)</f>
        <v>0</v>
      </c>
      <c r="L525" s="200">
        <f t="shared" si="24"/>
        <v>0</v>
      </c>
      <c r="M525" s="200">
        <f t="shared" si="25"/>
        <v>0</v>
      </c>
    </row>
    <row r="526" spans="2:13" x14ac:dyDescent="0.35">
      <c r="B526" s="117"/>
      <c r="C526" s="117"/>
      <c r="D526" s="117"/>
      <c r="E526" s="117"/>
      <c r="F526" s="200"/>
      <c r="G526" s="200"/>
      <c r="H526" s="200"/>
      <c r="I526" s="200"/>
      <c r="J526" s="200"/>
      <c r="K526" s="200">
        <f>SUMIF(AE!C:C,ATB!C:C,AE!F:F)</f>
        <v>0</v>
      </c>
      <c r="L526" s="200">
        <f t="shared" si="24"/>
        <v>0</v>
      </c>
      <c r="M526" s="200">
        <f t="shared" si="25"/>
        <v>0</v>
      </c>
    </row>
    <row r="527" spans="2:13" x14ac:dyDescent="0.35">
      <c r="B527" s="117"/>
      <c r="C527" s="117"/>
      <c r="D527" s="117"/>
      <c r="E527" s="117"/>
      <c r="F527" s="200"/>
      <c r="G527" s="200"/>
      <c r="H527" s="200"/>
      <c r="I527" s="200"/>
      <c r="J527" s="200"/>
      <c r="K527" s="200">
        <f>SUMIF(AE!C:C,ATB!C:C,AE!F:F)</f>
        <v>0</v>
      </c>
      <c r="L527" s="200">
        <f t="shared" si="24"/>
        <v>0</v>
      </c>
      <c r="M527" s="200">
        <f t="shared" si="25"/>
        <v>0</v>
      </c>
    </row>
    <row r="528" spans="2:13" x14ac:dyDescent="0.35">
      <c r="B528" s="117"/>
      <c r="C528" s="117"/>
      <c r="D528" s="117"/>
      <c r="E528" s="117"/>
      <c r="F528" s="200"/>
      <c r="G528" s="200"/>
      <c r="H528" s="200"/>
      <c r="I528" s="200"/>
      <c r="J528" s="200"/>
      <c r="K528" s="200">
        <f>SUMIF(AE!C:C,ATB!C:C,AE!F:F)</f>
        <v>0</v>
      </c>
      <c r="L528" s="200">
        <f t="shared" si="24"/>
        <v>0</v>
      </c>
      <c r="M528" s="200">
        <f t="shared" si="25"/>
        <v>0</v>
      </c>
    </row>
    <row r="529" spans="2:13" x14ac:dyDescent="0.35">
      <c r="B529" s="117"/>
      <c r="C529" s="117"/>
      <c r="D529" s="117"/>
      <c r="E529" s="117"/>
      <c r="F529" s="200"/>
      <c r="G529" s="200"/>
      <c r="H529" s="200"/>
      <c r="I529" s="200"/>
      <c r="J529" s="200"/>
      <c r="K529" s="200">
        <f>SUMIF(AE!C:C,ATB!C:C,AE!F:F)</f>
        <v>0</v>
      </c>
      <c r="L529" s="200">
        <f t="shared" si="24"/>
        <v>0</v>
      </c>
      <c r="M529" s="200">
        <f t="shared" si="25"/>
        <v>0</v>
      </c>
    </row>
    <row r="530" spans="2:13" x14ac:dyDescent="0.35">
      <c r="B530" s="117"/>
      <c r="C530" s="117"/>
      <c r="D530" s="117"/>
      <c r="E530" s="117"/>
      <c r="F530" s="200"/>
      <c r="G530" s="200"/>
      <c r="H530" s="200"/>
      <c r="I530" s="200"/>
      <c r="J530" s="200"/>
      <c r="K530" s="200">
        <f>SUMIF(AE!C:C,ATB!C:C,AE!F:F)</f>
        <v>0</v>
      </c>
      <c r="L530" s="200">
        <f t="shared" si="24"/>
        <v>0</v>
      </c>
      <c r="M530" s="200">
        <f t="shared" si="25"/>
        <v>0</v>
      </c>
    </row>
    <row r="531" spans="2:13" x14ac:dyDescent="0.35">
      <c r="B531" s="117"/>
      <c r="C531" s="117"/>
      <c r="D531" s="117"/>
      <c r="E531" s="117"/>
      <c r="F531" s="200"/>
      <c r="G531" s="200"/>
      <c r="H531" s="200"/>
      <c r="I531" s="200"/>
      <c r="J531" s="200"/>
      <c r="K531" s="200">
        <f>SUMIF(AE!C:C,ATB!C:C,AE!F:F)</f>
        <v>0</v>
      </c>
      <c r="L531" s="200">
        <f t="shared" si="24"/>
        <v>0</v>
      </c>
      <c r="M531" s="200">
        <f t="shared" si="25"/>
        <v>0</v>
      </c>
    </row>
    <row r="532" spans="2:13" x14ac:dyDescent="0.35">
      <c r="B532" s="117"/>
      <c r="C532" s="117"/>
      <c r="D532" s="117"/>
      <c r="E532" s="117"/>
      <c r="F532" s="200"/>
      <c r="G532" s="200"/>
      <c r="H532" s="200"/>
      <c r="I532" s="200"/>
      <c r="J532" s="200"/>
      <c r="K532" s="200">
        <f>SUMIF(AE!C:C,ATB!C:C,AE!F:F)</f>
        <v>0</v>
      </c>
      <c r="L532" s="200">
        <f t="shared" si="24"/>
        <v>0</v>
      </c>
      <c r="M532" s="200">
        <f t="shared" si="25"/>
        <v>0</v>
      </c>
    </row>
    <row r="533" spans="2:13" x14ac:dyDescent="0.35">
      <c r="B533" s="117"/>
      <c r="C533" s="117"/>
      <c r="D533" s="117"/>
      <c r="E533" s="117"/>
      <c r="F533" s="200"/>
      <c r="G533" s="200"/>
      <c r="H533" s="200"/>
      <c r="I533" s="200"/>
      <c r="J533" s="200"/>
      <c r="K533" s="200">
        <f>SUMIF(AE!C:C,ATB!C:C,AE!F:F)</f>
        <v>0</v>
      </c>
      <c r="L533" s="200">
        <f t="shared" si="24"/>
        <v>0</v>
      </c>
      <c r="M533" s="200">
        <f t="shared" si="25"/>
        <v>0</v>
      </c>
    </row>
    <row r="534" spans="2:13" x14ac:dyDescent="0.35">
      <c r="B534" s="117"/>
      <c r="C534" s="117"/>
      <c r="D534" s="117"/>
      <c r="E534" s="117"/>
      <c r="F534" s="200"/>
      <c r="G534" s="200"/>
      <c r="H534" s="200"/>
      <c r="I534" s="200"/>
      <c r="J534" s="200"/>
      <c r="K534" s="200">
        <f>SUMIF(AE!C:C,ATB!C:C,AE!F:F)</f>
        <v>0</v>
      </c>
      <c r="L534" s="200">
        <f t="shared" si="24"/>
        <v>0</v>
      </c>
      <c r="M534" s="200">
        <f t="shared" si="25"/>
        <v>0</v>
      </c>
    </row>
    <row r="535" spans="2:13" x14ac:dyDescent="0.35">
      <c r="B535" s="117"/>
      <c r="C535" s="117"/>
      <c r="D535" s="117"/>
      <c r="E535" s="117"/>
      <c r="F535" s="200"/>
      <c r="G535" s="200"/>
      <c r="H535" s="200"/>
      <c r="I535" s="200"/>
      <c r="J535" s="200"/>
      <c r="K535" s="200">
        <f>SUMIF(AE!C:C,ATB!C:C,AE!F:F)</f>
        <v>0</v>
      </c>
      <c r="L535" s="200">
        <f t="shared" si="24"/>
        <v>0</v>
      </c>
      <c r="M535" s="200">
        <f t="shared" si="25"/>
        <v>0</v>
      </c>
    </row>
    <row r="536" spans="2:13" x14ac:dyDescent="0.35">
      <c r="B536" s="117"/>
      <c r="C536" s="117"/>
      <c r="D536" s="117"/>
      <c r="E536" s="117"/>
      <c r="F536" s="200"/>
      <c r="G536" s="200"/>
      <c r="H536" s="200"/>
      <c r="I536" s="200"/>
      <c r="J536" s="200"/>
      <c r="K536" s="200">
        <f>SUMIF(AE!C:C,ATB!C:C,AE!F:F)</f>
        <v>0</v>
      </c>
      <c r="L536" s="200">
        <f t="shared" si="24"/>
        <v>0</v>
      </c>
      <c r="M536" s="200">
        <f t="shared" si="25"/>
        <v>0</v>
      </c>
    </row>
    <row r="537" spans="2:13" x14ac:dyDescent="0.35">
      <c r="B537" s="117"/>
      <c r="C537" s="117"/>
      <c r="D537" s="117"/>
      <c r="E537" s="117"/>
      <c r="F537" s="200"/>
      <c r="G537" s="200"/>
      <c r="H537" s="200"/>
      <c r="I537" s="200"/>
      <c r="J537" s="200"/>
      <c r="K537" s="200">
        <f>SUMIF(AE!C:C,ATB!C:C,AE!F:F)</f>
        <v>0</v>
      </c>
      <c r="L537" s="200">
        <f t="shared" si="24"/>
        <v>0</v>
      </c>
      <c r="M537" s="200">
        <f t="shared" si="25"/>
        <v>0</v>
      </c>
    </row>
    <row r="538" spans="2:13" x14ac:dyDescent="0.35">
      <c r="B538" s="117"/>
      <c r="C538" s="117"/>
      <c r="D538" s="117"/>
      <c r="E538" s="117"/>
      <c r="F538" s="200"/>
      <c r="G538" s="200"/>
      <c r="H538" s="200"/>
      <c r="I538" s="200"/>
      <c r="J538" s="200"/>
      <c r="K538" s="200">
        <f>SUMIF(AE!C:C,ATB!C:C,AE!F:F)</f>
        <v>0</v>
      </c>
      <c r="L538" s="200">
        <f t="shared" si="24"/>
        <v>0</v>
      </c>
      <c r="M538" s="200">
        <f t="shared" si="25"/>
        <v>0</v>
      </c>
    </row>
    <row r="539" spans="2:13" x14ac:dyDescent="0.35">
      <c r="B539" s="117"/>
      <c r="C539" s="117"/>
      <c r="D539" s="117"/>
      <c r="E539" s="117"/>
      <c r="F539" s="200"/>
      <c r="G539" s="200"/>
      <c r="H539" s="200"/>
      <c r="I539" s="200"/>
      <c r="J539" s="200"/>
      <c r="K539" s="200">
        <f>SUMIF(AE!C:C,ATB!C:C,AE!F:F)</f>
        <v>0</v>
      </c>
      <c r="L539" s="200">
        <f t="shared" si="24"/>
        <v>0</v>
      </c>
      <c r="M539" s="200">
        <f t="shared" si="25"/>
        <v>0</v>
      </c>
    </row>
    <row r="540" spans="2:13" x14ac:dyDescent="0.35">
      <c r="B540" s="117"/>
      <c r="C540" s="117"/>
      <c r="D540" s="117"/>
      <c r="E540" s="117"/>
      <c r="F540" s="200"/>
      <c r="G540" s="200"/>
      <c r="H540" s="200"/>
      <c r="I540" s="200"/>
      <c r="J540" s="200"/>
      <c r="K540" s="200">
        <f>SUMIF(AE!C:C,ATB!C:C,AE!F:F)</f>
        <v>0</v>
      </c>
      <c r="L540" s="200">
        <f t="shared" si="24"/>
        <v>0</v>
      </c>
      <c r="M540" s="200">
        <f t="shared" si="25"/>
        <v>0</v>
      </c>
    </row>
    <row r="541" spans="2:13" x14ac:dyDescent="0.35">
      <c r="B541" s="117"/>
      <c r="C541" s="117"/>
      <c r="D541" s="117"/>
      <c r="E541" s="117"/>
      <c r="F541" s="200"/>
      <c r="G541" s="200"/>
      <c r="H541" s="200"/>
      <c r="I541" s="200"/>
      <c r="J541" s="200"/>
      <c r="K541" s="200">
        <f>SUMIF(AE!C:C,ATB!C:C,AE!F:F)</f>
        <v>0</v>
      </c>
      <c r="L541" s="200">
        <f t="shared" si="24"/>
        <v>0</v>
      </c>
      <c r="M541" s="200">
        <f t="shared" si="25"/>
        <v>0</v>
      </c>
    </row>
    <row r="542" spans="2:13" x14ac:dyDescent="0.35">
      <c r="B542" s="117"/>
      <c r="C542" s="117"/>
      <c r="D542" s="117"/>
      <c r="E542" s="117"/>
      <c r="F542" s="200"/>
      <c r="G542" s="200"/>
      <c r="H542" s="200"/>
      <c r="I542" s="200"/>
      <c r="J542" s="200"/>
      <c r="K542" s="200">
        <f>SUMIF(AE!C:C,ATB!C:C,AE!F:F)</f>
        <v>0</v>
      </c>
      <c r="L542" s="200">
        <f t="shared" si="24"/>
        <v>0</v>
      </c>
      <c r="M542" s="200">
        <f t="shared" si="25"/>
        <v>0</v>
      </c>
    </row>
    <row r="543" spans="2:13" x14ac:dyDescent="0.35">
      <c r="B543" s="117"/>
      <c r="C543" s="117"/>
      <c r="D543" s="117"/>
      <c r="E543" s="117"/>
      <c r="F543" s="200"/>
      <c r="G543" s="200"/>
      <c r="H543" s="200"/>
      <c r="I543" s="200"/>
      <c r="J543" s="200"/>
      <c r="K543" s="200">
        <f>SUMIF(AE!C:C,ATB!C:C,AE!F:F)</f>
        <v>0</v>
      </c>
      <c r="L543" s="200">
        <f t="shared" si="24"/>
        <v>0</v>
      </c>
      <c r="M543" s="200">
        <f t="shared" si="25"/>
        <v>0</v>
      </c>
    </row>
    <row r="544" spans="2:13" x14ac:dyDescent="0.35">
      <c r="B544" s="117"/>
      <c r="C544" s="117"/>
      <c r="D544" s="117"/>
      <c r="E544" s="117"/>
      <c r="F544" s="200"/>
      <c r="G544" s="200"/>
      <c r="H544" s="200"/>
      <c r="I544" s="200"/>
      <c r="J544" s="200"/>
      <c r="K544" s="200">
        <f>SUMIF(AE!C:C,ATB!C:C,AE!F:F)</f>
        <v>0</v>
      </c>
      <c r="L544" s="200">
        <f t="shared" si="24"/>
        <v>0</v>
      </c>
      <c r="M544" s="200">
        <f t="shared" si="25"/>
        <v>0</v>
      </c>
    </row>
    <row r="545" spans="2:13" x14ac:dyDescent="0.35">
      <c r="B545" s="117"/>
      <c r="C545" s="117"/>
      <c r="D545" s="117"/>
      <c r="E545" s="117"/>
      <c r="F545" s="200"/>
      <c r="G545" s="200"/>
      <c r="H545" s="200"/>
      <c r="I545" s="200"/>
      <c r="J545" s="200"/>
      <c r="K545" s="200">
        <f>SUMIF(AE!C:C,ATB!C:C,AE!F:F)</f>
        <v>0</v>
      </c>
      <c r="L545" s="200">
        <f t="shared" si="24"/>
        <v>0</v>
      </c>
      <c r="M545" s="200">
        <f t="shared" si="25"/>
        <v>0</v>
      </c>
    </row>
    <row r="546" spans="2:13" x14ac:dyDescent="0.35">
      <c r="B546" s="117"/>
      <c r="C546" s="117"/>
      <c r="D546" s="117"/>
      <c r="E546" s="117"/>
      <c r="F546" s="200"/>
      <c r="G546" s="200"/>
      <c r="H546" s="200"/>
      <c r="I546" s="200"/>
      <c r="J546" s="200"/>
      <c r="K546" s="200">
        <f>SUMIF(AE!C:C,ATB!C:C,AE!F:F)</f>
        <v>0</v>
      </c>
      <c r="L546" s="200">
        <f t="shared" si="24"/>
        <v>0</v>
      </c>
      <c r="M546" s="200">
        <f t="shared" si="25"/>
        <v>0</v>
      </c>
    </row>
    <row r="547" spans="2:13" x14ac:dyDescent="0.35">
      <c r="B547" s="117"/>
      <c r="C547" s="117"/>
      <c r="D547" s="117"/>
      <c r="E547" s="117"/>
      <c r="F547" s="200"/>
      <c r="G547" s="200"/>
      <c r="H547" s="200"/>
      <c r="I547" s="200"/>
      <c r="J547" s="200"/>
      <c r="K547" s="200">
        <f>SUMIF(AE!C:C,ATB!C:C,AE!F:F)</f>
        <v>0</v>
      </c>
      <c r="L547" s="200">
        <f t="shared" si="24"/>
        <v>0</v>
      </c>
      <c r="M547" s="200">
        <f t="shared" si="25"/>
        <v>0</v>
      </c>
    </row>
    <row r="548" spans="2:13" x14ac:dyDescent="0.35">
      <c r="B548" s="117"/>
      <c r="C548" s="117"/>
      <c r="D548" s="117"/>
      <c r="E548" s="117"/>
      <c r="F548" s="200"/>
      <c r="G548" s="200"/>
      <c r="H548" s="200"/>
      <c r="I548" s="200"/>
      <c r="J548" s="200"/>
      <c r="K548" s="200">
        <f>SUMIF(AE!C:C,ATB!C:C,AE!F:F)</f>
        <v>0</v>
      </c>
      <c r="L548" s="200">
        <f t="shared" si="24"/>
        <v>0</v>
      </c>
      <c r="M548" s="200">
        <f t="shared" si="25"/>
        <v>0</v>
      </c>
    </row>
    <row r="549" spans="2:13" x14ac:dyDescent="0.35">
      <c r="B549" s="117"/>
      <c r="C549" s="117"/>
      <c r="D549" s="117"/>
      <c r="E549" s="117"/>
      <c r="F549" s="200"/>
      <c r="G549" s="200"/>
      <c r="H549" s="200"/>
      <c r="I549" s="200"/>
      <c r="J549" s="200"/>
      <c r="K549" s="200">
        <f>SUMIF(AE!C:C,ATB!C:C,AE!F:F)</f>
        <v>0</v>
      </c>
      <c r="L549" s="200">
        <f t="shared" si="24"/>
        <v>0</v>
      </c>
      <c r="M549" s="200">
        <f t="shared" si="25"/>
        <v>0</v>
      </c>
    </row>
    <row r="550" spans="2:13" x14ac:dyDescent="0.35">
      <c r="B550" s="117"/>
      <c r="C550" s="117"/>
      <c r="D550" s="117"/>
      <c r="E550" s="117"/>
      <c r="F550" s="200"/>
      <c r="G550" s="200"/>
      <c r="H550" s="200"/>
      <c r="I550" s="200"/>
      <c r="J550" s="200"/>
      <c r="K550" s="200">
        <f>SUMIF(AE!C:C,ATB!C:C,AE!F:F)</f>
        <v>0</v>
      </c>
      <c r="L550" s="200">
        <f t="shared" si="24"/>
        <v>0</v>
      </c>
      <c r="M550" s="200">
        <f t="shared" si="25"/>
        <v>0</v>
      </c>
    </row>
    <row r="551" spans="2:13" x14ac:dyDescent="0.35">
      <c r="B551" s="117"/>
      <c r="C551" s="117"/>
      <c r="D551" s="117"/>
      <c r="E551" s="117"/>
      <c r="F551" s="200"/>
      <c r="G551" s="200"/>
      <c r="H551" s="200"/>
      <c r="I551" s="200"/>
      <c r="J551" s="200"/>
      <c r="K551" s="200">
        <f>SUMIF(AE!C:C,ATB!C:C,AE!F:F)</f>
        <v>0</v>
      </c>
      <c r="L551" s="200">
        <f t="shared" si="24"/>
        <v>0</v>
      </c>
      <c r="M551" s="200">
        <f t="shared" si="25"/>
        <v>0</v>
      </c>
    </row>
    <row r="552" spans="2:13" x14ac:dyDescent="0.35">
      <c r="B552" s="117"/>
      <c r="C552" s="117"/>
      <c r="D552" s="117"/>
      <c r="E552" s="117"/>
      <c r="F552" s="200"/>
      <c r="G552" s="200"/>
      <c r="H552" s="200"/>
      <c r="I552" s="200"/>
      <c r="J552" s="200"/>
      <c r="K552" s="200">
        <f>SUMIF(AE!C:C,ATB!C:C,AE!F:F)</f>
        <v>0</v>
      </c>
      <c r="L552" s="200">
        <f t="shared" si="24"/>
        <v>0</v>
      </c>
      <c r="M552" s="200">
        <f t="shared" si="25"/>
        <v>0</v>
      </c>
    </row>
    <row r="553" spans="2:13" x14ac:dyDescent="0.35">
      <c r="B553" s="117"/>
      <c r="C553" s="117"/>
      <c r="D553" s="117"/>
      <c r="E553" s="117"/>
      <c r="F553" s="200"/>
      <c r="G553" s="200"/>
      <c r="H553" s="200"/>
      <c r="I553" s="200"/>
      <c r="J553" s="200"/>
      <c r="K553" s="200">
        <f>SUMIF(AE!C:C,ATB!C:C,AE!F:F)</f>
        <v>0</v>
      </c>
      <c r="L553" s="200">
        <f t="shared" si="24"/>
        <v>0</v>
      </c>
      <c r="M553" s="200">
        <f t="shared" si="25"/>
        <v>0</v>
      </c>
    </row>
    <row r="554" spans="2:13" x14ac:dyDescent="0.35">
      <c r="B554" s="117"/>
      <c r="C554" s="117"/>
      <c r="D554" s="117"/>
      <c r="E554" s="117"/>
      <c r="F554" s="200"/>
      <c r="G554" s="200"/>
      <c r="H554" s="200"/>
      <c r="I554" s="200"/>
      <c r="J554" s="200"/>
      <c r="K554" s="200">
        <f>SUMIF(AE!C:C,ATB!C:C,AE!F:F)</f>
        <v>0</v>
      </c>
      <c r="L554" s="200">
        <f t="shared" si="24"/>
        <v>0</v>
      </c>
      <c r="M554" s="200">
        <f t="shared" si="25"/>
        <v>0</v>
      </c>
    </row>
    <row r="555" spans="2:13" x14ac:dyDescent="0.35">
      <c r="B555" s="117"/>
      <c r="C555" s="117"/>
      <c r="D555" s="117"/>
      <c r="E555" s="117"/>
      <c r="F555" s="200"/>
      <c r="G555" s="200"/>
      <c r="H555" s="200"/>
      <c r="I555" s="200"/>
      <c r="J555" s="200"/>
      <c r="K555" s="200">
        <f>SUMIF(AE!C:C,ATB!C:C,AE!F:F)</f>
        <v>0</v>
      </c>
      <c r="L555" s="200">
        <f t="shared" si="24"/>
        <v>0</v>
      </c>
      <c r="M555" s="200">
        <f t="shared" si="25"/>
        <v>0</v>
      </c>
    </row>
    <row r="556" spans="2:13" x14ac:dyDescent="0.35">
      <c r="B556" s="117"/>
      <c r="C556" s="117"/>
      <c r="D556" s="117"/>
      <c r="E556" s="117"/>
      <c r="F556" s="200"/>
      <c r="G556" s="200"/>
      <c r="H556" s="200"/>
      <c r="I556" s="200"/>
      <c r="J556" s="200"/>
      <c r="K556" s="200">
        <f>SUMIF(AE!C:C,ATB!C:C,AE!F:F)</f>
        <v>0</v>
      </c>
      <c r="L556" s="200">
        <f t="shared" si="24"/>
        <v>0</v>
      </c>
      <c r="M556" s="200">
        <f t="shared" si="25"/>
        <v>0</v>
      </c>
    </row>
    <row r="557" spans="2:13" x14ac:dyDescent="0.35">
      <c r="B557" s="117"/>
      <c r="C557" s="117"/>
      <c r="D557" s="117"/>
      <c r="E557" s="117"/>
      <c r="F557" s="200"/>
      <c r="G557" s="200"/>
      <c r="H557" s="200"/>
      <c r="I557" s="200"/>
      <c r="J557" s="200"/>
      <c r="K557" s="200">
        <f>SUMIF(AE!C:C,ATB!C:C,AE!F:F)</f>
        <v>0</v>
      </c>
      <c r="L557" s="200">
        <f t="shared" si="24"/>
        <v>0</v>
      </c>
      <c r="M557" s="200">
        <f t="shared" si="25"/>
        <v>0</v>
      </c>
    </row>
    <row r="558" spans="2:13" x14ac:dyDescent="0.35">
      <c r="B558" s="117"/>
      <c r="C558" s="117"/>
      <c r="D558" s="117"/>
      <c r="E558" s="117"/>
      <c r="F558" s="200"/>
      <c r="G558" s="200"/>
      <c r="H558" s="200"/>
      <c r="I558" s="200"/>
      <c r="J558" s="200"/>
      <c r="K558" s="200">
        <f>SUMIF(AE!C:C,ATB!C:C,AE!F:F)</f>
        <v>0</v>
      </c>
      <c r="L558" s="200">
        <f t="shared" si="24"/>
        <v>0</v>
      </c>
      <c r="M558" s="200">
        <f t="shared" si="25"/>
        <v>0</v>
      </c>
    </row>
    <row r="559" spans="2:13" x14ac:dyDescent="0.35">
      <c r="B559" s="117"/>
      <c r="C559" s="117"/>
      <c r="D559" s="117"/>
      <c r="E559" s="117"/>
      <c r="F559" s="200"/>
      <c r="G559" s="200"/>
      <c r="H559" s="200"/>
      <c r="I559" s="200"/>
      <c r="J559" s="200"/>
      <c r="K559" s="200">
        <f>SUMIF(AE!C:C,ATB!C:C,AE!F:F)</f>
        <v>0</v>
      </c>
      <c r="L559" s="200">
        <f t="shared" si="24"/>
        <v>0</v>
      </c>
      <c r="M559" s="200">
        <f t="shared" si="25"/>
        <v>0</v>
      </c>
    </row>
    <row r="560" spans="2:13" x14ac:dyDescent="0.35">
      <c r="B560" s="117"/>
      <c r="C560" s="117"/>
      <c r="D560" s="117"/>
      <c r="E560" s="117"/>
      <c r="F560" s="200"/>
      <c r="G560" s="200"/>
      <c r="H560" s="200"/>
      <c r="I560" s="200"/>
      <c r="J560" s="200"/>
      <c r="K560" s="200">
        <f>SUMIF(AE!C:C,ATB!C:C,AE!F:F)</f>
        <v>0</v>
      </c>
      <c r="L560" s="200">
        <f t="shared" si="24"/>
        <v>0</v>
      </c>
      <c r="M560" s="200">
        <f t="shared" si="25"/>
        <v>0</v>
      </c>
    </row>
    <row r="561" spans="2:13" x14ac:dyDescent="0.35">
      <c r="B561" s="117"/>
      <c r="C561" s="117"/>
      <c r="D561" s="117"/>
      <c r="E561" s="117"/>
      <c r="F561" s="200"/>
      <c r="G561" s="200"/>
      <c r="H561" s="200"/>
      <c r="I561" s="200"/>
      <c r="J561" s="200"/>
      <c r="K561" s="200">
        <f>SUMIF(AE!C:C,ATB!C:C,AE!F:F)</f>
        <v>0</v>
      </c>
      <c r="L561" s="200">
        <f t="shared" si="24"/>
        <v>0</v>
      </c>
      <c r="M561" s="200">
        <f t="shared" si="25"/>
        <v>0</v>
      </c>
    </row>
    <row r="562" spans="2:13" x14ac:dyDescent="0.35">
      <c r="B562" s="117"/>
      <c r="C562" s="117"/>
      <c r="D562" s="117"/>
      <c r="E562" s="117"/>
      <c r="F562" s="200"/>
      <c r="G562" s="200"/>
      <c r="H562" s="200"/>
      <c r="I562" s="200"/>
      <c r="J562" s="200"/>
      <c r="K562" s="200">
        <f>SUMIF(AE!C:C,ATB!C:C,AE!F:F)</f>
        <v>0</v>
      </c>
      <c r="L562" s="200">
        <f t="shared" si="24"/>
        <v>0</v>
      </c>
      <c r="M562" s="200">
        <f t="shared" si="25"/>
        <v>0</v>
      </c>
    </row>
    <row r="563" spans="2:13" x14ac:dyDescent="0.35">
      <c r="B563" s="117"/>
      <c r="C563" s="117"/>
      <c r="D563" s="117"/>
      <c r="E563" s="117"/>
      <c r="F563" s="200"/>
      <c r="G563" s="200"/>
      <c r="H563" s="200"/>
      <c r="I563" s="200"/>
      <c r="J563" s="200"/>
      <c r="K563" s="200">
        <f>SUMIF(AE!C:C,ATB!C:C,AE!F:F)</f>
        <v>0</v>
      </c>
      <c r="L563" s="200">
        <f t="shared" si="24"/>
        <v>0</v>
      </c>
      <c r="M563" s="200">
        <f t="shared" si="25"/>
        <v>0</v>
      </c>
    </row>
    <row r="564" spans="2:13" x14ac:dyDescent="0.35">
      <c r="B564" s="117"/>
      <c r="C564" s="117"/>
      <c r="D564" s="117"/>
      <c r="E564" s="117"/>
      <c r="F564" s="200"/>
      <c r="G564" s="200"/>
      <c r="H564" s="200"/>
      <c r="I564" s="200"/>
      <c r="J564" s="200"/>
      <c r="K564" s="200">
        <f>SUMIF(AE!C:C,ATB!C:C,AE!F:F)</f>
        <v>0</v>
      </c>
      <c r="L564" s="200">
        <f t="shared" si="24"/>
        <v>0</v>
      </c>
      <c r="M564" s="200">
        <f t="shared" si="25"/>
        <v>0</v>
      </c>
    </row>
    <row r="565" spans="2:13" x14ac:dyDescent="0.35">
      <c r="B565" s="117"/>
      <c r="C565" s="117"/>
      <c r="D565" s="117"/>
      <c r="E565" s="117"/>
      <c r="F565" s="200"/>
      <c r="G565" s="200"/>
      <c r="H565" s="200"/>
      <c r="I565" s="200"/>
      <c r="J565" s="200"/>
      <c r="K565" s="200">
        <f>SUMIF(AE!C:C,ATB!C:C,AE!F:F)</f>
        <v>0</v>
      </c>
      <c r="L565" s="200">
        <f t="shared" si="24"/>
        <v>0</v>
      </c>
      <c r="M565" s="200">
        <f t="shared" si="25"/>
        <v>0</v>
      </c>
    </row>
    <row r="566" spans="2:13" x14ac:dyDescent="0.35">
      <c r="B566" s="117"/>
      <c r="C566" s="117"/>
      <c r="D566" s="117"/>
      <c r="E566" s="117"/>
      <c r="F566" s="200"/>
      <c r="G566" s="200"/>
      <c r="H566" s="200"/>
      <c r="I566" s="200"/>
      <c r="J566" s="200"/>
      <c r="K566" s="200">
        <f>SUMIF(AE!C:C,ATB!C:C,AE!F:F)</f>
        <v>0</v>
      </c>
      <c r="L566" s="200">
        <f t="shared" si="24"/>
        <v>0</v>
      </c>
      <c r="M566" s="200">
        <f t="shared" si="25"/>
        <v>0</v>
      </c>
    </row>
    <row r="567" spans="2:13" x14ac:dyDescent="0.35">
      <c r="B567" s="117"/>
      <c r="C567" s="117"/>
      <c r="D567" s="117"/>
      <c r="E567" s="117"/>
      <c r="F567" s="200"/>
      <c r="G567" s="200"/>
      <c r="H567" s="200"/>
      <c r="I567" s="200"/>
      <c r="J567" s="200"/>
      <c r="K567" s="200">
        <f>SUMIF(AE!C:C,ATB!C:C,AE!F:F)</f>
        <v>0</v>
      </c>
      <c r="L567" s="200">
        <f t="shared" si="24"/>
        <v>0</v>
      </c>
      <c r="M567" s="200">
        <f t="shared" si="25"/>
        <v>0</v>
      </c>
    </row>
    <row r="568" spans="2:13" x14ac:dyDescent="0.35">
      <c r="B568" s="117"/>
      <c r="C568" s="117"/>
      <c r="D568" s="117"/>
      <c r="E568" s="117"/>
      <c r="F568" s="200"/>
      <c r="G568" s="200"/>
      <c r="H568" s="200"/>
      <c r="I568" s="200"/>
      <c r="J568" s="200"/>
      <c r="K568" s="200">
        <f>SUMIF(AE!C:C,ATB!C:C,AE!F:F)</f>
        <v>0</v>
      </c>
      <c r="L568" s="200">
        <f t="shared" si="24"/>
        <v>0</v>
      </c>
      <c r="M568" s="200">
        <f t="shared" si="25"/>
        <v>0</v>
      </c>
    </row>
    <row r="569" spans="2:13" x14ac:dyDescent="0.35">
      <c r="B569" s="117"/>
      <c r="C569" s="117"/>
      <c r="D569" s="117"/>
      <c r="E569" s="117"/>
      <c r="F569" s="200"/>
      <c r="G569" s="200"/>
      <c r="H569" s="200"/>
      <c r="I569" s="200"/>
      <c r="J569" s="200"/>
      <c r="K569" s="200">
        <f>SUMIF(AE!C:C,ATB!C:C,AE!F:F)</f>
        <v>0</v>
      </c>
      <c r="L569" s="200">
        <f t="shared" si="24"/>
        <v>0</v>
      </c>
      <c r="M569" s="200">
        <f t="shared" si="25"/>
        <v>0</v>
      </c>
    </row>
    <row r="570" spans="2:13" x14ac:dyDescent="0.35">
      <c r="B570" s="117"/>
      <c r="C570" s="117"/>
      <c r="D570" s="117"/>
      <c r="E570" s="117"/>
      <c r="F570" s="200"/>
      <c r="G570" s="200"/>
      <c r="H570" s="200"/>
      <c r="I570" s="200"/>
      <c r="J570" s="200"/>
      <c r="K570" s="200">
        <f>SUMIF(AE!C:C,ATB!C:C,AE!F:F)</f>
        <v>0</v>
      </c>
      <c r="L570" s="200">
        <f t="shared" si="24"/>
        <v>0</v>
      </c>
      <c r="M570" s="200">
        <f t="shared" si="25"/>
        <v>0</v>
      </c>
    </row>
    <row r="571" spans="2:13" x14ac:dyDescent="0.35">
      <c r="B571" s="117"/>
      <c r="C571" s="117"/>
      <c r="D571" s="117"/>
      <c r="E571" s="117"/>
      <c r="F571" s="200"/>
      <c r="G571" s="200"/>
      <c r="H571" s="200"/>
      <c r="I571" s="200"/>
      <c r="J571" s="200"/>
      <c r="K571" s="200">
        <f>SUMIF(AE!C:C,ATB!C:C,AE!F:F)</f>
        <v>0</v>
      </c>
      <c r="L571" s="200">
        <f t="shared" si="24"/>
        <v>0</v>
      </c>
      <c r="M571" s="200">
        <f t="shared" si="25"/>
        <v>0</v>
      </c>
    </row>
    <row r="572" spans="2:13" x14ac:dyDescent="0.35">
      <c r="B572" s="117"/>
      <c r="C572" s="117"/>
      <c r="D572" s="117"/>
      <c r="E572" s="117"/>
      <c r="F572" s="200"/>
      <c r="G572" s="200"/>
      <c r="H572" s="200"/>
      <c r="I572" s="200"/>
      <c r="J572" s="200"/>
      <c r="K572" s="200">
        <f>SUMIF(AE!C:C,ATB!C:C,AE!F:F)</f>
        <v>0</v>
      </c>
      <c r="L572" s="200">
        <f t="shared" si="24"/>
        <v>0</v>
      </c>
      <c r="M572" s="200">
        <f t="shared" si="25"/>
        <v>0</v>
      </c>
    </row>
    <row r="573" spans="2:13" x14ac:dyDescent="0.35">
      <c r="B573" s="117"/>
      <c r="C573" s="117"/>
      <c r="D573" s="117"/>
      <c r="E573" s="117"/>
      <c r="F573" s="200"/>
      <c r="G573" s="200"/>
      <c r="H573" s="200"/>
      <c r="I573" s="200"/>
      <c r="J573" s="200"/>
      <c r="K573" s="200">
        <f>SUMIF(AE!C:C,ATB!C:C,AE!F:F)</f>
        <v>0</v>
      </c>
      <c r="L573" s="200">
        <f t="shared" si="24"/>
        <v>0</v>
      </c>
      <c r="M573" s="200">
        <f t="shared" si="25"/>
        <v>0</v>
      </c>
    </row>
    <row r="574" spans="2:13" x14ac:dyDescent="0.35">
      <c r="B574" s="117"/>
      <c r="C574" s="117"/>
      <c r="D574" s="117"/>
      <c r="E574" s="117"/>
      <c r="F574" s="200"/>
      <c r="G574" s="200"/>
      <c r="H574" s="200"/>
      <c r="I574" s="200"/>
      <c r="J574" s="200"/>
      <c r="K574" s="200">
        <f>SUMIF(AE!C:C,ATB!C:C,AE!F:F)</f>
        <v>0</v>
      </c>
      <c r="L574" s="200">
        <f t="shared" si="24"/>
        <v>0</v>
      </c>
      <c r="M574" s="200">
        <f t="shared" si="25"/>
        <v>0</v>
      </c>
    </row>
    <row r="575" spans="2:13" x14ac:dyDescent="0.35">
      <c r="B575" s="117"/>
      <c r="C575" s="117"/>
      <c r="D575" s="117"/>
      <c r="E575" s="117"/>
      <c r="F575" s="200"/>
      <c r="G575" s="200"/>
      <c r="H575" s="200"/>
      <c r="I575" s="200"/>
      <c r="J575" s="200"/>
      <c r="K575" s="200">
        <f>SUMIF(AE!C:C,ATB!C:C,AE!F:F)</f>
        <v>0</v>
      </c>
      <c r="L575" s="200">
        <f t="shared" si="24"/>
        <v>0</v>
      </c>
      <c r="M575" s="200">
        <f t="shared" si="25"/>
        <v>0</v>
      </c>
    </row>
    <row r="576" spans="2:13" x14ac:dyDescent="0.35">
      <c r="B576" s="117"/>
      <c r="C576" s="117"/>
      <c r="D576" s="117"/>
      <c r="E576" s="117"/>
      <c r="F576" s="200"/>
      <c r="G576" s="200"/>
      <c r="H576" s="200"/>
      <c r="I576" s="200"/>
      <c r="J576" s="200"/>
      <c r="K576" s="200">
        <f>SUMIF(AE!C:C,ATB!C:C,AE!F:F)</f>
        <v>0</v>
      </c>
      <c r="L576" s="200">
        <f t="shared" si="24"/>
        <v>0</v>
      </c>
      <c r="M576" s="200">
        <f t="shared" si="25"/>
        <v>0</v>
      </c>
    </row>
    <row r="577" spans="2:13" x14ac:dyDescent="0.35">
      <c r="B577" s="117"/>
      <c r="C577" s="117"/>
      <c r="D577" s="117"/>
      <c r="E577" s="117"/>
      <c r="F577" s="200"/>
      <c r="G577" s="200"/>
      <c r="H577" s="200"/>
      <c r="I577" s="200"/>
      <c r="J577" s="200"/>
      <c r="K577" s="200">
        <f>SUMIF(AE!C:C,ATB!C:C,AE!F:F)</f>
        <v>0</v>
      </c>
      <c r="L577" s="200">
        <f t="shared" si="24"/>
        <v>0</v>
      </c>
      <c r="M577" s="200">
        <f t="shared" si="25"/>
        <v>0</v>
      </c>
    </row>
    <row r="578" spans="2:13" x14ac:dyDescent="0.35">
      <c r="B578" s="117"/>
      <c r="C578" s="117"/>
      <c r="D578" s="117"/>
      <c r="E578" s="117"/>
      <c r="F578" s="200"/>
      <c r="G578" s="200"/>
      <c r="H578" s="200"/>
      <c r="I578" s="200"/>
      <c r="J578" s="200"/>
      <c r="K578" s="200">
        <f>SUMIF(AE!C:C,ATB!C:C,AE!F:F)</f>
        <v>0</v>
      </c>
      <c r="L578" s="200">
        <f t="shared" ref="L578:L641" si="26">ROUND(IF(F578+H578+J578-G578-I578-K578&gt;0,F578+H578+J578-G578-I578-K578,0),0)</f>
        <v>0</v>
      </c>
      <c r="M578" s="200">
        <f t="shared" ref="M578:M641" si="27">-ROUND(IF(F578+H578+J578-G578-I578-K578&lt;0,F578+H578+J578-G578-I578-K578,0),0)</f>
        <v>0</v>
      </c>
    </row>
    <row r="579" spans="2:13" x14ac:dyDescent="0.35">
      <c r="B579" s="117"/>
      <c r="C579" s="117"/>
      <c r="D579" s="117"/>
      <c r="E579" s="117"/>
      <c r="F579" s="200"/>
      <c r="G579" s="200"/>
      <c r="H579" s="200"/>
      <c r="I579" s="200"/>
      <c r="J579" s="200"/>
      <c r="K579" s="200">
        <f>SUMIF(AE!C:C,ATB!C:C,AE!F:F)</f>
        <v>0</v>
      </c>
      <c r="L579" s="200">
        <f t="shared" si="26"/>
        <v>0</v>
      </c>
      <c r="M579" s="200">
        <f t="shared" si="27"/>
        <v>0</v>
      </c>
    </row>
    <row r="580" spans="2:13" x14ac:dyDescent="0.35">
      <c r="B580" s="117"/>
      <c r="C580" s="117"/>
      <c r="D580" s="117"/>
      <c r="E580" s="117"/>
      <c r="F580" s="200"/>
      <c r="G580" s="200"/>
      <c r="H580" s="200"/>
      <c r="I580" s="200"/>
      <c r="J580" s="200"/>
      <c r="K580" s="200">
        <f>SUMIF(AE!C:C,ATB!C:C,AE!F:F)</f>
        <v>0</v>
      </c>
      <c r="L580" s="200">
        <f t="shared" si="26"/>
        <v>0</v>
      </c>
      <c r="M580" s="200">
        <f t="shared" si="27"/>
        <v>0</v>
      </c>
    </row>
    <row r="581" spans="2:13" x14ac:dyDescent="0.35">
      <c r="B581" s="117"/>
      <c r="C581" s="117"/>
      <c r="D581" s="117"/>
      <c r="E581" s="117"/>
      <c r="F581" s="200"/>
      <c r="G581" s="200"/>
      <c r="H581" s="200"/>
      <c r="I581" s="200"/>
      <c r="J581" s="200"/>
      <c r="K581" s="200">
        <f>SUMIF(AE!C:C,ATB!C:C,AE!F:F)</f>
        <v>0</v>
      </c>
      <c r="L581" s="200">
        <f t="shared" si="26"/>
        <v>0</v>
      </c>
      <c r="M581" s="200">
        <f t="shared" si="27"/>
        <v>0</v>
      </c>
    </row>
    <row r="582" spans="2:13" x14ac:dyDescent="0.35">
      <c r="B582" s="117"/>
      <c r="C582" s="117"/>
      <c r="D582" s="117"/>
      <c r="E582" s="117"/>
      <c r="F582" s="200"/>
      <c r="G582" s="200"/>
      <c r="H582" s="200"/>
      <c r="I582" s="200"/>
      <c r="J582" s="200"/>
      <c r="K582" s="200">
        <f>SUMIF(AE!C:C,ATB!C:C,AE!F:F)</f>
        <v>0</v>
      </c>
      <c r="L582" s="200">
        <f t="shared" si="26"/>
        <v>0</v>
      </c>
      <c r="M582" s="200">
        <f t="shared" si="27"/>
        <v>0</v>
      </c>
    </row>
    <row r="583" spans="2:13" x14ac:dyDescent="0.35">
      <c r="B583" s="117"/>
      <c r="C583" s="117"/>
      <c r="D583" s="117"/>
      <c r="E583" s="117"/>
      <c r="F583" s="200"/>
      <c r="G583" s="200"/>
      <c r="H583" s="200"/>
      <c r="I583" s="200"/>
      <c r="J583" s="200"/>
      <c r="K583" s="200">
        <f>SUMIF(AE!C:C,ATB!C:C,AE!F:F)</f>
        <v>0</v>
      </c>
      <c r="L583" s="200">
        <f t="shared" si="26"/>
        <v>0</v>
      </c>
      <c r="M583" s="200">
        <f t="shared" si="27"/>
        <v>0</v>
      </c>
    </row>
    <row r="584" spans="2:13" x14ac:dyDescent="0.35">
      <c r="B584" s="117"/>
      <c r="C584" s="117"/>
      <c r="D584" s="117"/>
      <c r="E584" s="117"/>
      <c r="F584" s="200"/>
      <c r="G584" s="200"/>
      <c r="H584" s="200"/>
      <c r="I584" s="200"/>
      <c r="J584" s="200"/>
      <c r="K584" s="200">
        <f>SUMIF(AE!C:C,ATB!C:C,AE!F:F)</f>
        <v>0</v>
      </c>
      <c r="L584" s="200">
        <f t="shared" si="26"/>
        <v>0</v>
      </c>
      <c r="M584" s="200">
        <f t="shared" si="27"/>
        <v>0</v>
      </c>
    </row>
    <row r="585" spans="2:13" x14ac:dyDescent="0.35">
      <c r="B585" s="117"/>
      <c r="C585" s="117"/>
      <c r="D585" s="117"/>
      <c r="E585" s="117"/>
      <c r="F585" s="200"/>
      <c r="G585" s="200"/>
      <c r="H585" s="200"/>
      <c r="I585" s="200"/>
      <c r="J585" s="200"/>
      <c r="K585" s="200">
        <f>SUMIF(AE!C:C,ATB!C:C,AE!F:F)</f>
        <v>0</v>
      </c>
      <c r="L585" s="200">
        <f t="shared" si="26"/>
        <v>0</v>
      </c>
      <c r="M585" s="200">
        <f t="shared" si="27"/>
        <v>0</v>
      </c>
    </row>
    <row r="586" spans="2:13" x14ac:dyDescent="0.35">
      <c r="B586" s="117"/>
      <c r="C586" s="117"/>
      <c r="D586" s="117"/>
      <c r="E586" s="117"/>
      <c r="F586" s="200"/>
      <c r="G586" s="200"/>
      <c r="H586" s="200"/>
      <c r="I586" s="200"/>
      <c r="J586" s="200"/>
      <c r="K586" s="200">
        <f>SUMIF(AE!C:C,ATB!C:C,AE!F:F)</f>
        <v>0</v>
      </c>
      <c r="L586" s="200">
        <f t="shared" si="26"/>
        <v>0</v>
      </c>
      <c r="M586" s="200">
        <f t="shared" si="27"/>
        <v>0</v>
      </c>
    </row>
    <row r="587" spans="2:13" x14ac:dyDescent="0.35">
      <c r="B587" s="117"/>
      <c r="C587" s="117"/>
      <c r="D587" s="117"/>
      <c r="E587" s="117"/>
      <c r="F587" s="200"/>
      <c r="G587" s="200"/>
      <c r="H587" s="200"/>
      <c r="I587" s="200"/>
      <c r="J587" s="200"/>
      <c r="K587" s="200">
        <f>SUMIF(AE!C:C,ATB!C:C,AE!F:F)</f>
        <v>0</v>
      </c>
      <c r="L587" s="200">
        <f t="shared" si="26"/>
        <v>0</v>
      </c>
      <c r="M587" s="200">
        <f t="shared" si="27"/>
        <v>0</v>
      </c>
    </row>
    <row r="588" spans="2:13" x14ac:dyDescent="0.35">
      <c r="B588" s="117"/>
      <c r="C588" s="117"/>
      <c r="D588" s="117"/>
      <c r="E588" s="117"/>
      <c r="F588" s="200"/>
      <c r="G588" s="200"/>
      <c r="H588" s="200"/>
      <c r="I588" s="200"/>
      <c r="J588" s="200"/>
      <c r="K588" s="200">
        <f>SUMIF(AE!C:C,ATB!C:C,AE!F:F)</f>
        <v>0</v>
      </c>
      <c r="L588" s="200">
        <f t="shared" si="26"/>
        <v>0</v>
      </c>
      <c r="M588" s="200">
        <f t="shared" si="27"/>
        <v>0</v>
      </c>
    </row>
    <row r="589" spans="2:13" x14ac:dyDescent="0.35">
      <c r="B589" s="117"/>
      <c r="C589" s="117"/>
      <c r="D589" s="117"/>
      <c r="E589" s="117"/>
      <c r="F589" s="200"/>
      <c r="G589" s="200"/>
      <c r="H589" s="200"/>
      <c r="I589" s="200"/>
      <c r="J589" s="200"/>
      <c r="K589" s="200">
        <f>SUMIF(AE!C:C,ATB!C:C,AE!F:F)</f>
        <v>0</v>
      </c>
      <c r="L589" s="200">
        <f t="shared" si="26"/>
        <v>0</v>
      </c>
      <c r="M589" s="200">
        <f t="shared" si="27"/>
        <v>0</v>
      </c>
    </row>
    <row r="590" spans="2:13" x14ac:dyDescent="0.35">
      <c r="B590" s="117"/>
      <c r="C590" s="117"/>
      <c r="D590" s="117"/>
      <c r="E590" s="117"/>
      <c r="F590" s="200"/>
      <c r="G590" s="200"/>
      <c r="H590" s="200"/>
      <c r="I590" s="200"/>
      <c r="J590" s="200"/>
      <c r="K590" s="200">
        <f>SUMIF(AE!C:C,ATB!C:C,AE!F:F)</f>
        <v>0</v>
      </c>
      <c r="L590" s="200">
        <f t="shared" si="26"/>
        <v>0</v>
      </c>
      <c r="M590" s="200">
        <f t="shared" si="27"/>
        <v>0</v>
      </c>
    </row>
    <row r="591" spans="2:13" x14ac:dyDescent="0.35">
      <c r="B591" s="117"/>
      <c r="C591" s="117"/>
      <c r="D591" s="117"/>
      <c r="E591" s="117"/>
      <c r="F591" s="200"/>
      <c r="G591" s="200"/>
      <c r="H591" s="200"/>
      <c r="I591" s="200"/>
      <c r="J591" s="200"/>
      <c r="K591" s="200">
        <f>SUMIF(AE!C:C,ATB!C:C,AE!F:F)</f>
        <v>0</v>
      </c>
      <c r="L591" s="200">
        <f t="shared" si="26"/>
        <v>0</v>
      </c>
      <c r="M591" s="200">
        <f t="shared" si="27"/>
        <v>0</v>
      </c>
    </row>
    <row r="592" spans="2:13" x14ac:dyDescent="0.35">
      <c r="B592" s="117"/>
      <c r="C592" s="117"/>
      <c r="D592" s="117"/>
      <c r="E592" s="117"/>
      <c r="F592" s="200"/>
      <c r="G592" s="200"/>
      <c r="H592" s="200"/>
      <c r="I592" s="200"/>
      <c r="J592" s="200"/>
      <c r="K592" s="200">
        <f>SUMIF(AE!C:C,ATB!C:C,AE!F:F)</f>
        <v>0</v>
      </c>
      <c r="L592" s="200">
        <f t="shared" si="26"/>
        <v>0</v>
      </c>
      <c r="M592" s="200">
        <f t="shared" si="27"/>
        <v>0</v>
      </c>
    </row>
    <row r="593" spans="2:13" x14ac:dyDescent="0.35">
      <c r="B593" s="117"/>
      <c r="C593" s="117"/>
      <c r="D593" s="117"/>
      <c r="E593" s="117"/>
      <c r="F593" s="200"/>
      <c r="G593" s="200"/>
      <c r="H593" s="200"/>
      <c r="I593" s="200"/>
      <c r="J593" s="200"/>
      <c r="K593" s="200">
        <f>SUMIF(AE!C:C,ATB!C:C,AE!F:F)</f>
        <v>0</v>
      </c>
      <c r="L593" s="200">
        <f t="shared" si="26"/>
        <v>0</v>
      </c>
      <c r="M593" s="200">
        <f t="shared" si="27"/>
        <v>0</v>
      </c>
    </row>
    <row r="594" spans="2:13" x14ac:dyDescent="0.35">
      <c r="B594" s="117"/>
      <c r="C594" s="117"/>
      <c r="D594" s="117"/>
      <c r="E594" s="117"/>
      <c r="F594" s="200"/>
      <c r="G594" s="200"/>
      <c r="H594" s="200"/>
      <c r="I594" s="200"/>
      <c r="J594" s="200"/>
      <c r="K594" s="200">
        <f>SUMIF(AE!C:C,ATB!C:C,AE!F:F)</f>
        <v>0</v>
      </c>
      <c r="L594" s="200">
        <f t="shared" si="26"/>
        <v>0</v>
      </c>
      <c r="M594" s="200">
        <f t="shared" si="27"/>
        <v>0</v>
      </c>
    </row>
    <row r="595" spans="2:13" x14ac:dyDescent="0.35">
      <c r="B595" s="117"/>
      <c r="C595" s="117"/>
      <c r="D595" s="117"/>
      <c r="E595" s="117"/>
      <c r="F595" s="200"/>
      <c r="G595" s="200"/>
      <c r="H595" s="200"/>
      <c r="I595" s="200"/>
      <c r="J595" s="200"/>
      <c r="K595" s="200">
        <f>SUMIF(AE!C:C,ATB!C:C,AE!F:F)</f>
        <v>0</v>
      </c>
      <c r="L595" s="200">
        <f t="shared" si="26"/>
        <v>0</v>
      </c>
      <c r="M595" s="200">
        <f t="shared" si="27"/>
        <v>0</v>
      </c>
    </row>
    <row r="596" spans="2:13" x14ac:dyDescent="0.35">
      <c r="B596" s="117"/>
      <c r="C596" s="117"/>
      <c r="D596" s="117"/>
      <c r="E596" s="117"/>
      <c r="F596" s="200"/>
      <c r="G596" s="200"/>
      <c r="H596" s="200"/>
      <c r="I596" s="200"/>
      <c r="J596" s="200"/>
      <c r="K596" s="200">
        <f>SUMIF(AE!C:C,ATB!C:C,AE!F:F)</f>
        <v>0</v>
      </c>
      <c r="L596" s="200">
        <f t="shared" si="26"/>
        <v>0</v>
      </c>
      <c r="M596" s="200">
        <f t="shared" si="27"/>
        <v>0</v>
      </c>
    </row>
    <row r="597" spans="2:13" x14ac:dyDescent="0.35">
      <c r="B597" s="117"/>
      <c r="C597" s="117"/>
      <c r="D597" s="117"/>
      <c r="E597" s="117"/>
      <c r="F597" s="200"/>
      <c r="G597" s="200"/>
      <c r="H597" s="200"/>
      <c r="I597" s="200"/>
      <c r="J597" s="200"/>
      <c r="K597" s="200">
        <f>SUMIF(AE!C:C,ATB!C:C,AE!F:F)</f>
        <v>0</v>
      </c>
      <c r="L597" s="200">
        <f t="shared" si="26"/>
        <v>0</v>
      </c>
      <c r="M597" s="200">
        <f t="shared" si="27"/>
        <v>0</v>
      </c>
    </row>
    <row r="598" spans="2:13" x14ac:dyDescent="0.35">
      <c r="B598" s="117"/>
      <c r="C598" s="117"/>
      <c r="D598" s="117"/>
      <c r="E598" s="117"/>
      <c r="F598" s="200"/>
      <c r="G598" s="200"/>
      <c r="H598" s="200"/>
      <c r="I598" s="200"/>
      <c r="J598" s="200"/>
      <c r="K598" s="200">
        <f>SUMIF(AE!C:C,ATB!C:C,AE!F:F)</f>
        <v>0</v>
      </c>
      <c r="L598" s="200">
        <f t="shared" si="26"/>
        <v>0</v>
      </c>
      <c r="M598" s="200">
        <f t="shared" si="27"/>
        <v>0</v>
      </c>
    </row>
    <row r="599" spans="2:13" x14ac:dyDescent="0.35">
      <c r="B599" s="117"/>
      <c r="C599" s="117"/>
      <c r="D599" s="117"/>
      <c r="E599" s="117"/>
      <c r="F599" s="200"/>
      <c r="G599" s="200"/>
      <c r="H599" s="200"/>
      <c r="I599" s="200"/>
      <c r="J599" s="200"/>
      <c r="K599" s="200">
        <f>SUMIF(AE!C:C,ATB!C:C,AE!F:F)</f>
        <v>0</v>
      </c>
      <c r="L599" s="200">
        <f t="shared" si="26"/>
        <v>0</v>
      </c>
      <c r="M599" s="200">
        <f t="shared" si="27"/>
        <v>0</v>
      </c>
    </row>
    <row r="600" spans="2:13" x14ac:dyDescent="0.35">
      <c r="B600" s="117"/>
      <c r="C600" s="117"/>
      <c r="D600" s="117"/>
      <c r="E600" s="117"/>
      <c r="F600" s="200"/>
      <c r="G600" s="200"/>
      <c r="H600" s="200"/>
      <c r="I600" s="200"/>
      <c r="J600" s="200"/>
      <c r="K600" s="200">
        <f>SUMIF(AE!C:C,ATB!C:C,AE!F:F)</f>
        <v>0</v>
      </c>
      <c r="L600" s="200">
        <f t="shared" si="26"/>
        <v>0</v>
      </c>
      <c r="M600" s="200">
        <f t="shared" si="27"/>
        <v>0</v>
      </c>
    </row>
    <row r="601" spans="2:13" x14ac:dyDescent="0.35">
      <c r="B601" s="117"/>
      <c r="C601" s="117"/>
      <c r="D601" s="117"/>
      <c r="E601" s="117"/>
      <c r="F601" s="200"/>
      <c r="G601" s="200"/>
      <c r="H601" s="200"/>
      <c r="I601" s="200"/>
      <c r="J601" s="200"/>
      <c r="K601" s="200">
        <f>SUMIF(AE!C:C,ATB!C:C,AE!F:F)</f>
        <v>0</v>
      </c>
      <c r="L601" s="200">
        <f t="shared" si="26"/>
        <v>0</v>
      </c>
      <c r="M601" s="200">
        <f t="shared" si="27"/>
        <v>0</v>
      </c>
    </row>
    <row r="602" spans="2:13" x14ac:dyDescent="0.35">
      <c r="B602" s="117"/>
      <c r="C602" s="117"/>
      <c r="D602" s="117"/>
      <c r="E602" s="117"/>
      <c r="F602" s="200"/>
      <c r="G602" s="200"/>
      <c r="H602" s="200"/>
      <c r="I602" s="200"/>
      <c r="J602" s="200"/>
      <c r="K602" s="200">
        <f>SUMIF(AE!C:C,ATB!C:C,AE!F:F)</f>
        <v>0</v>
      </c>
      <c r="L602" s="200">
        <f t="shared" si="26"/>
        <v>0</v>
      </c>
      <c r="M602" s="200">
        <f t="shared" si="27"/>
        <v>0</v>
      </c>
    </row>
    <row r="603" spans="2:13" x14ac:dyDescent="0.35">
      <c r="B603" s="117"/>
      <c r="C603" s="117"/>
      <c r="D603" s="117"/>
      <c r="E603" s="117"/>
      <c r="F603" s="200"/>
      <c r="G603" s="200"/>
      <c r="H603" s="200"/>
      <c r="I603" s="200"/>
      <c r="J603" s="200"/>
      <c r="K603" s="200">
        <f>SUMIF(AE!C:C,ATB!C:C,AE!F:F)</f>
        <v>0</v>
      </c>
      <c r="L603" s="200">
        <f t="shared" si="26"/>
        <v>0</v>
      </c>
      <c r="M603" s="200">
        <f t="shared" si="27"/>
        <v>0</v>
      </c>
    </row>
    <row r="604" spans="2:13" x14ac:dyDescent="0.35">
      <c r="B604" s="117"/>
      <c r="C604" s="117"/>
      <c r="D604" s="117"/>
      <c r="E604" s="117"/>
      <c r="F604" s="200"/>
      <c r="G604" s="200"/>
      <c r="H604" s="200"/>
      <c r="I604" s="200"/>
      <c r="J604" s="200"/>
      <c r="K604" s="200">
        <f>SUMIF(AE!C:C,ATB!C:C,AE!F:F)</f>
        <v>0</v>
      </c>
      <c r="L604" s="200">
        <f t="shared" si="26"/>
        <v>0</v>
      </c>
      <c r="M604" s="200">
        <f t="shared" si="27"/>
        <v>0</v>
      </c>
    </row>
    <row r="605" spans="2:13" x14ac:dyDescent="0.35">
      <c r="B605" s="117"/>
      <c r="C605" s="117"/>
      <c r="D605" s="117"/>
      <c r="E605" s="117"/>
      <c r="F605" s="200"/>
      <c r="G605" s="200"/>
      <c r="H605" s="200"/>
      <c r="I605" s="200"/>
      <c r="J605" s="200"/>
      <c r="K605" s="200">
        <f>SUMIF(AE!C:C,ATB!C:C,AE!F:F)</f>
        <v>0</v>
      </c>
      <c r="L605" s="200">
        <f t="shared" si="26"/>
        <v>0</v>
      </c>
      <c r="M605" s="200">
        <f t="shared" si="27"/>
        <v>0</v>
      </c>
    </row>
    <row r="606" spans="2:13" x14ac:dyDescent="0.35">
      <c r="B606" s="117"/>
      <c r="C606" s="117"/>
      <c r="D606" s="117"/>
      <c r="E606" s="117"/>
      <c r="F606" s="200"/>
      <c r="G606" s="200"/>
      <c r="H606" s="200"/>
      <c r="I606" s="200"/>
      <c r="J606" s="200"/>
      <c r="K606" s="200">
        <f>SUMIF(AE!C:C,ATB!C:C,AE!F:F)</f>
        <v>0</v>
      </c>
      <c r="L606" s="200">
        <f t="shared" si="26"/>
        <v>0</v>
      </c>
      <c r="M606" s="200">
        <f t="shared" si="27"/>
        <v>0</v>
      </c>
    </row>
    <row r="607" spans="2:13" x14ac:dyDescent="0.35">
      <c r="B607" s="117"/>
      <c r="C607" s="117"/>
      <c r="D607" s="117"/>
      <c r="E607" s="117"/>
      <c r="F607" s="200"/>
      <c r="G607" s="200"/>
      <c r="H607" s="200"/>
      <c r="I607" s="200"/>
      <c r="J607" s="200"/>
      <c r="K607" s="200">
        <f>SUMIF(AE!C:C,ATB!C:C,AE!F:F)</f>
        <v>0</v>
      </c>
      <c r="L607" s="200">
        <f t="shared" si="26"/>
        <v>0</v>
      </c>
      <c r="M607" s="200">
        <f t="shared" si="27"/>
        <v>0</v>
      </c>
    </row>
    <row r="608" spans="2:13" x14ac:dyDescent="0.35">
      <c r="B608" s="117"/>
      <c r="C608" s="117"/>
      <c r="D608" s="117"/>
      <c r="E608" s="117"/>
      <c r="F608" s="200"/>
      <c r="G608" s="200"/>
      <c r="H608" s="200"/>
      <c r="I608" s="200"/>
      <c r="J608" s="200"/>
      <c r="K608" s="200">
        <f>SUMIF(AE!C:C,ATB!C:C,AE!F:F)</f>
        <v>0</v>
      </c>
      <c r="L608" s="200">
        <f t="shared" si="26"/>
        <v>0</v>
      </c>
      <c r="M608" s="200">
        <f t="shared" si="27"/>
        <v>0</v>
      </c>
    </row>
    <row r="609" spans="2:13" x14ac:dyDescent="0.35">
      <c r="B609" s="117"/>
      <c r="C609" s="117"/>
      <c r="D609" s="117"/>
      <c r="E609" s="117"/>
      <c r="F609" s="200"/>
      <c r="G609" s="200"/>
      <c r="H609" s="200"/>
      <c r="I609" s="200"/>
      <c r="J609" s="200"/>
      <c r="K609" s="200">
        <f>SUMIF(AE!C:C,ATB!C:C,AE!F:F)</f>
        <v>0</v>
      </c>
      <c r="L609" s="200">
        <f t="shared" si="26"/>
        <v>0</v>
      </c>
      <c r="M609" s="200">
        <f t="shared" si="27"/>
        <v>0</v>
      </c>
    </row>
    <row r="610" spans="2:13" x14ac:dyDescent="0.35">
      <c r="B610" s="117"/>
      <c r="C610" s="117"/>
      <c r="D610" s="117"/>
      <c r="E610" s="117"/>
      <c r="F610" s="200"/>
      <c r="G610" s="200"/>
      <c r="H610" s="200"/>
      <c r="I610" s="200"/>
      <c r="J610" s="200"/>
      <c r="K610" s="200">
        <f>SUMIF(AE!C:C,ATB!C:C,AE!F:F)</f>
        <v>0</v>
      </c>
      <c r="L610" s="200">
        <f t="shared" si="26"/>
        <v>0</v>
      </c>
      <c r="M610" s="200">
        <f t="shared" si="27"/>
        <v>0</v>
      </c>
    </row>
    <row r="611" spans="2:13" x14ac:dyDescent="0.35">
      <c r="B611" s="117"/>
      <c r="C611" s="117"/>
      <c r="D611" s="117"/>
      <c r="E611" s="117"/>
      <c r="F611" s="200"/>
      <c r="G611" s="200"/>
      <c r="H611" s="200"/>
      <c r="I611" s="200"/>
      <c r="J611" s="200"/>
      <c r="K611" s="200">
        <f>SUMIF(AE!C:C,ATB!C:C,AE!F:F)</f>
        <v>0</v>
      </c>
      <c r="L611" s="200">
        <f t="shared" si="26"/>
        <v>0</v>
      </c>
      <c r="M611" s="200">
        <f t="shared" si="27"/>
        <v>0</v>
      </c>
    </row>
    <row r="612" spans="2:13" x14ac:dyDescent="0.35">
      <c r="B612" s="117"/>
      <c r="C612" s="117"/>
      <c r="D612" s="117"/>
      <c r="E612" s="117"/>
      <c r="F612" s="200"/>
      <c r="G612" s="200"/>
      <c r="H612" s="200"/>
      <c r="I612" s="200"/>
      <c r="J612" s="200"/>
      <c r="K612" s="200">
        <f>SUMIF(AE!C:C,ATB!C:C,AE!F:F)</f>
        <v>0</v>
      </c>
      <c r="L612" s="200">
        <f t="shared" si="26"/>
        <v>0</v>
      </c>
      <c r="M612" s="200">
        <f t="shared" si="27"/>
        <v>0</v>
      </c>
    </row>
    <row r="613" spans="2:13" x14ac:dyDescent="0.35">
      <c r="B613" s="117"/>
      <c r="C613" s="117"/>
      <c r="D613" s="117"/>
      <c r="E613" s="117"/>
      <c r="F613" s="200"/>
      <c r="G613" s="200"/>
      <c r="H613" s="200"/>
      <c r="I613" s="200"/>
      <c r="J613" s="200"/>
      <c r="K613" s="200">
        <f>SUMIF(AE!C:C,ATB!C:C,AE!F:F)</f>
        <v>0</v>
      </c>
      <c r="L613" s="200">
        <f t="shared" si="26"/>
        <v>0</v>
      </c>
      <c r="M613" s="200">
        <f t="shared" si="27"/>
        <v>0</v>
      </c>
    </row>
    <row r="614" spans="2:13" x14ac:dyDescent="0.35">
      <c r="B614" s="117"/>
      <c r="C614" s="117"/>
      <c r="D614" s="117"/>
      <c r="E614" s="117"/>
      <c r="F614" s="200"/>
      <c r="G614" s="200"/>
      <c r="H614" s="200"/>
      <c r="I614" s="200"/>
      <c r="J614" s="200"/>
      <c r="K614" s="200">
        <f>SUMIF(AE!C:C,ATB!C:C,AE!F:F)</f>
        <v>0</v>
      </c>
      <c r="L614" s="200">
        <f t="shared" si="26"/>
        <v>0</v>
      </c>
      <c r="M614" s="200">
        <f t="shared" si="27"/>
        <v>0</v>
      </c>
    </row>
    <row r="615" spans="2:13" x14ac:dyDescent="0.35">
      <c r="B615" s="117"/>
      <c r="C615" s="117"/>
      <c r="D615" s="117"/>
      <c r="E615" s="117"/>
      <c r="F615" s="200"/>
      <c r="G615" s="200"/>
      <c r="H615" s="200"/>
      <c r="I615" s="200"/>
      <c r="J615" s="200"/>
      <c r="K615" s="200">
        <f>SUMIF(AE!C:C,ATB!C:C,AE!F:F)</f>
        <v>0</v>
      </c>
      <c r="L615" s="200">
        <f t="shared" si="26"/>
        <v>0</v>
      </c>
      <c r="M615" s="200">
        <f t="shared" si="27"/>
        <v>0</v>
      </c>
    </row>
    <row r="616" spans="2:13" x14ac:dyDescent="0.35">
      <c r="B616" s="117"/>
      <c r="C616" s="117"/>
      <c r="D616" s="117"/>
      <c r="E616" s="117"/>
      <c r="F616" s="200"/>
      <c r="G616" s="200"/>
      <c r="H616" s="200"/>
      <c r="I616" s="200"/>
      <c r="J616" s="200"/>
      <c r="K616" s="200">
        <f>SUMIF(AE!C:C,ATB!C:C,AE!F:F)</f>
        <v>0</v>
      </c>
      <c r="L616" s="200">
        <f t="shared" si="26"/>
        <v>0</v>
      </c>
      <c r="M616" s="200">
        <f t="shared" si="27"/>
        <v>0</v>
      </c>
    </row>
    <row r="617" spans="2:13" x14ac:dyDescent="0.35">
      <c r="B617" s="117"/>
      <c r="C617" s="117"/>
      <c r="D617" s="117"/>
      <c r="E617" s="117"/>
      <c r="F617" s="200"/>
      <c r="G617" s="200"/>
      <c r="H617" s="200"/>
      <c r="I617" s="200"/>
      <c r="J617" s="200"/>
      <c r="K617" s="200">
        <f>SUMIF(AE!C:C,ATB!C:C,AE!F:F)</f>
        <v>0</v>
      </c>
      <c r="L617" s="200">
        <f t="shared" si="26"/>
        <v>0</v>
      </c>
      <c r="M617" s="200">
        <f t="shared" si="27"/>
        <v>0</v>
      </c>
    </row>
    <row r="618" spans="2:13" x14ac:dyDescent="0.35">
      <c r="B618" s="117"/>
      <c r="C618" s="117"/>
      <c r="D618" s="117"/>
      <c r="E618" s="117"/>
      <c r="F618" s="200"/>
      <c r="G618" s="200"/>
      <c r="H618" s="200"/>
      <c r="I618" s="200"/>
      <c r="J618" s="200"/>
      <c r="K618" s="200">
        <f>SUMIF(AE!C:C,ATB!C:C,AE!F:F)</f>
        <v>0</v>
      </c>
      <c r="L618" s="200">
        <f t="shared" si="26"/>
        <v>0</v>
      </c>
      <c r="M618" s="200">
        <f t="shared" si="27"/>
        <v>0</v>
      </c>
    </row>
    <row r="619" spans="2:13" x14ac:dyDescent="0.35">
      <c r="B619" s="117"/>
      <c r="C619" s="117"/>
      <c r="D619" s="117"/>
      <c r="E619" s="117"/>
      <c r="F619" s="200"/>
      <c r="G619" s="200"/>
      <c r="H619" s="200"/>
      <c r="I619" s="200"/>
      <c r="J619" s="200"/>
      <c r="K619" s="200">
        <f>SUMIF(AE!C:C,ATB!C:C,AE!F:F)</f>
        <v>0</v>
      </c>
      <c r="L619" s="200">
        <f t="shared" si="26"/>
        <v>0</v>
      </c>
      <c r="M619" s="200">
        <f t="shared" si="27"/>
        <v>0</v>
      </c>
    </row>
    <row r="620" spans="2:13" x14ac:dyDescent="0.35">
      <c r="B620" s="117"/>
      <c r="C620" s="117"/>
      <c r="D620" s="117"/>
      <c r="E620" s="117"/>
      <c r="F620" s="200"/>
      <c r="G620" s="200"/>
      <c r="H620" s="200"/>
      <c r="I620" s="200"/>
      <c r="J620" s="200"/>
      <c r="K620" s="200">
        <f>SUMIF(AE!C:C,ATB!C:C,AE!F:F)</f>
        <v>0</v>
      </c>
      <c r="L620" s="200">
        <f t="shared" si="26"/>
        <v>0</v>
      </c>
      <c r="M620" s="200">
        <f t="shared" si="27"/>
        <v>0</v>
      </c>
    </row>
    <row r="621" spans="2:13" x14ac:dyDescent="0.35">
      <c r="B621" s="117"/>
      <c r="C621" s="117"/>
      <c r="D621" s="117"/>
      <c r="E621" s="117"/>
      <c r="F621" s="200"/>
      <c r="G621" s="200"/>
      <c r="H621" s="200"/>
      <c r="I621" s="200"/>
      <c r="J621" s="200"/>
      <c r="K621" s="200">
        <f>SUMIF(AE!C:C,ATB!C:C,AE!F:F)</f>
        <v>0</v>
      </c>
      <c r="L621" s="200">
        <f t="shared" si="26"/>
        <v>0</v>
      </c>
      <c r="M621" s="200">
        <f t="shared" si="27"/>
        <v>0</v>
      </c>
    </row>
    <row r="622" spans="2:13" x14ac:dyDescent="0.35">
      <c r="B622" s="117"/>
      <c r="C622" s="117"/>
      <c r="D622" s="117"/>
      <c r="E622" s="117"/>
      <c r="F622" s="200"/>
      <c r="G622" s="200"/>
      <c r="H622" s="200"/>
      <c r="I622" s="200"/>
      <c r="J622" s="200"/>
      <c r="K622" s="200">
        <f>SUMIF(AE!C:C,ATB!C:C,AE!F:F)</f>
        <v>0</v>
      </c>
      <c r="L622" s="200">
        <f t="shared" si="26"/>
        <v>0</v>
      </c>
      <c r="M622" s="200">
        <f t="shared" si="27"/>
        <v>0</v>
      </c>
    </row>
    <row r="623" spans="2:13" x14ac:dyDescent="0.35">
      <c r="B623" s="117"/>
      <c r="C623" s="117"/>
      <c r="D623" s="117"/>
      <c r="E623" s="117"/>
      <c r="F623" s="200"/>
      <c r="G623" s="200"/>
      <c r="H623" s="200"/>
      <c r="I623" s="200"/>
      <c r="J623" s="200"/>
      <c r="K623" s="200">
        <f>SUMIF(AE!C:C,ATB!C:C,AE!F:F)</f>
        <v>0</v>
      </c>
      <c r="L623" s="200">
        <f t="shared" si="26"/>
        <v>0</v>
      </c>
      <c r="M623" s="200">
        <f t="shared" si="27"/>
        <v>0</v>
      </c>
    </row>
    <row r="624" spans="2:13" x14ac:dyDescent="0.35">
      <c r="B624" s="117"/>
      <c r="C624" s="117"/>
      <c r="D624" s="117"/>
      <c r="E624" s="117"/>
      <c r="F624" s="200"/>
      <c r="G624" s="200"/>
      <c r="H624" s="200"/>
      <c r="I624" s="200"/>
      <c r="J624" s="200"/>
      <c r="K624" s="200">
        <f>SUMIF(AE!C:C,ATB!C:C,AE!F:F)</f>
        <v>0</v>
      </c>
      <c r="L624" s="200">
        <f t="shared" si="26"/>
        <v>0</v>
      </c>
      <c r="M624" s="200">
        <f t="shared" si="27"/>
        <v>0</v>
      </c>
    </row>
    <row r="625" spans="2:13" x14ac:dyDescent="0.35">
      <c r="B625" s="117"/>
      <c r="C625" s="117"/>
      <c r="D625" s="117"/>
      <c r="E625" s="117"/>
      <c r="F625" s="200"/>
      <c r="G625" s="200"/>
      <c r="H625" s="200"/>
      <c r="I625" s="200"/>
      <c r="J625" s="200"/>
      <c r="K625" s="200">
        <f>SUMIF(AE!C:C,ATB!C:C,AE!F:F)</f>
        <v>0</v>
      </c>
      <c r="L625" s="200">
        <f t="shared" si="26"/>
        <v>0</v>
      </c>
      <c r="M625" s="200">
        <f t="shared" si="27"/>
        <v>0</v>
      </c>
    </row>
    <row r="626" spans="2:13" x14ac:dyDescent="0.35">
      <c r="B626" s="117"/>
      <c r="C626" s="117"/>
      <c r="D626" s="117"/>
      <c r="E626" s="117"/>
      <c r="F626" s="200"/>
      <c r="G626" s="200"/>
      <c r="H626" s="200"/>
      <c r="I626" s="200"/>
      <c r="J626" s="200"/>
      <c r="K626" s="200">
        <f>SUMIF(AE!C:C,ATB!C:C,AE!F:F)</f>
        <v>0</v>
      </c>
      <c r="L626" s="200">
        <f t="shared" si="26"/>
        <v>0</v>
      </c>
      <c r="M626" s="200">
        <f t="shared" si="27"/>
        <v>0</v>
      </c>
    </row>
    <row r="627" spans="2:13" x14ac:dyDescent="0.35">
      <c r="B627" s="117"/>
      <c r="C627" s="117"/>
      <c r="D627" s="117"/>
      <c r="E627" s="117"/>
      <c r="F627" s="200"/>
      <c r="G627" s="200"/>
      <c r="H627" s="200"/>
      <c r="I627" s="200"/>
      <c r="J627" s="200"/>
      <c r="K627" s="200">
        <f>SUMIF(AE!C:C,ATB!C:C,AE!F:F)</f>
        <v>0</v>
      </c>
      <c r="L627" s="200">
        <f t="shared" si="26"/>
        <v>0</v>
      </c>
      <c r="M627" s="200">
        <f t="shared" si="27"/>
        <v>0</v>
      </c>
    </row>
    <row r="628" spans="2:13" x14ac:dyDescent="0.35">
      <c r="B628" s="117"/>
      <c r="C628" s="117"/>
      <c r="D628" s="117"/>
      <c r="E628" s="117"/>
      <c r="F628" s="200"/>
      <c r="G628" s="200"/>
      <c r="H628" s="200"/>
      <c r="I628" s="200"/>
      <c r="J628" s="200"/>
      <c r="K628" s="200">
        <f>SUMIF(AE!C:C,ATB!C:C,AE!F:F)</f>
        <v>0</v>
      </c>
      <c r="L628" s="200">
        <f t="shared" si="26"/>
        <v>0</v>
      </c>
      <c r="M628" s="200">
        <f t="shared" si="27"/>
        <v>0</v>
      </c>
    </row>
    <row r="629" spans="2:13" x14ac:dyDescent="0.35">
      <c r="B629" s="117"/>
      <c r="C629" s="117"/>
      <c r="D629" s="117"/>
      <c r="E629" s="117"/>
      <c r="F629" s="200"/>
      <c r="G629" s="200"/>
      <c r="H629" s="200"/>
      <c r="I629" s="200"/>
      <c r="J629" s="200"/>
      <c r="K629" s="200">
        <f>SUMIF(AE!C:C,ATB!C:C,AE!F:F)</f>
        <v>0</v>
      </c>
      <c r="L629" s="200">
        <f t="shared" si="26"/>
        <v>0</v>
      </c>
      <c r="M629" s="200">
        <f t="shared" si="27"/>
        <v>0</v>
      </c>
    </row>
    <row r="630" spans="2:13" x14ac:dyDescent="0.35">
      <c r="B630" s="117"/>
      <c r="C630" s="117"/>
      <c r="D630" s="117"/>
      <c r="E630" s="117"/>
      <c r="F630" s="200"/>
      <c r="G630" s="200"/>
      <c r="H630" s="200"/>
      <c r="I630" s="200"/>
      <c r="J630" s="200"/>
      <c r="K630" s="200">
        <f>SUMIF(AE!C:C,ATB!C:C,AE!F:F)</f>
        <v>0</v>
      </c>
      <c r="L630" s="200">
        <f t="shared" si="26"/>
        <v>0</v>
      </c>
      <c r="M630" s="200">
        <f t="shared" si="27"/>
        <v>0</v>
      </c>
    </row>
    <row r="631" spans="2:13" x14ac:dyDescent="0.35">
      <c r="B631" s="117"/>
      <c r="C631" s="117"/>
      <c r="D631" s="117"/>
      <c r="E631" s="117"/>
      <c r="F631" s="200"/>
      <c r="G631" s="200"/>
      <c r="H631" s="200"/>
      <c r="I631" s="200"/>
      <c r="J631" s="200"/>
      <c r="K631" s="200">
        <f>SUMIF(AE!C:C,ATB!C:C,AE!F:F)</f>
        <v>0</v>
      </c>
      <c r="L631" s="200">
        <f t="shared" si="26"/>
        <v>0</v>
      </c>
      <c r="M631" s="200">
        <f t="shared" si="27"/>
        <v>0</v>
      </c>
    </row>
    <row r="632" spans="2:13" x14ac:dyDescent="0.35">
      <c r="B632" s="117"/>
      <c r="C632" s="117"/>
      <c r="D632" s="117"/>
      <c r="E632" s="117"/>
      <c r="F632" s="200"/>
      <c r="G632" s="200"/>
      <c r="H632" s="200"/>
      <c r="I632" s="200"/>
      <c r="J632" s="200"/>
      <c r="K632" s="200">
        <f>SUMIF(AE!C:C,ATB!C:C,AE!F:F)</f>
        <v>0</v>
      </c>
      <c r="L632" s="200">
        <f t="shared" si="26"/>
        <v>0</v>
      </c>
      <c r="M632" s="200">
        <f t="shared" si="27"/>
        <v>0</v>
      </c>
    </row>
    <row r="633" spans="2:13" x14ac:dyDescent="0.35">
      <c r="B633" s="117"/>
      <c r="C633" s="117"/>
      <c r="D633" s="117"/>
      <c r="E633" s="117"/>
      <c r="F633" s="200"/>
      <c r="G633" s="200"/>
      <c r="H633" s="200"/>
      <c r="I633" s="200"/>
      <c r="J633" s="200"/>
      <c r="K633" s="200">
        <f>SUMIF(AE!C:C,ATB!C:C,AE!F:F)</f>
        <v>0</v>
      </c>
      <c r="L633" s="200">
        <f t="shared" si="26"/>
        <v>0</v>
      </c>
      <c r="M633" s="200">
        <f t="shared" si="27"/>
        <v>0</v>
      </c>
    </row>
    <row r="634" spans="2:13" x14ac:dyDescent="0.35">
      <c r="B634" s="117"/>
      <c r="C634" s="117"/>
      <c r="D634" s="117"/>
      <c r="E634" s="117"/>
      <c r="F634" s="200"/>
      <c r="G634" s="200"/>
      <c r="H634" s="200"/>
      <c r="I634" s="200"/>
      <c r="J634" s="200"/>
      <c r="K634" s="200">
        <f>SUMIF(AE!C:C,ATB!C:C,AE!F:F)</f>
        <v>0</v>
      </c>
      <c r="L634" s="200">
        <f t="shared" si="26"/>
        <v>0</v>
      </c>
      <c r="M634" s="200">
        <f t="shared" si="27"/>
        <v>0</v>
      </c>
    </row>
    <row r="635" spans="2:13" x14ac:dyDescent="0.35">
      <c r="B635" s="117"/>
      <c r="C635" s="117"/>
      <c r="D635" s="117"/>
      <c r="E635" s="117"/>
      <c r="F635" s="200"/>
      <c r="G635" s="200"/>
      <c r="H635" s="200"/>
      <c r="I635" s="200"/>
      <c r="J635" s="200"/>
      <c r="K635" s="200">
        <f>SUMIF(AE!C:C,ATB!C:C,AE!F:F)</f>
        <v>0</v>
      </c>
      <c r="L635" s="200">
        <f t="shared" si="26"/>
        <v>0</v>
      </c>
      <c r="M635" s="200">
        <f t="shared" si="27"/>
        <v>0</v>
      </c>
    </row>
    <row r="636" spans="2:13" x14ac:dyDescent="0.35">
      <c r="B636" s="117"/>
      <c r="C636" s="117"/>
      <c r="D636" s="117"/>
      <c r="E636" s="117"/>
      <c r="F636" s="200"/>
      <c r="G636" s="200"/>
      <c r="H636" s="200"/>
      <c r="I636" s="200"/>
      <c r="J636" s="200"/>
      <c r="K636" s="200">
        <f>SUMIF(AE!C:C,ATB!C:C,AE!F:F)</f>
        <v>0</v>
      </c>
      <c r="L636" s="200">
        <f t="shared" si="26"/>
        <v>0</v>
      </c>
      <c r="M636" s="200">
        <f t="shared" si="27"/>
        <v>0</v>
      </c>
    </row>
    <row r="637" spans="2:13" x14ac:dyDescent="0.35">
      <c r="B637" s="117"/>
      <c r="C637" s="117"/>
      <c r="D637" s="117"/>
      <c r="E637" s="117"/>
      <c r="F637" s="200"/>
      <c r="G637" s="200"/>
      <c r="H637" s="200"/>
      <c r="I637" s="200"/>
      <c r="J637" s="200"/>
      <c r="K637" s="200">
        <f>SUMIF(AE!C:C,ATB!C:C,AE!F:F)</f>
        <v>0</v>
      </c>
      <c r="L637" s="200">
        <f t="shared" si="26"/>
        <v>0</v>
      </c>
      <c r="M637" s="200">
        <f t="shared" si="27"/>
        <v>0</v>
      </c>
    </row>
    <row r="638" spans="2:13" x14ac:dyDescent="0.35">
      <c r="B638" s="117"/>
      <c r="C638" s="117"/>
      <c r="D638" s="117"/>
      <c r="E638" s="117"/>
      <c r="F638" s="200"/>
      <c r="G638" s="200"/>
      <c r="H638" s="200"/>
      <c r="I638" s="200"/>
      <c r="J638" s="200"/>
      <c r="K638" s="200">
        <f>SUMIF(AE!C:C,ATB!C:C,AE!F:F)</f>
        <v>0</v>
      </c>
      <c r="L638" s="200">
        <f t="shared" si="26"/>
        <v>0</v>
      </c>
      <c r="M638" s="200">
        <f t="shared" si="27"/>
        <v>0</v>
      </c>
    </row>
    <row r="639" spans="2:13" x14ac:dyDescent="0.35">
      <c r="B639" s="117"/>
      <c r="C639" s="117"/>
      <c r="D639" s="117"/>
      <c r="E639" s="117"/>
      <c r="F639" s="200"/>
      <c r="G639" s="200"/>
      <c r="H639" s="200"/>
      <c r="I639" s="200"/>
      <c r="J639" s="200"/>
      <c r="K639" s="200">
        <f>SUMIF(AE!C:C,ATB!C:C,AE!F:F)</f>
        <v>0</v>
      </c>
      <c r="L639" s="200">
        <f t="shared" si="26"/>
        <v>0</v>
      </c>
      <c r="M639" s="200">
        <f t="shared" si="27"/>
        <v>0</v>
      </c>
    </row>
    <row r="640" spans="2:13" x14ac:dyDescent="0.35">
      <c r="B640" s="117"/>
      <c r="C640" s="117"/>
      <c r="D640" s="117"/>
      <c r="E640" s="117"/>
      <c r="F640" s="200"/>
      <c r="G640" s="200"/>
      <c r="H640" s="200"/>
      <c r="I640" s="200"/>
      <c r="J640" s="200"/>
      <c r="K640" s="200">
        <f>SUMIF(AE!C:C,ATB!C:C,AE!F:F)</f>
        <v>0</v>
      </c>
      <c r="L640" s="200">
        <f t="shared" si="26"/>
        <v>0</v>
      </c>
      <c r="M640" s="200">
        <f t="shared" si="27"/>
        <v>0</v>
      </c>
    </row>
    <row r="641" spans="2:13" x14ac:dyDescent="0.35">
      <c r="B641" s="117"/>
      <c r="C641" s="117"/>
      <c r="D641" s="117"/>
      <c r="E641" s="117"/>
      <c r="F641" s="200"/>
      <c r="G641" s="200"/>
      <c r="H641" s="200"/>
      <c r="I641" s="200"/>
      <c r="J641" s="200"/>
      <c r="K641" s="200">
        <f>SUMIF(AE!C:C,ATB!C:C,AE!F:F)</f>
        <v>0</v>
      </c>
      <c r="L641" s="200">
        <f t="shared" si="26"/>
        <v>0</v>
      </c>
      <c r="M641" s="200">
        <f t="shared" si="27"/>
        <v>0</v>
      </c>
    </row>
    <row r="642" spans="2:13" x14ac:dyDescent="0.35">
      <c r="B642" s="117"/>
      <c r="C642" s="117"/>
      <c r="D642" s="117"/>
      <c r="E642" s="117"/>
      <c r="F642" s="200"/>
      <c r="G642" s="200"/>
      <c r="H642" s="200"/>
      <c r="I642" s="200"/>
      <c r="J642" s="200"/>
      <c r="K642" s="200">
        <f>SUMIF(AE!C:C,ATB!C:C,AE!F:F)</f>
        <v>0</v>
      </c>
      <c r="L642" s="200">
        <f t="shared" ref="L642:L705" si="28">ROUND(IF(F642+H642+J642-G642-I642-K642&gt;0,F642+H642+J642-G642-I642-K642,0),0)</f>
        <v>0</v>
      </c>
      <c r="M642" s="200">
        <f t="shared" ref="M642:M705" si="29">-ROUND(IF(F642+H642+J642-G642-I642-K642&lt;0,F642+H642+J642-G642-I642-K642,0),0)</f>
        <v>0</v>
      </c>
    </row>
    <row r="643" spans="2:13" x14ac:dyDescent="0.35">
      <c r="B643" s="117"/>
      <c r="C643" s="117"/>
      <c r="D643" s="117"/>
      <c r="E643" s="117"/>
      <c r="F643" s="200"/>
      <c r="G643" s="200"/>
      <c r="H643" s="200"/>
      <c r="I643" s="200"/>
      <c r="J643" s="200"/>
      <c r="K643" s="200">
        <f>SUMIF(AE!C:C,ATB!C:C,AE!F:F)</f>
        <v>0</v>
      </c>
      <c r="L643" s="200">
        <f t="shared" si="28"/>
        <v>0</v>
      </c>
      <c r="M643" s="200">
        <f t="shared" si="29"/>
        <v>0</v>
      </c>
    </row>
    <row r="644" spans="2:13" x14ac:dyDescent="0.35">
      <c r="B644" s="117"/>
      <c r="C644" s="117"/>
      <c r="D644" s="117"/>
      <c r="E644" s="117"/>
      <c r="F644" s="200"/>
      <c r="G644" s="200"/>
      <c r="H644" s="200"/>
      <c r="I644" s="200"/>
      <c r="J644" s="200"/>
      <c r="K644" s="200">
        <f>SUMIF(AE!C:C,ATB!C:C,AE!F:F)</f>
        <v>0</v>
      </c>
      <c r="L644" s="200">
        <f t="shared" si="28"/>
        <v>0</v>
      </c>
      <c r="M644" s="200">
        <f t="shared" si="29"/>
        <v>0</v>
      </c>
    </row>
    <row r="645" spans="2:13" x14ac:dyDescent="0.35">
      <c r="B645" s="117"/>
      <c r="C645" s="117"/>
      <c r="D645" s="117"/>
      <c r="E645" s="117"/>
      <c r="F645" s="200"/>
      <c r="G645" s="200"/>
      <c r="H645" s="200"/>
      <c r="I645" s="200"/>
      <c r="J645" s="200"/>
      <c r="K645" s="200">
        <f>SUMIF(AE!C:C,ATB!C:C,AE!F:F)</f>
        <v>0</v>
      </c>
      <c r="L645" s="200">
        <f t="shared" si="28"/>
        <v>0</v>
      </c>
      <c r="M645" s="200">
        <f t="shared" si="29"/>
        <v>0</v>
      </c>
    </row>
    <row r="646" spans="2:13" x14ac:dyDescent="0.35">
      <c r="B646" s="117"/>
      <c r="C646" s="117"/>
      <c r="D646" s="117"/>
      <c r="E646" s="117"/>
      <c r="F646" s="200"/>
      <c r="G646" s="200"/>
      <c r="H646" s="200"/>
      <c r="I646" s="200"/>
      <c r="J646" s="200"/>
      <c r="K646" s="200">
        <f>SUMIF(AE!C:C,ATB!C:C,AE!F:F)</f>
        <v>0</v>
      </c>
      <c r="L646" s="200">
        <f t="shared" si="28"/>
        <v>0</v>
      </c>
      <c r="M646" s="200">
        <f t="shared" si="29"/>
        <v>0</v>
      </c>
    </row>
    <row r="647" spans="2:13" x14ac:dyDescent="0.35">
      <c r="B647" s="117"/>
      <c r="C647" s="117"/>
      <c r="D647" s="117"/>
      <c r="E647" s="117"/>
      <c r="F647" s="200"/>
      <c r="G647" s="200"/>
      <c r="H647" s="200"/>
      <c r="I647" s="200"/>
      <c r="J647" s="200"/>
      <c r="K647" s="200">
        <f>SUMIF(AE!C:C,ATB!C:C,AE!F:F)</f>
        <v>0</v>
      </c>
      <c r="L647" s="200">
        <f t="shared" si="28"/>
        <v>0</v>
      </c>
      <c r="M647" s="200">
        <f t="shared" si="29"/>
        <v>0</v>
      </c>
    </row>
    <row r="648" spans="2:13" x14ac:dyDescent="0.35">
      <c r="B648" s="117"/>
      <c r="C648" s="117"/>
      <c r="D648" s="117"/>
      <c r="E648" s="117"/>
      <c r="F648" s="200"/>
      <c r="G648" s="200"/>
      <c r="H648" s="200"/>
      <c r="I648" s="200"/>
      <c r="J648" s="200"/>
      <c r="K648" s="200">
        <f>SUMIF(AE!C:C,ATB!C:C,AE!F:F)</f>
        <v>0</v>
      </c>
      <c r="L648" s="200">
        <f t="shared" si="28"/>
        <v>0</v>
      </c>
      <c r="M648" s="200">
        <f t="shared" si="29"/>
        <v>0</v>
      </c>
    </row>
    <row r="649" spans="2:13" x14ac:dyDescent="0.35">
      <c r="B649" s="117"/>
      <c r="C649" s="117"/>
      <c r="D649" s="117"/>
      <c r="E649" s="117"/>
      <c r="F649" s="200"/>
      <c r="G649" s="200"/>
      <c r="H649" s="200"/>
      <c r="I649" s="200"/>
      <c r="J649" s="200"/>
      <c r="K649" s="200">
        <f>SUMIF(AE!C:C,ATB!C:C,AE!F:F)</f>
        <v>0</v>
      </c>
      <c r="L649" s="200">
        <f t="shared" si="28"/>
        <v>0</v>
      </c>
      <c r="M649" s="200">
        <f t="shared" si="29"/>
        <v>0</v>
      </c>
    </row>
    <row r="650" spans="2:13" x14ac:dyDescent="0.35">
      <c r="B650" s="117"/>
      <c r="C650" s="117"/>
      <c r="D650" s="117"/>
      <c r="E650" s="117"/>
      <c r="F650" s="200"/>
      <c r="G650" s="200"/>
      <c r="H650" s="200"/>
      <c r="I650" s="200"/>
      <c r="J650" s="200"/>
      <c r="K650" s="200">
        <f>SUMIF(AE!C:C,ATB!C:C,AE!F:F)</f>
        <v>0</v>
      </c>
      <c r="L650" s="200">
        <f t="shared" si="28"/>
        <v>0</v>
      </c>
      <c r="M650" s="200">
        <f t="shared" si="29"/>
        <v>0</v>
      </c>
    </row>
    <row r="651" spans="2:13" x14ac:dyDescent="0.35">
      <c r="B651" s="117"/>
      <c r="C651" s="117"/>
      <c r="D651" s="117"/>
      <c r="E651" s="117"/>
      <c r="F651" s="200"/>
      <c r="G651" s="200"/>
      <c r="H651" s="200"/>
      <c r="I651" s="200"/>
      <c r="J651" s="200"/>
      <c r="K651" s="200">
        <f>SUMIF(AE!C:C,ATB!C:C,AE!F:F)</f>
        <v>0</v>
      </c>
      <c r="L651" s="200">
        <f t="shared" si="28"/>
        <v>0</v>
      </c>
      <c r="M651" s="200">
        <f t="shared" si="29"/>
        <v>0</v>
      </c>
    </row>
    <row r="652" spans="2:13" x14ac:dyDescent="0.35">
      <c r="B652" s="117"/>
      <c r="C652" s="117"/>
      <c r="D652" s="117"/>
      <c r="E652" s="117"/>
      <c r="F652" s="200"/>
      <c r="G652" s="200"/>
      <c r="H652" s="200"/>
      <c r="I652" s="200"/>
      <c r="J652" s="200"/>
      <c r="K652" s="200">
        <f>SUMIF(AE!C:C,ATB!C:C,AE!F:F)</f>
        <v>0</v>
      </c>
      <c r="L652" s="200">
        <f t="shared" si="28"/>
        <v>0</v>
      </c>
      <c r="M652" s="200">
        <f t="shared" si="29"/>
        <v>0</v>
      </c>
    </row>
    <row r="653" spans="2:13" x14ac:dyDescent="0.35">
      <c r="B653" s="117"/>
      <c r="C653" s="117"/>
      <c r="D653" s="117"/>
      <c r="E653" s="117"/>
      <c r="F653" s="200"/>
      <c r="G653" s="200"/>
      <c r="H653" s="200"/>
      <c r="I653" s="200"/>
      <c r="J653" s="200"/>
      <c r="K653" s="200">
        <f>SUMIF(AE!C:C,ATB!C:C,AE!F:F)</f>
        <v>0</v>
      </c>
      <c r="L653" s="200">
        <f t="shared" si="28"/>
        <v>0</v>
      </c>
      <c r="M653" s="200">
        <f t="shared" si="29"/>
        <v>0</v>
      </c>
    </row>
    <row r="654" spans="2:13" x14ac:dyDescent="0.35">
      <c r="B654" s="117"/>
      <c r="C654" s="117"/>
      <c r="D654" s="117"/>
      <c r="E654" s="117"/>
      <c r="F654" s="200"/>
      <c r="G654" s="200"/>
      <c r="H654" s="200"/>
      <c r="I654" s="200"/>
      <c r="J654" s="200"/>
      <c r="K654" s="200">
        <f>SUMIF(AE!C:C,ATB!C:C,AE!F:F)</f>
        <v>0</v>
      </c>
      <c r="L654" s="200">
        <f t="shared" si="28"/>
        <v>0</v>
      </c>
      <c r="M654" s="200">
        <f t="shared" si="29"/>
        <v>0</v>
      </c>
    </row>
    <row r="655" spans="2:13" x14ac:dyDescent="0.35">
      <c r="B655" s="117"/>
      <c r="C655" s="117"/>
      <c r="D655" s="117"/>
      <c r="E655" s="117"/>
      <c r="F655" s="200"/>
      <c r="G655" s="200"/>
      <c r="H655" s="200"/>
      <c r="I655" s="200"/>
      <c r="J655" s="200"/>
      <c r="K655" s="200">
        <f>SUMIF(AE!C:C,ATB!C:C,AE!F:F)</f>
        <v>0</v>
      </c>
      <c r="L655" s="200">
        <f t="shared" si="28"/>
        <v>0</v>
      </c>
      <c r="M655" s="200">
        <f t="shared" si="29"/>
        <v>0</v>
      </c>
    </row>
    <row r="656" spans="2:13" x14ac:dyDescent="0.35">
      <c r="B656" s="117"/>
      <c r="C656" s="117"/>
      <c r="D656" s="117"/>
      <c r="E656" s="117"/>
      <c r="F656" s="200"/>
      <c r="G656" s="200"/>
      <c r="H656" s="200"/>
      <c r="I656" s="200"/>
      <c r="J656" s="200"/>
      <c r="K656" s="200">
        <f>SUMIF(AE!C:C,ATB!C:C,AE!F:F)</f>
        <v>0</v>
      </c>
      <c r="L656" s="200">
        <f t="shared" si="28"/>
        <v>0</v>
      </c>
      <c r="M656" s="200">
        <f t="shared" si="29"/>
        <v>0</v>
      </c>
    </row>
    <row r="657" spans="2:13" x14ac:dyDescent="0.35">
      <c r="B657" s="117"/>
      <c r="C657" s="117"/>
      <c r="D657" s="117"/>
      <c r="E657" s="117"/>
      <c r="F657" s="200"/>
      <c r="G657" s="200"/>
      <c r="H657" s="200"/>
      <c r="I657" s="200"/>
      <c r="J657" s="200"/>
      <c r="K657" s="200">
        <f>SUMIF(AE!C:C,ATB!C:C,AE!F:F)</f>
        <v>0</v>
      </c>
      <c r="L657" s="200">
        <f t="shared" si="28"/>
        <v>0</v>
      </c>
      <c r="M657" s="200">
        <f t="shared" si="29"/>
        <v>0</v>
      </c>
    </row>
    <row r="658" spans="2:13" x14ac:dyDescent="0.35">
      <c r="B658" s="117"/>
      <c r="C658" s="117"/>
      <c r="D658" s="117"/>
      <c r="E658" s="117"/>
      <c r="F658" s="200"/>
      <c r="G658" s="200"/>
      <c r="H658" s="200"/>
      <c r="I658" s="200"/>
      <c r="J658" s="200"/>
      <c r="K658" s="200">
        <f>SUMIF(AE!C:C,ATB!C:C,AE!F:F)</f>
        <v>0</v>
      </c>
      <c r="L658" s="200">
        <f t="shared" si="28"/>
        <v>0</v>
      </c>
      <c r="M658" s="200">
        <f t="shared" si="29"/>
        <v>0</v>
      </c>
    </row>
    <row r="659" spans="2:13" x14ac:dyDescent="0.35">
      <c r="B659" s="117"/>
      <c r="C659" s="117"/>
      <c r="D659" s="117"/>
      <c r="E659" s="117"/>
      <c r="F659" s="200"/>
      <c r="G659" s="200"/>
      <c r="H659" s="200"/>
      <c r="I659" s="200"/>
      <c r="J659" s="200"/>
      <c r="K659" s="200">
        <f>SUMIF(AE!C:C,ATB!C:C,AE!F:F)</f>
        <v>0</v>
      </c>
      <c r="L659" s="200">
        <f t="shared" si="28"/>
        <v>0</v>
      </c>
      <c r="M659" s="200">
        <f t="shared" si="29"/>
        <v>0</v>
      </c>
    </row>
    <row r="660" spans="2:13" x14ac:dyDescent="0.35">
      <c r="B660" s="117"/>
      <c r="C660" s="117"/>
      <c r="D660" s="117"/>
      <c r="E660" s="117"/>
      <c r="F660" s="200"/>
      <c r="G660" s="200"/>
      <c r="H660" s="200"/>
      <c r="I660" s="200"/>
      <c r="J660" s="200"/>
      <c r="K660" s="200">
        <f>SUMIF(AE!C:C,ATB!C:C,AE!F:F)</f>
        <v>0</v>
      </c>
      <c r="L660" s="200">
        <f t="shared" si="28"/>
        <v>0</v>
      </c>
      <c r="M660" s="200">
        <f t="shared" si="29"/>
        <v>0</v>
      </c>
    </row>
    <row r="661" spans="2:13" x14ac:dyDescent="0.35">
      <c r="B661" s="117"/>
      <c r="C661" s="117"/>
      <c r="D661" s="117"/>
      <c r="E661" s="117"/>
      <c r="F661" s="200"/>
      <c r="G661" s="200"/>
      <c r="H661" s="200"/>
      <c r="I661" s="200"/>
      <c r="J661" s="200"/>
      <c r="K661" s="200">
        <f>SUMIF(AE!C:C,ATB!C:C,AE!F:F)</f>
        <v>0</v>
      </c>
      <c r="L661" s="200">
        <f t="shared" si="28"/>
        <v>0</v>
      </c>
      <c r="M661" s="200">
        <f t="shared" si="29"/>
        <v>0</v>
      </c>
    </row>
    <row r="662" spans="2:13" x14ac:dyDescent="0.35">
      <c r="B662" s="117"/>
      <c r="C662" s="117"/>
      <c r="D662" s="117"/>
      <c r="E662" s="117"/>
      <c r="F662" s="200"/>
      <c r="G662" s="200"/>
      <c r="H662" s="200"/>
      <c r="I662" s="200"/>
      <c r="J662" s="200"/>
      <c r="K662" s="200">
        <f>SUMIF(AE!C:C,ATB!C:C,AE!F:F)</f>
        <v>0</v>
      </c>
      <c r="L662" s="200">
        <f t="shared" si="28"/>
        <v>0</v>
      </c>
      <c r="M662" s="200">
        <f t="shared" si="29"/>
        <v>0</v>
      </c>
    </row>
    <row r="663" spans="2:13" x14ac:dyDescent="0.35">
      <c r="B663" s="117"/>
      <c r="C663" s="117"/>
      <c r="D663" s="117"/>
      <c r="E663" s="117"/>
      <c r="F663" s="200"/>
      <c r="G663" s="200"/>
      <c r="H663" s="200"/>
      <c r="I663" s="200"/>
      <c r="J663" s="200"/>
      <c r="K663" s="200">
        <f>SUMIF(AE!C:C,ATB!C:C,AE!F:F)</f>
        <v>0</v>
      </c>
      <c r="L663" s="200">
        <f t="shared" si="28"/>
        <v>0</v>
      </c>
      <c r="M663" s="200">
        <f t="shared" si="29"/>
        <v>0</v>
      </c>
    </row>
    <row r="664" spans="2:13" x14ac:dyDescent="0.35">
      <c r="B664" s="117"/>
      <c r="C664" s="117"/>
      <c r="D664" s="117"/>
      <c r="E664" s="117"/>
      <c r="F664" s="200"/>
      <c r="G664" s="200"/>
      <c r="H664" s="200"/>
      <c r="I664" s="200"/>
      <c r="J664" s="200"/>
      <c r="K664" s="200">
        <f>SUMIF(AE!C:C,ATB!C:C,AE!F:F)</f>
        <v>0</v>
      </c>
      <c r="L664" s="200">
        <f t="shared" si="28"/>
        <v>0</v>
      </c>
      <c r="M664" s="200">
        <f t="shared" si="29"/>
        <v>0</v>
      </c>
    </row>
    <row r="665" spans="2:13" x14ac:dyDescent="0.35">
      <c r="B665" s="117"/>
      <c r="C665" s="117"/>
      <c r="D665" s="117"/>
      <c r="E665" s="117"/>
      <c r="F665" s="200"/>
      <c r="G665" s="200"/>
      <c r="H665" s="200"/>
      <c r="I665" s="200"/>
      <c r="J665" s="200"/>
      <c r="K665" s="200">
        <f>SUMIF(AE!C:C,ATB!C:C,AE!F:F)</f>
        <v>0</v>
      </c>
      <c r="L665" s="200">
        <f t="shared" si="28"/>
        <v>0</v>
      </c>
      <c r="M665" s="200">
        <f t="shared" si="29"/>
        <v>0</v>
      </c>
    </row>
    <row r="666" spans="2:13" x14ac:dyDescent="0.35">
      <c r="B666" s="117"/>
      <c r="C666" s="117"/>
      <c r="D666" s="117"/>
      <c r="E666" s="117"/>
      <c r="F666" s="200"/>
      <c r="G666" s="200"/>
      <c r="H666" s="200"/>
      <c r="I666" s="200"/>
      <c r="J666" s="200"/>
      <c r="K666" s="200">
        <f>SUMIF(AE!C:C,ATB!C:C,AE!F:F)</f>
        <v>0</v>
      </c>
      <c r="L666" s="200">
        <f t="shared" si="28"/>
        <v>0</v>
      </c>
      <c r="M666" s="200">
        <f t="shared" si="29"/>
        <v>0</v>
      </c>
    </row>
    <row r="667" spans="2:13" x14ac:dyDescent="0.35">
      <c r="B667" s="117"/>
      <c r="C667" s="117"/>
      <c r="D667" s="117"/>
      <c r="E667" s="117"/>
      <c r="F667" s="200"/>
      <c r="G667" s="200"/>
      <c r="H667" s="200"/>
      <c r="I667" s="200"/>
      <c r="J667" s="200"/>
      <c r="K667" s="200">
        <f>SUMIF(AE!C:C,ATB!C:C,AE!F:F)</f>
        <v>0</v>
      </c>
      <c r="L667" s="200">
        <f t="shared" si="28"/>
        <v>0</v>
      </c>
      <c r="M667" s="200">
        <f t="shared" si="29"/>
        <v>0</v>
      </c>
    </row>
    <row r="668" spans="2:13" x14ac:dyDescent="0.35">
      <c r="B668" s="117"/>
      <c r="C668" s="117"/>
      <c r="D668" s="117"/>
      <c r="E668" s="117"/>
      <c r="F668" s="200"/>
      <c r="G668" s="200"/>
      <c r="H668" s="200"/>
      <c r="I668" s="200"/>
      <c r="J668" s="200"/>
      <c r="K668" s="200">
        <f>SUMIF(AE!C:C,ATB!C:C,AE!F:F)</f>
        <v>0</v>
      </c>
      <c r="L668" s="200">
        <f t="shared" si="28"/>
        <v>0</v>
      </c>
      <c r="M668" s="200">
        <f t="shared" si="29"/>
        <v>0</v>
      </c>
    </row>
    <row r="669" spans="2:13" x14ac:dyDescent="0.35">
      <c r="B669" s="117"/>
      <c r="C669" s="117"/>
      <c r="D669" s="117"/>
      <c r="E669" s="117"/>
      <c r="F669" s="200"/>
      <c r="G669" s="200"/>
      <c r="H669" s="200"/>
      <c r="I669" s="200"/>
      <c r="J669" s="200"/>
      <c r="K669" s="200">
        <f>SUMIF(AE!C:C,ATB!C:C,AE!F:F)</f>
        <v>0</v>
      </c>
      <c r="L669" s="200">
        <f t="shared" si="28"/>
        <v>0</v>
      </c>
      <c r="M669" s="200">
        <f t="shared" si="29"/>
        <v>0</v>
      </c>
    </row>
    <row r="670" spans="2:13" x14ac:dyDescent="0.35">
      <c r="B670" s="117"/>
      <c r="C670" s="117"/>
      <c r="D670" s="117"/>
      <c r="E670" s="117"/>
      <c r="F670" s="200"/>
      <c r="G670" s="200"/>
      <c r="H670" s="200"/>
      <c r="I670" s="200"/>
      <c r="J670" s="200"/>
      <c r="K670" s="200">
        <f>SUMIF(AE!C:C,ATB!C:C,AE!F:F)</f>
        <v>0</v>
      </c>
      <c r="L670" s="200">
        <f t="shared" si="28"/>
        <v>0</v>
      </c>
      <c r="M670" s="200">
        <f t="shared" si="29"/>
        <v>0</v>
      </c>
    </row>
    <row r="671" spans="2:13" x14ac:dyDescent="0.35">
      <c r="B671" s="117"/>
      <c r="C671" s="117"/>
      <c r="D671" s="117"/>
      <c r="E671" s="117"/>
      <c r="F671" s="200"/>
      <c r="G671" s="200"/>
      <c r="H671" s="200"/>
      <c r="I671" s="200"/>
      <c r="J671" s="200"/>
      <c r="K671" s="200">
        <f>SUMIF(AE!C:C,ATB!C:C,AE!F:F)</f>
        <v>0</v>
      </c>
      <c r="L671" s="200">
        <f t="shared" si="28"/>
        <v>0</v>
      </c>
      <c r="M671" s="200">
        <f t="shared" si="29"/>
        <v>0</v>
      </c>
    </row>
    <row r="672" spans="2:13" x14ac:dyDescent="0.35">
      <c r="B672" s="117"/>
      <c r="C672" s="117"/>
      <c r="D672" s="117"/>
      <c r="E672" s="117"/>
      <c r="F672" s="200"/>
      <c r="G672" s="200"/>
      <c r="H672" s="200"/>
      <c r="I672" s="200"/>
      <c r="J672" s="200"/>
      <c r="K672" s="200">
        <f>SUMIF(AE!C:C,ATB!C:C,AE!F:F)</f>
        <v>0</v>
      </c>
      <c r="L672" s="200">
        <f t="shared" si="28"/>
        <v>0</v>
      </c>
      <c r="M672" s="200">
        <f t="shared" si="29"/>
        <v>0</v>
      </c>
    </row>
    <row r="673" spans="2:13" x14ac:dyDescent="0.35">
      <c r="B673" s="117"/>
      <c r="C673" s="117"/>
      <c r="D673" s="117"/>
      <c r="E673" s="117"/>
      <c r="F673" s="200"/>
      <c r="G673" s="200"/>
      <c r="H673" s="200"/>
      <c r="I673" s="200"/>
      <c r="J673" s="200"/>
      <c r="K673" s="200">
        <f>SUMIF(AE!C:C,ATB!C:C,AE!F:F)</f>
        <v>0</v>
      </c>
      <c r="L673" s="200">
        <f t="shared" si="28"/>
        <v>0</v>
      </c>
      <c r="M673" s="200">
        <f t="shared" si="29"/>
        <v>0</v>
      </c>
    </row>
    <row r="674" spans="2:13" x14ac:dyDescent="0.35">
      <c r="B674" s="117"/>
      <c r="C674" s="117"/>
      <c r="D674" s="117"/>
      <c r="E674" s="117"/>
      <c r="F674" s="200"/>
      <c r="G674" s="200"/>
      <c r="H674" s="200"/>
      <c r="I674" s="200"/>
      <c r="J674" s="200"/>
      <c r="K674" s="200">
        <f>SUMIF(AE!C:C,ATB!C:C,AE!F:F)</f>
        <v>0</v>
      </c>
      <c r="L674" s="200">
        <f t="shared" si="28"/>
        <v>0</v>
      </c>
      <c r="M674" s="200">
        <f t="shared" si="29"/>
        <v>0</v>
      </c>
    </row>
    <row r="675" spans="2:13" x14ac:dyDescent="0.35">
      <c r="B675" s="117"/>
      <c r="C675" s="117"/>
      <c r="D675" s="117"/>
      <c r="E675" s="117"/>
      <c r="F675" s="200"/>
      <c r="G675" s="200"/>
      <c r="H675" s="200"/>
      <c r="I675" s="200"/>
      <c r="J675" s="200"/>
      <c r="K675" s="200">
        <f>SUMIF(AE!C:C,ATB!C:C,AE!F:F)</f>
        <v>0</v>
      </c>
      <c r="L675" s="200">
        <f t="shared" si="28"/>
        <v>0</v>
      </c>
      <c r="M675" s="200">
        <f t="shared" si="29"/>
        <v>0</v>
      </c>
    </row>
    <row r="676" spans="2:13" x14ac:dyDescent="0.35">
      <c r="B676" s="117"/>
      <c r="C676" s="117"/>
      <c r="D676" s="117"/>
      <c r="E676" s="117"/>
      <c r="F676" s="200"/>
      <c r="G676" s="200"/>
      <c r="H676" s="200"/>
      <c r="I676" s="200"/>
      <c r="J676" s="200"/>
      <c r="K676" s="200">
        <f>SUMIF(AE!C:C,ATB!C:C,AE!F:F)</f>
        <v>0</v>
      </c>
      <c r="L676" s="200">
        <f t="shared" si="28"/>
        <v>0</v>
      </c>
      <c r="M676" s="200">
        <f t="shared" si="29"/>
        <v>0</v>
      </c>
    </row>
    <row r="677" spans="2:13" x14ac:dyDescent="0.35">
      <c r="B677" s="117"/>
      <c r="C677" s="117"/>
      <c r="D677" s="117"/>
      <c r="E677" s="117"/>
      <c r="F677" s="200"/>
      <c r="G677" s="200"/>
      <c r="H677" s="200"/>
      <c r="I677" s="200"/>
      <c r="J677" s="200"/>
      <c r="K677" s="200">
        <f>SUMIF(AE!C:C,ATB!C:C,AE!F:F)</f>
        <v>0</v>
      </c>
      <c r="L677" s="200">
        <f t="shared" si="28"/>
        <v>0</v>
      </c>
      <c r="M677" s="200">
        <f t="shared" si="29"/>
        <v>0</v>
      </c>
    </row>
    <row r="678" spans="2:13" x14ac:dyDescent="0.35">
      <c r="B678" s="117"/>
      <c r="C678" s="117"/>
      <c r="D678" s="117"/>
      <c r="E678" s="117"/>
      <c r="F678" s="200"/>
      <c r="G678" s="200"/>
      <c r="H678" s="200"/>
      <c r="I678" s="200"/>
      <c r="J678" s="200"/>
      <c r="K678" s="200">
        <f>SUMIF(AE!C:C,ATB!C:C,AE!F:F)</f>
        <v>0</v>
      </c>
      <c r="L678" s="200">
        <f t="shared" si="28"/>
        <v>0</v>
      </c>
      <c r="M678" s="200">
        <f t="shared" si="29"/>
        <v>0</v>
      </c>
    </row>
    <row r="679" spans="2:13" x14ac:dyDescent="0.35">
      <c r="B679" s="117"/>
      <c r="C679" s="117"/>
      <c r="D679" s="117"/>
      <c r="E679" s="117"/>
      <c r="F679" s="200"/>
      <c r="G679" s="200"/>
      <c r="H679" s="200"/>
      <c r="I679" s="200"/>
      <c r="J679" s="200"/>
      <c r="K679" s="200">
        <f>SUMIF(AE!C:C,ATB!C:C,AE!F:F)</f>
        <v>0</v>
      </c>
      <c r="L679" s="200">
        <f t="shared" si="28"/>
        <v>0</v>
      </c>
      <c r="M679" s="200">
        <f t="shared" si="29"/>
        <v>0</v>
      </c>
    </row>
    <row r="680" spans="2:13" x14ac:dyDescent="0.35">
      <c r="B680" s="117"/>
      <c r="C680" s="117"/>
      <c r="D680" s="117"/>
      <c r="E680" s="117"/>
      <c r="F680" s="200"/>
      <c r="G680" s="200"/>
      <c r="H680" s="200"/>
      <c r="I680" s="200"/>
      <c r="J680" s="200"/>
      <c r="K680" s="200">
        <f>SUMIF(AE!C:C,ATB!C:C,AE!F:F)</f>
        <v>0</v>
      </c>
      <c r="L680" s="200">
        <f t="shared" si="28"/>
        <v>0</v>
      </c>
      <c r="M680" s="200">
        <f t="shared" si="29"/>
        <v>0</v>
      </c>
    </row>
    <row r="681" spans="2:13" x14ac:dyDescent="0.35">
      <c r="B681" s="117"/>
      <c r="C681" s="117"/>
      <c r="D681" s="117"/>
      <c r="E681" s="117"/>
      <c r="F681" s="200"/>
      <c r="G681" s="200"/>
      <c r="H681" s="200"/>
      <c r="I681" s="200"/>
      <c r="J681" s="200"/>
      <c r="K681" s="200">
        <f>SUMIF(AE!C:C,ATB!C:C,AE!F:F)</f>
        <v>0</v>
      </c>
      <c r="L681" s="200">
        <f t="shared" si="28"/>
        <v>0</v>
      </c>
      <c r="M681" s="200">
        <f t="shared" si="29"/>
        <v>0</v>
      </c>
    </row>
    <row r="682" spans="2:13" x14ac:dyDescent="0.35">
      <c r="B682" s="117"/>
      <c r="C682" s="117"/>
      <c r="D682" s="117"/>
      <c r="E682" s="117"/>
      <c r="F682" s="200"/>
      <c r="G682" s="200"/>
      <c r="H682" s="200"/>
      <c r="I682" s="200"/>
      <c r="J682" s="200"/>
      <c r="K682" s="200">
        <f>SUMIF(AE!C:C,ATB!C:C,AE!F:F)</f>
        <v>0</v>
      </c>
      <c r="L682" s="200">
        <f t="shared" si="28"/>
        <v>0</v>
      </c>
      <c r="M682" s="200">
        <f t="shared" si="29"/>
        <v>0</v>
      </c>
    </row>
    <row r="683" spans="2:13" x14ac:dyDescent="0.35">
      <c r="B683" s="117"/>
      <c r="C683" s="117"/>
      <c r="D683" s="117"/>
      <c r="E683" s="117"/>
      <c r="F683" s="200"/>
      <c r="G683" s="200"/>
      <c r="H683" s="200"/>
      <c r="I683" s="200"/>
      <c r="J683" s="200"/>
      <c r="K683" s="200">
        <f>SUMIF(AE!C:C,ATB!C:C,AE!F:F)</f>
        <v>0</v>
      </c>
      <c r="L683" s="200">
        <f t="shared" si="28"/>
        <v>0</v>
      </c>
      <c r="M683" s="200">
        <f t="shared" si="29"/>
        <v>0</v>
      </c>
    </row>
    <row r="684" spans="2:13" x14ac:dyDescent="0.35">
      <c r="B684" s="117"/>
      <c r="C684" s="117"/>
      <c r="D684" s="117"/>
      <c r="E684" s="117"/>
      <c r="F684" s="200"/>
      <c r="G684" s="200"/>
      <c r="H684" s="200"/>
      <c r="I684" s="200"/>
      <c r="J684" s="200"/>
      <c r="K684" s="200">
        <f>SUMIF(AE!C:C,ATB!C:C,AE!F:F)</f>
        <v>0</v>
      </c>
      <c r="L684" s="200">
        <f t="shared" si="28"/>
        <v>0</v>
      </c>
      <c r="M684" s="200">
        <f t="shared" si="29"/>
        <v>0</v>
      </c>
    </row>
    <row r="685" spans="2:13" x14ac:dyDescent="0.35">
      <c r="B685" s="117"/>
      <c r="C685" s="117"/>
      <c r="D685" s="117"/>
      <c r="E685" s="117"/>
      <c r="F685" s="200"/>
      <c r="G685" s="200"/>
      <c r="H685" s="200"/>
      <c r="I685" s="200"/>
      <c r="J685" s="200"/>
      <c r="K685" s="200">
        <f>SUMIF(AE!C:C,ATB!C:C,AE!F:F)</f>
        <v>0</v>
      </c>
      <c r="L685" s="200">
        <f t="shared" si="28"/>
        <v>0</v>
      </c>
      <c r="M685" s="200">
        <f t="shared" si="29"/>
        <v>0</v>
      </c>
    </row>
    <row r="686" spans="2:13" x14ac:dyDescent="0.35">
      <c r="B686" s="117"/>
      <c r="C686" s="117"/>
      <c r="D686" s="117"/>
      <c r="E686" s="117"/>
      <c r="F686" s="200"/>
      <c r="G686" s="200"/>
      <c r="H686" s="200"/>
      <c r="I686" s="200"/>
      <c r="J686" s="200"/>
      <c r="K686" s="200">
        <f>SUMIF(AE!C:C,ATB!C:C,AE!F:F)</f>
        <v>0</v>
      </c>
      <c r="L686" s="200">
        <f t="shared" si="28"/>
        <v>0</v>
      </c>
      <c r="M686" s="200">
        <f t="shared" si="29"/>
        <v>0</v>
      </c>
    </row>
    <row r="687" spans="2:13" x14ac:dyDescent="0.35">
      <c r="B687" s="117"/>
      <c r="C687" s="117"/>
      <c r="D687" s="117"/>
      <c r="E687" s="117"/>
      <c r="F687" s="200"/>
      <c r="G687" s="200"/>
      <c r="H687" s="200"/>
      <c r="I687" s="200"/>
      <c r="J687" s="200"/>
      <c r="K687" s="200">
        <f>SUMIF(AE!C:C,ATB!C:C,AE!F:F)</f>
        <v>0</v>
      </c>
      <c r="L687" s="200">
        <f t="shared" si="28"/>
        <v>0</v>
      </c>
      <c r="M687" s="200">
        <f t="shared" si="29"/>
        <v>0</v>
      </c>
    </row>
    <row r="688" spans="2:13" x14ac:dyDescent="0.35">
      <c r="B688" s="117"/>
      <c r="C688" s="117"/>
      <c r="D688" s="117"/>
      <c r="E688" s="117"/>
      <c r="F688" s="200"/>
      <c r="G688" s="200"/>
      <c r="H688" s="200"/>
      <c r="I688" s="200"/>
      <c r="J688" s="200"/>
      <c r="K688" s="200">
        <f>SUMIF(AE!C:C,ATB!C:C,AE!F:F)</f>
        <v>0</v>
      </c>
      <c r="L688" s="200">
        <f t="shared" si="28"/>
        <v>0</v>
      </c>
      <c r="M688" s="200">
        <f t="shared" si="29"/>
        <v>0</v>
      </c>
    </row>
    <row r="689" spans="2:13" x14ac:dyDescent="0.35">
      <c r="B689" s="117"/>
      <c r="C689" s="117"/>
      <c r="D689" s="117"/>
      <c r="E689" s="117"/>
      <c r="F689" s="200"/>
      <c r="G689" s="200"/>
      <c r="H689" s="200"/>
      <c r="I689" s="200"/>
      <c r="J689" s="200"/>
      <c r="K689" s="200">
        <f>SUMIF(AE!C:C,ATB!C:C,AE!F:F)</f>
        <v>0</v>
      </c>
      <c r="L689" s="200">
        <f t="shared" si="28"/>
        <v>0</v>
      </c>
      <c r="M689" s="200">
        <f t="shared" si="29"/>
        <v>0</v>
      </c>
    </row>
    <row r="690" spans="2:13" x14ac:dyDescent="0.35">
      <c r="B690" s="117"/>
      <c r="C690" s="117"/>
      <c r="D690" s="117"/>
      <c r="E690" s="117"/>
      <c r="F690" s="200"/>
      <c r="G690" s="200"/>
      <c r="H690" s="200"/>
      <c r="I690" s="200"/>
      <c r="J690" s="200"/>
      <c r="K690" s="200">
        <f>SUMIF(AE!C:C,ATB!C:C,AE!F:F)</f>
        <v>0</v>
      </c>
      <c r="L690" s="200">
        <f t="shared" si="28"/>
        <v>0</v>
      </c>
      <c r="M690" s="200">
        <f t="shared" si="29"/>
        <v>0</v>
      </c>
    </row>
    <row r="691" spans="2:13" x14ac:dyDescent="0.35">
      <c r="B691" s="117"/>
      <c r="C691" s="117"/>
      <c r="D691" s="117"/>
      <c r="E691" s="117"/>
      <c r="F691" s="200"/>
      <c r="G691" s="200"/>
      <c r="H691" s="200"/>
      <c r="I691" s="200"/>
      <c r="J691" s="200"/>
      <c r="K691" s="200">
        <f>SUMIF(AE!C:C,ATB!C:C,AE!F:F)</f>
        <v>0</v>
      </c>
      <c r="L691" s="200">
        <f t="shared" si="28"/>
        <v>0</v>
      </c>
      <c r="M691" s="200">
        <f t="shared" si="29"/>
        <v>0</v>
      </c>
    </row>
    <row r="692" spans="2:13" x14ac:dyDescent="0.35">
      <c r="B692" s="117"/>
      <c r="C692" s="117"/>
      <c r="D692" s="117"/>
      <c r="E692" s="117"/>
      <c r="F692" s="200"/>
      <c r="G692" s="200"/>
      <c r="H692" s="200"/>
      <c r="I692" s="200"/>
      <c r="J692" s="200"/>
      <c r="K692" s="200">
        <f>SUMIF(AE!C:C,ATB!C:C,AE!F:F)</f>
        <v>0</v>
      </c>
      <c r="L692" s="200">
        <f t="shared" si="28"/>
        <v>0</v>
      </c>
      <c r="M692" s="200">
        <f t="shared" si="29"/>
        <v>0</v>
      </c>
    </row>
    <row r="693" spans="2:13" x14ac:dyDescent="0.35">
      <c r="B693" s="117"/>
      <c r="C693" s="117"/>
      <c r="D693" s="117"/>
      <c r="E693" s="117"/>
      <c r="F693" s="200"/>
      <c r="G693" s="200"/>
      <c r="H693" s="200"/>
      <c r="I693" s="200"/>
      <c r="J693" s="200"/>
      <c r="K693" s="200">
        <f>SUMIF(AE!C:C,ATB!C:C,AE!F:F)</f>
        <v>0</v>
      </c>
      <c r="L693" s="200">
        <f t="shared" si="28"/>
        <v>0</v>
      </c>
      <c r="M693" s="200">
        <f t="shared" si="29"/>
        <v>0</v>
      </c>
    </row>
    <row r="694" spans="2:13" x14ac:dyDescent="0.35">
      <c r="B694" s="117"/>
      <c r="C694" s="117"/>
      <c r="D694" s="117"/>
      <c r="E694" s="117"/>
      <c r="F694" s="200"/>
      <c r="G694" s="200"/>
      <c r="H694" s="200"/>
      <c r="I694" s="200"/>
      <c r="J694" s="200"/>
      <c r="K694" s="200">
        <f>SUMIF(AE!C:C,ATB!C:C,AE!F:F)</f>
        <v>0</v>
      </c>
      <c r="L694" s="200">
        <f t="shared" si="28"/>
        <v>0</v>
      </c>
      <c r="M694" s="200">
        <f t="shared" si="29"/>
        <v>0</v>
      </c>
    </row>
    <row r="695" spans="2:13" x14ac:dyDescent="0.35">
      <c r="B695" s="117"/>
      <c r="C695" s="117"/>
      <c r="D695" s="117"/>
      <c r="E695" s="117"/>
      <c r="F695" s="200"/>
      <c r="G695" s="200"/>
      <c r="H695" s="200"/>
      <c r="I695" s="200"/>
      <c r="J695" s="200"/>
      <c r="K695" s="200">
        <f>SUMIF(AE!C:C,ATB!C:C,AE!F:F)</f>
        <v>0</v>
      </c>
      <c r="L695" s="200">
        <f t="shared" si="28"/>
        <v>0</v>
      </c>
      <c r="M695" s="200">
        <f t="shared" si="29"/>
        <v>0</v>
      </c>
    </row>
    <row r="696" spans="2:13" x14ac:dyDescent="0.35">
      <c r="B696" s="117"/>
      <c r="C696" s="117"/>
      <c r="D696" s="117"/>
      <c r="E696" s="117"/>
      <c r="F696" s="200"/>
      <c r="G696" s="200"/>
      <c r="H696" s="200"/>
      <c r="I696" s="200"/>
      <c r="J696" s="200"/>
      <c r="K696" s="200">
        <f>SUMIF(AE!C:C,ATB!C:C,AE!F:F)</f>
        <v>0</v>
      </c>
      <c r="L696" s="200">
        <f t="shared" si="28"/>
        <v>0</v>
      </c>
      <c r="M696" s="200">
        <f t="shared" si="29"/>
        <v>0</v>
      </c>
    </row>
    <row r="697" spans="2:13" x14ac:dyDescent="0.35">
      <c r="B697" s="117"/>
      <c r="C697" s="117"/>
      <c r="D697" s="117"/>
      <c r="E697" s="117"/>
      <c r="F697" s="200"/>
      <c r="G697" s="200"/>
      <c r="H697" s="200"/>
      <c r="I697" s="200"/>
      <c r="J697" s="200"/>
      <c r="K697" s="200">
        <f>SUMIF(AE!C:C,ATB!C:C,AE!F:F)</f>
        <v>0</v>
      </c>
      <c r="L697" s="200">
        <f t="shared" si="28"/>
        <v>0</v>
      </c>
      <c r="M697" s="200">
        <f t="shared" si="29"/>
        <v>0</v>
      </c>
    </row>
    <row r="698" spans="2:13" x14ac:dyDescent="0.35">
      <c r="B698" s="117"/>
      <c r="C698" s="117"/>
      <c r="D698" s="117"/>
      <c r="E698" s="117"/>
      <c r="F698" s="200"/>
      <c r="G698" s="200"/>
      <c r="H698" s="200"/>
      <c r="I698" s="200"/>
      <c r="J698" s="200"/>
      <c r="K698" s="200">
        <f>SUMIF(AE!C:C,ATB!C:C,AE!F:F)</f>
        <v>0</v>
      </c>
      <c r="L698" s="200">
        <f t="shared" si="28"/>
        <v>0</v>
      </c>
      <c r="M698" s="200">
        <f t="shared" si="29"/>
        <v>0</v>
      </c>
    </row>
    <row r="699" spans="2:13" x14ac:dyDescent="0.35">
      <c r="B699" s="117"/>
      <c r="C699" s="117"/>
      <c r="D699" s="117"/>
      <c r="E699" s="117"/>
      <c r="F699" s="200"/>
      <c r="G699" s="200"/>
      <c r="H699" s="200"/>
      <c r="I699" s="200"/>
      <c r="J699" s="200"/>
      <c r="K699" s="200">
        <f>SUMIF(AE!C:C,ATB!C:C,AE!F:F)</f>
        <v>0</v>
      </c>
      <c r="L699" s="200">
        <f t="shared" si="28"/>
        <v>0</v>
      </c>
      <c r="M699" s="200">
        <f t="shared" si="29"/>
        <v>0</v>
      </c>
    </row>
    <row r="700" spans="2:13" x14ac:dyDescent="0.35">
      <c r="B700" s="117"/>
      <c r="C700" s="117"/>
      <c r="D700" s="117"/>
      <c r="E700" s="117"/>
      <c r="F700" s="200"/>
      <c r="G700" s="200"/>
      <c r="H700" s="200"/>
      <c r="I700" s="200"/>
      <c r="J700" s="200"/>
      <c r="K700" s="200">
        <f>SUMIF(AE!C:C,ATB!C:C,AE!F:F)</f>
        <v>0</v>
      </c>
      <c r="L700" s="200">
        <f t="shared" si="28"/>
        <v>0</v>
      </c>
      <c r="M700" s="200">
        <f t="shared" si="29"/>
        <v>0</v>
      </c>
    </row>
    <row r="701" spans="2:13" x14ac:dyDescent="0.35">
      <c r="B701" s="117"/>
      <c r="C701" s="117"/>
      <c r="D701" s="117"/>
      <c r="E701" s="117"/>
      <c r="F701" s="200"/>
      <c r="G701" s="200"/>
      <c r="H701" s="200"/>
      <c r="I701" s="200"/>
      <c r="J701" s="200"/>
      <c r="K701" s="200">
        <f>SUMIF(AE!C:C,ATB!C:C,AE!F:F)</f>
        <v>0</v>
      </c>
      <c r="L701" s="200">
        <f t="shared" si="28"/>
        <v>0</v>
      </c>
      <c r="M701" s="200">
        <f t="shared" si="29"/>
        <v>0</v>
      </c>
    </row>
    <row r="702" spans="2:13" x14ac:dyDescent="0.35">
      <c r="B702" s="117"/>
      <c r="C702" s="117"/>
      <c r="D702" s="117"/>
      <c r="E702" s="117"/>
      <c r="F702" s="200"/>
      <c r="G702" s="200"/>
      <c r="H702" s="200"/>
      <c r="I702" s="200"/>
      <c r="J702" s="200"/>
      <c r="K702" s="200">
        <f>SUMIF(AE!C:C,ATB!C:C,AE!F:F)</f>
        <v>0</v>
      </c>
      <c r="L702" s="200">
        <f t="shared" si="28"/>
        <v>0</v>
      </c>
      <c r="M702" s="200">
        <f t="shared" si="29"/>
        <v>0</v>
      </c>
    </row>
    <row r="703" spans="2:13" x14ac:dyDescent="0.35">
      <c r="B703" s="117"/>
      <c r="C703" s="117"/>
      <c r="D703" s="117"/>
      <c r="E703" s="117"/>
      <c r="F703" s="200"/>
      <c r="G703" s="200"/>
      <c r="H703" s="200"/>
      <c r="I703" s="200"/>
      <c r="J703" s="200"/>
      <c r="K703" s="200">
        <f>SUMIF(AE!C:C,ATB!C:C,AE!F:F)</f>
        <v>0</v>
      </c>
      <c r="L703" s="200">
        <f t="shared" si="28"/>
        <v>0</v>
      </c>
      <c r="M703" s="200">
        <f t="shared" si="29"/>
        <v>0</v>
      </c>
    </row>
    <row r="704" spans="2:13" x14ac:dyDescent="0.35">
      <c r="B704" s="117"/>
      <c r="C704" s="117"/>
      <c r="D704" s="117"/>
      <c r="E704" s="117"/>
      <c r="F704" s="200"/>
      <c r="G704" s="200"/>
      <c r="H704" s="200"/>
      <c r="I704" s="200"/>
      <c r="J704" s="200"/>
      <c r="K704" s="200">
        <f>SUMIF(AE!C:C,ATB!C:C,AE!F:F)</f>
        <v>0</v>
      </c>
      <c r="L704" s="200">
        <f t="shared" si="28"/>
        <v>0</v>
      </c>
      <c r="M704" s="200">
        <f t="shared" si="29"/>
        <v>0</v>
      </c>
    </row>
    <row r="705" spans="2:13" x14ac:dyDescent="0.35">
      <c r="B705" s="117"/>
      <c r="C705" s="117"/>
      <c r="D705" s="117"/>
      <c r="E705" s="117"/>
      <c r="F705" s="200"/>
      <c r="G705" s="200"/>
      <c r="H705" s="200"/>
      <c r="I705" s="200"/>
      <c r="J705" s="200"/>
      <c r="K705" s="200">
        <f>SUMIF(AE!C:C,ATB!C:C,AE!F:F)</f>
        <v>0</v>
      </c>
      <c r="L705" s="200">
        <f t="shared" si="28"/>
        <v>0</v>
      </c>
      <c r="M705" s="200">
        <f t="shared" si="29"/>
        <v>0</v>
      </c>
    </row>
    <row r="706" spans="2:13" x14ac:dyDescent="0.35">
      <c r="B706" s="117"/>
      <c r="C706" s="117"/>
      <c r="D706" s="117"/>
      <c r="E706" s="117"/>
      <c r="F706" s="200"/>
      <c r="G706" s="200"/>
      <c r="H706" s="200"/>
      <c r="I706" s="200"/>
      <c r="J706" s="200"/>
      <c r="K706" s="200">
        <f>SUMIF(AE!C:C,ATB!C:C,AE!F:F)</f>
        <v>0</v>
      </c>
      <c r="L706" s="200">
        <f t="shared" ref="L706:L769" si="30">ROUND(IF(F706+H706+J706-G706-I706-K706&gt;0,F706+H706+J706-G706-I706-K706,0),0)</f>
        <v>0</v>
      </c>
      <c r="M706" s="200">
        <f t="shared" ref="M706:M769" si="31">-ROUND(IF(F706+H706+J706-G706-I706-K706&lt;0,F706+H706+J706-G706-I706-K706,0),0)</f>
        <v>0</v>
      </c>
    </row>
    <row r="707" spans="2:13" x14ac:dyDescent="0.35">
      <c r="B707" s="117"/>
      <c r="C707" s="117"/>
      <c r="D707" s="117"/>
      <c r="E707" s="117"/>
      <c r="F707" s="200"/>
      <c r="G707" s="200"/>
      <c r="H707" s="200"/>
      <c r="I707" s="200"/>
      <c r="J707" s="200"/>
      <c r="K707" s="200">
        <f>SUMIF(AE!C:C,ATB!C:C,AE!F:F)</f>
        <v>0</v>
      </c>
      <c r="L707" s="200">
        <f t="shared" si="30"/>
        <v>0</v>
      </c>
      <c r="M707" s="200">
        <f t="shared" si="31"/>
        <v>0</v>
      </c>
    </row>
    <row r="708" spans="2:13" x14ac:dyDescent="0.35">
      <c r="B708" s="117"/>
      <c r="C708" s="117"/>
      <c r="D708" s="117"/>
      <c r="E708" s="117"/>
      <c r="F708" s="200"/>
      <c r="G708" s="200"/>
      <c r="H708" s="200"/>
      <c r="I708" s="200"/>
      <c r="J708" s="200"/>
      <c r="K708" s="200">
        <f>SUMIF(AE!C:C,ATB!C:C,AE!F:F)</f>
        <v>0</v>
      </c>
      <c r="L708" s="200">
        <f t="shared" si="30"/>
        <v>0</v>
      </c>
      <c r="M708" s="200">
        <f t="shared" si="31"/>
        <v>0</v>
      </c>
    </row>
    <row r="709" spans="2:13" x14ac:dyDescent="0.35">
      <c r="B709" s="117"/>
      <c r="C709" s="117"/>
      <c r="D709" s="117"/>
      <c r="E709" s="117"/>
      <c r="F709" s="200"/>
      <c r="G709" s="200"/>
      <c r="H709" s="200"/>
      <c r="I709" s="200"/>
      <c r="J709" s="200"/>
      <c r="K709" s="200">
        <f>SUMIF(AE!C:C,ATB!C:C,AE!F:F)</f>
        <v>0</v>
      </c>
      <c r="L709" s="200">
        <f t="shared" si="30"/>
        <v>0</v>
      </c>
      <c r="M709" s="200">
        <f t="shared" si="31"/>
        <v>0</v>
      </c>
    </row>
    <row r="710" spans="2:13" x14ac:dyDescent="0.35">
      <c r="B710" s="117"/>
      <c r="C710" s="117"/>
      <c r="D710" s="117"/>
      <c r="E710" s="117"/>
      <c r="F710" s="200"/>
      <c r="G710" s="200"/>
      <c r="H710" s="200"/>
      <c r="I710" s="200"/>
      <c r="J710" s="200"/>
      <c r="K710" s="200">
        <f>SUMIF(AE!C:C,ATB!C:C,AE!F:F)</f>
        <v>0</v>
      </c>
      <c r="L710" s="200">
        <f t="shared" si="30"/>
        <v>0</v>
      </c>
      <c r="M710" s="200">
        <f t="shared" si="31"/>
        <v>0</v>
      </c>
    </row>
    <row r="711" spans="2:13" x14ac:dyDescent="0.35">
      <c r="B711" s="117"/>
      <c r="C711" s="117"/>
      <c r="D711" s="117"/>
      <c r="E711" s="117"/>
      <c r="F711" s="200"/>
      <c r="G711" s="200"/>
      <c r="H711" s="200"/>
      <c r="I711" s="200"/>
      <c r="J711" s="200"/>
      <c r="K711" s="200">
        <f>SUMIF(AE!C:C,ATB!C:C,AE!F:F)</f>
        <v>0</v>
      </c>
      <c r="L711" s="200">
        <f t="shared" si="30"/>
        <v>0</v>
      </c>
      <c r="M711" s="200">
        <f t="shared" si="31"/>
        <v>0</v>
      </c>
    </row>
    <row r="712" spans="2:13" x14ac:dyDescent="0.35">
      <c r="B712" s="117"/>
      <c r="C712" s="117"/>
      <c r="D712" s="117"/>
      <c r="E712" s="117"/>
      <c r="F712" s="200"/>
      <c r="G712" s="200"/>
      <c r="H712" s="200"/>
      <c r="I712" s="200"/>
      <c r="J712" s="200"/>
      <c r="K712" s="200">
        <f>SUMIF(AE!C:C,ATB!C:C,AE!F:F)</f>
        <v>0</v>
      </c>
      <c r="L712" s="200">
        <f t="shared" si="30"/>
        <v>0</v>
      </c>
      <c r="M712" s="200">
        <f t="shared" si="31"/>
        <v>0</v>
      </c>
    </row>
    <row r="713" spans="2:13" x14ac:dyDescent="0.35">
      <c r="B713" s="117"/>
      <c r="C713" s="117"/>
      <c r="D713" s="117"/>
      <c r="E713" s="117"/>
      <c r="F713" s="200"/>
      <c r="G713" s="200"/>
      <c r="H713" s="200"/>
      <c r="I713" s="200"/>
      <c r="J713" s="200"/>
      <c r="K713" s="200">
        <f>SUMIF(AE!C:C,ATB!C:C,AE!F:F)</f>
        <v>0</v>
      </c>
      <c r="L713" s="200">
        <f t="shared" si="30"/>
        <v>0</v>
      </c>
      <c r="M713" s="200">
        <f t="shared" si="31"/>
        <v>0</v>
      </c>
    </row>
    <row r="714" spans="2:13" x14ac:dyDescent="0.35">
      <c r="B714" s="117"/>
      <c r="C714" s="117"/>
      <c r="D714" s="117"/>
      <c r="E714" s="117"/>
      <c r="F714" s="200"/>
      <c r="G714" s="200"/>
      <c r="H714" s="200"/>
      <c r="I714" s="200"/>
      <c r="J714" s="200"/>
      <c r="K714" s="200">
        <f>SUMIF(AE!C:C,ATB!C:C,AE!F:F)</f>
        <v>0</v>
      </c>
      <c r="L714" s="200">
        <f t="shared" si="30"/>
        <v>0</v>
      </c>
      <c r="M714" s="200">
        <f t="shared" si="31"/>
        <v>0</v>
      </c>
    </row>
    <row r="715" spans="2:13" x14ac:dyDescent="0.35">
      <c r="B715" s="117"/>
      <c r="C715" s="117"/>
      <c r="D715" s="117"/>
      <c r="E715" s="117"/>
      <c r="F715" s="200"/>
      <c r="G715" s="200"/>
      <c r="H715" s="200"/>
      <c r="I715" s="200"/>
      <c r="J715" s="200"/>
      <c r="K715" s="200">
        <f>SUMIF(AE!C:C,ATB!C:C,AE!F:F)</f>
        <v>0</v>
      </c>
      <c r="L715" s="200">
        <f t="shared" si="30"/>
        <v>0</v>
      </c>
      <c r="M715" s="200">
        <f t="shared" si="31"/>
        <v>0</v>
      </c>
    </row>
    <row r="716" spans="2:13" x14ac:dyDescent="0.35">
      <c r="B716" s="117"/>
      <c r="C716" s="117"/>
      <c r="D716" s="117"/>
      <c r="E716" s="117"/>
      <c r="F716" s="200"/>
      <c r="G716" s="200"/>
      <c r="H716" s="200"/>
      <c r="I716" s="200"/>
      <c r="J716" s="200"/>
      <c r="K716" s="200">
        <f>SUMIF(AE!C:C,ATB!C:C,AE!F:F)</f>
        <v>0</v>
      </c>
      <c r="L716" s="200">
        <f t="shared" si="30"/>
        <v>0</v>
      </c>
      <c r="M716" s="200">
        <f t="shared" si="31"/>
        <v>0</v>
      </c>
    </row>
    <row r="717" spans="2:13" x14ac:dyDescent="0.35">
      <c r="B717" s="117"/>
      <c r="C717" s="117"/>
      <c r="D717" s="117"/>
      <c r="E717" s="117"/>
      <c r="F717" s="200"/>
      <c r="G717" s="200"/>
      <c r="H717" s="200"/>
      <c r="I717" s="200"/>
      <c r="J717" s="200"/>
      <c r="K717" s="200">
        <f>SUMIF(AE!C:C,ATB!C:C,AE!F:F)</f>
        <v>0</v>
      </c>
      <c r="L717" s="200">
        <f t="shared" si="30"/>
        <v>0</v>
      </c>
      <c r="M717" s="200">
        <f t="shared" si="31"/>
        <v>0</v>
      </c>
    </row>
    <row r="718" spans="2:13" x14ac:dyDescent="0.35">
      <c r="B718" s="117"/>
      <c r="C718" s="117"/>
      <c r="D718" s="117"/>
      <c r="E718" s="117"/>
      <c r="F718" s="200"/>
      <c r="G718" s="200"/>
      <c r="H718" s="200"/>
      <c r="I718" s="200"/>
      <c r="J718" s="200"/>
      <c r="K718" s="200">
        <f>SUMIF(AE!C:C,ATB!C:C,AE!F:F)</f>
        <v>0</v>
      </c>
      <c r="L718" s="200">
        <f t="shared" si="30"/>
        <v>0</v>
      </c>
      <c r="M718" s="200">
        <f t="shared" si="31"/>
        <v>0</v>
      </c>
    </row>
    <row r="719" spans="2:13" x14ac:dyDescent="0.35">
      <c r="B719" s="117"/>
      <c r="C719" s="117"/>
      <c r="D719" s="117"/>
      <c r="E719" s="117"/>
      <c r="F719" s="200"/>
      <c r="G719" s="200"/>
      <c r="H719" s="200"/>
      <c r="I719" s="200"/>
      <c r="J719" s="200"/>
      <c r="K719" s="200">
        <f>SUMIF(AE!C:C,ATB!C:C,AE!F:F)</f>
        <v>0</v>
      </c>
      <c r="L719" s="200">
        <f t="shared" si="30"/>
        <v>0</v>
      </c>
      <c r="M719" s="200">
        <f t="shared" si="31"/>
        <v>0</v>
      </c>
    </row>
    <row r="720" spans="2:13" x14ac:dyDescent="0.35">
      <c r="B720" s="117"/>
      <c r="C720" s="117"/>
      <c r="D720" s="117"/>
      <c r="E720" s="117"/>
      <c r="F720" s="200"/>
      <c r="G720" s="200"/>
      <c r="H720" s="200"/>
      <c r="I720" s="200"/>
      <c r="J720" s="200"/>
      <c r="K720" s="200">
        <f>SUMIF(AE!C:C,ATB!C:C,AE!F:F)</f>
        <v>0</v>
      </c>
      <c r="L720" s="200">
        <f t="shared" si="30"/>
        <v>0</v>
      </c>
      <c r="M720" s="200">
        <f t="shared" si="31"/>
        <v>0</v>
      </c>
    </row>
    <row r="721" spans="2:13" x14ac:dyDescent="0.35">
      <c r="B721" s="117"/>
      <c r="C721" s="117"/>
      <c r="D721" s="117"/>
      <c r="E721" s="117"/>
      <c r="F721" s="200"/>
      <c r="G721" s="200"/>
      <c r="H721" s="200"/>
      <c r="I721" s="200"/>
      <c r="J721" s="200"/>
      <c r="K721" s="200">
        <f>SUMIF(AE!C:C,ATB!C:C,AE!F:F)</f>
        <v>0</v>
      </c>
      <c r="L721" s="200">
        <f t="shared" si="30"/>
        <v>0</v>
      </c>
      <c r="M721" s="200">
        <f t="shared" si="31"/>
        <v>0</v>
      </c>
    </row>
    <row r="722" spans="2:13" x14ac:dyDescent="0.35">
      <c r="B722" s="117"/>
      <c r="C722" s="117"/>
      <c r="D722" s="117"/>
      <c r="E722" s="117"/>
      <c r="F722" s="200"/>
      <c r="G722" s="200"/>
      <c r="H722" s="200"/>
      <c r="I722" s="200"/>
      <c r="J722" s="200"/>
      <c r="K722" s="200">
        <f>SUMIF(AE!C:C,ATB!C:C,AE!F:F)</f>
        <v>0</v>
      </c>
      <c r="L722" s="200">
        <f t="shared" si="30"/>
        <v>0</v>
      </c>
      <c r="M722" s="200">
        <f t="shared" si="31"/>
        <v>0</v>
      </c>
    </row>
    <row r="723" spans="2:13" x14ac:dyDescent="0.35">
      <c r="B723" s="117"/>
      <c r="C723" s="117"/>
      <c r="D723" s="117"/>
      <c r="E723" s="117"/>
      <c r="F723" s="200"/>
      <c r="G723" s="200"/>
      <c r="H723" s="200"/>
      <c r="I723" s="200"/>
      <c r="J723" s="200"/>
      <c r="K723" s="200">
        <f>SUMIF(AE!C:C,ATB!C:C,AE!F:F)</f>
        <v>0</v>
      </c>
      <c r="L723" s="200">
        <f t="shared" si="30"/>
        <v>0</v>
      </c>
      <c r="M723" s="200">
        <f t="shared" si="31"/>
        <v>0</v>
      </c>
    </row>
    <row r="724" spans="2:13" x14ac:dyDescent="0.35">
      <c r="B724" s="117"/>
      <c r="C724" s="117"/>
      <c r="D724" s="117"/>
      <c r="E724" s="117"/>
      <c r="F724" s="200"/>
      <c r="G724" s="200"/>
      <c r="H724" s="200"/>
      <c r="I724" s="200"/>
      <c r="J724" s="200"/>
      <c r="K724" s="200">
        <f>SUMIF(AE!C:C,ATB!C:C,AE!F:F)</f>
        <v>0</v>
      </c>
      <c r="L724" s="200">
        <f t="shared" si="30"/>
        <v>0</v>
      </c>
      <c r="M724" s="200">
        <f t="shared" si="31"/>
        <v>0</v>
      </c>
    </row>
    <row r="725" spans="2:13" x14ac:dyDescent="0.35">
      <c r="B725" s="117"/>
      <c r="C725" s="117"/>
      <c r="D725" s="117"/>
      <c r="E725" s="117"/>
      <c r="F725" s="200"/>
      <c r="G725" s="200"/>
      <c r="H725" s="200"/>
      <c r="I725" s="200"/>
      <c r="J725" s="200"/>
      <c r="K725" s="200">
        <f>SUMIF(AE!C:C,ATB!C:C,AE!F:F)</f>
        <v>0</v>
      </c>
      <c r="L725" s="200">
        <f t="shared" si="30"/>
        <v>0</v>
      </c>
      <c r="M725" s="200">
        <f t="shared" si="31"/>
        <v>0</v>
      </c>
    </row>
    <row r="726" spans="2:13" x14ac:dyDescent="0.35">
      <c r="B726" s="117"/>
      <c r="C726" s="117"/>
      <c r="D726" s="117"/>
      <c r="E726" s="117"/>
      <c r="F726" s="200"/>
      <c r="G726" s="200"/>
      <c r="H726" s="200"/>
      <c r="I726" s="200"/>
      <c r="J726" s="200"/>
      <c r="K726" s="200">
        <f>SUMIF(AE!C:C,ATB!C:C,AE!F:F)</f>
        <v>0</v>
      </c>
      <c r="L726" s="200">
        <f t="shared" si="30"/>
        <v>0</v>
      </c>
      <c r="M726" s="200">
        <f t="shared" si="31"/>
        <v>0</v>
      </c>
    </row>
    <row r="727" spans="2:13" x14ac:dyDescent="0.35">
      <c r="B727" s="117"/>
      <c r="C727" s="117"/>
      <c r="D727" s="117"/>
      <c r="E727" s="117"/>
      <c r="F727" s="200"/>
      <c r="G727" s="200"/>
      <c r="H727" s="200"/>
      <c r="I727" s="200"/>
      <c r="J727" s="200"/>
      <c r="K727" s="200">
        <f>SUMIF(AE!C:C,ATB!C:C,AE!F:F)</f>
        <v>0</v>
      </c>
      <c r="L727" s="200">
        <f t="shared" si="30"/>
        <v>0</v>
      </c>
      <c r="M727" s="200">
        <f t="shared" si="31"/>
        <v>0</v>
      </c>
    </row>
    <row r="728" spans="2:13" x14ac:dyDescent="0.35">
      <c r="B728" s="117"/>
      <c r="C728" s="117"/>
      <c r="D728" s="117"/>
      <c r="E728" s="117"/>
      <c r="F728" s="200"/>
      <c r="G728" s="200"/>
      <c r="H728" s="200"/>
      <c r="I728" s="200"/>
      <c r="J728" s="200"/>
      <c r="K728" s="200">
        <f>SUMIF(AE!C:C,ATB!C:C,AE!F:F)</f>
        <v>0</v>
      </c>
      <c r="L728" s="200">
        <f t="shared" si="30"/>
        <v>0</v>
      </c>
      <c r="M728" s="200">
        <f t="shared" si="31"/>
        <v>0</v>
      </c>
    </row>
    <row r="729" spans="2:13" x14ac:dyDescent="0.35">
      <c r="B729" s="117"/>
      <c r="C729" s="117"/>
      <c r="D729" s="117"/>
      <c r="E729" s="117"/>
      <c r="F729" s="200"/>
      <c r="G729" s="200"/>
      <c r="H729" s="200"/>
      <c r="I729" s="200"/>
      <c r="J729" s="200"/>
      <c r="K729" s="200">
        <f>SUMIF(AE!C:C,ATB!C:C,AE!F:F)</f>
        <v>0</v>
      </c>
      <c r="L729" s="200">
        <f t="shared" si="30"/>
        <v>0</v>
      </c>
      <c r="M729" s="200">
        <f t="shared" si="31"/>
        <v>0</v>
      </c>
    </row>
    <row r="730" spans="2:13" x14ac:dyDescent="0.35">
      <c r="B730" s="117"/>
      <c r="C730" s="117"/>
      <c r="D730" s="117"/>
      <c r="E730" s="117"/>
      <c r="F730" s="200"/>
      <c r="G730" s="200"/>
      <c r="H730" s="200"/>
      <c r="I730" s="200"/>
      <c r="J730" s="200"/>
      <c r="K730" s="200">
        <f>SUMIF(AE!C:C,ATB!C:C,AE!F:F)</f>
        <v>0</v>
      </c>
      <c r="L730" s="200">
        <f t="shared" si="30"/>
        <v>0</v>
      </c>
      <c r="M730" s="200">
        <f t="shared" si="31"/>
        <v>0</v>
      </c>
    </row>
    <row r="731" spans="2:13" x14ac:dyDescent="0.35">
      <c r="B731" s="117"/>
      <c r="C731" s="117"/>
      <c r="D731" s="117"/>
      <c r="E731" s="117"/>
      <c r="F731" s="200"/>
      <c r="G731" s="200"/>
      <c r="H731" s="200"/>
      <c r="I731" s="200"/>
      <c r="J731" s="200"/>
      <c r="K731" s="200">
        <f>SUMIF(AE!C:C,ATB!C:C,AE!F:F)</f>
        <v>0</v>
      </c>
      <c r="L731" s="200">
        <f t="shared" si="30"/>
        <v>0</v>
      </c>
      <c r="M731" s="200">
        <f t="shared" si="31"/>
        <v>0</v>
      </c>
    </row>
    <row r="732" spans="2:13" x14ac:dyDescent="0.35">
      <c r="B732" s="117"/>
      <c r="C732" s="117"/>
      <c r="D732" s="117"/>
      <c r="E732" s="117"/>
      <c r="F732" s="200"/>
      <c r="G732" s="200"/>
      <c r="H732" s="200"/>
      <c r="I732" s="200"/>
      <c r="J732" s="200"/>
      <c r="K732" s="200">
        <f>SUMIF(AE!C:C,ATB!C:C,AE!F:F)</f>
        <v>0</v>
      </c>
      <c r="L732" s="200">
        <f t="shared" si="30"/>
        <v>0</v>
      </c>
      <c r="M732" s="200">
        <f t="shared" si="31"/>
        <v>0</v>
      </c>
    </row>
    <row r="733" spans="2:13" x14ac:dyDescent="0.35">
      <c r="B733" s="117"/>
      <c r="C733" s="117"/>
      <c r="D733" s="117"/>
      <c r="E733" s="117"/>
      <c r="F733" s="200"/>
      <c r="G733" s="200"/>
      <c r="H733" s="200"/>
      <c r="I733" s="200"/>
      <c r="J733" s="200"/>
      <c r="K733" s="200">
        <f>SUMIF(AE!C:C,ATB!C:C,AE!F:F)</f>
        <v>0</v>
      </c>
      <c r="L733" s="200">
        <f t="shared" si="30"/>
        <v>0</v>
      </c>
      <c r="M733" s="200">
        <f t="shared" si="31"/>
        <v>0</v>
      </c>
    </row>
    <row r="734" spans="2:13" x14ac:dyDescent="0.35">
      <c r="B734" s="117"/>
      <c r="C734" s="117"/>
      <c r="D734" s="117"/>
      <c r="E734" s="117"/>
      <c r="F734" s="200"/>
      <c r="G734" s="200"/>
      <c r="H734" s="200"/>
      <c r="I734" s="200"/>
      <c r="J734" s="200"/>
      <c r="K734" s="200">
        <f>SUMIF(AE!C:C,ATB!C:C,AE!F:F)</f>
        <v>0</v>
      </c>
      <c r="L734" s="200">
        <f t="shared" si="30"/>
        <v>0</v>
      </c>
      <c r="M734" s="200">
        <f t="shared" si="31"/>
        <v>0</v>
      </c>
    </row>
    <row r="735" spans="2:13" x14ac:dyDescent="0.35">
      <c r="B735" s="117"/>
      <c r="C735" s="117"/>
      <c r="D735" s="117"/>
      <c r="E735" s="117"/>
      <c r="F735" s="200"/>
      <c r="G735" s="200"/>
      <c r="H735" s="200"/>
      <c r="I735" s="200"/>
      <c r="J735" s="200"/>
      <c r="K735" s="200">
        <f>SUMIF(AE!C:C,ATB!C:C,AE!F:F)</f>
        <v>0</v>
      </c>
      <c r="L735" s="200">
        <f t="shared" si="30"/>
        <v>0</v>
      </c>
      <c r="M735" s="200">
        <f t="shared" si="31"/>
        <v>0</v>
      </c>
    </row>
    <row r="736" spans="2:13" x14ac:dyDescent="0.35">
      <c r="B736" s="117"/>
      <c r="C736" s="117"/>
      <c r="D736" s="117"/>
      <c r="E736" s="117"/>
      <c r="F736" s="200"/>
      <c r="G736" s="200"/>
      <c r="H736" s="200"/>
      <c r="I736" s="200"/>
      <c r="J736" s="200"/>
      <c r="K736" s="200">
        <f>SUMIF(AE!C:C,ATB!C:C,AE!F:F)</f>
        <v>0</v>
      </c>
      <c r="L736" s="200">
        <f t="shared" si="30"/>
        <v>0</v>
      </c>
      <c r="M736" s="200">
        <f t="shared" si="31"/>
        <v>0</v>
      </c>
    </row>
    <row r="737" spans="2:13" x14ac:dyDescent="0.35">
      <c r="B737" s="117"/>
      <c r="C737" s="117"/>
      <c r="D737" s="117"/>
      <c r="E737" s="117"/>
      <c r="F737" s="200"/>
      <c r="G737" s="200"/>
      <c r="H737" s="200"/>
      <c r="I737" s="200"/>
      <c r="J737" s="200"/>
      <c r="K737" s="200">
        <f>SUMIF(AE!C:C,ATB!C:C,AE!F:F)</f>
        <v>0</v>
      </c>
      <c r="L737" s="200">
        <f t="shared" si="30"/>
        <v>0</v>
      </c>
      <c r="M737" s="200">
        <f t="shared" si="31"/>
        <v>0</v>
      </c>
    </row>
    <row r="738" spans="2:13" x14ac:dyDescent="0.35">
      <c r="B738" s="117"/>
      <c r="C738" s="117"/>
      <c r="D738" s="117"/>
      <c r="E738" s="117"/>
      <c r="F738" s="200"/>
      <c r="G738" s="200"/>
      <c r="H738" s="200"/>
      <c r="I738" s="200"/>
      <c r="J738" s="200"/>
      <c r="K738" s="200">
        <f>SUMIF(AE!C:C,ATB!C:C,AE!F:F)</f>
        <v>0</v>
      </c>
      <c r="L738" s="200">
        <f t="shared" si="30"/>
        <v>0</v>
      </c>
      <c r="M738" s="200">
        <f t="shared" si="31"/>
        <v>0</v>
      </c>
    </row>
    <row r="739" spans="2:13" x14ac:dyDescent="0.35">
      <c r="B739" s="117"/>
      <c r="C739" s="117"/>
      <c r="D739" s="117"/>
      <c r="E739" s="117"/>
      <c r="F739" s="200"/>
      <c r="G739" s="200"/>
      <c r="H739" s="200"/>
      <c r="I739" s="200"/>
      <c r="J739" s="200"/>
      <c r="K739" s="200">
        <f>SUMIF(AE!C:C,ATB!C:C,AE!F:F)</f>
        <v>0</v>
      </c>
      <c r="L739" s="200">
        <f t="shared" si="30"/>
        <v>0</v>
      </c>
      <c r="M739" s="200">
        <f t="shared" si="31"/>
        <v>0</v>
      </c>
    </row>
    <row r="740" spans="2:13" x14ac:dyDescent="0.35">
      <c r="B740" s="117"/>
      <c r="C740" s="117"/>
      <c r="D740" s="117"/>
      <c r="E740" s="117"/>
      <c r="F740" s="200"/>
      <c r="G740" s="200"/>
      <c r="H740" s="200"/>
      <c r="I740" s="200"/>
      <c r="J740" s="200"/>
      <c r="K740" s="200">
        <f>SUMIF(AE!C:C,ATB!C:C,AE!F:F)</f>
        <v>0</v>
      </c>
      <c r="L740" s="200">
        <f t="shared" si="30"/>
        <v>0</v>
      </c>
      <c r="M740" s="200">
        <f t="shared" si="31"/>
        <v>0</v>
      </c>
    </row>
    <row r="741" spans="2:13" x14ac:dyDescent="0.35">
      <c r="B741" s="117"/>
      <c r="C741" s="117"/>
      <c r="D741" s="117"/>
      <c r="E741" s="117"/>
      <c r="F741" s="200"/>
      <c r="G741" s="200"/>
      <c r="H741" s="200"/>
      <c r="I741" s="200"/>
      <c r="J741" s="200"/>
      <c r="K741" s="200">
        <f>SUMIF(AE!C:C,ATB!C:C,AE!F:F)</f>
        <v>0</v>
      </c>
      <c r="L741" s="200">
        <f t="shared" si="30"/>
        <v>0</v>
      </c>
      <c r="M741" s="200">
        <f t="shared" si="31"/>
        <v>0</v>
      </c>
    </row>
    <row r="742" spans="2:13" x14ac:dyDescent="0.35">
      <c r="B742" s="117"/>
      <c r="C742" s="117"/>
      <c r="D742" s="117"/>
      <c r="E742" s="117"/>
      <c r="F742" s="200"/>
      <c r="G742" s="200"/>
      <c r="H742" s="200"/>
      <c r="I742" s="200"/>
      <c r="J742" s="200"/>
      <c r="K742" s="200">
        <f>SUMIF(AE!C:C,ATB!C:C,AE!F:F)</f>
        <v>0</v>
      </c>
      <c r="L742" s="200">
        <f t="shared" si="30"/>
        <v>0</v>
      </c>
      <c r="M742" s="200">
        <f t="shared" si="31"/>
        <v>0</v>
      </c>
    </row>
    <row r="743" spans="2:13" x14ac:dyDescent="0.35">
      <c r="B743" s="117"/>
      <c r="C743" s="117"/>
      <c r="D743" s="117"/>
      <c r="E743" s="117"/>
      <c r="F743" s="200"/>
      <c r="G743" s="200"/>
      <c r="H743" s="200"/>
      <c r="I743" s="200"/>
      <c r="J743" s="200"/>
      <c r="K743" s="200">
        <f>SUMIF(AE!C:C,ATB!C:C,AE!F:F)</f>
        <v>0</v>
      </c>
      <c r="L743" s="200">
        <f t="shared" si="30"/>
        <v>0</v>
      </c>
      <c r="M743" s="200">
        <f t="shared" si="31"/>
        <v>0</v>
      </c>
    </row>
    <row r="744" spans="2:13" x14ac:dyDescent="0.35">
      <c r="B744" s="117"/>
      <c r="C744" s="117"/>
      <c r="D744" s="117"/>
      <c r="E744" s="117"/>
      <c r="F744" s="200"/>
      <c r="G744" s="200"/>
      <c r="H744" s="200"/>
      <c r="I744" s="200"/>
      <c r="J744" s="200"/>
      <c r="K744" s="200">
        <f>SUMIF(AE!C:C,ATB!C:C,AE!F:F)</f>
        <v>0</v>
      </c>
      <c r="L744" s="200">
        <f t="shared" si="30"/>
        <v>0</v>
      </c>
      <c r="M744" s="200">
        <f t="shared" si="31"/>
        <v>0</v>
      </c>
    </row>
    <row r="745" spans="2:13" x14ac:dyDescent="0.35">
      <c r="B745" s="117"/>
      <c r="C745" s="117"/>
      <c r="D745" s="117"/>
      <c r="E745" s="117"/>
      <c r="F745" s="200"/>
      <c r="G745" s="200"/>
      <c r="H745" s="200"/>
      <c r="I745" s="200"/>
      <c r="J745" s="200"/>
      <c r="K745" s="200">
        <f>SUMIF(AE!C:C,ATB!C:C,AE!F:F)</f>
        <v>0</v>
      </c>
      <c r="L745" s="200">
        <f t="shared" si="30"/>
        <v>0</v>
      </c>
      <c r="M745" s="200">
        <f t="shared" si="31"/>
        <v>0</v>
      </c>
    </row>
    <row r="746" spans="2:13" x14ac:dyDescent="0.35">
      <c r="B746" s="117"/>
      <c r="C746" s="117"/>
      <c r="D746" s="117"/>
      <c r="E746" s="117"/>
      <c r="F746" s="200"/>
      <c r="G746" s="200"/>
      <c r="H746" s="200"/>
      <c r="I746" s="200"/>
      <c r="J746" s="200"/>
      <c r="K746" s="200">
        <f>SUMIF(AE!C:C,ATB!C:C,AE!F:F)</f>
        <v>0</v>
      </c>
      <c r="L746" s="200">
        <f t="shared" si="30"/>
        <v>0</v>
      </c>
      <c r="M746" s="200">
        <f t="shared" si="31"/>
        <v>0</v>
      </c>
    </row>
    <row r="747" spans="2:13" x14ac:dyDescent="0.35">
      <c r="B747" s="117"/>
      <c r="C747" s="117"/>
      <c r="D747" s="117"/>
      <c r="E747" s="117"/>
      <c r="F747" s="200"/>
      <c r="G747" s="200"/>
      <c r="H747" s="200"/>
      <c r="I747" s="200"/>
      <c r="J747" s="200"/>
      <c r="K747" s="200">
        <f>SUMIF(AE!C:C,ATB!C:C,AE!F:F)</f>
        <v>0</v>
      </c>
      <c r="L747" s="200">
        <f t="shared" si="30"/>
        <v>0</v>
      </c>
      <c r="M747" s="200">
        <f t="shared" si="31"/>
        <v>0</v>
      </c>
    </row>
    <row r="748" spans="2:13" x14ac:dyDescent="0.35">
      <c r="B748" s="117"/>
      <c r="C748" s="117"/>
      <c r="D748" s="117"/>
      <c r="E748" s="117"/>
      <c r="F748" s="200"/>
      <c r="G748" s="200"/>
      <c r="H748" s="200"/>
      <c r="I748" s="200"/>
      <c r="J748" s="200"/>
      <c r="K748" s="200">
        <f>SUMIF(AE!C:C,ATB!C:C,AE!F:F)</f>
        <v>0</v>
      </c>
      <c r="L748" s="200">
        <f t="shared" si="30"/>
        <v>0</v>
      </c>
      <c r="M748" s="200">
        <f t="shared" si="31"/>
        <v>0</v>
      </c>
    </row>
    <row r="749" spans="2:13" x14ac:dyDescent="0.35">
      <c r="B749" s="117"/>
      <c r="C749" s="117"/>
      <c r="D749" s="117"/>
      <c r="E749" s="117"/>
      <c r="F749" s="200"/>
      <c r="G749" s="200"/>
      <c r="H749" s="200"/>
      <c r="I749" s="200"/>
      <c r="J749" s="200"/>
      <c r="K749" s="200">
        <f>SUMIF(AE!C:C,ATB!C:C,AE!F:F)</f>
        <v>0</v>
      </c>
      <c r="L749" s="200">
        <f t="shared" si="30"/>
        <v>0</v>
      </c>
      <c r="M749" s="200">
        <f t="shared" si="31"/>
        <v>0</v>
      </c>
    </row>
    <row r="750" spans="2:13" x14ac:dyDescent="0.35">
      <c r="B750" s="117"/>
      <c r="C750" s="117"/>
      <c r="D750" s="117"/>
      <c r="E750" s="117"/>
      <c r="F750" s="200"/>
      <c r="G750" s="200"/>
      <c r="H750" s="200"/>
      <c r="I750" s="200"/>
      <c r="J750" s="200"/>
      <c r="K750" s="200">
        <f>SUMIF(AE!C:C,ATB!C:C,AE!F:F)</f>
        <v>0</v>
      </c>
      <c r="L750" s="200">
        <f t="shared" si="30"/>
        <v>0</v>
      </c>
      <c r="M750" s="200">
        <f t="shared" si="31"/>
        <v>0</v>
      </c>
    </row>
    <row r="751" spans="2:13" x14ac:dyDescent="0.35">
      <c r="B751" s="117"/>
      <c r="C751" s="117"/>
      <c r="D751" s="117"/>
      <c r="E751" s="117"/>
      <c r="F751" s="200"/>
      <c r="G751" s="200"/>
      <c r="H751" s="200"/>
      <c r="I751" s="200"/>
      <c r="J751" s="200"/>
      <c r="K751" s="200">
        <f>SUMIF(AE!C:C,ATB!C:C,AE!F:F)</f>
        <v>0</v>
      </c>
      <c r="L751" s="200">
        <f t="shared" si="30"/>
        <v>0</v>
      </c>
      <c r="M751" s="200">
        <f t="shared" si="31"/>
        <v>0</v>
      </c>
    </row>
    <row r="752" spans="2:13" x14ac:dyDescent="0.35">
      <c r="B752" s="117"/>
      <c r="C752" s="117"/>
      <c r="D752" s="117"/>
      <c r="E752" s="117"/>
      <c r="F752" s="200"/>
      <c r="G752" s="200"/>
      <c r="H752" s="200"/>
      <c r="I752" s="200"/>
      <c r="J752" s="200"/>
      <c r="K752" s="200">
        <f>SUMIF(AE!C:C,ATB!C:C,AE!F:F)</f>
        <v>0</v>
      </c>
      <c r="L752" s="200">
        <f t="shared" si="30"/>
        <v>0</v>
      </c>
      <c r="M752" s="200">
        <f t="shared" si="31"/>
        <v>0</v>
      </c>
    </row>
    <row r="753" spans="2:13" x14ac:dyDescent="0.35">
      <c r="B753" s="117"/>
      <c r="C753" s="117"/>
      <c r="D753" s="117"/>
      <c r="E753" s="117"/>
      <c r="F753" s="200"/>
      <c r="G753" s="200"/>
      <c r="H753" s="200"/>
      <c r="I753" s="200"/>
      <c r="J753" s="200"/>
      <c r="K753" s="200">
        <f>SUMIF(AE!C:C,ATB!C:C,AE!F:F)</f>
        <v>0</v>
      </c>
      <c r="L753" s="200">
        <f t="shared" si="30"/>
        <v>0</v>
      </c>
      <c r="M753" s="200">
        <f t="shared" si="31"/>
        <v>0</v>
      </c>
    </row>
    <row r="754" spans="2:13" x14ac:dyDescent="0.35">
      <c r="B754" s="117"/>
      <c r="C754" s="117"/>
      <c r="D754" s="117"/>
      <c r="E754" s="117"/>
      <c r="F754" s="200"/>
      <c r="G754" s="200"/>
      <c r="H754" s="200"/>
      <c r="I754" s="200"/>
      <c r="J754" s="200"/>
      <c r="K754" s="200">
        <f>SUMIF(AE!C:C,ATB!C:C,AE!F:F)</f>
        <v>0</v>
      </c>
      <c r="L754" s="200">
        <f t="shared" si="30"/>
        <v>0</v>
      </c>
      <c r="M754" s="200">
        <f t="shared" si="31"/>
        <v>0</v>
      </c>
    </row>
    <row r="755" spans="2:13" x14ac:dyDescent="0.35">
      <c r="B755" s="117"/>
      <c r="C755" s="117"/>
      <c r="D755" s="117"/>
      <c r="E755" s="117"/>
      <c r="F755" s="200"/>
      <c r="G755" s="200"/>
      <c r="H755" s="200"/>
      <c r="I755" s="200"/>
      <c r="J755" s="200"/>
      <c r="K755" s="200">
        <f>SUMIF(AE!C:C,ATB!C:C,AE!F:F)</f>
        <v>0</v>
      </c>
      <c r="L755" s="200">
        <f t="shared" si="30"/>
        <v>0</v>
      </c>
      <c r="M755" s="200">
        <f t="shared" si="31"/>
        <v>0</v>
      </c>
    </row>
    <row r="756" spans="2:13" x14ac:dyDescent="0.35">
      <c r="B756" s="117"/>
      <c r="C756" s="117"/>
      <c r="D756" s="117"/>
      <c r="E756" s="117"/>
      <c r="F756" s="200"/>
      <c r="G756" s="200"/>
      <c r="H756" s="200"/>
      <c r="I756" s="200"/>
      <c r="J756" s="200"/>
      <c r="K756" s="200">
        <f>SUMIF(AE!C:C,ATB!C:C,AE!F:F)</f>
        <v>0</v>
      </c>
      <c r="L756" s="200">
        <f t="shared" si="30"/>
        <v>0</v>
      </c>
      <c r="M756" s="200">
        <f t="shared" si="31"/>
        <v>0</v>
      </c>
    </row>
    <row r="757" spans="2:13" x14ac:dyDescent="0.35">
      <c r="B757" s="117"/>
      <c r="C757" s="117"/>
      <c r="D757" s="117"/>
      <c r="E757" s="117"/>
      <c r="F757" s="200"/>
      <c r="G757" s="200"/>
      <c r="H757" s="200"/>
      <c r="I757" s="200"/>
      <c r="J757" s="200"/>
      <c r="K757" s="200">
        <f>SUMIF(AE!C:C,ATB!C:C,AE!F:F)</f>
        <v>0</v>
      </c>
      <c r="L757" s="200">
        <f t="shared" si="30"/>
        <v>0</v>
      </c>
      <c r="M757" s="200">
        <f t="shared" si="31"/>
        <v>0</v>
      </c>
    </row>
    <row r="758" spans="2:13" x14ac:dyDescent="0.35">
      <c r="B758" s="117"/>
      <c r="C758" s="117"/>
      <c r="D758" s="117"/>
      <c r="E758" s="117"/>
      <c r="F758" s="200"/>
      <c r="G758" s="200"/>
      <c r="H758" s="200"/>
      <c r="I758" s="200"/>
      <c r="J758" s="200"/>
      <c r="K758" s="200">
        <f>SUMIF(AE!C:C,ATB!C:C,AE!F:F)</f>
        <v>0</v>
      </c>
      <c r="L758" s="200">
        <f t="shared" si="30"/>
        <v>0</v>
      </c>
      <c r="M758" s="200">
        <f t="shared" si="31"/>
        <v>0</v>
      </c>
    </row>
    <row r="759" spans="2:13" x14ac:dyDescent="0.35">
      <c r="B759" s="117"/>
      <c r="C759" s="117"/>
      <c r="D759" s="117"/>
      <c r="E759" s="117"/>
      <c r="F759" s="200"/>
      <c r="G759" s="200"/>
      <c r="H759" s="200"/>
      <c r="I759" s="200"/>
      <c r="J759" s="200"/>
      <c r="K759" s="200">
        <f>SUMIF(AE!C:C,ATB!C:C,AE!F:F)</f>
        <v>0</v>
      </c>
      <c r="L759" s="200">
        <f t="shared" si="30"/>
        <v>0</v>
      </c>
      <c r="M759" s="200">
        <f t="shared" si="31"/>
        <v>0</v>
      </c>
    </row>
    <row r="760" spans="2:13" x14ac:dyDescent="0.35">
      <c r="B760" s="117"/>
      <c r="C760" s="117"/>
      <c r="D760" s="117"/>
      <c r="E760" s="117"/>
      <c r="F760" s="200"/>
      <c r="G760" s="200"/>
      <c r="H760" s="200"/>
      <c r="I760" s="200"/>
      <c r="J760" s="200"/>
      <c r="K760" s="200">
        <f>SUMIF(AE!C:C,ATB!C:C,AE!F:F)</f>
        <v>0</v>
      </c>
      <c r="L760" s="200">
        <f t="shared" si="30"/>
        <v>0</v>
      </c>
      <c r="M760" s="200">
        <f t="shared" si="31"/>
        <v>0</v>
      </c>
    </row>
    <row r="761" spans="2:13" x14ac:dyDescent="0.35">
      <c r="B761" s="117"/>
      <c r="C761" s="117"/>
      <c r="D761" s="117"/>
      <c r="E761" s="117"/>
      <c r="F761" s="200"/>
      <c r="G761" s="200"/>
      <c r="H761" s="200"/>
      <c r="I761" s="200"/>
      <c r="J761" s="200"/>
      <c r="K761" s="200">
        <f>SUMIF(AE!C:C,ATB!C:C,AE!F:F)</f>
        <v>0</v>
      </c>
      <c r="L761" s="200">
        <f t="shared" si="30"/>
        <v>0</v>
      </c>
      <c r="M761" s="200">
        <f t="shared" si="31"/>
        <v>0</v>
      </c>
    </row>
    <row r="762" spans="2:13" x14ac:dyDescent="0.35">
      <c r="B762" s="117"/>
      <c r="C762" s="117"/>
      <c r="D762" s="117"/>
      <c r="E762" s="117"/>
      <c r="F762" s="200"/>
      <c r="G762" s="200"/>
      <c r="H762" s="200"/>
      <c r="I762" s="200"/>
      <c r="J762" s="200"/>
      <c r="K762" s="200">
        <f>SUMIF(AE!C:C,ATB!C:C,AE!F:F)</f>
        <v>0</v>
      </c>
      <c r="L762" s="200">
        <f t="shared" si="30"/>
        <v>0</v>
      </c>
      <c r="M762" s="200">
        <f t="shared" si="31"/>
        <v>0</v>
      </c>
    </row>
    <row r="763" spans="2:13" x14ac:dyDescent="0.35">
      <c r="B763" s="117"/>
      <c r="C763" s="117"/>
      <c r="D763" s="117"/>
      <c r="E763" s="117"/>
      <c r="F763" s="200"/>
      <c r="G763" s="200"/>
      <c r="H763" s="200"/>
      <c r="I763" s="200"/>
      <c r="J763" s="200"/>
      <c r="K763" s="200">
        <f>SUMIF(AE!C:C,ATB!C:C,AE!F:F)</f>
        <v>0</v>
      </c>
      <c r="L763" s="200">
        <f t="shared" si="30"/>
        <v>0</v>
      </c>
      <c r="M763" s="200">
        <f t="shared" si="31"/>
        <v>0</v>
      </c>
    </row>
    <row r="764" spans="2:13" x14ac:dyDescent="0.35">
      <c r="B764" s="117"/>
      <c r="C764" s="117"/>
      <c r="D764" s="117"/>
      <c r="E764" s="117"/>
      <c r="F764" s="200"/>
      <c r="G764" s="200"/>
      <c r="H764" s="200"/>
      <c r="I764" s="200"/>
      <c r="J764" s="200"/>
      <c r="K764" s="200">
        <f>SUMIF(AE!C:C,ATB!C:C,AE!F:F)</f>
        <v>0</v>
      </c>
      <c r="L764" s="200">
        <f t="shared" si="30"/>
        <v>0</v>
      </c>
      <c r="M764" s="200">
        <f t="shared" si="31"/>
        <v>0</v>
      </c>
    </row>
    <row r="765" spans="2:13" x14ac:dyDescent="0.35">
      <c r="B765" s="117"/>
      <c r="C765" s="117"/>
      <c r="D765" s="117"/>
      <c r="E765" s="117"/>
      <c r="F765" s="200"/>
      <c r="G765" s="200"/>
      <c r="H765" s="200"/>
      <c r="I765" s="200"/>
      <c r="J765" s="200"/>
      <c r="K765" s="200">
        <f>SUMIF(AE!C:C,ATB!C:C,AE!F:F)</f>
        <v>0</v>
      </c>
      <c r="L765" s="200">
        <f t="shared" si="30"/>
        <v>0</v>
      </c>
      <c r="M765" s="200">
        <f t="shared" si="31"/>
        <v>0</v>
      </c>
    </row>
    <row r="766" spans="2:13" x14ac:dyDescent="0.35">
      <c r="B766" s="117"/>
      <c r="C766" s="117"/>
      <c r="D766" s="117"/>
      <c r="E766" s="117"/>
      <c r="F766" s="200"/>
      <c r="G766" s="200"/>
      <c r="H766" s="200"/>
      <c r="I766" s="200"/>
      <c r="J766" s="200"/>
      <c r="K766" s="200">
        <f>SUMIF(AE!C:C,ATB!C:C,AE!F:F)</f>
        <v>0</v>
      </c>
      <c r="L766" s="200">
        <f t="shared" si="30"/>
        <v>0</v>
      </c>
      <c r="M766" s="200">
        <f t="shared" si="31"/>
        <v>0</v>
      </c>
    </row>
    <row r="767" spans="2:13" x14ac:dyDescent="0.35">
      <c r="B767" s="117"/>
      <c r="C767" s="117"/>
      <c r="D767" s="117"/>
      <c r="E767" s="117"/>
      <c r="F767" s="200"/>
      <c r="G767" s="200"/>
      <c r="H767" s="200"/>
      <c r="I767" s="200"/>
      <c r="J767" s="200"/>
      <c r="K767" s="200">
        <f>SUMIF(AE!C:C,ATB!C:C,AE!F:F)</f>
        <v>0</v>
      </c>
      <c r="L767" s="200">
        <f t="shared" si="30"/>
        <v>0</v>
      </c>
      <c r="M767" s="200">
        <f t="shared" si="31"/>
        <v>0</v>
      </c>
    </row>
    <row r="768" spans="2:13" x14ac:dyDescent="0.35">
      <c r="B768" s="117"/>
      <c r="C768" s="117"/>
      <c r="D768" s="117"/>
      <c r="E768" s="117"/>
      <c r="F768" s="200"/>
      <c r="G768" s="200"/>
      <c r="H768" s="200"/>
      <c r="I768" s="200"/>
      <c r="J768" s="200"/>
      <c r="K768" s="200">
        <f>SUMIF(AE!C:C,ATB!C:C,AE!F:F)</f>
        <v>0</v>
      </c>
      <c r="L768" s="200">
        <f t="shared" si="30"/>
        <v>0</v>
      </c>
      <c r="M768" s="200">
        <f t="shared" si="31"/>
        <v>0</v>
      </c>
    </row>
    <row r="769" spans="2:13" x14ac:dyDescent="0.35">
      <c r="B769" s="117"/>
      <c r="C769" s="117"/>
      <c r="D769" s="117"/>
      <c r="E769" s="117"/>
      <c r="F769" s="200"/>
      <c r="G769" s="200"/>
      <c r="H769" s="200"/>
      <c r="I769" s="200"/>
      <c r="J769" s="200"/>
      <c r="K769" s="200">
        <f>SUMIF(AE!C:C,ATB!C:C,AE!F:F)</f>
        <v>0</v>
      </c>
      <c r="L769" s="200">
        <f t="shared" si="30"/>
        <v>0</v>
      </c>
      <c r="M769" s="200">
        <f t="shared" si="31"/>
        <v>0</v>
      </c>
    </row>
    <row r="770" spans="2:13" x14ac:dyDescent="0.35">
      <c r="B770" s="117"/>
      <c r="C770" s="117"/>
      <c r="D770" s="117"/>
      <c r="E770" s="117"/>
      <c r="F770" s="200"/>
      <c r="G770" s="200"/>
      <c r="H770" s="200"/>
      <c r="I770" s="200"/>
      <c r="J770" s="200"/>
      <c r="K770" s="200">
        <f>SUMIF(AE!C:C,ATB!C:C,AE!F:F)</f>
        <v>0</v>
      </c>
      <c r="L770" s="200">
        <f t="shared" ref="L770:L833" si="32">ROUND(IF(F770+H770+J770-G770-I770-K770&gt;0,F770+H770+J770-G770-I770-K770,0),0)</f>
        <v>0</v>
      </c>
      <c r="M770" s="200">
        <f t="shared" ref="M770:M833" si="33">-ROUND(IF(F770+H770+J770-G770-I770-K770&lt;0,F770+H770+J770-G770-I770-K770,0),0)</f>
        <v>0</v>
      </c>
    </row>
    <row r="771" spans="2:13" x14ac:dyDescent="0.35">
      <c r="B771" s="117"/>
      <c r="C771" s="117"/>
      <c r="D771" s="117"/>
      <c r="E771" s="117"/>
      <c r="F771" s="200"/>
      <c r="G771" s="200"/>
      <c r="H771" s="200"/>
      <c r="I771" s="200"/>
      <c r="J771" s="200"/>
      <c r="K771" s="200">
        <f>SUMIF(AE!C:C,ATB!C:C,AE!F:F)</f>
        <v>0</v>
      </c>
      <c r="L771" s="200">
        <f t="shared" si="32"/>
        <v>0</v>
      </c>
      <c r="M771" s="200">
        <f t="shared" si="33"/>
        <v>0</v>
      </c>
    </row>
    <row r="772" spans="2:13" x14ac:dyDescent="0.35">
      <c r="B772" s="117"/>
      <c r="C772" s="117"/>
      <c r="D772" s="117"/>
      <c r="E772" s="117"/>
      <c r="F772" s="200"/>
      <c r="G772" s="200"/>
      <c r="H772" s="200"/>
      <c r="I772" s="200"/>
      <c r="J772" s="200"/>
      <c r="K772" s="200">
        <f>SUMIF(AE!C:C,ATB!C:C,AE!F:F)</f>
        <v>0</v>
      </c>
      <c r="L772" s="200">
        <f t="shared" si="32"/>
        <v>0</v>
      </c>
      <c r="M772" s="200">
        <f t="shared" si="33"/>
        <v>0</v>
      </c>
    </row>
    <row r="773" spans="2:13" x14ac:dyDescent="0.35">
      <c r="B773" s="117"/>
      <c r="C773" s="117"/>
      <c r="D773" s="117"/>
      <c r="E773" s="117"/>
      <c r="F773" s="200"/>
      <c r="G773" s="200"/>
      <c r="H773" s="200"/>
      <c r="I773" s="200"/>
      <c r="J773" s="200"/>
      <c r="K773" s="200">
        <f>SUMIF(AE!C:C,ATB!C:C,AE!F:F)</f>
        <v>0</v>
      </c>
      <c r="L773" s="200">
        <f t="shared" si="32"/>
        <v>0</v>
      </c>
      <c r="M773" s="200">
        <f t="shared" si="33"/>
        <v>0</v>
      </c>
    </row>
    <row r="774" spans="2:13" x14ac:dyDescent="0.35">
      <c r="B774" s="117"/>
      <c r="C774" s="117"/>
      <c r="D774" s="117"/>
      <c r="E774" s="117"/>
      <c r="F774" s="200"/>
      <c r="G774" s="200"/>
      <c r="H774" s="200"/>
      <c r="I774" s="200"/>
      <c r="J774" s="200"/>
      <c r="K774" s="200">
        <f>SUMIF(AE!C:C,ATB!C:C,AE!F:F)</f>
        <v>0</v>
      </c>
      <c r="L774" s="200">
        <f t="shared" si="32"/>
        <v>0</v>
      </c>
      <c r="M774" s="200">
        <f t="shared" si="33"/>
        <v>0</v>
      </c>
    </row>
    <row r="775" spans="2:13" x14ac:dyDescent="0.35">
      <c r="B775" s="117"/>
      <c r="C775" s="117"/>
      <c r="D775" s="117"/>
      <c r="E775" s="117"/>
      <c r="F775" s="200"/>
      <c r="G775" s="200"/>
      <c r="H775" s="200"/>
      <c r="I775" s="200"/>
      <c r="J775" s="200"/>
      <c r="K775" s="200">
        <f>SUMIF(AE!C:C,ATB!C:C,AE!F:F)</f>
        <v>0</v>
      </c>
      <c r="L775" s="200">
        <f t="shared" si="32"/>
        <v>0</v>
      </c>
      <c r="M775" s="200">
        <f t="shared" si="33"/>
        <v>0</v>
      </c>
    </row>
    <row r="776" spans="2:13" x14ac:dyDescent="0.35">
      <c r="B776" s="117"/>
      <c r="C776" s="117"/>
      <c r="D776" s="117"/>
      <c r="E776" s="117"/>
      <c r="F776" s="200"/>
      <c r="G776" s="200"/>
      <c r="H776" s="200"/>
      <c r="I776" s="200"/>
      <c r="J776" s="200"/>
      <c r="K776" s="200">
        <f>SUMIF(AE!C:C,ATB!C:C,AE!F:F)</f>
        <v>0</v>
      </c>
      <c r="L776" s="200">
        <f t="shared" si="32"/>
        <v>0</v>
      </c>
      <c r="M776" s="200">
        <f t="shared" si="33"/>
        <v>0</v>
      </c>
    </row>
    <row r="777" spans="2:13" x14ac:dyDescent="0.35">
      <c r="B777" s="117"/>
      <c r="C777" s="117"/>
      <c r="D777" s="117"/>
      <c r="E777" s="117"/>
      <c r="F777" s="200"/>
      <c r="G777" s="200"/>
      <c r="H777" s="200"/>
      <c r="I777" s="200"/>
      <c r="J777" s="200"/>
      <c r="K777" s="200">
        <f>SUMIF(AE!C:C,ATB!C:C,AE!F:F)</f>
        <v>0</v>
      </c>
      <c r="L777" s="200">
        <f t="shared" si="32"/>
        <v>0</v>
      </c>
      <c r="M777" s="200">
        <f t="shared" si="33"/>
        <v>0</v>
      </c>
    </row>
    <row r="778" spans="2:13" x14ac:dyDescent="0.35">
      <c r="B778" s="117"/>
      <c r="C778" s="117"/>
      <c r="D778" s="117"/>
      <c r="E778" s="117"/>
      <c r="F778" s="200"/>
      <c r="G778" s="200"/>
      <c r="H778" s="200"/>
      <c r="I778" s="200"/>
      <c r="J778" s="200"/>
      <c r="K778" s="200">
        <f>SUMIF(AE!C:C,ATB!C:C,AE!F:F)</f>
        <v>0</v>
      </c>
      <c r="L778" s="200">
        <f t="shared" si="32"/>
        <v>0</v>
      </c>
      <c r="M778" s="200">
        <f t="shared" si="33"/>
        <v>0</v>
      </c>
    </row>
    <row r="779" spans="2:13" x14ac:dyDescent="0.35">
      <c r="B779" s="117"/>
      <c r="C779" s="117"/>
      <c r="D779" s="117"/>
      <c r="E779" s="117"/>
      <c r="F779" s="200"/>
      <c r="G779" s="200"/>
      <c r="H779" s="200"/>
      <c r="I779" s="200"/>
      <c r="J779" s="200"/>
      <c r="K779" s="200">
        <f>SUMIF(AE!C:C,ATB!C:C,AE!F:F)</f>
        <v>0</v>
      </c>
      <c r="L779" s="200">
        <f t="shared" si="32"/>
        <v>0</v>
      </c>
      <c r="M779" s="200">
        <f t="shared" si="33"/>
        <v>0</v>
      </c>
    </row>
    <row r="780" spans="2:13" x14ac:dyDescent="0.35">
      <c r="B780" s="117"/>
      <c r="C780" s="117"/>
      <c r="D780" s="117"/>
      <c r="E780" s="117"/>
      <c r="F780" s="200"/>
      <c r="G780" s="200"/>
      <c r="H780" s="200"/>
      <c r="I780" s="200"/>
      <c r="J780" s="200"/>
      <c r="K780" s="200">
        <f>SUMIF(AE!C:C,ATB!C:C,AE!F:F)</f>
        <v>0</v>
      </c>
      <c r="L780" s="200">
        <f t="shared" si="32"/>
        <v>0</v>
      </c>
      <c r="M780" s="200">
        <f t="shared" si="33"/>
        <v>0</v>
      </c>
    </row>
    <row r="781" spans="2:13" x14ac:dyDescent="0.35">
      <c r="B781" s="117"/>
      <c r="C781" s="117"/>
      <c r="D781" s="117"/>
      <c r="E781" s="117"/>
      <c r="F781" s="200"/>
      <c r="G781" s="200"/>
      <c r="H781" s="200"/>
      <c r="I781" s="200"/>
      <c r="J781" s="200"/>
      <c r="K781" s="200">
        <f>SUMIF(AE!C:C,ATB!C:C,AE!F:F)</f>
        <v>0</v>
      </c>
      <c r="L781" s="200">
        <f t="shared" si="32"/>
        <v>0</v>
      </c>
      <c r="M781" s="200">
        <f t="shared" si="33"/>
        <v>0</v>
      </c>
    </row>
    <row r="782" spans="2:13" x14ac:dyDescent="0.35">
      <c r="B782" s="117"/>
      <c r="C782" s="117"/>
      <c r="D782" s="117"/>
      <c r="E782" s="117"/>
      <c r="F782" s="200"/>
      <c r="G782" s="200"/>
      <c r="H782" s="200"/>
      <c r="I782" s="200"/>
      <c r="J782" s="200"/>
      <c r="K782" s="200">
        <f>SUMIF(AE!C:C,ATB!C:C,AE!F:F)</f>
        <v>0</v>
      </c>
      <c r="L782" s="200">
        <f t="shared" si="32"/>
        <v>0</v>
      </c>
      <c r="M782" s="200">
        <f t="shared" si="33"/>
        <v>0</v>
      </c>
    </row>
    <row r="783" spans="2:13" x14ac:dyDescent="0.35">
      <c r="B783" s="117"/>
      <c r="C783" s="117"/>
      <c r="D783" s="117"/>
      <c r="E783" s="117"/>
      <c r="F783" s="200"/>
      <c r="G783" s="200"/>
      <c r="H783" s="200"/>
      <c r="I783" s="200"/>
      <c r="J783" s="200"/>
      <c r="K783" s="200">
        <f>SUMIF(AE!C:C,ATB!C:C,AE!F:F)</f>
        <v>0</v>
      </c>
      <c r="L783" s="200">
        <f t="shared" si="32"/>
        <v>0</v>
      </c>
      <c r="M783" s="200">
        <f t="shared" si="33"/>
        <v>0</v>
      </c>
    </row>
    <row r="784" spans="2:13" x14ac:dyDescent="0.35">
      <c r="B784" s="117"/>
      <c r="C784" s="117"/>
      <c r="D784" s="117"/>
      <c r="E784" s="117"/>
      <c r="F784" s="200"/>
      <c r="G784" s="200"/>
      <c r="H784" s="200"/>
      <c r="I784" s="200"/>
      <c r="J784" s="200"/>
      <c r="K784" s="200">
        <f>SUMIF(AE!C:C,ATB!C:C,AE!F:F)</f>
        <v>0</v>
      </c>
      <c r="L784" s="200">
        <f t="shared" si="32"/>
        <v>0</v>
      </c>
      <c r="M784" s="200">
        <f t="shared" si="33"/>
        <v>0</v>
      </c>
    </row>
    <row r="785" spans="2:13" x14ac:dyDescent="0.35">
      <c r="B785" s="117"/>
      <c r="C785" s="117"/>
      <c r="D785" s="117"/>
      <c r="E785" s="117"/>
      <c r="F785" s="200"/>
      <c r="G785" s="200"/>
      <c r="H785" s="200"/>
      <c r="I785" s="200"/>
      <c r="J785" s="200"/>
      <c r="K785" s="200">
        <f>SUMIF(AE!C:C,ATB!C:C,AE!F:F)</f>
        <v>0</v>
      </c>
      <c r="L785" s="200">
        <f t="shared" si="32"/>
        <v>0</v>
      </c>
      <c r="M785" s="200">
        <f t="shared" si="33"/>
        <v>0</v>
      </c>
    </row>
    <row r="786" spans="2:13" x14ac:dyDescent="0.35">
      <c r="B786" s="117"/>
      <c r="C786" s="117"/>
      <c r="D786" s="117"/>
      <c r="E786" s="117"/>
      <c r="F786" s="200"/>
      <c r="G786" s="200"/>
      <c r="H786" s="200"/>
      <c r="I786" s="200"/>
      <c r="J786" s="200"/>
      <c r="K786" s="200">
        <f>SUMIF(AE!C:C,ATB!C:C,AE!F:F)</f>
        <v>0</v>
      </c>
      <c r="L786" s="200">
        <f t="shared" si="32"/>
        <v>0</v>
      </c>
      <c r="M786" s="200">
        <f t="shared" si="33"/>
        <v>0</v>
      </c>
    </row>
    <row r="787" spans="2:13" x14ac:dyDescent="0.35">
      <c r="B787" s="117"/>
      <c r="C787" s="117"/>
      <c r="D787" s="117"/>
      <c r="E787" s="117"/>
      <c r="F787" s="200"/>
      <c r="G787" s="200"/>
      <c r="H787" s="200"/>
      <c r="I787" s="200"/>
      <c r="J787" s="200"/>
      <c r="K787" s="200">
        <f>SUMIF(AE!C:C,ATB!C:C,AE!F:F)</f>
        <v>0</v>
      </c>
      <c r="L787" s="200">
        <f t="shared" si="32"/>
        <v>0</v>
      </c>
      <c r="M787" s="200">
        <f t="shared" si="33"/>
        <v>0</v>
      </c>
    </row>
    <row r="788" spans="2:13" x14ac:dyDescent="0.35">
      <c r="B788" s="117"/>
      <c r="C788" s="117"/>
      <c r="D788" s="117"/>
      <c r="E788" s="117"/>
      <c r="F788" s="200"/>
      <c r="G788" s="200"/>
      <c r="H788" s="200"/>
      <c r="I788" s="200"/>
      <c r="J788" s="200"/>
      <c r="K788" s="200">
        <f>SUMIF(AE!C:C,ATB!C:C,AE!F:F)</f>
        <v>0</v>
      </c>
      <c r="L788" s="200">
        <f t="shared" si="32"/>
        <v>0</v>
      </c>
      <c r="M788" s="200">
        <f t="shared" si="33"/>
        <v>0</v>
      </c>
    </row>
    <row r="789" spans="2:13" x14ac:dyDescent="0.35">
      <c r="B789" s="117"/>
      <c r="C789" s="117"/>
      <c r="D789" s="117"/>
      <c r="E789" s="117"/>
      <c r="F789" s="200"/>
      <c r="G789" s="200"/>
      <c r="H789" s="200"/>
      <c r="I789" s="200"/>
      <c r="J789" s="200"/>
      <c r="K789" s="200">
        <f>SUMIF(AE!C:C,ATB!C:C,AE!F:F)</f>
        <v>0</v>
      </c>
      <c r="L789" s="200">
        <f t="shared" si="32"/>
        <v>0</v>
      </c>
      <c r="M789" s="200">
        <f t="shared" si="33"/>
        <v>0</v>
      </c>
    </row>
    <row r="790" spans="2:13" x14ac:dyDescent="0.35">
      <c r="B790" s="117"/>
      <c r="C790" s="117"/>
      <c r="D790" s="117"/>
      <c r="E790" s="117"/>
      <c r="F790" s="200"/>
      <c r="G790" s="200"/>
      <c r="H790" s="200"/>
      <c r="I790" s="200"/>
      <c r="J790" s="200"/>
      <c r="K790" s="200">
        <f>SUMIF(AE!C:C,ATB!C:C,AE!F:F)</f>
        <v>0</v>
      </c>
      <c r="L790" s="200">
        <f t="shared" si="32"/>
        <v>0</v>
      </c>
      <c r="M790" s="200">
        <f t="shared" si="33"/>
        <v>0</v>
      </c>
    </row>
    <row r="791" spans="2:13" x14ac:dyDescent="0.35">
      <c r="B791" s="117"/>
      <c r="C791" s="117"/>
      <c r="D791" s="117"/>
      <c r="E791" s="117"/>
      <c r="F791" s="200"/>
      <c r="G791" s="200"/>
      <c r="H791" s="200"/>
      <c r="I791" s="200"/>
      <c r="J791" s="200"/>
      <c r="K791" s="200">
        <f>SUMIF(AE!C:C,ATB!C:C,AE!F:F)</f>
        <v>0</v>
      </c>
      <c r="L791" s="200">
        <f t="shared" si="32"/>
        <v>0</v>
      </c>
      <c r="M791" s="200">
        <f t="shared" si="33"/>
        <v>0</v>
      </c>
    </row>
    <row r="792" spans="2:13" x14ac:dyDescent="0.35">
      <c r="B792" s="117"/>
      <c r="C792" s="117"/>
      <c r="D792" s="117"/>
      <c r="E792" s="117"/>
      <c r="F792" s="200"/>
      <c r="G792" s="200"/>
      <c r="H792" s="200"/>
      <c r="I792" s="200"/>
      <c r="J792" s="200"/>
      <c r="K792" s="200">
        <f>SUMIF(AE!C:C,ATB!C:C,AE!F:F)</f>
        <v>0</v>
      </c>
      <c r="L792" s="200">
        <f t="shared" si="32"/>
        <v>0</v>
      </c>
      <c r="M792" s="200">
        <f t="shared" si="33"/>
        <v>0</v>
      </c>
    </row>
    <row r="793" spans="2:13" x14ac:dyDescent="0.35">
      <c r="B793" s="117"/>
      <c r="C793" s="117"/>
      <c r="D793" s="117"/>
      <c r="E793" s="117"/>
      <c r="F793" s="200"/>
      <c r="G793" s="200"/>
      <c r="H793" s="200"/>
      <c r="I793" s="200"/>
      <c r="J793" s="200"/>
      <c r="K793" s="200">
        <f>SUMIF(AE!C:C,ATB!C:C,AE!F:F)</f>
        <v>0</v>
      </c>
      <c r="L793" s="200">
        <f t="shared" si="32"/>
        <v>0</v>
      </c>
      <c r="M793" s="200">
        <f t="shared" si="33"/>
        <v>0</v>
      </c>
    </row>
    <row r="794" spans="2:13" x14ac:dyDescent="0.35">
      <c r="B794" s="117"/>
      <c r="C794" s="117"/>
      <c r="D794" s="117"/>
      <c r="E794" s="117"/>
      <c r="F794" s="200"/>
      <c r="G794" s="200"/>
      <c r="H794" s="200"/>
      <c r="I794" s="200"/>
      <c r="J794" s="200"/>
      <c r="K794" s="200">
        <f>SUMIF(AE!C:C,ATB!C:C,AE!F:F)</f>
        <v>0</v>
      </c>
      <c r="L794" s="200">
        <f t="shared" si="32"/>
        <v>0</v>
      </c>
      <c r="M794" s="200">
        <f t="shared" si="33"/>
        <v>0</v>
      </c>
    </row>
    <row r="795" spans="2:13" x14ac:dyDescent="0.35">
      <c r="B795" s="117"/>
      <c r="C795" s="117"/>
      <c r="D795" s="117"/>
      <c r="E795" s="117"/>
      <c r="F795" s="200"/>
      <c r="G795" s="200"/>
      <c r="H795" s="200"/>
      <c r="I795" s="200"/>
      <c r="J795" s="200"/>
      <c r="K795" s="200">
        <f>SUMIF(AE!C:C,ATB!C:C,AE!F:F)</f>
        <v>0</v>
      </c>
      <c r="L795" s="200">
        <f t="shared" si="32"/>
        <v>0</v>
      </c>
      <c r="M795" s="200">
        <f t="shared" si="33"/>
        <v>0</v>
      </c>
    </row>
    <row r="796" spans="2:13" x14ac:dyDescent="0.35">
      <c r="B796" s="117"/>
      <c r="C796" s="117"/>
      <c r="D796" s="117"/>
      <c r="E796" s="117"/>
      <c r="F796" s="200"/>
      <c r="G796" s="200"/>
      <c r="H796" s="200"/>
      <c r="I796" s="200"/>
      <c r="J796" s="200"/>
      <c r="K796" s="200">
        <f>SUMIF(AE!C:C,ATB!C:C,AE!F:F)</f>
        <v>0</v>
      </c>
      <c r="L796" s="200">
        <f t="shared" si="32"/>
        <v>0</v>
      </c>
      <c r="M796" s="200">
        <f t="shared" si="33"/>
        <v>0</v>
      </c>
    </row>
    <row r="797" spans="2:13" x14ac:dyDescent="0.35">
      <c r="B797" s="117"/>
      <c r="C797" s="117"/>
      <c r="D797" s="117"/>
      <c r="E797" s="117"/>
      <c r="F797" s="200"/>
      <c r="G797" s="200"/>
      <c r="H797" s="200"/>
      <c r="I797" s="200"/>
      <c r="J797" s="200"/>
      <c r="K797" s="200">
        <f>SUMIF(AE!C:C,ATB!C:C,AE!F:F)</f>
        <v>0</v>
      </c>
      <c r="L797" s="200">
        <f t="shared" si="32"/>
        <v>0</v>
      </c>
      <c r="M797" s="200">
        <f t="shared" si="33"/>
        <v>0</v>
      </c>
    </row>
    <row r="798" spans="2:13" x14ac:dyDescent="0.35">
      <c r="B798" s="117"/>
      <c r="C798" s="117"/>
      <c r="D798" s="117"/>
      <c r="E798" s="117"/>
      <c r="F798" s="200"/>
      <c r="G798" s="200"/>
      <c r="H798" s="200"/>
      <c r="I798" s="200"/>
      <c r="J798" s="200"/>
      <c r="K798" s="200">
        <f>SUMIF(AE!C:C,ATB!C:C,AE!F:F)</f>
        <v>0</v>
      </c>
      <c r="L798" s="200">
        <f t="shared" si="32"/>
        <v>0</v>
      </c>
      <c r="M798" s="200">
        <f t="shared" si="33"/>
        <v>0</v>
      </c>
    </row>
    <row r="799" spans="2:13" x14ac:dyDescent="0.35">
      <c r="B799" s="117"/>
      <c r="C799" s="117"/>
      <c r="D799" s="117"/>
      <c r="E799" s="117"/>
      <c r="F799" s="200"/>
      <c r="G799" s="200"/>
      <c r="H799" s="200"/>
      <c r="I799" s="200"/>
      <c r="J799" s="200"/>
      <c r="K799" s="200">
        <f>SUMIF(AE!C:C,ATB!C:C,AE!F:F)</f>
        <v>0</v>
      </c>
      <c r="L799" s="200">
        <f t="shared" si="32"/>
        <v>0</v>
      </c>
      <c r="M799" s="200">
        <f t="shared" si="33"/>
        <v>0</v>
      </c>
    </row>
    <row r="800" spans="2:13" x14ac:dyDescent="0.35">
      <c r="B800" s="117"/>
      <c r="C800" s="117"/>
      <c r="D800" s="117"/>
      <c r="E800" s="117"/>
      <c r="F800" s="200"/>
      <c r="G800" s="200"/>
      <c r="H800" s="200"/>
      <c r="I800" s="200"/>
      <c r="J800" s="200"/>
      <c r="K800" s="200">
        <f>SUMIF(AE!C:C,ATB!C:C,AE!F:F)</f>
        <v>0</v>
      </c>
      <c r="L800" s="200">
        <f t="shared" si="32"/>
        <v>0</v>
      </c>
      <c r="M800" s="200">
        <f t="shared" si="33"/>
        <v>0</v>
      </c>
    </row>
    <row r="801" spans="2:13" x14ac:dyDescent="0.35">
      <c r="B801" s="117"/>
      <c r="C801" s="117"/>
      <c r="D801" s="117"/>
      <c r="E801" s="117"/>
      <c r="F801" s="200"/>
      <c r="G801" s="200"/>
      <c r="H801" s="200"/>
      <c r="I801" s="200"/>
      <c r="J801" s="200"/>
      <c r="K801" s="200">
        <f>SUMIF(AE!C:C,ATB!C:C,AE!F:F)</f>
        <v>0</v>
      </c>
      <c r="L801" s="200">
        <f t="shared" si="32"/>
        <v>0</v>
      </c>
      <c r="M801" s="200">
        <f t="shared" si="33"/>
        <v>0</v>
      </c>
    </row>
    <row r="802" spans="2:13" x14ac:dyDescent="0.35">
      <c r="B802" s="117"/>
      <c r="C802" s="117"/>
      <c r="D802" s="117"/>
      <c r="E802" s="117"/>
      <c r="F802" s="200"/>
      <c r="G802" s="200"/>
      <c r="H802" s="200"/>
      <c r="I802" s="200"/>
      <c r="J802" s="200"/>
      <c r="K802" s="200">
        <f>SUMIF(AE!C:C,ATB!C:C,AE!F:F)</f>
        <v>0</v>
      </c>
      <c r="L802" s="200">
        <f t="shared" si="32"/>
        <v>0</v>
      </c>
      <c r="M802" s="200">
        <f t="shared" si="33"/>
        <v>0</v>
      </c>
    </row>
    <row r="803" spans="2:13" x14ac:dyDescent="0.35">
      <c r="B803" s="117"/>
      <c r="C803" s="117"/>
      <c r="D803" s="117"/>
      <c r="E803" s="117"/>
      <c r="F803" s="200"/>
      <c r="G803" s="200"/>
      <c r="H803" s="200"/>
      <c r="I803" s="200"/>
      <c r="J803" s="200"/>
      <c r="K803" s="200">
        <f>SUMIF(AE!C:C,ATB!C:C,AE!F:F)</f>
        <v>0</v>
      </c>
      <c r="L803" s="200">
        <f t="shared" si="32"/>
        <v>0</v>
      </c>
      <c r="M803" s="200">
        <f t="shared" si="33"/>
        <v>0</v>
      </c>
    </row>
    <row r="804" spans="2:13" x14ac:dyDescent="0.35">
      <c r="B804" s="117"/>
      <c r="C804" s="117"/>
      <c r="D804" s="117"/>
      <c r="E804" s="117"/>
      <c r="F804" s="200"/>
      <c r="G804" s="200"/>
      <c r="H804" s="200"/>
      <c r="I804" s="200"/>
      <c r="J804" s="200"/>
      <c r="K804" s="200">
        <f>SUMIF(AE!C:C,ATB!C:C,AE!F:F)</f>
        <v>0</v>
      </c>
      <c r="L804" s="200">
        <f t="shared" si="32"/>
        <v>0</v>
      </c>
      <c r="M804" s="200">
        <f t="shared" si="33"/>
        <v>0</v>
      </c>
    </row>
    <row r="805" spans="2:13" x14ac:dyDescent="0.35">
      <c r="B805" s="117"/>
      <c r="C805" s="117"/>
      <c r="D805" s="117"/>
      <c r="E805" s="117"/>
      <c r="F805" s="200"/>
      <c r="G805" s="200"/>
      <c r="H805" s="200"/>
      <c r="I805" s="200"/>
      <c r="J805" s="200"/>
      <c r="K805" s="200">
        <f>SUMIF(AE!C:C,ATB!C:C,AE!F:F)</f>
        <v>0</v>
      </c>
      <c r="L805" s="200">
        <f t="shared" si="32"/>
        <v>0</v>
      </c>
      <c r="M805" s="200">
        <f t="shared" si="33"/>
        <v>0</v>
      </c>
    </row>
    <row r="806" spans="2:13" x14ac:dyDescent="0.35">
      <c r="B806" s="117"/>
      <c r="C806" s="117"/>
      <c r="D806" s="117"/>
      <c r="E806" s="117"/>
      <c r="F806" s="200"/>
      <c r="G806" s="200"/>
      <c r="H806" s="200"/>
      <c r="I806" s="200"/>
      <c r="J806" s="200"/>
      <c r="K806" s="200">
        <f>SUMIF(AE!C:C,ATB!C:C,AE!F:F)</f>
        <v>0</v>
      </c>
      <c r="L806" s="200">
        <f t="shared" si="32"/>
        <v>0</v>
      </c>
      <c r="M806" s="200">
        <f t="shared" si="33"/>
        <v>0</v>
      </c>
    </row>
    <row r="807" spans="2:13" x14ac:dyDescent="0.35">
      <c r="B807" s="117"/>
      <c r="C807" s="117"/>
      <c r="D807" s="117"/>
      <c r="E807" s="117"/>
      <c r="F807" s="200"/>
      <c r="G807" s="200"/>
      <c r="H807" s="200"/>
      <c r="I807" s="200"/>
      <c r="J807" s="200"/>
      <c r="K807" s="200">
        <f>SUMIF(AE!C:C,ATB!C:C,AE!F:F)</f>
        <v>0</v>
      </c>
      <c r="L807" s="200">
        <f t="shared" si="32"/>
        <v>0</v>
      </c>
      <c r="M807" s="200">
        <f t="shared" si="33"/>
        <v>0</v>
      </c>
    </row>
    <row r="808" spans="2:13" x14ac:dyDescent="0.35">
      <c r="B808" s="117"/>
      <c r="C808" s="117"/>
      <c r="D808" s="117"/>
      <c r="E808" s="117"/>
      <c r="F808" s="200"/>
      <c r="G808" s="200"/>
      <c r="H808" s="200"/>
      <c r="I808" s="200"/>
      <c r="J808" s="200"/>
      <c r="K808" s="200">
        <f>SUMIF(AE!C:C,ATB!C:C,AE!F:F)</f>
        <v>0</v>
      </c>
      <c r="L808" s="200">
        <f t="shared" si="32"/>
        <v>0</v>
      </c>
      <c r="M808" s="200">
        <f t="shared" si="33"/>
        <v>0</v>
      </c>
    </row>
    <row r="809" spans="2:13" x14ac:dyDescent="0.35">
      <c r="B809" s="117"/>
      <c r="C809" s="117"/>
      <c r="D809" s="117"/>
      <c r="E809" s="117"/>
      <c r="F809" s="200"/>
      <c r="G809" s="200"/>
      <c r="H809" s="200"/>
      <c r="I809" s="200"/>
      <c r="J809" s="200"/>
      <c r="K809" s="200">
        <f>SUMIF(AE!C:C,ATB!C:C,AE!F:F)</f>
        <v>0</v>
      </c>
      <c r="L809" s="200">
        <f t="shared" si="32"/>
        <v>0</v>
      </c>
      <c r="M809" s="200">
        <f t="shared" si="33"/>
        <v>0</v>
      </c>
    </row>
    <row r="810" spans="2:13" x14ac:dyDescent="0.35">
      <c r="B810" s="117"/>
      <c r="C810" s="117"/>
      <c r="D810" s="117"/>
      <c r="E810" s="117"/>
      <c r="F810" s="200"/>
      <c r="G810" s="200"/>
      <c r="H810" s="200"/>
      <c r="I810" s="200"/>
      <c r="J810" s="200"/>
      <c r="K810" s="200">
        <f>SUMIF(AE!C:C,ATB!C:C,AE!F:F)</f>
        <v>0</v>
      </c>
      <c r="L810" s="200">
        <f t="shared" si="32"/>
        <v>0</v>
      </c>
      <c r="M810" s="200">
        <f t="shared" si="33"/>
        <v>0</v>
      </c>
    </row>
    <row r="811" spans="2:13" x14ac:dyDescent="0.35">
      <c r="B811" s="117"/>
      <c r="C811" s="117"/>
      <c r="D811" s="117"/>
      <c r="E811" s="117"/>
      <c r="F811" s="200"/>
      <c r="G811" s="200"/>
      <c r="H811" s="200"/>
      <c r="I811" s="200"/>
      <c r="J811" s="200"/>
      <c r="K811" s="200">
        <f>SUMIF(AE!C:C,ATB!C:C,AE!F:F)</f>
        <v>0</v>
      </c>
      <c r="L811" s="200">
        <f t="shared" si="32"/>
        <v>0</v>
      </c>
      <c r="M811" s="200">
        <f t="shared" si="33"/>
        <v>0</v>
      </c>
    </row>
    <row r="812" spans="2:13" x14ac:dyDescent="0.35">
      <c r="B812" s="117"/>
      <c r="C812" s="117"/>
      <c r="D812" s="117"/>
      <c r="E812" s="117"/>
      <c r="F812" s="200"/>
      <c r="G812" s="200"/>
      <c r="H812" s="200"/>
      <c r="I812" s="200"/>
      <c r="J812" s="200"/>
      <c r="K812" s="200">
        <f>SUMIF(AE!C:C,ATB!C:C,AE!F:F)</f>
        <v>0</v>
      </c>
      <c r="L812" s="200">
        <f t="shared" si="32"/>
        <v>0</v>
      </c>
      <c r="M812" s="200">
        <f t="shared" si="33"/>
        <v>0</v>
      </c>
    </row>
    <row r="813" spans="2:13" x14ac:dyDescent="0.35">
      <c r="B813" s="117"/>
      <c r="C813" s="117"/>
      <c r="D813" s="117"/>
      <c r="E813" s="117"/>
      <c r="F813" s="200"/>
      <c r="G813" s="200"/>
      <c r="H813" s="200"/>
      <c r="I813" s="200"/>
      <c r="J813" s="200"/>
      <c r="K813" s="200">
        <f>SUMIF(AE!C:C,ATB!C:C,AE!F:F)</f>
        <v>0</v>
      </c>
      <c r="L813" s="200">
        <f t="shared" si="32"/>
        <v>0</v>
      </c>
      <c r="M813" s="200">
        <f t="shared" si="33"/>
        <v>0</v>
      </c>
    </row>
    <row r="814" spans="2:13" x14ac:dyDescent="0.35">
      <c r="B814" s="117"/>
      <c r="C814" s="117"/>
      <c r="D814" s="117"/>
      <c r="E814" s="117"/>
      <c r="F814" s="200"/>
      <c r="G814" s="200"/>
      <c r="H814" s="200"/>
      <c r="I814" s="200"/>
      <c r="J814" s="200"/>
      <c r="K814" s="200">
        <f>SUMIF(AE!C:C,ATB!C:C,AE!F:F)</f>
        <v>0</v>
      </c>
      <c r="L814" s="200">
        <f t="shared" si="32"/>
        <v>0</v>
      </c>
      <c r="M814" s="200">
        <f t="shared" si="33"/>
        <v>0</v>
      </c>
    </row>
    <row r="815" spans="2:13" x14ac:dyDescent="0.35">
      <c r="B815" s="117"/>
      <c r="C815" s="117"/>
      <c r="D815" s="117"/>
      <c r="E815" s="117"/>
      <c r="F815" s="200"/>
      <c r="G815" s="200"/>
      <c r="H815" s="200"/>
      <c r="I815" s="200"/>
      <c r="J815" s="200"/>
      <c r="K815" s="200">
        <f>SUMIF(AE!C:C,ATB!C:C,AE!F:F)</f>
        <v>0</v>
      </c>
      <c r="L815" s="200">
        <f t="shared" si="32"/>
        <v>0</v>
      </c>
      <c r="M815" s="200">
        <f t="shared" si="33"/>
        <v>0</v>
      </c>
    </row>
    <row r="816" spans="2:13" x14ac:dyDescent="0.35">
      <c r="B816" s="117"/>
      <c r="C816" s="117"/>
      <c r="D816" s="117"/>
      <c r="E816" s="117"/>
      <c r="F816" s="200"/>
      <c r="G816" s="200"/>
      <c r="H816" s="200"/>
      <c r="I816" s="200"/>
      <c r="J816" s="200"/>
      <c r="K816" s="200">
        <f>SUMIF(AE!C:C,ATB!C:C,AE!F:F)</f>
        <v>0</v>
      </c>
      <c r="L816" s="200">
        <f t="shared" si="32"/>
        <v>0</v>
      </c>
      <c r="M816" s="200">
        <f t="shared" si="33"/>
        <v>0</v>
      </c>
    </row>
    <row r="817" spans="2:13" x14ac:dyDescent="0.35">
      <c r="B817" s="117"/>
      <c r="C817" s="117"/>
      <c r="D817" s="117"/>
      <c r="E817" s="117"/>
      <c r="F817" s="200"/>
      <c r="G817" s="200"/>
      <c r="H817" s="200"/>
      <c r="I817" s="200"/>
      <c r="J817" s="200"/>
      <c r="K817" s="200">
        <f>SUMIF(AE!C:C,ATB!C:C,AE!F:F)</f>
        <v>0</v>
      </c>
      <c r="L817" s="200">
        <f t="shared" si="32"/>
        <v>0</v>
      </c>
      <c r="M817" s="200">
        <f t="shared" si="33"/>
        <v>0</v>
      </c>
    </row>
    <row r="818" spans="2:13" x14ac:dyDescent="0.35">
      <c r="B818" s="117"/>
      <c r="C818" s="117"/>
      <c r="D818" s="117"/>
      <c r="E818" s="117"/>
      <c r="F818" s="200"/>
      <c r="G818" s="200"/>
      <c r="H818" s="200"/>
      <c r="I818" s="200"/>
      <c r="J818" s="200"/>
      <c r="K818" s="200">
        <f>SUMIF(AE!C:C,ATB!C:C,AE!F:F)</f>
        <v>0</v>
      </c>
      <c r="L818" s="200">
        <f t="shared" si="32"/>
        <v>0</v>
      </c>
      <c r="M818" s="200">
        <f t="shared" si="33"/>
        <v>0</v>
      </c>
    </row>
    <row r="819" spans="2:13" x14ac:dyDescent="0.35">
      <c r="B819" s="117"/>
      <c r="C819" s="117"/>
      <c r="D819" s="117"/>
      <c r="E819" s="117"/>
      <c r="F819" s="200"/>
      <c r="G819" s="200"/>
      <c r="H819" s="200"/>
      <c r="I819" s="200"/>
      <c r="J819" s="200"/>
      <c r="K819" s="200">
        <f>SUMIF(AE!C:C,ATB!C:C,AE!F:F)</f>
        <v>0</v>
      </c>
      <c r="L819" s="200">
        <f t="shared" si="32"/>
        <v>0</v>
      </c>
      <c r="M819" s="200">
        <f t="shared" si="33"/>
        <v>0</v>
      </c>
    </row>
    <row r="820" spans="2:13" x14ac:dyDescent="0.35">
      <c r="B820" s="117"/>
      <c r="C820" s="117"/>
      <c r="D820" s="117"/>
      <c r="E820" s="117"/>
      <c r="F820" s="200"/>
      <c r="G820" s="200"/>
      <c r="H820" s="200"/>
      <c r="I820" s="200"/>
      <c r="J820" s="200"/>
      <c r="K820" s="200">
        <f>SUMIF(AE!C:C,ATB!C:C,AE!F:F)</f>
        <v>0</v>
      </c>
      <c r="L820" s="200">
        <f t="shared" si="32"/>
        <v>0</v>
      </c>
      <c r="M820" s="200">
        <f t="shared" si="33"/>
        <v>0</v>
      </c>
    </row>
    <row r="821" spans="2:13" x14ac:dyDescent="0.35">
      <c r="B821" s="117"/>
      <c r="C821" s="117"/>
      <c r="D821" s="117"/>
      <c r="E821" s="117"/>
      <c r="F821" s="200"/>
      <c r="G821" s="200"/>
      <c r="H821" s="200"/>
      <c r="I821" s="200"/>
      <c r="J821" s="200"/>
      <c r="K821" s="200">
        <f>SUMIF(AE!C:C,ATB!C:C,AE!F:F)</f>
        <v>0</v>
      </c>
      <c r="L821" s="200">
        <f t="shared" si="32"/>
        <v>0</v>
      </c>
      <c r="M821" s="200">
        <f t="shared" si="33"/>
        <v>0</v>
      </c>
    </row>
    <row r="822" spans="2:13" x14ac:dyDescent="0.35">
      <c r="B822" s="117"/>
      <c r="C822" s="117"/>
      <c r="D822" s="117"/>
      <c r="E822" s="117"/>
      <c r="F822" s="200"/>
      <c r="G822" s="200"/>
      <c r="H822" s="200"/>
      <c r="I822" s="200"/>
      <c r="J822" s="200"/>
      <c r="K822" s="200">
        <f>SUMIF(AE!C:C,ATB!C:C,AE!F:F)</f>
        <v>0</v>
      </c>
      <c r="L822" s="200">
        <f t="shared" si="32"/>
        <v>0</v>
      </c>
      <c r="M822" s="200">
        <f t="shared" si="33"/>
        <v>0</v>
      </c>
    </row>
    <row r="823" spans="2:13" x14ac:dyDescent="0.35">
      <c r="B823" s="117"/>
      <c r="C823" s="117"/>
      <c r="D823" s="117"/>
      <c r="E823" s="117"/>
      <c r="F823" s="200"/>
      <c r="G823" s="200"/>
      <c r="H823" s="200"/>
      <c r="I823" s="200"/>
      <c r="J823" s="200"/>
      <c r="K823" s="200">
        <f>SUMIF(AE!C:C,ATB!C:C,AE!F:F)</f>
        <v>0</v>
      </c>
      <c r="L823" s="200">
        <f t="shared" si="32"/>
        <v>0</v>
      </c>
      <c r="M823" s="200">
        <f t="shared" si="33"/>
        <v>0</v>
      </c>
    </row>
    <row r="824" spans="2:13" x14ac:dyDescent="0.35">
      <c r="B824" s="117"/>
      <c r="C824" s="117"/>
      <c r="D824" s="117"/>
      <c r="E824" s="117"/>
      <c r="F824" s="200"/>
      <c r="G824" s="200"/>
      <c r="H824" s="200"/>
      <c r="I824" s="200"/>
      <c r="J824" s="200"/>
      <c r="K824" s="200">
        <f>SUMIF(AE!C:C,ATB!C:C,AE!F:F)</f>
        <v>0</v>
      </c>
      <c r="L824" s="200">
        <f t="shared" si="32"/>
        <v>0</v>
      </c>
      <c r="M824" s="200">
        <f t="shared" si="33"/>
        <v>0</v>
      </c>
    </row>
    <row r="825" spans="2:13" x14ac:dyDescent="0.35">
      <c r="B825" s="117"/>
      <c r="C825" s="117"/>
      <c r="D825" s="117"/>
      <c r="E825" s="117"/>
      <c r="F825" s="200"/>
      <c r="G825" s="200"/>
      <c r="H825" s="200"/>
      <c r="I825" s="200"/>
      <c r="J825" s="200"/>
      <c r="K825" s="200">
        <f>SUMIF(AE!C:C,ATB!C:C,AE!F:F)</f>
        <v>0</v>
      </c>
      <c r="L825" s="200">
        <f t="shared" si="32"/>
        <v>0</v>
      </c>
      <c r="M825" s="200">
        <f t="shared" si="33"/>
        <v>0</v>
      </c>
    </row>
    <row r="826" spans="2:13" x14ac:dyDescent="0.35">
      <c r="B826" s="117"/>
      <c r="C826" s="117"/>
      <c r="D826" s="117"/>
      <c r="E826" s="117"/>
      <c r="F826" s="200"/>
      <c r="G826" s="200"/>
      <c r="H826" s="200"/>
      <c r="I826" s="200"/>
      <c r="J826" s="200"/>
      <c r="K826" s="200">
        <f>SUMIF(AE!C:C,ATB!C:C,AE!F:F)</f>
        <v>0</v>
      </c>
      <c r="L826" s="200">
        <f t="shared" si="32"/>
        <v>0</v>
      </c>
      <c r="M826" s="200">
        <f t="shared" si="33"/>
        <v>0</v>
      </c>
    </row>
    <row r="827" spans="2:13" x14ac:dyDescent="0.35">
      <c r="B827" s="117"/>
      <c r="C827" s="117"/>
      <c r="D827" s="117"/>
      <c r="E827" s="117"/>
      <c r="F827" s="200"/>
      <c r="G827" s="200"/>
      <c r="H827" s="200"/>
      <c r="I827" s="200"/>
      <c r="J827" s="200"/>
      <c r="K827" s="200">
        <f>SUMIF(AE!C:C,ATB!C:C,AE!F:F)</f>
        <v>0</v>
      </c>
      <c r="L827" s="200">
        <f t="shared" si="32"/>
        <v>0</v>
      </c>
      <c r="M827" s="200">
        <f t="shared" si="33"/>
        <v>0</v>
      </c>
    </row>
    <row r="828" spans="2:13" x14ac:dyDescent="0.35">
      <c r="B828" s="117"/>
      <c r="C828" s="117"/>
      <c r="D828" s="117"/>
      <c r="E828" s="117"/>
      <c r="F828" s="200"/>
      <c r="G828" s="200"/>
      <c r="H828" s="200"/>
      <c r="I828" s="200"/>
      <c r="J828" s="200"/>
      <c r="K828" s="200">
        <f>SUMIF(AE!C:C,ATB!C:C,AE!F:F)</f>
        <v>0</v>
      </c>
      <c r="L828" s="200">
        <f t="shared" si="32"/>
        <v>0</v>
      </c>
      <c r="M828" s="200">
        <f t="shared" si="33"/>
        <v>0</v>
      </c>
    </row>
    <row r="829" spans="2:13" x14ac:dyDescent="0.35">
      <c r="B829" s="117"/>
      <c r="C829" s="117"/>
      <c r="D829" s="117"/>
      <c r="E829" s="117"/>
      <c r="F829" s="200"/>
      <c r="G829" s="200"/>
      <c r="H829" s="200"/>
      <c r="I829" s="200"/>
      <c r="J829" s="200"/>
      <c r="K829" s="200">
        <f>SUMIF(AE!C:C,ATB!C:C,AE!F:F)</f>
        <v>0</v>
      </c>
      <c r="L829" s="200">
        <f t="shared" si="32"/>
        <v>0</v>
      </c>
      <c r="M829" s="200">
        <f t="shared" si="33"/>
        <v>0</v>
      </c>
    </row>
    <row r="830" spans="2:13" x14ac:dyDescent="0.35">
      <c r="B830" s="117"/>
      <c r="C830" s="117"/>
      <c r="D830" s="117"/>
      <c r="E830" s="117"/>
      <c r="F830" s="200"/>
      <c r="G830" s="200"/>
      <c r="H830" s="200"/>
      <c r="I830" s="200"/>
      <c r="J830" s="200"/>
      <c r="K830" s="200">
        <f>SUMIF(AE!C:C,ATB!C:C,AE!F:F)</f>
        <v>0</v>
      </c>
      <c r="L830" s="200">
        <f t="shared" si="32"/>
        <v>0</v>
      </c>
      <c r="M830" s="200">
        <f t="shared" si="33"/>
        <v>0</v>
      </c>
    </row>
    <row r="831" spans="2:13" x14ac:dyDescent="0.35">
      <c r="B831" s="117"/>
      <c r="C831" s="117"/>
      <c r="D831" s="117"/>
      <c r="E831" s="117"/>
      <c r="F831" s="200"/>
      <c r="G831" s="200"/>
      <c r="H831" s="200"/>
      <c r="I831" s="200"/>
      <c r="J831" s="200"/>
      <c r="K831" s="200">
        <f>SUMIF(AE!C:C,ATB!C:C,AE!F:F)</f>
        <v>0</v>
      </c>
      <c r="L831" s="200">
        <f t="shared" si="32"/>
        <v>0</v>
      </c>
      <c r="M831" s="200">
        <f t="shared" si="33"/>
        <v>0</v>
      </c>
    </row>
    <row r="832" spans="2:13" x14ac:dyDescent="0.35">
      <c r="B832" s="117"/>
      <c r="C832" s="117"/>
      <c r="D832" s="117"/>
      <c r="E832" s="117"/>
      <c r="F832" s="200"/>
      <c r="G832" s="200"/>
      <c r="H832" s="200"/>
      <c r="I832" s="200"/>
      <c r="J832" s="200"/>
      <c r="K832" s="200">
        <f>SUMIF(AE!C:C,ATB!C:C,AE!F:F)</f>
        <v>0</v>
      </c>
      <c r="L832" s="200">
        <f t="shared" si="32"/>
        <v>0</v>
      </c>
      <c r="M832" s="200">
        <f t="shared" si="33"/>
        <v>0</v>
      </c>
    </row>
    <row r="833" spans="2:13" x14ac:dyDescent="0.35">
      <c r="B833" s="117"/>
      <c r="C833" s="117"/>
      <c r="D833" s="117"/>
      <c r="E833" s="117"/>
      <c r="F833" s="200"/>
      <c r="G833" s="200"/>
      <c r="H833" s="200"/>
      <c r="I833" s="200"/>
      <c r="J833" s="200"/>
      <c r="K833" s="200">
        <f>SUMIF(AE!C:C,ATB!C:C,AE!F:F)</f>
        <v>0</v>
      </c>
      <c r="L833" s="200">
        <f t="shared" si="32"/>
        <v>0</v>
      </c>
      <c r="M833" s="200">
        <f t="shared" si="33"/>
        <v>0</v>
      </c>
    </row>
    <row r="834" spans="2:13" x14ac:dyDescent="0.35">
      <c r="B834" s="117"/>
      <c r="C834" s="117"/>
      <c r="D834" s="117"/>
      <c r="E834" s="117"/>
      <c r="F834" s="200"/>
      <c r="G834" s="200"/>
      <c r="H834" s="200"/>
      <c r="I834" s="200"/>
      <c r="J834" s="200"/>
      <c r="K834" s="200">
        <f>SUMIF(AE!C:C,ATB!C:C,AE!F:F)</f>
        <v>0</v>
      </c>
      <c r="L834" s="200">
        <f t="shared" ref="L834:L897" si="34">ROUND(IF(F834+H834+J834-G834-I834-K834&gt;0,F834+H834+J834-G834-I834-K834,0),0)</f>
        <v>0</v>
      </c>
      <c r="M834" s="200">
        <f t="shared" ref="M834:M897" si="35">-ROUND(IF(F834+H834+J834-G834-I834-K834&lt;0,F834+H834+J834-G834-I834-K834,0),0)</f>
        <v>0</v>
      </c>
    </row>
    <row r="835" spans="2:13" x14ac:dyDescent="0.35">
      <c r="B835" s="117"/>
      <c r="C835" s="117"/>
      <c r="D835" s="117"/>
      <c r="E835" s="117"/>
      <c r="F835" s="200"/>
      <c r="G835" s="200"/>
      <c r="H835" s="200"/>
      <c r="I835" s="200"/>
      <c r="J835" s="200"/>
      <c r="K835" s="200">
        <f>SUMIF(AE!C:C,ATB!C:C,AE!F:F)</f>
        <v>0</v>
      </c>
      <c r="L835" s="200">
        <f t="shared" si="34"/>
        <v>0</v>
      </c>
      <c r="M835" s="200">
        <f t="shared" si="35"/>
        <v>0</v>
      </c>
    </row>
    <row r="836" spans="2:13" x14ac:dyDescent="0.35">
      <c r="B836" s="117"/>
      <c r="C836" s="117"/>
      <c r="D836" s="117"/>
      <c r="E836" s="117"/>
      <c r="F836" s="200"/>
      <c r="G836" s="200"/>
      <c r="H836" s="200"/>
      <c r="I836" s="200"/>
      <c r="J836" s="200"/>
      <c r="K836" s="200">
        <f>SUMIF(AE!C:C,ATB!C:C,AE!F:F)</f>
        <v>0</v>
      </c>
      <c r="L836" s="200">
        <f t="shared" si="34"/>
        <v>0</v>
      </c>
      <c r="M836" s="200">
        <f t="shared" si="35"/>
        <v>0</v>
      </c>
    </row>
    <row r="837" spans="2:13" x14ac:dyDescent="0.35">
      <c r="B837" s="117"/>
      <c r="C837" s="117"/>
      <c r="D837" s="117"/>
      <c r="E837" s="117"/>
      <c r="F837" s="200"/>
      <c r="G837" s="200"/>
      <c r="H837" s="200"/>
      <c r="I837" s="200"/>
      <c r="J837" s="200"/>
      <c r="K837" s="200">
        <f>SUMIF(AE!C:C,ATB!C:C,AE!F:F)</f>
        <v>0</v>
      </c>
      <c r="L837" s="200">
        <f t="shared" si="34"/>
        <v>0</v>
      </c>
      <c r="M837" s="200">
        <f t="shared" si="35"/>
        <v>0</v>
      </c>
    </row>
    <row r="838" spans="2:13" x14ac:dyDescent="0.35">
      <c r="B838" s="117"/>
      <c r="C838" s="117"/>
      <c r="D838" s="117"/>
      <c r="E838" s="117"/>
      <c r="F838" s="200"/>
      <c r="G838" s="200"/>
      <c r="H838" s="200"/>
      <c r="I838" s="200"/>
      <c r="J838" s="200"/>
      <c r="K838" s="200">
        <f>SUMIF(AE!C:C,ATB!C:C,AE!F:F)</f>
        <v>0</v>
      </c>
      <c r="L838" s="200">
        <f t="shared" si="34"/>
        <v>0</v>
      </c>
      <c r="M838" s="200">
        <f t="shared" si="35"/>
        <v>0</v>
      </c>
    </row>
    <row r="839" spans="2:13" x14ac:dyDescent="0.35">
      <c r="B839" s="117"/>
      <c r="C839" s="117"/>
      <c r="D839" s="117"/>
      <c r="E839" s="117"/>
      <c r="F839" s="200"/>
      <c r="G839" s="200"/>
      <c r="H839" s="200"/>
      <c r="I839" s="200"/>
      <c r="J839" s="200"/>
      <c r="K839" s="200">
        <f>SUMIF(AE!C:C,ATB!C:C,AE!F:F)</f>
        <v>0</v>
      </c>
      <c r="L839" s="200">
        <f t="shared" si="34"/>
        <v>0</v>
      </c>
      <c r="M839" s="200">
        <f t="shared" si="35"/>
        <v>0</v>
      </c>
    </row>
    <row r="840" spans="2:13" x14ac:dyDescent="0.35">
      <c r="B840" s="117"/>
      <c r="C840" s="117"/>
      <c r="D840" s="117"/>
      <c r="E840" s="117"/>
      <c r="F840" s="200"/>
      <c r="G840" s="200"/>
      <c r="H840" s="200"/>
      <c r="I840" s="200"/>
      <c r="J840" s="200"/>
      <c r="K840" s="200">
        <f>SUMIF(AE!C:C,ATB!C:C,AE!F:F)</f>
        <v>0</v>
      </c>
      <c r="L840" s="200">
        <f t="shared" si="34"/>
        <v>0</v>
      </c>
      <c r="M840" s="200">
        <f t="shared" si="35"/>
        <v>0</v>
      </c>
    </row>
    <row r="841" spans="2:13" x14ac:dyDescent="0.35">
      <c r="B841" s="117"/>
      <c r="C841" s="117"/>
      <c r="D841" s="117"/>
      <c r="E841" s="117"/>
      <c r="F841" s="200"/>
      <c r="G841" s="200"/>
      <c r="H841" s="200"/>
      <c r="I841" s="200"/>
      <c r="J841" s="200"/>
      <c r="K841" s="200">
        <f>SUMIF(AE!C:C,ATB!C:C,AE!F:F)</f>
        <v>0</v>
      </c>
      <c r="L841" s="200">
        <f t="shared" si="34"/>
        <v>0</v>
      </c>
      <c r="M841" s="200">
        <f t="shared" si="35"/>
        <v>0</v>
      </c>
    </row>
    <row r="842" spans="2:13" x14ac:dyDescent="0.35">
      <c r="B842" s="117"/>
      <c r="C842" s="117"/>
      <c r="D842" s="117"/>
      <c r="E842" s="117"/>
      <c r="F842" s="200"/>
      <c r="G842" s="200"/>
      <c r="H842" s="200"/>
      <c r="I842" s="200"/>
      <c r="J842" s="200"/>
      <c r="K842" s="200">
        <f>SUMIF(AE!C:C,ATB!C:C,AE!F:F)</f>
        <v>0</v>
      </c>
      <c r="L842" s="200">
        <f t="shared" si="34"/>
        <v>0</v>
      </c>
      <c r="M842" s="200">
        <f t="shared" si="35"/>
        <v>0</v>
      </c>
    </row>
    <row r="843" spans="2:13" x14ac:dyDescent="0.35">
      <c r="B843" s="117"/>
      <c r="C843" s="117"/>
      <c r="D843" s="117"/>
      <c r="E843" s="117"/>
      <c r="F843" s="200"/>
      <c r="G843" s="200"/>
      <c r="H843" s="200"/>
      <c r="I843" s="200"/>
      <c r="J843" s="200"/>
      <c r="K843" s="200">
        <f>SUMIF(AE!C:C,ATB!C:C,AE!F:F)</f>
        <v>0</v>
      </c>
      <c r="L843" s="200">
        <f t="shared" si="34"/>
        <v>0</v>
      </c>
      <c r="M843" s="200">
        <f t="shared" si="35"/>
        <v>0</v>
      </c>
    </row>
    <row r="844" spans="2:13" x14ac:dyDescent="0.35">
      <c r="B844" s="117"/>
      <c r="C844" s="117"/>
      <c r="D844" s="117"/>
      <c r="E844" s="117"/>
      <c r="F844" s="200"/>
      <c r="G844" s="200"/>
      <c r="H844" s="200"/>
      <c r="I844" s="200"/>
      <c r="J844" s="200"/>
      <c r="K844" s="200">
        <f>SUMIF(AE!C:C,ATB!C:C,AE!F:F)</f>
        <v>0</v>
      </c>
      <c r="L844" s="200">
        <f t="shared" si="34"/>
        <v>0</v>
      </c>
      <c r="M844" s="200">
        <f t="shared" si="35"/>
        <v>0</v>
      </c>
    </row>
    <row r="845" spans="2:13" x14ac:dyDescent="0.35">
      <c r="B845" s="117"/>
      <c r="C845" s="117"/>
      <c r="D845" s="117"/>
      <c r="E845" s="117"/>
      <c r="F845" s="200"/>
      <c r="G845" s="200"/>
      <c r="H845" s="200"/>
      <c r="I845" s="200"/>
      <c r="J845" s="200"/>
      <c r="K845" s="200">
        <f>SUMIF(AE!C:C,ATB!C:C,AE!F:F)</f>
        <v>0</v>
      </c>
      <c r="L845" s="200">
        <f t="shared" si="34"/>
        <v>0</v>
      </c>
      <c r="M845" s="200">
        <f t="shared" si="35"/>
        <v>0</v>
      </c>
    </row>
    <row r="846" spans="2:13" x14ac:dyDescent="0.35">
      <c r="B846" s="117"/>
      <c r="C846" s="117"/>
      <c r="D846" s="117"/>
      <c r="E846" s="117"/>
      <c r="F846" s="200"/>
      <c r="G846" s="200"/>
      <c r="H846" s="200"/>
      <c r="I846" s="200"/>
      <c r="J846" s="200"/>
      <c r="K846" s="200">
        <f>SUMIF(AE!C:C,ATB!C:C,AE!F:F)</f>
        <v>0</v>
      </c>
      <c r="L846" s="200">
        <f t="shared" si="34"/>
        <v>0</v>
      </c>
      <c r="M846" s="200">
        <f t="shared" si="35"/>
        <v>0</v>
      </c>
    </row>
    <row r="847" spans="2:13" x14ac:dyDescent="0.35">
      <c r="B847" s="117"/>
      <c r="C847" s="117"/>
      <c r="D847" s="117"/>
      <c r="E847" s="117"/>
      <c r="F847" s="200"/>
      <c r="G847" s="200"/>
      <c r="H847" s="200"/>
      <c r="I847" s="200"/>
      <c r="J847" s="200"/>
      <c r="K847" s="200">
        <f>SUMIF(AE!C:C,ATB!C:C,AE!F:F)</f>
        <v>0</v>
      </c>
      <c r="L847" s="200">
        <f t="shared" si="34"/>
        <v>0</v>
      </c>
      <c r="M847" s="200">
        <f t="shared" si="35"/>
        <v>0</v>
      </c>
    </row>
    <row r="848" spans="2:13" x14ac:dyDescent="0.35">
      <c r="B848" s="117"/>
      <c r="C848" s="117"/>
      <c r="D848" s="117"/>
      <c r="E848" s="117"/>
      <c r="F848" s="200"/>
      <c r="G848" s="200"/>
      <c r="H848" s="200"/>
      <c r="I848" s="200"/>
      <c r="J848" s="200"/>
      <c r="K848" s="200">
        <f>SUMIF(AE!C:C,ATB!C:C,AE!F:F)</f>
        <v>0</v>
      </c>
      <c r="L848" s="200">
        <f t="shared" si="34"/>
        <v>0</v>
      </c>
      <c r="M848" s="200">
        <f t="shared" si="35"/>
        <v>0</v>
      </c>
    </row>
    <row r="849" spans="2:13" x14ac:dyDescent="0.35">
      <c r="B849" s="117"/>
      <c r="C849" s="117"/>
      <c r="D849" s="117"/>
      <c r="E849" s="117"/>
      <c r="F849" s="200"/>
      <c r="G849" s="200"/>
      <c r="H849" s="200"/>
      <c r="I849" s="200"/>
      <c r="J849" s="200"/>
      <c r="K849" s="200">
        <f>SUMIF(AE!C:C,ATB!C:C,AE!F:F)</f>
        <v>0</v>
      </c>
      <c r="L849" s="200">
        <f t="shared" si="34"/>
        <v>0</v>
      </c>
      <c r="M849" s="200">
        <f t="shared" si="35"/>
        <v>0</v>
      </c>
    </row>
    <row r="850" spans="2:13" x14ac:dyDescent="0.35">
      <c r="B850" s="117"/>
      <c r="C850" s="117"/>
      <c r="D850" s="117"/>
      <c r="E850" s="117"/>
      <c r="F850" s="200"/>
      <c r="G850" s="200"/>
      <c r="H850" s="200"/>
      <c r="I850" s="200"/>
      <c r="J850" s="200"/>
      <c r="K850" s="200">
        <f>SUMIF(AE!C:C,ATB!C:C,AE!F:F)</f>
        <v>0</v>
      </c>
      <c r="L850" s="200">
        <f t="shared" si="34"/>
        <v>0</v>
      </c>
      <c r="M850" s="200">
        <f t="shared" si="35"/>
        <v>0</v>
      </c>
    </row>
    <row r="851" spans="2:13" x14ac:dyDescent="0.35">
      <c r="B851" s="117"/>
      <c r="C851" s="117"/>
      <c r="D851" s="117"/>
      <c r="E851" s="117"/>
      <c r="F851" s="200"/>
      <c r="G851" s="200"/>
      <c r="H851" s="200"/>
      <c r="I851" s="200"/>
      <c r="J851" s="200"/>
      <c r="K851" s="200">
        <f>SUMIF(AE!C:C,ATB!C:C,AE!F:F)</f>
        <v>0</v>
      </c>
      <c r="L851" s="200">
        <f t="shared" si="34"/>
        <v>0</v>
      </c>
      <c r="M851" s="200">
        <f t="shared" si="35"/>
        <v>0</v>
      </c>
    </row>
    <row r="852" spans="2:13" x14ac:dyDescent="0.35">
      <c r="B852" s="117"/>
      <c r="C852" s="117"/>
      <c r="D852" s="117"/>
      <c r="E852" s="117"/>
      <c r="F852" s="200"/>
      <c r="G852" s="200"/>
      <c r="H852" s="200"/>
      <c r="I852" s="200"/>
      <c r="J852" s="200"/>
      <c r="K852" s="200">
        <f>SUMIF(AE!C:C,ATB!C:C,AE!F:F)</f>
        <v>0</v>
      </c>
      <c r="L852" s="200">
        <f t="shared" si="34"/>
        <v>0</v>
      </c>
      <c r="M852" s="200">
        <f t="shared" si="35"/>
        <v>0</v>
      </c>
    </row>
    <row r="853" spans="2:13" x14ac:dyDescent="0.35">
      <c r="B853" s="117"/>
      <c r="C853" s="117"/>
      <c r="D853" s="117"/>
      <c r="E853" s="117"/>
      <c r="F853" s="200"/>
      <c r="G853" s="200"/>
      <c r="H853" s="200"/>
      <c r="I853" s="200"/>
      <c r="J853" s="200"/>
      <c r="K853" s="200">
        <f>SUMIF(AE!C:C,ATB!C:C,AE!F:F)</f>
        <v>0</v>
      </c>
      <c r="L853" s="200">
        <f t="shared" si="34"/>
        <v>0</v>
      </c>
      <c r="M853" s="200">
        <f t="shared" si="35"/>
        <v>0</v>
      </c>
    </row>
    <row r="854" spans="2:13" x14ac:dyDescent="0.35">
      <c r="B854" s="117"/>
      <c r="C854" s="117"/>
      <c r="D854" s="117"/>
      <c r="E854" s="117"/>
      <c r="F854" s="200"/>
      <c r="G854" s="200"/>
      <c r="H854" s="200"/>
      <c r="I854" s="200"/>
      <c r="J854" s="200"/>
      <c r="K854" s="200">
        <f>SUMIF(AE!C:C,ATB!C:C,AE!F:F)</f>
        <v>0</v>
      </c>
      <c r="L854" s="200">
        <f t="shared" si="34"/>
        <v>0</v>
      </c>
      <c r="M854" s="200">
        <f t="shared" si="35"/>
        <v>0</v>
      </c>
    </row>
    <row r="855" spans="2:13" x14ac:dyDescent="0.35">
      <c r="B855" s="117"/>
      <c r="C855" s="117"/>
      <c r="D855" s="117"/>
      <c r="E855" s="117"/>
      <c r="F855" s="200"/>
      <c r="G855" s="200"/>
      <c r="H855" s="200"/>
      <c r="I855" s="200"/>
      <c r="J855" s="200"/>
      <c r="K855" s="200">
        <f>SUMIF(AE!C:C,ATB!C:C,AE!F:F)</f>
        <v>0</v>
      </c>
      <c r="L855" s="200">
        <f t="shared" si="34"/>
        <v>0</v>
      </c>
      <c r="M855" s="200">
        <f t="shared" si="35"/>
        <v>0</v>
      </c>
    </row>
    <row r="856" spans="2:13" x14ac:dyDescent="0.35">
      <c r="B856" s="117"/>
      <c r="C856" s="117"/>
      <c r="D856" s="117"/>
      <c r="E856" s="117"/>
      <c r="F856" s="200"/>
      <c r="G856" s="200"/>
      <c r="H856" s="200"/>
      <c r="I856" s="200"/>
      <c r="J856" s="200"/>
      <c r="K856" s="200">
        <f>SUMIF(AE!C:C,ATB!C:C,AE!F:F)</f>
        <v>0</v>
      </c>
      <c r="L856" s="200">
        <f t="shared" si="34"/>
        <v>0</v>
      </c>
      <c r="M856" s="200">
        <f t="shared" si="35"/>
        <v>0</v>
      </c>
    </row>
    <row r="857" spans="2:13" x14ac:dyDescent="0.35">
      <c r="B857" s="117"/>
      <c r="C857" s="117"/>
      <c r="D857" s="117"/>
      <c r="E857" s="117"/>
      <c r="F857" s="200"/>
      <c r="G857" s="200"/>
      <c r="H857" s="200"/>
      <c r="I857" s="200"/>
      <c r="J857" s="200"/>
      <c r="K857" s="200">
        <f>SUMIF(AE!C:C,ATB!C:C,AE!F:F)</f>
        <v>0</v>
      </c>
      <c r="L857" s="200">
        <f t="shared" si="34"/>
        <v>0</v>
      </c>
      <c r="M857" s="200">
        <f t="shared" si="35"/>
        <v>0</v>
      </c>
    </row>
    <row r="858" spans="2:13" x14ac:dyDescent="0.35">
      <c r="B858" s="117"/>
      <c r="C858" s="117"/>
      <c r="D858" s="117"/>
      <c r="E858" s="117"/>
      <c r="F858" s="200"/>
      <c r="G858" s="200"/>
      <c r="H858" s="200"/>
      <c r="I858" s="200"/>
      <c r="J858" s="200"/>
      <c r="K858" s="200">
        <f>SUMIF(AE!C:C,ATB!C:C,AE!F:F)</f>
        <v>0</v>
      </c>
      <c r="L858" s="200">
        <f t="shared" si="34"/>
        <v>0</v>
      </c>
      <c r="M858" s="200">
        <f t="shared" si="35"/>
        <v>0</v>
      </c>
    </row>
    <row r="859" spans="2:13" x14ac:dyDescent="0.35">
      <c r="B859" s="117"/>
      <c r="C859" s="117"/>
      <c r="D859" s="117"/>
      <c r="E859" s="117"/>
      <c r="F859" s="200"/>
      <c r="G859" s="200"/>
      <c r="H859" s="200"/>
      <c r="I859" s="200"/>
      <c r="J859" s="200"/>
      <c r="K859" s="200">
        <f>SUMIF(AE!C:C,ATB!C:C,AE!F:F)</f>
        <v>0</v>
      </c>
      <c r="L859" s="200">
        <f t="shared" si="34"/>
        <v>0</v>
      </c>
      <c r="M859" s="200">
        <f t="shared" si="35"/>
        <v>0</v>
      </c>
    </row>
    <row r="860" spans="2:13" x14ac:dyDescent="0.35">
      <c r="B860" s="117"/>
      <c r="C860" s="117"/>
      <c r="D860" s="117"/>
      <c r="E860" s="117"/>
      <c r="F860" s="200"/>
      <c r="G860" s="200"/>
      <c r="H860" s="200"/>
      <c r="I860" s="200"/>
      <c r="J860" s="200"/>
      <c r="K860" s="200">
        <f>SUMIF(AE!C:C,ATB!C:C,AE!F:F)</f>
        <v>0</v>
      </c>
      <c r="L860" s="200">
        <f t="shared" si="34"/>
        <v>0</v>
      </c>
      <c r="M860" s="200">
        <f t="shared" si="35"/>
        <v>0</v>
      </c>
    </row>
    <row r="861" spans="2:13" x14ac:dyDescent="0.35">
      <c r="B861" s="117"/>
      <c r="C861" s="117"/>
      <c r="D861" s="117"/>
      <c r="E861" s="117"/>
      <c r="F861" s="200"/>
      <c r="G861" s="200"/>
      <c r="H861" s="200"/>
      <c r="I861" s="200"/>
      <c r="J861" s="200"/>
      <c r="K861" s="200">
        <f>SUMIF(AE!C:C,ATB!C:C,AE!F:F)</f>
        <v>0</v>
      </c>
      <c r="L861" s="200">
        <f t="shared" si="34"/>
        <v>0</v>
      </c>
      <c r="M861" s="200">
        <f t="shared" si="35"/>
        <v>0</v>
      </c>
    </row>
    <row r="862" spans="2:13" x14ac:dyDescent="0.35">
      <c r="B862" s="117"/>
      <c r="C862" s="117"/>
      <c r="D862" s="117"/>
      <c r="E862" s="117"/>
      <c r="F862" s="200"/>
      <c r="G862" s="200"/>
      <c r="H862" s="200"/>
      <c r="I862" s="200"/>
      <c r="J862" s="200"/>
      <c r="K862" s="200">
        <f>SUMIF(AE!C:C,ATB!C:C,AE!F:F)</f>
        <v>0</v>
      </c>
      <c r="L862" s="200">
        <f t="shared" si="34"/>
        <v>0</v>
      </c>
      <c r="M862" s="200">
        <f t="shared" si="35"/>
        <v>0</v>
      </c>
    </row>
    <row r="863" spans="2:13" x14ac:dyDescent="0.35">
      <c r="B863" s="117"/>
      <c r="C863" s="117"/>
      <c r="D863" s="117"/>
      <c r="E863" s="117"/>
      <c r="F863" s="200"/>
      <c r="G863" s="200"/>
      <c r="H863" s="200"/>
      <c r="I863" s="200"/>
      <c r="J863" s="200"/>
      <c r="K863" s="200">
        <f>SUMIF(AE!C:C,ATB!C:C,AE!F:F)</f>
        <v>0</v>
      </c>
      <c r="L863" s="200">
        <f t="shared" si="34"/>
        <v>0</v>
      </c>
      <c r="M863" s="200">
        <f t="shared" si="35"/>
        <v>0</v>
      </c>
    </row>
    <row r="864" spans="2:13" x14ac:dyDescent="0.35">
      <c r="B864" s="117"/>
      <c r="C864" s="117"/>
      <c r="D864" s="117"/>
      <c r="E864" s="117"/>
      <c r="F864" s="200"/>
      <c r="G864" s="200"/>
      <c r="H864" s="200"/>
      <c r="I864" s="200"/>
      <c r="J864" s="200"/>
      <c r="K864" s="200">
        <f>SUMIF(AE!C:C,ATB!C:C,AE!F:F)</f>
        <v>0</v>
      </c>
      <c r="L864" s="200">
        <f t="shared" si="34"/>
        <v>0</v>
      </c>
      <c r="M864" s="200">
        <f t="shared" si="35"/>
        <v>0</v>
      </c>
    </row>
    <row r="865" spans="2:13" x14ac:dyDescent="0.35">
      <c r="B865" s="117"/>
      <c r="C865" s="117"/>
      <c r="D865" s="117"/>
      <c r="E865" s="117"/>
      <c r="F865" s="200"/>
      <c r="G865" s="200"/>
      <c r="H865" s="200"/>
      <c r="I865" s="200"/>
      <c r="J865" s="200"/>
      <c r="K865" s="200">
        <f>SUMIF(AE!C:C,ATB!C:C,AE!F:F)</f>
        <v>0</v>
      </c>
      <c r="L865" s="200">
        <f t="shared" si="34"/>
        <v>0</v>
      </c>
      <c r="M865" s="200">
        <f t="shared" si="35"/>
        <v>0</v>
      </c>
    </row>
    <row r="866" spans="2:13" x14ac:dyDescent="0.35">
      <c r="B866" s="117"/>
      <c r="C866" s="117"/>
      <c r="D866" s="117"/>
      <c r="E866" s="117"/>
      <c r="F866" s="200"/>
      <c r="G866" s="200"/>
      <c r="H866" s="200"/>
      <c r="I866" s="200"/>
      <c r="J866" s="200"/>
      <c r="K866" s="200">
        <f>SUMIF(AE!C:C,ATB!C:C,AE!F:F)</f>
        <v>0</v>
      </c>
      <c r="L866" s="200">
        <f t="shared" si="34"/>
        <v>0</v>
      </c>
      <c r="M866" s="200">
        <f t="shared" si="35"/>
        <v>0</v>
      </c>
    </row>
    <row r="867" spans="2:13" x14ac:dyDescent="0.35">
      <c r="B867" s="117"/>
      <c r="C867" s="117"/>
      <c r="D867" s="117"/>
      <c r="E867" s="117"/>
      <c r="F867" s="200"/>
      <c r="G867" s="200"/>
      <c r="H867" s="200"/>
      <c r="I867" s="200"/>
      <c r="J867" s="200"/>
      <c r="K867" s="200">
        <f>SUMIF(AE!C:C,ATB!C:C,AE!F:F)</f>
        <v>0</v>
      </c>
      <c r="L867" s="200">
        <f t="shared" si="34"/>
        <v>0</v>
      </c>
      <c r="M867" s="200">
        <f t="shared" si="35"/>
        <v>0</v>
      </c>
    </row>
    <row r="868" spans="2:13" x14ac:dyDescent="0.35">
      <c r="B868" s="117"/>
      <c r="C868" s="117"/>
      <c r="D868" s="117"/>
      <c r="E868" s="117"/>
      <c r="F868" s="200"/>
      <c r="G868" s="200"/>
      <c r="H868" s="200"/>
      <c r="I868" s="200"/>
      <c r="J868" s="200"/>
      <c r="K868" s="200">
        <f>SUMIF(AE!C:C,ATB!C:C,AE!F:F)</f>
        <v>0</v>
      </c>
      <c r="L868" s="200">
        <f t="shared" si="34"/>
        <v>0</v>
      </c>
      <c r="M868" s="200">
        <f t="shared" si="35"/>
        <v>0</v>
      </c>
    </row>
    <row r="869" spans="2:13" x14ac:dyDescent="0.35">
      <c r="B869" s="117"/>
      <c r="C869" s="117"/>
      <c r="D869" s="117"/>
      <c r="E869" s="117"/>
      <c r="F869" s="200"/>
      <c r="G869" s="200"/>
      <c r="H869" s="200"/>
      <c r="I869" s="200"/>
      <c r="J869" s="200"/>
      <c r="K869" s="200">
        <f>SUMIF(AE!C:C,ATB!C:C,AE!F:F)</f>
        <v>0</v>
      </c>
      <c r="L869" s="200">
        <f t="shared" si="34"/>
        <v>0</v>
      </c>
      <c r="M869" s="200">
        <f t="shared" si="35"/>
        <v>0</v>
      </c>
    </row>
    <row r="870" spans="2:13" x14ac:dyDescent="0.35">
      <c r="B870" s="117"/>
      <c r="C870" s="117"/>
      <c r="D870" s="117"/>
      <c r="E870" s="117"/>
      <c r="F870" s="200"/>
      <c r="G870" s="200"/>
      <c r="H870" s="200"/>
      <c r="I870" s="200"/>
      <c r="J870" s="200"/>
      <c r="K870" s="200">
        <f>SUMIF(AE!C:C,ATB!C:C,AE!F:F)</f>
        <v>0</v>
      </c>
      <c r="L870" s="200">
        <f t="shared" si="34"/>
        <v>0</v>
      </c>
      <c r="M870" s="200">
        <f t="shared" si="35"/>
        <v>0</v>
      </c>
    </row>
    <row r="871" spans="2:13" x14ac:dyDescent="0.35">
      <c r="B871" s="117"/>
      <c r="C871" s="117"/>
      <c r="D871" s="117"/>
      <c r="E871" s="117"/>
      <c r="F871" s="200"/>
      <c r="G871" s="200"/>
      <c r="H871" s="200"/>
      <c r="I871" s="200"/>
      <c r="J871" s="200"/>
      <c r="K871" s="200">
        <f>SUMIF(AE!C:C,ATB!C:C,AE!F:F)</f>
        <v>0</v>
      </c>
      <c r="L871" s="200">
        <f t="shared" si="34"/>
        <v>0</v>
      </c>
      <c r="M871" s="200">
        <f t="shared" si="35"/>
        <v>0</v>
      </c>
    </row>
    <row r="872" spans="2:13" x14ac:dyDescent="0.35">
      <c r="B872" s="117"/>
      <c r="C872" s="117"/>
      <c r="D872" s="117"/>
      <c r="E872" s="117"/>
      <c r="F872" s="200"/>
      <c r="G872" s="200"/>
      <c r="H872" s="200"/>
      <c r="I872" s="200"/>
      <c r="J872" s="200"/>
      <c r="K872" s="200">
        <f>SUMIF(AE!C:C,ATB!C:C,AE!F:F)</f>
        <v>0</v>
      </c>
      <c r="L872" s="200">
        <f t="shared" si="34"/>
        <v>0</v>
      </c>
      <c r="M872" s="200">
        <f t="shared" si="35"/>
        <v>0</v>
      </c>
    </row>
    <row r="873" spans="2:13" x14ac:dyDescent="0.35">
      <c r="B873" s="117"/>
      <c r="C873" s="117"/>
      <c r="D873" s="117"/>
      <c r="E873" s="117"/>
      <c r="F873" s="200"/>
      <c r="G873" s="200"/>
      <c r="H873" s="200"/>
      <c r="I873" s="200"/>
      <c r="J873" s="200"/>
      <c r="K873" s="200">
        <f>SUMIF(AE!C:C,ATB!C:C,AE!F:F)</f>
        <v>0</v>
      </c>
      <c r="L873" s="200">
        <f t="shared" si="34"/>
        <v>0</v>
      </c>
      <c r="M873" s="200">
        <f t="shared" si="35"/>
        <v>0</v>
      </c>
    </row>
    <row r="874" spans="2:13" x14ac:dyDescent="0.35">
      <c r="B874" s="117"/>
      <c r="C874" s="117"/>
      <c r="D874" s="117"/>
      <c r="E874" s="117"/>
      <c r="F874" s="200"/>
      <c r="G874" s="200"/>
      <c r="H874" s="200"/>
      <c r="I874" s="200"/>
      <c r="J874" s="200"/>
      <c r="K874" s="200">
        <f>SUMIF(AE!C:C,ATB!C:C,AE!F:F)</f>
        <v>0</v>
      </c>
      <c r="L874" s="200">
        <f t="shared" si="34"/>
        <v>0</v>
      </c>
      <c r="M874" s="200">
        <f t="shared" si="35"/>
        <v>0</v>
      </c>
    </row>
    <row r="875" spans="2:13" x14ac:dyDescent="0.35">
      <c r="B875" s="117"/>
      <c r="C875" s="117"/>
      <c r="D875" s="117"/>
      <c r="E875" s="117"/>
      <c r="F875" s="200"/>
      <c r="G875" s="200"/>
      <c r="H875" s="200"/>
      <c r="I875" s="200"/>
      <c r="J875" s="200"/>
      <c r="K875" s="200">
        <f>SUMIF(AE!C:C,ATB!C:C,AE!F:F)</f>
        <v>0</v>
      </c>
      <c r="L875" s="200">
        <f t="shared" si="34"/>
        <v>0</v>
      </c>
      <c r="M875" s="200">
        <f t="shared" si="35"/>
        <v>0</v>
      </c>
    </row>
    <row r="876" spans="2:13" x14ac:dyDescent="0.35">
      <c r="B876" s="117"/>
      <c r="C876" s="117"/>
      <c r="D876" s="117"/>
      <c r="E876" s="117"/>
      <c r="F876" s="200"/>
      <c r="G876" s="200"/>
      <c r="H876" s="200"/>
      <c r="I876" s="200"/>
      <c r="J876" s="200"/>
      <c r="K876" s="200">
        <f>SUMIF(AE!C:C,ATB!C:C,AE!F:F)</f>
        <v>0</v>
      </c>
      <c r="L876" s="200">
        <f t="shared" si="34"/>
        <v>0</v>
      </c>
      <c r="M876" s="200">
        <f t="shared" si="35"/>
        <v>0</v>
      </c>
    </row>
    <row r="877" spans="2:13" x14ac:dyDescent="0.35">
      <c r="B877" s="117"/>
      <c r="C877" s="117"/>
      <c r="D877" s="117"/>
      <c r="E877" s="117"/>
      <c r="F877" s="200"/>
      <c r="G877" s="200"/>
      <c r="H877" s="200"/>
      <c r="I877" s="200"/>
      <c r="J877" s="200"/>
      <c r="K877" s="200">
        <f>SUMIF(AE!C:C,ATB!C:C,AE!F:F)</f>
        <v>0</v>
      </c>
      <c r="L877" s="200">
        <f t="shared" si="34"/>
        <v>0</v>
      </c>
      <c r="M877" s="200">
        <f t="shared" si="35"/>
        <v>0</v>
      </c>
    </row>
    <row r="878" spans="2:13" x14ac:dyDescent="0.35">
      <c r="B878" s="117"/>
      <c r="C878" s="117"/>
      <c r="D878" s="117"/>
      <c r="E878" s="117"/>
      <c r="F878" s="200"/>
      <c r="G878" s="200"/>
      <c r="H878" s="200"/>
      <c r="I878" s="200"/>
      <c r="J878" s="200"/>
      <c r="K878" s="200">
        <f>SUMIF(AE!C:C,ATB!C:C,AE!F:F)</f>
        <v>0</v>
      </c>
      <c r="L878" s="200">
        <f t="shared" si="34"/>
        <v>0</v>
      </c>
      <c r="M878" s="200">
        <f t="shared" si="35"/>
        <v>0</v>
      </c>
    </row>
    <row r="879" spans="2:13" x14ac:dyDescent="0.35">
      <c r="B879" s="117"/>
      <c r="C879" s="117"/>
      <c r="D879" s="117"/>
      <c r="E879" s="117"/>
      <c r="F879" s="200"/>
      <c r="G879" s="200"/>
      <c r="H879" s="200"/>
      <c r="I879" s="200"/>
      <c r="J879" s="200"/>
      <c r="K879" s="200">
        <f>SUMIF(AE!C:C,ATB!C:C,AE!F:F)</f>
        <v>0</v>
      </c>
      <c r="L879" s="200">
        <f t="shared" si="34"/>
        <v>0</v>
      </c>
      <c r="M879" s="200">
        <f t="shared" si="35"/>
        <v>0</v>
      </c>
    </row>
    <row r="880" spans="2:13" x14ac:dyDescent="0.35">
      <c r="B880" s="117"/>
      <c r="C880" s="117"/>
      <c r="D880" s="117"/>
      <c r="E880" s="117"/>
      <c r="F880" s="200"/>
      <c r="G880" s="200"/>
      <c r="H880" s="200"/>
      <c r="I880" s="200"/>
      <c r="J880" s="200"/>
      <c r="K880" s="200">
        <f>SUMIF(AE!C:C,ATB!C:C,AE!F:F)</f>
        <v>0</v>
      </c>
      <c r="L880" s="200">
        <f t="shared" si="34"/>
        <v>0</v>
      </c>
      <c r="M880" s="200">
        <f t="shared" si="35"/>
        <v>0</v>
      </c>
    </row>
    <row r="881" spans="2:13" x14ac:dyDescent="0.35">
      <c r="B881" s="117"/>
      <c r="C881" s="117"/>
      <c r="D881" s="117"/>
      <c r="E881" s="117"/>
      <c r="F881" s="200"/>
      <c r="G881" s="200"/>
      <c r="H881" s="200"/>
      <c r="I881" s="200"/>
      <c r="J881" s="200"/>
      <c r="K881" s="200">
        <f>SUMIF(AE!C:C,ATB!C:C,AE!F:F)</f>
        <v>0</v>
      </c>
      <c r="L881" s="200">
        <f t="shared" si="34"/>
        <v>0</v>
      </c>
      <c r="M881" s="200">
        <f t="shared" si="35"/>
        <v>0</v>
      </c>
    </row>
    <row r="882" spans="2:13" x14ac:dyDescent="0.35">
      <c r="B882" s="117"/>
      <c r="C882" s="117"/>
      <c r="D882" s="117"/>
      <c r="E882" s="117"/>
      <c r="F882" s="200"/>
      <c r="G882" s="200"/>
      <c r="H882" s="200"/>
      <c r="I882" s="200"/>
      <c r="J882" s="200"/>
      <c r="K882" s="200">
        <f>SUMIF(AE!C:C,ATB!C:C,AE!F:F)</f>
        <v>0</v>
      </c>
      <c r="L882" s="200">
        <f t="shared" si="34"/>
        <v>0</v>
      </c>
      <c r="M882" s="200">
        <f t="shared" si="35"/>
        <v>0</v>
      </c>
    </row>
    <row r="883" spans="2:13" x14ac:dyDescent="0.35">
      <c r="B883" s="117"/>
      <c r="C883" s="117"/>
      <c r="D883" s="117"/>
      <c r="E883" s="117"/>
      <c r="F883" s="200"/>
      <c r="G883" s="200"/>
      <c r="H883" s="200"/>
      <c r="I883" s="200"/>
      <c r="J883" s="200"/>
      <c r="K883" s="200">
        <f>SUMIF(AE!C:C,ATB!C:C,AE!F:F)</f>
        <v>0</v>
      </c>
      <c r="L883" s="200">
        <f t="shared" si="34"/>
        <v>0</v>
      </c>
      <c r="M883" s="200">
        <f t="shared" si="35"/>
        <v>0</v>
      </c>
    </row>
    <row r="884" spans="2:13" x14ac:dyDescent="0.35">
      <c r="B884" s="117"/>
      <c r="C884" s="117"/>
      <c r="D884" s="117"/>
      <c r="E884" s="117"/>
      <c r="F884" s="200"/>
      <c r="G884" s="200"/>
      <c r="H884" s="200"/>
      <c r="I884" s="200"/>
      <c r="J884" s="200"/>
      <c r="K884" s="200">
        <f>SUMIF(AE!C:C,ATB!C:C,AE!F:F)</f>
        <v>0</v>
      </c>
      <c r="L884" s="200">
        <f t="shared" si="34"/>
        <v>0</v>
      </c>
      <c r="M884" s="200">
        <f t="shared" si="35"/>
        <v>0</v>
      </c>
    </row>
    <row r="885" spans="2:13" x14ac:dyDescent="0.35">
      <c r="B885" s="117"/>
      <c r="C885" s="117"/>
      <c r="D885" s="117"/>
      <c r="E885" s="117"/>
      <c r="F885" s="200"/>
      <c r="G885" s="200"/>
      <c r="H885" s="200"/>
      <c r="I885" s="200"/>
      <c r="J885" s="200"/>
      <c r="K885" s="200">
        <f>SUMIF(AE!C:C,ATB!C:C,AE!F:F)</f>
        <v>0</v>
      </c>
      <c r="L885" s="200">
        <f t="shared" si="34"/>
        <v>0</v>
      </c>
      <c r="M885" s="200">
        <f t="shared" si="35"/>
        <v>0</v>
      </c>
    </row>
    <row r="886" spans="2:13" x14ac:dyDescent="0.35">
      <c r="B886" s="117"/>
      <c r="C886" s="117"/>
      <c r="D886" s="117"/>
      <c r="E886" s="117"/>
      <c r="F886" s="200"/>
      <c r="G886" s="200"/>
      <c r="H886" s="200"/>
      <c r="I886" s="200"/>
      <c r="J886" s="200"/>
      <c r="K886" s="200">
        <f>SUMIF(AE!C:C,ATB!C:C,AE!F:F)</f>
        <v>0</v>
      </c>
      <c r="L886" s="200">
        <f t="shared" si="34"/>
        <v>0</v>
      </c>
      <c r="M886" s="200">
        <f t="shared" si="35"/>
        <v>0</v>
      </c>
    </row>
    <row r="887" spans="2:13" x14ac:dyDescent="0.35">
      <c r="B887" s="117"/>
      <c r="C887" s="117"/>
      <c r="D887" s="117"/>
      <c r="E887" s="117"/>
      <c r="F887" s="200"/>
      <c r="G887" s="200"/>
      <c r="H887" s="200"/>
      <c r="I887" s="200"/>
      <c r="J887" s="200"/>
      <c r="K887" s="200">
        <f>SUMIF(AE!C:C,ATB!C:C,AE!F:F)</f>
        <v>0</v>
      </c>
      <c r="L887" s="200">
        <f t="shared" si="34"/>
        <v>0</v>
      </c>
      <c r="M887" s="200">
        <f t="shared" si="35"/>
        <v>0</v>
      </c>
    </row>
    <row r="888" spans="2:13" x14ac:dyDescent="0.35">
      <c r="B888" s="117"/>
      <c r="C888" s="117"/>
      <c r="D888" s="117"/>
      <c r="E888" s="117"/>
      <c r="F888" s="200"/>
      <c r="G888" s="200"/>
      <c r="H888" s="200"/>
      <c r="I888" s="200"/>
      <c r="J888" s="200"/>
      <c r="K888" s="200">
        <f>SUMIF(AE!C:C,ATB!C:C,AE!F:F)</f>
        <v>0</v>
      </c>
      <c r="L888" s="200">
        <f t="shared" si="34"/>
        <v>0</v>
      </c>
      <c r="M888" s="200">
        <f t="shared" si="35"/>
        <v>0</v>
      </c>
    </row>
    <row r="889" spans="2:13" x14ac:dyDescent="0.35">
      <c r="B889" s="117"/>
      <c r="C889" s="117"/>
      <c r="D889" s="117"/>
      <c r="E889" s="117"/>
      <c r="F889" s="200"/>
      <c r="G889" s="200"/>
      <c r="H889" s="200"/>
      <c r="I889" s="200"/>
      <c r="J889" s="200"/>
      <c r="K889" s="200">
        <f>SUMIF(AE!C:C,ATB!C:C,AE!F:F)</f>
        <v>0</v>
      </c>
      <c r="L889" s="200">
        <f t="shared" si="34"/>
        <v>0</v>
      </c>
      <c r="M889" s="200">
        <f t="shared" si="35"/>
        <v>0</v>
      </c>
    </row>
    <row r="890" spans="2:13" x14ac:dyDescent="0.35">
      <c r="B890" s="117"/>
      <c r="C890" s="117"/>
      <c r="D890" s="117"/>
      <c r="E890" s="117"/>
      <c r="F890" s="200"/>
      <c r="G890" s="200"/>
      <c r="H890" s="200"/>
      <c r="I890" s="200"/>
      <c r="J890" s="200"/>
      <c r="K890" s="200">
        <f>SUMIF(AE!C:C,ATB!C:C,AE!F:F)</f>
        <v>0</v>
      </c>
      <c r="L890" s="200">
        <f t="shared" si="34"/>
        <v>0</v>
      </c>
      <c r="M890" s="200">
        <f t="shared" si="35"/>
        <v>0</v>
      </c>
    </row>
    <row r="891" spans="2:13" x14ac:dyDescent="0.35">
      <c r="B891" s="117"/>
      <c r="C891" s="117"/>
      <c r="D891" s="117"/>
      <c r="E891" s="117"/>
      <c r="F891" s="200"/>
      <c r="G891" s="200"/>
      <c r="H891" s="200"/>
      <c r="I891" s="200"/>
      <c r="J891" s="200"/>
      <c r="K891" s="200">
        <f>SUMIF(AE!C:C,ATB!C:C,AE!F:F)</f>
        <v>0</v>
      </c>
      <c r="L891" s="200">
        <f t="shared" si="34"/>
        <v>0</v>
      </c>
      <c r="M891" s="200">
        <f t="shared" si="35"/>
        <v>0</v>
      </c>
    </row>
    <row r="892" spans="2:13" x14ac:dyDescent="0.35">
      <c r="B892" s="117"/>
      <c r="C892" s="117"/>
      <c r="D892" s="117"/>
      <c r="E892" s="117"/>
      <c r="F892" s="200"/>
      <c r="G892" s="200"/>
      <c r="H892" s="200"/>
      <c r="I892" s="200"/>
      <c r="J892" s="200"/>
      <c r="K892" s="200">
        <f>SUMIF(AE!C:C,ATB!C:C,AE!F:F)</f>
        <v>0</v>
      </c>
      <c r="L892" s="200">
        <f t="shared" si="34"/>
        <v>0</v>
      </c>
      <c r="M892" s="200">
        <f t="shared" si="35"/>
        <v>0</v>
      </c>
    </row>
    <row r="893" spans="2:13" x14ac:dyDescent="0.35">
      <c r="B893" s="117"/>
      <c r="C893" s="117"/>
      <c r="D893" s="117"/>
      <c r="E893" s="117"/>
      <c r="F893" s="200"/>
      <c r="G893" s="200"/>
      <c r="H893" s="200"/>
      <c r="I893" s="200"/>
      <c r="J893" s="200"/>
      <c r="K893" s="200">
        <f>SUMIF(AE!C:C,ATB!C:C,AE!F:F)</f>
        <v>0</v>
      </c>
      <c r="L893" s="200">
        <f t="shared" si="34"/>
        <v>0</v>
      </c>
      <c r="M893" s="200">
        <f t="shared" si="35"/>
        <v>0</v>
      </c>
    </row>
    <row r="894" spans="2:13" x14ac:dyDescent="0.35">
      <c r="B894" s="117"/>
      <c r="C894" s="117"/>
      <c r="D894" s="117"/>
      <c r="E894" s="117"/>
      <c r="F894" s="200"/>
      <c r="G894" s="200"/>
      <c r="H894" s="200"/>
      <c r="I894" s="200"/>
      <c r="J894" s="200"/>
      <c r="K894" s="200">
        <f>SUMIF(AE!C:C,ATB!C:C,AE!F:F)</f>
        <v>0</v>
      </c>
      <c r="L894" s="200">
        <f t="shared" si="34"/>
        <v>0</v>
      </c>
      <c r="M894" s="200">
        <f t="shared" si="35"/>
        <v>0</v>
      </c>
    </row>
    <row r="895" spans="2:13" x14ac:dyDescent="0.35">
      <c r="B895" s="117"/>
      <c r="C895" s="117"/>
      <c r="D895" s="117"/>
      <c r="E895" s="117"/>
      <c r="F895" s="200"/>
      <c r="G895" s="200"/>
      <c r="H895" s="200"/>
      <c r="I895" s="200"/>
      <c r="J895" s="200"/>
      <c r="K895" s="200">
        <f>SUMIF(AE!C:C,ATB!C:C,AE!F:F)</f>
        <v>0</v>
      </c>
      <c r="L895" s="200">
        <f t="shared" si="34"/>
        <v>0</v>
      </c>
      <c r="M895" s="200">
        <f t="shared" si="35"/>
        <v>0</v>
      </c>
    </row>
    <row r="896" spans="2:13" x14ac:dyDescent="0.35">
      <c r="B896" s="117"/>
      <c r="C896" s="117"/>
      <c r="D896" s="117"/>
      <c r="E896" s="117"/>
      <c r="F896" s="200"/>
      <c r="G896" s="200"/>
      <c r="H896" s="200"/>
      <c r="I896" s="200"/>
      <c r="J896" s="200"/>
      <c r="K896" s="200">
        <f>SUMIF(AE!C:C,ATB!C:C,AE!F:F)</f>
        <v>0</v>
      </c>
      <c r="L896" s="200">
        <f t="shared" si="34"/>
        <v>0</v>
      </c>
      <c r="M896" s="200">
        <f t="shared" si="35"/>
        <v>0</v>
      </c>
    </row>
    <row r="897" spans="2:13" x14ac:dyDescent="0.35">
      <c r="B897" s="117"/>
      <c r="C897" s="117"/>
      <c r="D897" s="117"/>
      <c r="E897" s="117"/>
      <c r="F897" s="200"/>
      <c r="G897" s="200"/>
      <c r="H897" s="200"/>
      <c r="I897" s="200"/>
      <c r="J897" s="200"/>
      <c r="K897" s="200">
        <f>SUMIF(AE!C:C,ATB!C:C,AE!F:F)</f>
        <v>0</v>
      </c>
      <c r="L897" s="200">
        <f t="shared" si="34"/>
        <v>0</v>
      </c>
      <c r="M897" s="200">
        <f t="shared" si="35"/>
        <v>0</v>
      </c>
    </row>
    <row r="898" spans="2:13" x14ac:dyDescent="0.35">
      <c r="B898" s="117"/>
      <c r="C898" s="117"/>
      <c r="D898" s="117"/>
      <c r="E898" s="117"/>
      <c r="F898" s="200"/>
      <c r="G898" s="200"/>
      <c r="H898" s="200"/>
      <c r="I898" s="200"/>
      <c r="J898" s="200"/>
      <c r="K898" s="200">
        <f>SUMIF(AE!C:C,ATB!C:C,AE!F:F)</f>
        <v>0</v>
      </c>
      <c r="L898" s="200">
        <f t="shared" ref="L898:L961" si="36">ROUND(IF(F898+H898+J898-G898-I898-K898&gt;0,F898+H898+J898-G898-I898-K898,0),0)</f>
        <v>0</v>
      </c>
      <c r="M898" s="200">
        <f t="shared" ref="M898:M961" si="37">-ROUND(IF(F898+H898+J898-G898-I898-K898&lt;0,F898+H898+J898-G898-I898-K898,0),0)</f>
        <v>0</v>
      </c>
    </row>
    <row r="899" spans="2:13" x14ac:dyDescent="0.35">
      <c r="B899" s="117"/>
      <c r="C899" s="117"/>
      <c r="D899" s="117"/>
      <c r="E899" s="117"/>
      <c r="F899" s="200"/>
      <c r="G899" s="200"/>
      <c r="H899" s="200"/>
      <c r="I899" s="200"/>
      <c r="J899" s="200"/>
      <c r="K899" s="200">
        <f>SUMIF(AE!C:C,ATB!C:C,AE!F:F)</f>
        <v>0</v>
      </c>
      <c r="L899" s="200">
        <f t="shared" si="36"/>
        <v>0</v>
      </c>
      <c r="M899" s="200">
        <f t="shared" si="37"/>
        <v>0</v>
      </c>
    </row>
    <row r="900" spans="2:13" x14ac:dyDescent="0.35">
      <c r="B900" s="117"/>
      <c r="C900" s="117"/>
      <c r="D900" s="117"/>
      <c r="E900" s="117"/>
      <c r="F900" s="200"/>
      <c r="G900" s="200"/>
      <c r="H900" s="200"/>
      <c r="I900" s="200"/>
      <c r="J900" s="200"/>
      <c r="K900" s="200">
        <f>SUMIF(AE!C:C,ATB!C:C,AE!F:F)</f>
        <v>0</v>
      </c>
      <c r="L900" s="200">
        <f t="shared" si="36"/>
        <v>0</v>
      </c>
      <c r="M900" s="200">
        <f t="shared" si="37"/>
        <v>0</v>
      </c>
    </row>
    <row r="901" spans="2:13" x14ac:dyDescent="0.35">
      <c r="B901" s="117"/>
      <c r="C901" s="117"/>
      <c r="D901" s="117"/>
      <c r="E901" s="117"/>
      <c r="F901" s="200"/>
      <c r="G901" s="200"/>
      <c r="H901" s="200"/>
      <c r="I901" s="200"/>
      <c r="J901" s="200"/>
      <c r="K901" s="200">
        <f>SUMIF(AE!C:C,ATB!C:C,AE!F:F)</f>
        <v>0</v>
      </c>
      <c r="L901" s="200">
        <f t="shared" si="36"/>
        <v>0</v>
      </c>
      <c r="M901" s="200">
        <f t="shared" si="37"/>
        <v>0</v>
      </c>
    </row>
    <row r="902" spans="2:13" x14ac:dyDescent="0.35">
      <c r="B902" s="117"/>
      <c r="C902" s="117"/>
      <c r="D902" s="117"/>
      <c r="E902" s="117"/>
      <c r="F902" s="200"/>
      <c r="G902" s="200"/>
      <c r="H902" s="200"/>
      <c r="I902" s="200"/>
      <c r="J902" s="200"/>
      <c r="K902" s="200">
        <f>SUMIF(AE!C:C,ATB!C:C,AE!F:F)</f>
        <v>0</v>
      </c>
      <c r="L902" s="200">
        <f t="shared" si="36"/>
        <v>0</v>
      </c>
      <c r="M902" s="200">
        <f t="shared" si="37"/>
        <v>0</v>
      </c>
    </row>
    <row r="903" spans="2:13" x14ac:dyDescent="0.35">
      <c r="B903" s="117"/>
      <c r="C903" s="117"/>
      <c r="D903" s="117"/>
      <c r="E903" s="117"/>
      <c r="F903" s="200"/>
      <c r="G903" s="200"/>
      <c r="H903" s="200"/>
      <c r="I903" s="200"/>
      <c r="J903" s="200"/>
      <c r="K903" s="200">
        <f>SUMIF(AE!C:C,ATB!C:C,AE!F:F)</f>
        <v>0</v>
      </c>
      <c r="L903" s="200">
        <f t="shared" si="36"/>
        <v>0</v>
      </c>
      <c r="M903" s="200">
        <f t="shared" si="37"/>
        <v>0</v>
      </c>
    </row>
    <row r="904" spans="2:13" x14ac:dyDescent="0.35">
      <c r="B904" s="117"/>
      <c r="C904" s="117"/>
      <c r="D904" s="117"/>
      <c r="E904" s="117"/>
      <c r="F904" s="200"/>
      <c r="G904" s="200"/>
      <c r="H904" s="200"/>
      <c r="I904" s="200"/>
      <c r="J904" s="200"/>
      <c r="K904" s="200">
        <f>SUMIF(AE!C:C,ATB!C:C,AE!F:F)</f>
        <v>0</v>
      </c>
      <c r="L904" s="200">
        <f t="shared" si="36"/>
        <v>0</v>
      </c>
      <c r="M904" s="200">
        <f t="shared" si="37"/>
        <v>0</v>
      </c>
    </row>
    <row r="905" spans="2:13" x14ac:dyDescent="0.35">
      <c r="B905" s="117"/>
      <c r="C905" s="117"/>
      <c r="D905" s="117"/>
      <c r="E905" s="117"/>
      <c r="F905" s="200"/>
      <c r="G905" s="200"/>
      <c r="H905" s="200"/>
      <c r="I905" s="200"/>
      <c r="J905" s="200"/>
      <c r="K905" s="200">
        <f>SUMIF(AE!C:C,ATB!C:C,AE!F:F)</f>
        <v>0</v>
      </c>
      <c r="L905" s="200">
        <f t="shared" si="36"/>
        <v>0</v>
      </c>
      <c r="M905" s="200">
        <f t="shared" si="37"/>
        <v>0</v>
      </c>
    </row>
    <row r="906" spans="2:13" x14ac:dyDescent="0.35">
      <c r="B906" s="117"/>
      <c r="C906" s="117"/>
      <c r="D906" s="117"/>
      <c r="E906" s="117"/>
      <c r="F906" s="200"/>
      <c r="G906" s="200"/>
      <c r="H906" s="200"/>
      <c r="I906" s="200"/>
      <c r="J906" s="200"/>
      <c r="K906" s="200">
        <f>SUMIF(AE!C:C,ATB!C:C,AE!F:F)</f>
        <v>0</v>
      </c>
      <c r="L906" s="200">
        <f t="shared" si="36"/>
        <v>0</v>
      </c>
      <c r="M906" s="200">
        <f t="shared" si="37"/>
        <v>0</v>
      </c>
    </row>
    <row r="907" spans="2:13" x14ac:dyDescent="0.35">
      <c r="B907" s="117"/>
      <c r="C907" s="117"/>
      <c r="D907" s="117"/>
      <c r="E907" s="117"/>
      <c r="F907" s="200"/>
      <c r="G907" s="200"/>
      <c r="H907" s="200"/>
      <c r="I907" s="200"/>
      <c r="J907" s="200"/>
      <c r="K907" s="200">
        <f>SUMIF(AE!C:C,ATB!C:C,AE!F:F)</f>
        <v>0</v>
      </c>
      <c r="L907" s="200">
        <f t="shared" si="36"/>
        <v>0</v>
      </c>
      <c r="M907" s="200">
        <f t="shared" si="37"/>
        <v>0</v>
      </c>
    </row>
    <row r="908" spans="2:13" x14ac:dyDescent="0.35">
      <c r="B908" s="117"/>
      <c r="C908" s="117"/>
      <c r="D908" s="117"/>
      <c r="E908" s="117"/>
      <c r="F908" s="200"/>
      <c r="G908" s="200"/>
      <c r="H908" s="200"/>
      <c r="I908" s="200"/>
      <c r="J908" s="200"/>
      <c r="K908" s="200">
        <f>SUMIF(AE!C:C,ATB!C:C,AE!F:F)</f>
        <v>0</v>
      </c>
      <c r="L908" s="200">
        <f t="shared" si="36"/>
        <v>0</v>
      </c>
      <c r="M908" s="200">
        <f t="shared" si="37"/>
        <v>0</v>
      </c>
    </row>
    <row r="909" spans="2:13" x14ac:dyDescent="0.35">
      <c r="B909" s="117"/>
      <c r="C909" s="117"/>
      <c r="D909" s="117"/>
      <c r="E909" s="117"/>
      <c r="F909" s="200"/>
      <c r="G909" s="200"/>
      <c r="H909" s="200"/>
      <c r="I909" s="200"/>
      <c r="J909" s="200"/>
      <c r="K909" s="200">
        <f>SUMIF(AE!C:C,ATB!C:C,AE!F:F)</f>
        <v>0</v>
      </c>
      <c r="L909" s="200">
        <f t="shared" si="36"/>
        <v>0</v>
      </c>
      <c r="M909" s="200">
        <f t="shared" si="37"/>
        <v>0</v>
      </c>
    </row>
    <row r="910" spans="2:13" x14ac:dyDescent="0.35">
      <c r="B910" s="117"/>
      <c r="C910" s="117"/>
      <c r="D910" s="117"/>
      <c r="E910" s="117"/>
      <c r="F910" s="200"/>
      <c r="G910" s="200"/>
      <c r="H910" s="200"/>
      <c r="I910" s="200"/>
      <c r="J910" s="200"/>
      <c r="K910" s="200">
        <f>SUMIF(AE!C:C,ATB!C:C,AE!F:F)</f>
        <v>0</v>
      </c>
      <c r="L910" s="200">
        <f t="shared" si="36"/>
        <v>0</v>
      </c>
      <c r="M910" s="200">
        <f t="shared" si="37"/>
        <v>0</v>
      </c>
    </row>
    <row r="911" spans="2:13" x14ac:dyDescent="0.35">
      <c r="B911" s="117"/>
      <c r="C911" s="117"/>
      <c r="D911" s="117"/>
      <c r="E911" s="117"/>
      <c r="F911" s="200"/>
      <c r="G911" s="200"/>
      <c r="H911" s="200"/>
      <c r="I911" s="200"/>
      <c r="J911" s="200"/>
      <c r="K911" s="200">
        <f>SUMIF(AE!C:C,ATB!C:C,AE!F:F)</f>
        <v>0</v>
      </c>
      <c r="L911" s="200">
        <f t="shared" si="36"/>
        <v>0</v>
      </c>
      <c r="M911" s="200">
        <f t="shared" si="37"/>
        <v>0</v>
      </c>
    </row>
    <row r="912" spans="2:13" x14ac:dyDescent="0.35">
      <c r="B912" s="117"/>
      <c r="C912" s="117"/>
      <c r="D912" s="117"/>
      <c r="E912" s="117"/>
      <c r="F912" s="200"/>
      <c r="G912" s="200"/>
      <c r="H912" s="200"/>
      <c r="I912" s="200"/>
      <c r="J912" s="200"/>
      <c r="K912" s="200">
        <f>SUMIF(AE!C:C,ATB!C:C,AE!F:F)</f>
        <v>0</v>
      </c>
      <c r="L912" s="200">
        <f t="shared" si="36"/>
        <v>0</v>
      </c>
      <c r="M912" s="200">
        <f t="shared" si="37"/>
        <v>0</v>
      </c>
    </row>
    <row r="913" spans="2:13" x14ac:dyDescent="0.35">
      <c r="B913" s="117"/>
      <c r="C913" s="117"/>
      <c r="D913" s="117"/>
      <c r="E913" s="117"/>
      <c r="F913" s="200"/>
      <c r="G913" s="200"/>
      <c r="H913" s="200"/>
      <c r="I913" s="200"/>
      <c r="J913" s="200"/>
      <c r="K913" s="200">
        <f>SUMIF(AE!C:C,ATB!C:C,AE!F:F)</f>
        <v>0</v>
      </c>
      <c r="L913" s="200">
        <f t="shared" si="36"/>
        <v>0</v>
      </c>
      <c r="M913" s="200">
        <f t="shared" si="37"/>
        <v>0</v>
      </c>
    </row>
    <row r="914" spans="2:13" x14ac:dyDescent="0.35">
      <c r="B914" s="117"/>
      <c r="C914" s="117"/>
      <c r="D914" s="117"/>
      <c r="E914" s="117"/>
      <c r="F914" s="200"/>
      <c r="G914" s="200"/>
      <c r="H914" s="200"/>
      <c r="I914" s="200"/>
      <c r="J914" s="200"/>
      <c r="K914" s="200">
        <f>SUMIF(AE!C:C,ATB!C:C,AE!F:F)</f>
        <v>0</v>
      </c>
      <c r="L914" s="200">
        <f t="shared" si="36"/>
        <v>0</v>
      </c>
      <c r="M914" s="200">
        <f t="shared" si="37"/>
        <v>0</v>
      </c>
    </row>
    <row r="915" spans="2:13" x14ac:dyDescent="0.35">
      <c r="B915" s="117"/>
      <c r="C915" s="117"/>
      <c r="D915" s="117"/>
      <c r="E915" s="117"/>
      <c r="F915" s="200"/>
      <c r="G915" s="200"/>
      <c r="H915" s="200"/>
      <c r="I915" s="200"/>
      <c r="J915" s="200"/>
      <c r="K915" s="200">
        <f>SUMIF(AE!C:C,ATB!C:C,AE!F:F)</f>
        <v>0</v>
      </c>
      <c r="L915" s="200">
        <f t="shared" si="36"/>
        <v>0</v>
      </c>
      <c r="M915" s="200">
        <f t="shared" si="37"/>
        <v>0</v>
      </c>
    </row>
    <row r="916" spans="2:13" x14ac:dyDescent="0.35">
      <c r="B916" s="117"/>
      <c r="C916" s="117"/>
      <c r="D916" s="117"/>
      <c r="E916" s="117"/>
      <c r="F916" s="200"/>
      <c r="G916" s="200"/>
      <c r="H916" s="200"/>
      <c r="I916" s="200"/>
      <c r="J916" s="200"/>
      <c r="K916" s="200">
        <f>SUMIF(AE!C:C,ATB!C:C,AE!F:F)</f>
        <v>0</v>
      </c>
      <c r="L916" s="200">
        <f t="shared" si="36"/>
        <v>0</v>
      </c>
      <c r="M916" s="200">
        <f t="shared" si="37"/>
        <v>0</v>
      </c>
    </row>
    <row r="917" spans="2:13" x14ac:dyDescent="0.35">
      <c r="B917" s="117"/>
      <c r="C917" s="117"/>
      <c r="D917" s="117"/>
      <c r="E917" s="117"/>
      <c r="F917" s="200"/>
      <c r="G917" s="200"/>
      <c r="H917" s="200"/>
      <c r="I917" s="200"/>
      <c r="J917" s="200"/>
      <c r="K917" s="200">
        <f>SUMIF(AE!C:C,ATB!C:C,AE!F:F)</f>
        <v>0</v>
      </c>
      <c r="L917" s="200">
        <f t="shared" si="36"/>
        <v>0</v>
      </c>
      <c r="M917" s="200">
        <f t="shared" si="37"/>
        <v>0</v>
      </c>
    </row>
    <row r="918" spans="2:13" x14ac:dyDescent="0.35">
      <c r="B918" s="117"/>
      <c r="C918" s="117"/>
      <c r="D918" s="117"/>
      <c r="E918" s="117"/>
      <c r="F918" s="200"/>
      <c r="G918" s="200"/>
      <c r="H918" s="200"/>
      <c r="I918" s="200"/>
      <c r="J918" s="200"/>
      <c r="K918" s="200">
        <f>SUMIF(AE!C:C,ATB!C:C,AE!F:F)</f>
        <v>0</v>
      </c>
      <c r="L918" s="200">
        <f t="shared" si="36"/>
        <v>0</v>
      </c>
      <c r="M918" s="200">
        <f t="shared" si="37"/>
        <v>0</v>
      </c>
    </row>
    <row r="919" spans="2:13" x14ac:dyDescent="0.35">
      <c r="B919" s="117"/>
      <c r="C919" s="117"/>
      <c r="D919" s="117"/>
      <c r="E919" s="117"/>
      <c r="F919" s="200"/>
      <c r="G919" s="200"/>
      <c r="H919" s="200"/>
      <c r="I919" s="200"/>
      <c r="J919" s="200"/>
      <c r="K919" s="200">
        <f>SUMIF(AE!C:C,ATB!C:C,AE!F:F)</f>
        <v>0</v>
      </c>
      <c r="L919" s="200">
        <f t="shared" si="36"/>
        <v>0</v>
      </c>
      <c r="M919" s="200">
        <f t="shared" si="37"/>
        <v>0</v>
      </c>
    </row>
    <row r="920" spans="2:13" x14ac:dyDescent="0.35">
      <c r="B920" s="117"/>
      <c r="C920" s="117"/>
      <c r="D920" s="117"/>
      <c r="E920" s="117"/>
      <c r="F920" s="200"/>
      <c r="G920" s="200"/>
      <c r="H920" s="200"/>
      <c r="I920" s="200"/>
      <c r="J920" s="200"/>
      <c r="K920" s="200">
        <f>SUMIF(AE!C:C,ATB!C:C,AE!F:F)</f>
        <v>0</v>
      </c>
      <c r="L920" s="200">
        <f t="shared" si="36"/>
        <v>0</v>
      </c>
      <c r="M920" s="200">
        <f t="shared" si="37"/>
        <v>0</v>
      </c>
    </row>
    <row r="921" spans="2:13" x14ac:dyDescent="0.35">
      <c r="B921" s="117"/>
      <c r="C921" s="117"/>
      <c r="D921" s="117"/>
      <c r="E921" s="117"/>
      <c r="F921" s="200"/>
      <c r="G921" s="200"/>
      <c r="H921" s="200"/>
      <c r="I921" s="200"/>
      <c r="J921" s="200"/>
      <c r="K921" s="200">
        <f>SUMIF(AE!C:C,ATB!C:C,AE!F:F)</f>
        <v>0</v>
      </c>
      <c r="L921" s="200">
        <f t="shared" si="36"/>
        <v>0</v>
      </c>
      <c r="M921" s="200">
        <f t="shared" si="37"/>
        <v>0</v>
      </c>
    </row>
    <row r="922" spans="2:13" x14ac:dyDescent="0.35">
      <c r="B922" s="117"/>
      <c r="C922" s="117"/>
      <c r="D922" s="117"/>
      <c r="E922" s="117"/>
      <c r="F922" s="200"/>
      <c r="G922" s="200"/>
      <c r="H922" s="200"/>
      <c r="I922" s="200"/>
      <c r="J922" s="200"/>
      <c r="K922" s="200">
        <f>SUMIF(AE!C:C,ATB!C:C,AE!F:F)</f>
        <v>0</v>
      </c>
      <c r="L922" s="200">
        <f t="shared" si="36"/>
        <v>0</v>
      </c>
      <c r="M922" s="200">
        <f t="shared" si="37"/>
        <v>0</v>
      </c>
    </row>
    <row r="923" spans="2:13" x14ac:dyDescent="0.35">
      <c r="B923" s="117"/>
      <c r="C923" s="117"/>
      <c r="D923" s="117"/>
      <c r="E923" s="117"/>
      <c r="F923" s="200"/>
      <c r="G923" s="200"/>
      <c r="H923" s="200"/>
      <c r="I923" s="200"/>
      <c r="J923" s="200"/>
      <c r="K923" s="200">
        <f>SUMIF(AE!C:C,ATB!C:C,AE!F:F)</f>
        <v>0</v>
      </c>
      <c r="L923" s="200">
        <f t="shared" si="36"/>
        <v>0</v>
      </c>
      <c r="M923" s="200">
        <f t="shared" si="37"/>
        <v>0</v>
      </c>
    </row>
    <row r="924" spans="2:13" x14ac:dyDescent="0.35">
      <c r="B924" s="117"/>
      <c r="C924" s="117"/>
      <c r="D924" s="117"/>
      <c r="E924" s="117"/>
      <c r="F924" s="200"/>
      <c r="G924" s="200"/>
      <c r="H924" s="200"/>
      <c r="I924" s="200"/>
      <c r="J924" s="200"/>
      <c r="K924" s="200">
        <f>SUMIF(AE!C:C,ATB!C:C,AE!F:F)</f>
        <v>0</v>
      </c>
      <c r="L924" s="200">
        <f t="shared" si="36"/>
        <v>0</v>
      </c>
      <c r="M924" s="200">
        <f t="shared" si="37"/>
        <v>0</v>
      </c>
    </row>
    <row r="925" spans="2:13" x14ac:dyDescent="0.35">
      <c r="B925" s="117"/>
      <c r="C925" s="117"/>
      <c r="D925" s="117"/>
      <c r="E925" s="117"/>
      <c r="F925" s="200"/>
      <c r="G925" s="200"/>
      <c r="H925" s="200"/>
      <c r="I925" s="200"/>
      <c r="J925" s="200"/>
      <c r="K925" s="200">
        <f>SUMIF(AE!C:C,ATB!C:C,AE!F:F)</f>
        <v>0</v>
      </c>
      <c r="L925" s="200">
        <f t="shared" si="36"/>
        <v>0</v>
      </c>
      <c r="M925" s="200">
        <f t="shared" si="37"/>
        <v>0</v>
      </c>
    </row>
    <row r="926" spans="2:13" x14ac:dyDescent="0.35">
      <c r="B926" s="117"/>
      <c r="C926" s="117"/>
      <c r="D926" s="117"/>
      <c r="E926" s="117"/>
      <c r="F926" s="200"/>
      <c r="G926" s="200"/>
      <c r="H926" s="200"/>
      <c r="I926" s="200"/>
      <c r="J926" s="200"/>
      <c r="K926" s="200">
        <f>SUMIF(AE!C:C,ATB!C:C,AE!F:F)</f>
        <v>0</v>
      </c>
      <c r="L926" s="200">
        <f t="shared" si="36"/>
        <v>0</v>
      </c>
      <c r="M926" s="200">
        <f t="shared" si="37"/>
        <v>0</v>
      </c>
    </row>
    <row r="927" spans="2:13" x14ac:dyDescent="0.35">
      <c r="B927" s="117"/>
      <c r="C927" s="117"/>
      <c r="D927" s="117"/>
      <c r="E927" s="117"/>
      <c r="F927" s="200"/>
      <c r="G927" s="200"/>
      <c r="H927" s="200"/>
      <c r="I927" s="200"/>
      <c r="J927" s="200"/>
      <c r="K927" s="200">
        <f>SUMIF(AE!C:C,ATB!C:C,AE!F:F)</f>
        <v>0</v>
      </c>
      <c r="L927" s="200">
        <f t="shared" si="36"/>
        <v>0</v>
      </c>
      <c r="M927" s="200">
        <f t="shared" si="37"/>
        <v>0</v>
      </c>
    </row>
    <row r="928" spans="2:13" x14ac:dyDescent="0.35">
      <c r="B928" s="117"/>
      <c r="C928" s="117"/>
      <c r="D928" s="117"/>
      <c r="E928" s="117"/>
      <c r="F928" s="200"/>
      <c r="G928" s="200"/>
      <c r="H928" s="200"/>
      <c r="I928" s="200"/>
      <c r="J928" s="200"/>
      <c r="K928" s="200">
        <f>SUMIF(AE!C:C,ATB!C:C,AE!F:F)</f>
        <v>0</v>
      </c>
      <c r="L928" s="200">
        <f t="shared" si="36"/>
        <v>0</v>
      </c>
      <c r="M928" s="200">
        <f t="shared" si="37"/>
        <v>0</v>
      </c>
    </row>
    <row r="929" spans="2:13" x14ac:dyDescent="0.35">
      <c r="B929" s="117"/>
      <c r="C929" s="117"/>
      <c r="D929" s="117"/>
      <c r="E929" s="117"/>
      <c r="F929" s="200"/>
      <c r="G929" s="200"/>
      <c r="H929" s="200"/>
      <c r="I929" s="200"/>
      <c r="J929" s="200"/>
      <c r="K929" s="200">
        <f>SUMIF(AE!C:C,ATB!C:C,AE!F:F)</f>
        <v>0</v>
      </c>
      <c r="L929" s="200">
        <f t="shared" si="36"/>
        <v>0</v>
      </c>
      <c r="M929" s="200">
        <f t="shared" si="37"/>
        <v>0</v>
      </c>
    </row>
    <row r="930" spans="2:13" x14ac:dyDescent="0.35">
      <c r="B930" s="117"/>
      <c r="C930" s="117"/>
      <c r="D930" s="117"/>
      <c r="E930" s="117"/>
      <c r="F930" s="200"/>
      <c r="G930" s="200"/>
      <c r="H930" s="200"/>
      <c r="I930" s="200"/>
      <c r="J930" s="200"/>
      <c r="K930" s="200">
        <f>SUMIF(AE!C:C,ATB!C:C,AE!F:F)</f>
        <v>0</v>
      </c>
      <c r="L930" s="200">
        <f t="shared" si="36"/>
        <v>0</v>
      </c>
      <c r="M930" s="200">
        <f t="shared" si="37"/>
        <v>0</v>
      </c>
    </row>
    <row r="931" spans="2:13" x14ac:dyDescent="0.35">
      <c r="B931" s="117"/>
      <c r="C931" s="117"/>
      <c r="D931" s="117"/>
      <c r="E931" s="117"/>
      <c r="F931" s="200"/>
      <c r="G931" s="200"/>
      <c r="H931" s="200"/>
      <c r="I931" s="200"/>
      <c r="J931" s="200"/>
      <c r="K931" s="200">
        <f>SUMIF(AE!C:C,ATB!C:C,AE!F:F)</f>
        <v>0</v>
      </c>
      <c r="L931" s="200">
        <f t="shared" si="36"/>
        <v>0</v>
      </c>
      <c r="M931" s="200">
        <f t="shared" si="37"/>
        <v>0</v>
      </c>
    </row>
    <row r="932" spans="2:13" x14ac:dyDescent="0.35">
      <c r="B932" s="117"/>
      <c r="C932" s="117"/>
      <c r="D932" s="117"/>
      <c r="E932" s="117"/>
      <c r="F932" s="200"/>
      <c r="G932" s="200"/>
      <c r="H932" s="200"/>
      <c r="I932" s="200"/>
      <c r="J932" s="200"/>
      <c r="K932" s="200">
        <f>SUMIF(AE!C:C,ATB!C:C,AE!F:F)</f>
        <v>0</v>
      </c>
      <c r="L932" s="200">
        <f t="shared" si="36"/>
        <v>0</v>
      </c>
      <c r="M932" s="200">
        <f t="shared" si="37"/>
        <v>0</v>
      </c>
    </row>
    <row r="933" spans="2:13" x14ac:dyDescent="0.35">
      <c r="B933" s="117"/>
      <c r="C933" s="117"/>
      <c r="D933" s="117"/>
      <c r="E933" s="117"/>
      <c r="F933" s="200"/>
      <c r="G933" s="200"/>
      <c r="H933" s="200"/>
      <c r="I933" s="200"/>
      <c r="J933" s="200"/>
      <c r="K933" s="200">
        <f>SUMIF(AE!C:C,ATB!C:C,AE!F:F)</f>
        <v>0</v>
      </c>
      <c r="L933" s="200">
        <f t="shared" si="36"/>
        <v>0</v>
      </c>
      <c r="M933" s="200">
        <f t="shared" si="37"/>
        <v>0</v>
      </c>
    </row>
    <row r="934" spans="2:13" x14ac:dyDescent="0.35">
      <c r="B934" s="117"/>
      <c r="C934" s="117"/>
      <c r="D934" s="117"/>
      <c r="E934" s="117"/>
      <c r="F934" s="200"/>
      <c r="G934" s="200"/>
      <c r="H934" s="200"/>
      <c r="I934" s="200"/>
      <c r="J934" s="200"/>
      <c r="K934" s="200">
        <f>SUMIF(AE!C:C,ATB!C:C,AE!F:F)</f>
        <v>0</v>
      </c>
      <c r="L934" s="200">
        <f t="shared" si="36"/>
        <v>0</v>
      </c>
      <c r="M934" s="200">
        <f t="shared" si="37"/>
        <v>0</v>
      </c>
    </row>
    <row r="935" spans="2:13" x14ac:dyDescent="0.35">
      <c r="B935" s="117"/>
      <c r="C935" s="117"/>
      <c r="D935" s="117"/>
      <c r="E935" s="117"/>
      <c r="F935" s="200"/>
      <c r="G935" s="200"/>
      <c r="H935" s="200"/>
      <c r="I935" s="200"/>
      <c r="J935" s="200"/>
      <c r="K935" s="200">
        <f>SUMIF(AE!C:C,ATB!C:C,AE!F:F)</f>
        <v>0</v>
      </c>
      <c r="L935" s="200">
        <f t="shared" si="36"/>
        <v>0</v>
      </c>
      <c r="M935" s="200">
        <f t="shared" si="37"/>
        <v>0</v>
      </c>
    </row>
    <row r="936" spans="2:13" x14ac:dyDescent="0.35">
      <c r="B936" s="117"/>
      <c r="C936" s="117"/>
      <c r="D936" s="117"/>
      <c r="E936" s="117"/>
      <c r="F936" s="200"/>
      <c r="G936" s="200"/>
      <c r="H936" s="200"/>
      <c r="I936" s="200"/>
      <c r="J936" s="200"/>
      <c r="K936" s="200">
        <f>SUMIF(AE!C:C,ATB!C:C,AE!F:F)</f>
        <v>0</v>
      </c>
      <c r="L936" s="200">
        <f t="shared" si="36"/>
        <v>0</v>
      </c>
      <c r="M936" s="200">
        <f t="shared" si="37"/>
        <v>0</v>
      </c>
    </row>
    <row r="937" spans="2:13" x14ac:dyDescent="0.35">
      <c r="B937" s="117"/>
      <c r="C937" s="117"/>
      <c r="D937" s="117"/>
      <c r="E937" s="117"/>
      <c r="F937" s="200"/>
      <c r="G937" s="200"/>
      <c r="H937" s="200"/>
      <c r="I937" s="200"/>
      <c r="J937" s="200"/>
      <c r="K937" s="200">
        <f>SUMIF(AE!C:C,ATB!C:C,AE!F:F)</f>
        <v>0</v>
      </c>
      <c r="L937" s="200">
        <f t="shared" si="36"/>
        <v>0</v>
      </c>
      <c r="M937" s="200">
        <f t="shared" si="37"/>
        <v>0</v>
      </c>
    </row>
    <row r="938" spans="2:13" x14ac:dyDescent="0.35">
      <c r="B938" s="117"/>
      <c r="C938" s="117"/>
      <c r="D938" s="117"/>
      <c r="E938" s="117"/>
      <c r="F938" s="200"/>
      <c r="G938" s="200"/>
      <c r="H938" s="200"/>
      <c r="I938" s="200"/>
      <c r="J938" s="200"/>
      <c r="K938" s="200">
        <f>SUMIF(AE!C:C,ATB!C:C,AE!F:F)</f>
        <v>0</v>
      </c>
      <c r="L938" s="200">
        <f t="shared" si="36"/>
        <v>0</v>
      </c>
      <c r="M938" s="200">
        <f t="shared" si="37"/>
        <v>0</v>
      </c>
    </row>
    <row r="939" spans="2:13" x14ac:dyDescent="0.35">
      <c r="B939" s="117"/>
      <c r="C939" s="117"/>
      <c r="D939" s="117"/>
      <c r="E939" s="117"/>
      <c r="F939" s="200"/>
      <c r="G939" s="200"/>
      <c r="H939" s="200"/>
      <c r="I939" s="200"/>
      <c r="J939" s="200"/>
      <c r="K939" s="200">
        <f>SUMIF(AE!C:C,ATB!C:C,AE!F:F)</f>
        <v>0</v>
      </c>
      <c r="L939" s="200">
        <f t="shared" si="36"/>
        <v>0</v>
      </c>
      <c r="M939" s="200">
        <f t="shared" si="37"/>
        <v>0</v>
      </c>
    </row>
    <row r="940" spans="2:13" x14ac:dyDescent="0.35">
      <c r="B940" s="117"/>
      <c r="C940" s="117"/>
      <c r="D940" s="117"/>
      <c r="E940" s="117"/>
      <c r="F940" s="200"/>
      <c r="G940" s="200"/>
      <c r="H940" s="200"/>
      <c r="I940" s="200"/>
      <c r="J940" s="200"/>
      <c r="K940" s="200">
        <f>SUMIF(AE!C:C,ATB!C:C,AE!F:F)</f>
        <v>0</v>
      </c>
      <c r="L940" s="200">
        <f t="shared" si="36"/>
        <v>0</v>
      </c>
      <c r="M940" s="200">
        <f t="shared" si="37"/>
        <v>0</v>
      </c>
    </row>
    <row r="941" spans="2:13" x14ac:dyDescent="0.35">
      <c r="B941" s="117"/>
      <c r="C941" s="117"/>
      <c r="D941" s="117"/>
      <c r="E941" s="117"/>
      <c r="F941" s="200"/>
      <c r="G941" s="200"/>
      <c r="H941" s="200"/>
      <c r="I941" s="200"/>
      <c r="J941" s="200"/>
      <c r="K941" s="200">
        <f>SUMIF(AE!C:C,ATB!C:C,AE!F:F)</f>
        <v>0</v>
      </c>
      <c r="L941" s="200">
        <f t="shared" si="36"/>
        <v>0</v>
      </c>
      <c r="M941" s="200">
        <f t="shared" si="37"/>
        <v>0</v>
      </c>
    </row>
    <row r="942" spans="2:13" x14ac:dyDescent="0.35">
      <c r="B942" s="117"/>
      <c r="C942" s="117"/>
      <c r="D942" s="117"/>
      <c r="E942" s="117"/>
      <c r="F942" s="200"/>
      <c r="G942" s="200"/>
      <c r="H942" s="200"/>
      <c r="I942" s="200"/>
      <c r="J942" s="200"/>
      <c r="K942" s="200">
        <f>SUMIF(AE!C:C,ATB!C:C,AE!F:F)</f>
        <v>0</v>
      </c>
      <c r="L942" s="200">
        <f t="shared" si="36"/>
        <v>0</v>
      </c>
      <c r="M942" s="200">
        <f t="shared" si="37"/>
        <v>0</v>
      </c>
    </row>
    <row r="943" spans="2:13" x14ac:dyDescent="0.35">
      <c r="B943" s="117"/>
      <c r="C943" s="117"/>
      <c r="D943" s="117"/>
      <c r="E943" s="117"/>
      <c r="F943" s="200"/>
      <c r="G943" s="200"/>
      <c r="H943" s="200"/>
      <c r="I943" s="200"/>
      <c r="J943" s="200"/>
      <c r="K943" s="200">
        <f>SUMIF(AE!C:C,ATB!C:C,AE!F:F)</f>
        <v>0</v>
      </c>
      <c r="L943" s="200">
        <f t="shared" si="36"/>
        <v>0</v>
      </c>
      <c r="M943" s="200">
        <f t="shared" si="37"/>
        <v>0</v>
      </c>
    </row>
    <row r="944" spans="2:13" x14ac:dyDescent="0.35">
      <c r="B944" s="117"/>
      <c r="C944" s="117"/>
      <c r="D944" s="117"/>
      <c r="E944" s="117"/>
      <c r="F944" s="200"/>
      <c r="G944" s="200"/>
      <c r="H944" s="200"/>
      <c r="I944" s="200"/>
      <c r="J944" s="200"/>
      <c r="K944" s="200">
        <f>SUMIF(AE!C:C,ATB!C:C,AE!F:F)</f>
        <v>0</v>
      </c>
      <c r="L944" s="200">
        <f t="shared" si="36"/>
        <v>0</v>
      </c>
      <c r="M944" s="200">
        <f t="shared" si="37"/>
        <v>0</v>
      </c>
    </row>
    <row r="945" spans="2:13" x14ac:dyDescent="0.35">
      <c r="B945" s="117"/>
      <c r="C945" s="117"/>
      <c r="D945" s="117"/>
      <c r="E945" s="117"/>
      <c r="F945" s="200"/>
      <c r="G945" s="200"/>
      <c r="H945" s="200"/>
      <c r="I945" s="200"/>
      <c r="J945" s="200"/>
      <c r="K945" s="200">
        <f>SUMIF(AE!C:C,ATB!C:C,AE!F:F)</f>
        <v>0</v>
      </c>
      <c r="L945" s="200">
        <f t="shared" si="36"/>
        <v>0</v>
      </c>
      <c r="M945" s="200">
        <f t="shared" si="37"/>
        <v>0</v>
      </c>
    </row>
    <row r="946" spans="2:13" x14ac:dyDescent="0.35">
      <c r="B946" s="117"/>
      <c r="C946" s="117"/>
      <c r="D946" s="117"/>
      <c r="E946" s="117"/>
      <c r="F946" s="200"/>
      <c r="G946" s="200"/>
      <c r="H946" s="200"/>
      <c r="I946" s="200"/>
      <c r="J946" s="200"/>
      <c r="K946" s="200">
        <f>SUMIF(AE!C:C,ATB!C:C,AE!F:F)</f>
        <v>0</v>
      </c>
      <c r="L946" s="200">
        <f t="shared" si="36"/>
        <v>0</v>
      </c>
      <c r="M946" s="200">
        <f t="shared" si="37"/>
        <v>0</v>
      </c>
    </row>
    <row r="947" spans="2:13" x14ac:dyDescent="0.35">
      <c r="B947" s="117"/>
      <c r="C947" s="117"/>
      <c r="D947" s="117"/>
      <c r="E947" s="117"/>
      <c r="F947" s="200"/>
      <c r="G947" s="200"/>
      <c r="H947" s="200"/>
      <c r="I947" s="200"/>
      <c r="J947" s="200"/>
      <c r="K947" s="200">
        <f>SUMIF(AE!C:C,ATB!C:C,AE!F:F)</f>
        <v>0</v>
      </c>
      <c r="L947" s="200">
        <f t="shared" si="36"/>
        <v>0</v>
      </c>
      <c r="M947" s="200">
        <f t="shared" si="37"/>
        <v>0</v>
      </c>
    </row>
    <row r="948" spans="2:13" x14ac:dyDescent="0.35">
      <c r="B948" s="117"/>
      <c r="C948" s="117"/>
      <c r="D948" s="117"/>
      <c r="E948" s="117"/>
      <c r="F948" s="200"/>
      <c r="G948" s="200"/>
      <c r="H948" s="200"/>
      <c r="I948" s="200"/>
      <c r="J948" s="200"/>
      <c r="K948" s="200">
        <f>SUMIF(AE!C:C,ATB!C:C,AE!F:F)</f>
        <v>0</v>
      </c>
      <c r="L948" s="200">
        <f t="shared" si="36"/>
        <v>0</v>
      </c>
      <c r="M948" s="200">
        <f t="shared" si="37"/>
        <v>0</v>
      </c>
    </row>
    <row r="949" spans="2:13" x14ac:dyDescent="0.35">
      <c r="B949" s="117"/>
      <c r="C949" s="117"/>
      <c r="D949" s="117"/>
      <c r="E949" s="117"/>
      <c r="F949" s="200"/>
      <c r="G949" s="200"/>
      <c r="H949" s="200"/>
      <c r="I949" s="200"/>
      <c r="J949" s="200"/>
      <c r="K949" s="200">
        <f>SUMIF(AE!C:C,ATB!C:C,AE!F:F)</f>
        <v>0</v>
      </c>
      <c r="L949" s="200">
        <f t="shared" si="36"/>
        <v>0</v>
      </c>
      <c r="M949" s="200">
        <f t="shared" si="37"/>
        <v>0</v>
      </c>
    </row>
    <row r="950" spans="2:13" x14ac:dyDescent="0.35">
      <c r="B950" s="117"/>
      <c r="C950" s="117"/>
      <c r="D950" s="117"/>
      <c r="E950" s="117"/>
      <c r="F950" s="200"/>
      <c r="G950" s="200"/>
      <c r="H950" s="200"/>
      <c r="I950" s="200"/>
      <c r="J950" s="200"/>
      <c r="K950" s="200">
        <f>SUMIF(AE!C:C,ATB!C:C,AE!F:F)</f>
        <v>0</v>
      </c>
      <c r="L950" s="200">
        <f t="shared" si="36"/>
        <v>0</v>
      </c>
      <c r="M950" s="200">
        <f t="shared" si="37"/>
        <v>0</v>
      </c>
    </row>
    <row r="951" spans="2:13" x14ac:dyDescent="0.35">
      <c r="B951" s="117"/>
      <c r="C951" s="117"/>
      <c r="D951" s="117"/>
      <c r="E951" s="117"/>
      <c r="F951" s="200"/>
      <c r="G951" s="200"/>
      <c r="H951" s="200"/>
      <c r="I951" s="200"/>
      <c r="J951" s="200"/>
      <c r="K951" s="200">
        <f>SUMIF(AE!C:C,ATB!C:C,AE!F:F)</f>
        <v>0</v>
      </c>
      <c r="L951" s="200">
        <f t="shared" si="36"/>
        <v>0</v>
      </c>
      <c r="M951" s="200">
        <f t="shared" si="37"/>
        <v>0</v>
      </c>
    </row>
    <row r="952" spans="2:13" x14ac:dyDescent="0.35">
      <c r="B952" s="117"/>
      <c r="C952" s="117"/>
      <c r="D952" s="117"/>
      <c r="E952" s="117"/>
      <c r="F952" s="200"/>
      <c r="G952" s="200"/>
      <c r="H952" s="200"/>
      <c r="I952" s="200"/>
      <c r="J952" s="200"/>
      <c r="K952" s="200">
        <f>SUMIF(AE!C:C,ATB!C:C,AE!F:F)</f>
        <v>0</v>
      </c>
      <c r="L952" s="200">
        <f t="shared" si="36"/>
        <v>0</v>
      </c>
      <c r="M952" s="200">
        <f t="shared" si="37"/>
        <v>0</v>
      </c>
    </row>
    <row r="953" spans="2:13" x14ac:dyDescent="0.35">
      <c r="B953" s="117"/>
      <c r="C953" s="117"/>
      <c r="D953" s="117"/>
      <c r="E953" s="117"/>
      <c r="F953" s="200"/>
      <c r="G953" s="200"/>
      <c r="H953" s="200"/>
      <c r="I953" s="200"/>
      <c r="J953" s="200"/>
      <c r="K953" s="200">
        <f>SUMIF(AE!C:C,ATB!C:C,AE!F:F)</f>
        <v>0</v>
      </c>
      <c r="L953" s="200">
        <f t="shared" si="36"/>
        <v>0</v>
      </c>
      <c r="M953" s="200">
        <f t="shared" si="37"/>
        <v>0</v>
      </c>
    </row>
    <row r="954" spans="2:13" x14ac:dyDescent="0.35">
      <c r="B954" s="117"/>
      <c r="C954" s="117"/>
      <c r="D954" s="117"/>
      <c r="E954" s="117"/>
      <c r="F954" s="200"/>
      <c r="G954" s="200"/>
      <c r="H954" s="200"/>
      <c r="I954" s="200"/>
      <c r="J954" s="200"/>
      <c r="K954" s="200">
        <f>SUMIF(AE!C:C,ATB!C:C,AE!F:F)</f>
        <v>0</v>
      </c>
      <c r="L954" s="200">
        <f t="shared" si="36"/>
        <v>0</v>
      </c>
      <c r="M954" s="200">
        <f t="shared" si="37"/>
        <v>0</v>
      </c>
    </row>
    <row r="955" spans="2:13" x14ac:dyDescent="0.35">
      <c r="B955" s="117"/>
      <c r="C955" s="117"/>
      <c r="D955" s="117"/>
      <c r="E955" s="117"/>
      <c r="F955" s="200"/>
      <c r="G955" s="200"/>
      <c r="H955" s="200"/>
      <c r="I955" s="200"/>
      <c r="J955" s="200"/>
      <c r="K955" s="200">
        <f>SUMIF(AE!C:C,ATB!C:C,AE!F:F)</f>
        <v>0</v>
      </c>
      <c r="L955" s="200">
        <f t="shared" si="36"/>
        <v>0</v>
      </c>
      <c r="M955" s="200">
        <f t="shared" si="37"/>
        <v>0</v>
      </c>
    </row>
    <row r="956" spans="2:13" x14ac:dyDescent="0.35">
      <c r="B956" s="117"/>
      <c r="C956" s="117"/>
      <c r="D956" s="117"/>
      <c r="E956" s="117"/>
      <c r="F956" s="200"/>
      <c r="G956" s="200"/>
      <c r="H956" s="200"/>
      <c r="I956" s="200"/>
      <c r="J956" s="200"/>
      <c r="K956" s="200">
        <f>SUMIF(AE!C:C,ATB!C:C,AE!F:F)</f>
        <v>0</v>
      </c>
      <c r="L956" s="200">
        <f t="shared" si="36"/>
        <v>0</v>
      </c>
      <c r="M956" s="200">
        <f t="shared" si="37"/>
        <v>0</v>
      </c>
    </row>
    <row r="957" spans="2:13" x14ac:dyDescent="0.35">
      <c r="B957" s="117"/>
      <c r="C957" s="117"/>
      <c r="D957" s="117"/>
      <c r="E957" s="117"/>
      <c r="F957" s="200"/>
      <c r="G957" s="200"/>
      <c r="H957" s="200"/>
      <c r="I957" s="200"/>
      <c r="J957" s="200"/>
      <c r="K957" s="200">
        <f>SUMIF(AE!C:C,ATB!C:C,AE!F:F)</f>
        <v>0</v>
      </c>
      <c r="L957" s="200">
        <f t="shared" si="36"/>
        <v>0</v>
      </c>
      <c r="M957" s="200">
        <f t="shared" si="37"/>
        <v>0</v>
      </c>
    </row>
    <row r="958" spans="2:13" x14ac:dyDescent="0.35">
      <c r="B958" s="117"/>
      <c r="C958" s="117"/>
      <c r="D958" s="117"/>
      <c r="E958" s="117"/>
      <c r="F958" s="200"/>
      <c r="G958" s="200"/>
      <c r="H958" s="200"/>
      <c r="I958" s="200"/>
      <c r="J958" s="200"/>
      <c r="K958" s="200">
        <f>SUMIF(AE!C:C,ATB!C:C,AE!F:F)</f>
        <v>0</v>
      </c>
      <c r="L958" s="200">
        <f t="shared" si="36"/>
        <v>0</v>
      </c>
      <c r="M958" s="200">
        <f t="shared" si="37"/>
        <v>0</v>
      </c>
    </row>
    <row r="959" spans="2:13" x14ac:dyDescent="0.35">
      <c r="B959" s="117"/>
      <c r="C959" s="117"/>
      <c r="D959" s="117"/>
      <c r="E959" s="117"/>
      <c r="F959" s="200"/>
      <c r="G959" s="200"/>
      <c r="H959" s="200"/>
      <c r="I959" s="200"/>
      <c r="J959" s="200"/>
      <c r="K959" s="200">
        <f>SUMIF(AE!C:C,ATB!C:C,AE!F:F)</f>
        <v>0</v>
      </c>
      <c r="L959" s="200">
        <f t="shared" si="36"/>
        <v>0</v>
      </c>
      <c r="M959" s="200">
        <f t="shared" si="37"/>
        <v>0</v>
      </c>
    </row>
    <row r="960" spans="2:13" x14ac:dyDescent="0.35">
      <c r="B960" s="117"/>
      <c r="C960" s="117"/>
      <c r="D960" s="117"/>
      <c r="E960" s="117"/>
      <c r="F960" s="200"/>
      <c r="G960" s="200"/>
      <c r="H960" s="200"/>
      <c r="I960" s="200"/>
      <c r="J960" s="200"/>
      <c r="K960" s="200">
        <f>SUMIF(AE!C:C,ATB!C:C,AE!F:F)</f>
        <v>0</v>
      </c>
      <c r="L960" s="200">
        <f t="shared" si="36"/>
        <v>0</v>
      </c>
      <c r="M960" s="200">
        <f t="shared" si="37"/>
        <v>0</v>
      </c>
    </row>
    <row r="961" spans="2:13" x14ac:dyDescent="0.35">
      <c r="B961" s="117"/>
      <c r="C961" s="117"/>
      <c r="D961" s="117"/>
      <c r="E961" s="117"/>
      <c r="F961" s="200"/>
      <c r="G961" s="200"/>
      <c r="H961" s="200"/>
      <c r="I961" s="200"/>
      <c r="J961" s="200"/>
      <c r="K961" s="200">
        <f>SUMIF(AE!C:C,ATB!C:C,AE!F:F)</f>
        <v>0</v>
      </c>
      <c r="L961" s="200">
        <f t="shared" si="36"/>
        <v>0</v>
      </c>
      <c r="M961" s="200">
        <f t="shared" si="37"/>
        <v>0</v>
      </c>
    </row>
    <row r="962" spans="2:13" x14ac:dyDescent="0.35">
      <c r="B962" s="117"/>
      <c r="C962" s="117"/>
      <c r="D962" s="117"/>
      <c r="E962" s="117"/>
      <c r="F962" s="200"/>
      <c r="G962" s="200"/>
      <c r="H962" s="200"/>
      <c r="I962" s="200"/>
      <c r="J962" s="200"/>
      <c r="K962" s="200">
        <f>SUMIF(AE!C:C,ATB!C:C,AE!F:F)</f>
        <v>0</v>
      </c>
      <c r="L962" s="200">
        <f t="shared" ref="L962:L1025" si="38">ROUND(IF(F962+H962+J962-G962-I962-K962&gt;0,F962+H962+J962-G962-I962-K962,0),0)</f>
        <v>0</v>
      </c>
      <c r="M962" s="200">
        <f t="shared" ref="M962:M1025" si="39">-ROUND(IF(F962+H962+J962-G962-I962-K962&lt;0,F962+H962+J962-G962-I962-K962,0),0)</f>
        <v>0</v>
      </c>
    </row>
    <row r="963" spans="2:13" x14ac:dyDescent="0.35">
      <c r="B963" s="117"/>
      <c r="C963" s="117"/>
      <c r="D963" s="117"/>
      <c r="E963" s="117"/>
      <c r="F963" s="200"/>
      <c r="G963" s="200"/>
      <c r="H963" s="200"/>
      <c r="I963" s="200"/>
      <c r="J963" s="200"/>
      <c r="K963" s="200">
        <f>SUMIF(AE!C:C,ATB!C:C,AE!F:F)</f>
        <v>0</v>
      </c>
      <c r="L963" s="200">
        <f t="shared" si="38"/>
        <v>0</v>
      </c>
      <c r="M963" s="200">
        <f t="shared" si="39"/>
        <v>0</v>
      </c>
    </row>
    <row r="964" spans="2:13" x14ac:dyDescent="0.35">
      <c r="B964" s="117"/>
      <c r="C964" s="117"/>
      <c r="D964" s="117"/>
      <c r="E964" s="117"/>
      <c r="F964" s="200"/>
      <c r="G964" s="200"/>
      <c r="H964" s="200"/>
      <c r="I964" s="200"/>
      <c r="J964" s="200"/>
      <c r="K964" s="200">
        <f>SUMIF(AE!C:C,ATB!C:C,AE!F:F)</f>
        <v>0</v>
      </c>
      <c r="L964" s="200">
        <f t="shared" si="38"/>
        <v>0</v>
      </c>
      <c r="M964" s="200">
        <f t="shared" si="39"/>
        <v>0</v>
      </c>
    </row>
    <row r="965" spans="2:13" x14ac:dyDescent="0.35">
      <c r="B965" s="117"/>
      <c r="C965" s="117"/>
      <c r="D965" s="117"/>
      <c r="E965" s="117"/>
      <c r="F965" s="200"/>
      <c r="G965" s="200"/>
      <c r="H965" s="200"/>
      <c r="I965" s="200"/>
      <c r="J965" s="200"/>
      <c r="K965" s="200">
        <f>SUMIF(AE!C:C,ATB!C:C,AE!F:F)</f>
        <v>0</v>
      </c>
      <c r="L965" s="200">
        <f t="shared" si="38"/>
        <v>0</v>
      </c>
      <c r="M965" s="200">
        <f t="shared" si="39"/>
        <v>0</v>
      </c>
    </row>
    <row r="966" spans="2:13" x14ac:dyDescent="0.35">
      <c r="B966" s="117"/>
      <c r="C966" s="117"/>
      <c r="D966" s="117"/>
      <c r="E966" s="117"/>
      <c r="F966" s="200"/>
      <c r="G966" s="200"/>
      <c r="H966" s="200"/>
      <c r="I966" s="200"/>
      <c r="J966" s="200"/>
      <c r="K966" s="200">
        <f>SUMIF(AE!C:C,ATB!C:C,AE!F:F)</f>
        <v>0</v>
      </c>
      <c r="L966" s="200">
        <f t="shared" si="38"/>
        <v>0</v>
      </c>
      <c r="M966" s="200">
        <f t="shared" si="39"/>
        <v>0</v>
      </c>
    </row>
    <row r="967" spans="2:13" x14ac:dyDescent="0.35">
      <c r="B967" s="117"/>
      <c r="C967" s="117"/>
      <c r="D967" s="117"/>
      <c r="E967" s="117"/>
      <c r="F967" s="200"/>
      <c r="G967" s="200"/>
      <c r="H967" s="200"/>
      <c r="I967" s="200"/>
      <c r="J967" s="200"/>
      <c r="K967" s="200">
        <f>SUMIF(AE!C:C,ATB!C:C,AE!F:F)</f>
        <v>0</v>
      </c>
      <c r="L967" s="200">
        <f t="shared" si="38"/>
        <v>0</v>
      </c>
      <c r="M967" s="200">
        <f t="shared" si="39"/>
        <v>0</v>
      </c>
    </row>
    <row r="968" spans="2:13" x14ac:dyDescent="0.35">
      <c r="B968" s="117"/>
      <c r="C968" s="117"/>
      <c r="D968" s="117"/>
      <c r="E968" s="117"/>
      <c r="F968" s="200"/>
      <c r="G968" s="200"/>
      <c r="H968" s="200"/>
      <c r="I968" s="200"/>
      <c r="J968" s="200"/>
      <c r="K968" s="200">
        <f>SUMIF(AE!C:C,ATB!C:C,AE!F:F)</f>
        <v>0</v>
      </c>
      <c r="L968" s="200">
        <f t="shared" si="38"/>
        <v>0</v>
      </c>
      <c r="M968" s="200">
        <f t="shared" si="39"/>
        <v>0</v>
      </c>
    </row>
    <row r="969" spans="2:13" x14ac:dyDescent="0.35">
      <c r="B969" s="117"/>
      <c r="C969" s="117"/>
      <c r="D969" s="117"/>
      <c r="E969" s="117"/>
      <c r="F969" s="200"/>
      <c r="G969" s="200"/>
      <c r="H969" s="200"/>
      <c r="I969" s="200"/>
      <c r="J969" s="200"/>
      <c r="K969" s="200">
        <f>SUMIF(AE!C:C,ATB!C:C,AE!F:F)</f>
        <v>0</v>
      </c>
      <c r="L969" s="200">
        <f t="shared" si="38"/>
        <v>0</v>
      </c>
      <c r="M969" s="200">
        <f t="shared" si="39"/>
        <v>0</v>
      </c>
    </row>
    <row r="970" spans="2:13" x14ac:dyDescent="0.35">
      <c r="B970" s="117"/>
      <c r="C970" s="117"/>
      <c r="D970" s="117"/>
      <c r="E970" s="117"/>
      <c r="F970" s="200"/>
      <c r="G970" s="200"/>
      <c r="H970" s="200"/>
      <c r="I970" s="200"/>
      <c r="J970" s="200"/>
      <c r="K970" s="200">
        <f>SUMIF(AE!C:C,ATB!C:C,AE!F:F)</f>
        <v>0</v>
      </c>
      <c r="L970" s="200">
        <f t="shared" si="38"/>
        <v>0</v>
      </c>
      <c r="M970" s="200">
        <f t="shared" si="39"/>
        <v>0</v>
      </c>
    </row>
    <row r="971" spans="2:13" x14ac:dyDescent="0.35">
      <c r="B971" s="117"/>
      <c r="C971" s="117"/>
      <c r="D971" s="117"/>
      <c r="E971" s="117"/>
      <c r="F971" s="200"/>
      <c r="G971" s="200"/>
      <c r="H971" s="200"/>
      <c r="I971" s="200"/>
      <c r="J971" s="200"/>
      <c r="K971" s="200">
        <f>SUMIF(AE!C:C,ATB!C:C,AE!F:F)</f>
        <v>0</v>
      </c>
      <c r="L971" s="200">
        <f t="shared" si="38"/>
        <v>0</v>
      </c>
      <c r="M971" s="200">
        <f t="shared" si="39"/>
        <v>0</v>
      </c>
    </row>
    <row r="972" spans="2:13" x14ac:dyDescent="0.35">
      <c r="B972" s="117"/>
      <c r="C972" s="117"/>
      <c r="D972" s="117"/>
      <c r="E972" s="117"/>
      <c r="F972" s="200"/>
      <c r="G972" s="200"/>
      <c r="H972" s="200"/>
      <c r="I972" s="200"/>
      <c r="J972" s="200"/>
      <c r="K972" s="200">
        <f>SUMIF(AE!C:C,ATB!C:C,AE!F:F)</f>
        <v>0</v>
      </c>
      <c r="L972" s="200">
        <f t="shared" si="38"/>
        <v>0</v>
      </c>
      <c r="M972" s="200">
        <f t="shared" si="39"/>
        <v>0</v>
      </c>
    </row>
    <row r="973" spans="2:13" x14ac:dyDescent="0.35">
      <c r="B973" s="117"/>
      <c r="C973" s="117"/>
      <c r="D973" s="117"/>
      <c r="E973" s="117"/>
      <c r="F973" s="200"/>
      <c r="G973" s="200"/>
      <c r="H973" s="200"/>
      <c r="I973" s="200"/>
      <c r="J973" s="200"/>
      <c r="K973" s="200">
        <f>SUMIF(AE!C:C,ATB!C:C,AE!F:F)</f>
        <v>0</v>
      </c>
      <c r="L973" s="200">
        <f t="shared" si="38"/>
        <v>0</v>
      </c>
      <c r="M973" s="200">
        <f t="shared" si="39"/>
        <v>0</v>
      </c>
    </row>
    <row r="974" spans="2:13" x14ac:dyDescent="0.35">
      <c r="B974" s="117"/>
      <c r="C974" s="117"/>
      <c r="D974" s="117"/>
      <c r="E974" s="117"/>
      <c r="F974" s="200"/>
      <c r="G974" s="200"/>
      <c r="H974" s="200"/>
      <c r="I974" s="200"/>
      <c r="J974" s="200"/>
      <c r="K974" s="200">
        <f>SUMIF(AE!C:C,ATB!C:C,AE!F:F)</f>
        <v>0</v>
      </c>
      <c r="L974" s="200">
        <f t="shared" si="38"/>
        <v>0</v>
      </c>
      <c r="M974" s="200">
        <f t="shared" si="39"/>
        <v>0</v>
      </c>
    </row>
    <row r="975" spans="2:13" x14ac:dyDescent="0.35">
      <c r="B975" s="117"/>
      <c r="C975" s="117"/>
      <c r="D975" s="117"/>
      <c r="E975" s="117"/>
      <c r="F975" s="200"/>
      <c r="G975" s="200"/>
      <c r="H975" s="200"/>
      <c r="I975" s="200"/>
      <c r="J975" s="200"/>
      <c r="K975" s="200">
        <f>SUMIF(AE!C:C,ATB!C:C,AE!F:F)</f>
        <v>0</v>
      </c>
      <c r="L975" s="200">
        <f t="shared" si="38"/>
        <v>0</v>
      </c>
      <c r="M975" s="200">
        <f t="shared" si="39"/>
        <v>0</v>
      </c>
    </row>
    <row r="976" spans="2:13" x14ac:dyDescent="0.35">
      <c r="B976" s="117"/>
      <c r="C976" s="117"/>
      <c r="D976" s="117"/>
      <c r="E976" s="117"/>
      <c r="F976" s="200"/>
      <c r="G976" s="200"/>
      <c r="H976" s="200"/>
      <c r="I976" s="200"/>
      <c r="J976" s="200"/>
      <c r="K976" s="200">
        <f>SUMIF(AE!C:C,ATB!C:C,AE!F:F)</f>
        <v>0</v>
      </c>
      <c r="L976" s="200">
        <f t="shared" si="38"/>
        <v>0</v>
      </c>
      <c r="M976" s="200">
        <f t="shared" si="39"/>
        <v>0</v>
      </c>
    </row>
    <row r="977" spans="2:13" x14ac:dyDescent="0.35">
      <c r="B977" s="117"/>
      <c r="C977" s="117"/>
      <c r="D977" s="117"/>
      <c r="E977" s="117"/>
      <c r="F977" s="200"/>
      <c r="G977" s="200"/>
      <c r="H977" s="200"/>
      <c r="I977" s="200"/>
      <c r="J977" s="200"/>
      <c r="K977" s="200">
        <f>SUMIF(AE!C:C,ATB!C:C,AE!F:F)</f>
        <v>0</v>
      </c>
      <c r="L977" s="200">
        <f t="shared" si="38"/>
        <v>0</v>
      </c>
      <c r="M977" s="200">
        <f t="shared" si="39"/>
        <v>0</v>
      </c>
    </row>
    <row r="978" spans="2:13" x14ac:dyDescent="0.35">
      <c r="B978" s="117"/>
      <c r="C978" s="117"/>
      <c r="D978" s="117"/>
      <c r="E978" s="117"/>
      <c r="F978" s="200"/>
      <c r="G978" s="200"/>
      <c r="H978" s="200"/>
      <c r="I978" s="200"/>
      <c r="J978" s="200"/>
      <c r="K978" s="200">
        <f>SUMIF(AE!C:C,ATB!C:C,AE!F:F)</f>
        <v>0</v>
      </c>
      <c r="L978" s="200">
        <f t="shared" si="38"/>
        <v>0</v>
      </c>
      <c r="M978" s="200">
        <f t="shared" si="39"/>
        <v>0</v>
      </c>
    </row>
    <row r="979" spans="2:13" x14ac:dyDescent="0.35">
      <c r="B979" s="117"/>
      <c r="C979" s="117"/>
      <c r="D979" s="117"/>
      <c r="E979" s="117"/>
      <c r="F979" s="200"/>
      <c r="G979" s="200"/>
      <c r="H979" s="200"/>
      <c r="I979" s="200"/>
      <c r="J979" s="200"/>
      <c r="K979" s="200">
        <f>SUMIF(AE!C:C,ATB!C:C,AE!F:F)</f>
        <v>0</v>
      </c>
      <c r="L979" s="200">
        <f t="shared" si="38"/>
        <v>0</v>
      </c>
      <c r="M979" s="200">
        <f t="shared" si="39"/>
        <v>0</v>
      </c>
    </row>
    <row r="980" spans="2:13" x14ac:dyDescent="0.35">
      <c r="B980" s="117"/>
      <c r="C980" s="117"/>
      <c r="D980" s="117"/>
      <c r="E980" s="117"/>
      <c r="F980" s="200"/>
      <c r="G980" s="200"/>
      <c r="H980" s="200"/>
      <c r="I980" s="200"/>
      <c r="J980" s="200"/>
      <c r="K980" s="200">
        <f>SUMIF(AE!C:C,ATB!C:C,AE!F:F)</f>
        <v>0</v>
      </c>
      <c r="L980" s="200">
        <f t="shared" si="38"/>
        <v>0</v>
      </c>
      <c r="M980" s="200">
        <f t="shared" si="39"/>
        <v>0</v>
      </c>
    </row>
    <row r="981" spans="2:13" x14ac:dyDescent="0.35">
      <c r="B981" s="117"/>
      <c r="C981" s="117"/>
      <c r="D981" s="117"/>
      <c r="E981" s="117"/>
      <c r="F981" s="200"/>
      <c r="G981" s="200"/>
      <c r="H981" s="200"/>
      <c r="I981" s="200"/>
      <c r="J981" s="200"/>
      <c r="K981" s="200">
        <f>SUMIF(AE!C:C,ATB!C:C,AE!F:F)</f>
        <v>0</v>
      </c>
      <c r="L981" s="200">
        <f t="shared" si="38"/>
        <v>0</v>
      </c>
      <c r="M981" s="200">
        <f t="shared" si="39"/>
        <v>0</v>
      </c>
    </row>
    <row r="982" spans="2:13" x14ac:dyDescent="0.35">
      <c r="B982" s="117"/>
      <c r="C982" s="117"/>
      <c r="D982" s="117"/>
      <c r="E982" s="117"/>
      <c r="F982" s="200"/>
      <c r="G982" s="200"/>
      <c r="H982" s="200"/>
      <c r="I982" s="200"/>
      <c r="J982" s="200"/>
      <c r="K982" s="200">
        <f>SUMIF(AE!C:C,ATB!C:C,AE!F:F)</f>
        <v>0</v>
      </c>
      <c r="L982" s="200">
        <f t="shared" si="38"/>
        <v>0</v>
      </c>
      <c r="M982" s="200">
        <f t="shared" si="39"/>
        <v>0</v>
      </c>
    </row>
    <row r="983" spans="2:13" x14ac:dyDescent="0.35">
      <c r="B983" s="117"/>
      <c r="C983" s="117"/>
      <c r="D983" s="117"/>
      <c r="E983" s="117"/>
      <c r="F983" s="200"/>
      <c r="G983" s="200"/>
      <c r="H983" s="200"/>
      <c r="I983" s="200"/>
      <c r="J983" s="200"/>
      <c r="K983" s="200">
        <f>SUMIF(AE!C:C,ATB!C:C,AE!F:F)</f>
        <v>0</v>
      </c>
      <c r="L983" s="200">
        <f t="shared" si="38"/>
        <v>0</v>
      </c>
      <c r="M983" s="200">
        <f t="shared" si="39"/>
        <v>0</v>
      </c>
    </row>
    <row r="984" spans="2:13" x14ac:dyDescent="0.35">
      <c r="B984" s="117"/>
      <c r="C984" s="117"/>
      <c r="D984" s="117"/>
      <c r="E984" s="117"/>
      <c r="F984" s="200"/>
      <c r="G984" s="200"/>
      <c r="H984" s="200"/>
      <c r="I984" s="200"/>
      <c r="J984" s="200"/>
      <c r="K984" s="200">
        <f>SUMIF(AE!C:C,ATB!C:C,AE!F:F)</f>
        <v>0</v>
      </c>
      <c r="L984" s="200">
        <f t="shared" si="38"/>
        <v>0</v>
      </c>
      <c r="M984" s="200">
        <f t="shared" si="39"/>
        <v>0</v>
      </c>
    </row>
    <row r="985" spans="2:13" x14ac:dyDescent="0.35">
      <c r="B985" s="117"/>
      <c r="C985" s="117"/>
      <c r="D985" s="117"/>
      <c r="E985" s="117"/>
      <c r="F985" s="200"/>
      <c r="G985" s="200"/>
      <c r="H985" s="200"/>
      <c r="I985" s="200"/>
      <c r="J985" s="200"/>
      <c r="K985" s="200">
        <f>SUMIF(AE!C:C,ATB!C:C,AE!F:F)</f>
        <v>0</v>
      </c>
      <c r="L985" s="200">
        <f t="shared" si="38"/>
        <v>0</v>
      </c>
      <c r="M985" s="200">
        <f t="shared" si="39"/>
        <v>0</v>
      </c>
    </row>
    <row r="986" spans="2:13" x14ac:dyDescent="0.35">
      <c r="B986" s="117"/>
      <c r="C986" s="117"/>
      <c r="D986" s="117"/>
      <c r="E986" s="117"/>
      <c r="F986" s="200"/>
      <c r="G986" s="200"/>
      <c r="H986" s="200"/>
      <c r="I986" s="200"/>
      <c r="J986" s="200"/>
      <c r="K986" s="200">
        <f>SUMIF(AE!C:C,ATB!C:C,AE!F:F)</f>
        <v>0</v>
      </c>
      <c r="L986" s="200">
        <f t="shared" si="38"/>
        <v>0</v>
      </c>
      <c r="M986" s="200">
        <f t="shared" si="39"/>
        <v>0</v>
      </c>
    </row>
    <row r="987" spans="2:13" x14ac:dyDescent="0.35">
      <c r="B987" s="117"/>
      <c r="C987" s="117"/>
      <c r="D987" s="117"/>
      <c r="E987" s="117"/>
      <c r="F987" s="200"/>
      <c r="G987" s="200"/>
      <c r="H987" s="200"/>
      <c r="I987" s="200"/>
      <c r="J987" s="200"/>
      <c r="K987" s="200">
        <f>SUMIF(AE!C:C,ATB!C:C,AE!F:F)</f>
        <v>0</v>
      </c>
      <c r="L987" s="200">
        <f t="shared" si="38"/>
        <v>0</v>
      </c>
      <c r="M987" s="200">
        <f t="shared" si="39"/>
        <v>0</v>
      </c>
    </row>
    <row r="988" spans="2:13" x14ac:dyDescent="0.35">
      <c r="B988" s="117"/>
      <c r="C988" s="117"/>
      <c r="D988" s="117"/>
      <c r="E988" s="117"/>
      <c r="F988" s="200"/>
      <c r="G988" s="200"/>
      <c r="H988" s="200"/>
      <c r="I988" s="200"/>
      <c r="J988" s="200"/>
      <c r="K988" s="200">
        <f>SUMIF(AE!C:C,ATB!C:C,AE!F:F)</f>
        <v>0</v>
      </c>
      <c r="L988" s="200">
        <f t="shared" si="38"/>
        <v>0</v>
      </c>
      <c r="M988" s="200">
        <f t="shared" si="39"/>
        <v>0</v>
      </c>
    </row>
    <row r="989" spans="2:13" x14ac:dyDescent="0.35">
      <c r="B989" s="117"/>
      <c r="C989" s="117"/>
      <c r="D989" s="117"/>
      <c r="E989" s="117"/>
      <c r="F989" s="200"/>
      <c r="G989" s="200"/>
      <c r="H989" s="200"/>
      <c r="I989" s="200"/>
      <c r="J989" s="200"/>
      <c r="K989" s="200">
        <f>SUMIF(AE!C:C,ATB!C:C,AE!F:F)</f>
        <v>0</v>
      </c>
      <c r="L989" s="200">
        <f t="shared" si="38"/>
        <v>0</v>
      </c>
      <c r="M989" s="200">
        <f t="shared" si="39"/>
        <v>0</v>
      </c>
    </row>
    <row r="990" spans="2:13" x14ac:dyDescent="0.35">
      <c r="B990" s="117"/>
      <c r="C990" s="117"/>
      <c r="D990" s="117"/>
      <c r="E990" s="117"/>
      <c r="F990" s="200"/>
      <c r="G990" s="200"/>
      <c r="H990" s="200"/>
      <c r="I990" s="200"/>
      <c r="J990" s="200"/>
      <c r="K990" s="200">
        <f>SUMIF(AE!C:C,ATB!C:C,AE!F:F)</f>
        <v>0</v>
      </c>
      <c r="L990" s="200">
        <f t="shared" si="38"/>
        <v>0</v>
      </c>
      <c r="M990" s="200">
        <f t="shared" si="39"/>
        <v>0</v>
      </c>
    </row>
    <row r="991" spans="2:13" x14ac:dyDescent="0.35">
      <c r="B991" s="117"/>
      <c r="C991" s="117"/>
      <c r="D991" s="117"/>
      <c r="E991" s="117"/>
      <c r="F991" s="200"/>
      <c r="G991" s="200"/>
      <c r="H991" s="200"/>
      <c r="I991" s="200"/>
      <c r="J991" s="200"/>
      <c r="K991" s="200">
        <f>SUMIF(AE!C:C,ATB!C:C,AE!F:F)</f>
        <v>0</v>
      </c>
      <c r="L991" s="200">
        <f t="shared" si="38"/>
        <v>0</v>
      </c>
      <c r="M991" s="200">
        <f t="shared" si="39"/>
        <v>0</v>
      </c>
    </row>
    <row r="992" spans="2:13" x14ac:dyDescent="0.35">
      <c r="B992" s="117"/>
      <c r="C992" s="117"/>
      <c r="D992" s="117"/>
      <c r="E992" s="117"/>
      <c r="F992" s="200"/>
      <c r="G992" s="200"/>
      <c r="H992" s="200"/>
      <c r="I992" s="200"/>
      <c r="J992" s="200"/>
      <c r="K992" s="200">
        <f>SUMIF(AE!C:C,ATB!C:C,AE!F:F)</f>
        <v>0</v>
      </c>
      <c r="L992" s="200">
        <f t="shared" si="38"/>
        <v>0</v>
      </c>
      <c r="M992" s="200">
        <f t="shared" si="39"/>
        <v>0</v>
      </c>
    </row>
    <row r="993" spans="2:13" x14ac:dyDescent="0.35">
      <c r="B993" s="117"/>
      <c r="C993" s="117"/>
      <c r="D993" s="117"/>
      <c r="E993" s="117"/>
      <c r="F993" s="200"/>
      <c r="G993" s="200"/>
      <c r="H993" s="200"/>
      <c r="I993" s="200"/>
      <c r="J993" s="200"/>
      <c r="K993" s="200">
        <f>SUMIF(AE!C:C,ATB!C:C,AE!F:F)</f>
        <v>0</v>
      </c>
      <c r="L993" s="200">
        <f t="shared" si="38"/>
        <v>0</v>
      </c>
      <c r="M993" s="200">
        <f t="shared" si="39"/>
        <v>0</v>
      </c>
    </row>
    <row r="994" spans="2:13" x14ac:dyDescent="0.35">
      <c r="B994" s="117"/>
      <c r="C994" s="117"/>
      <c r="D994" s="117"/>
      <c r="E994" s="117"/>
      <c r="F994" s="200"/>
      <c r="G994" s="200"/>
      <c r="H994" s="200"/>
      <c r="I994" s="200"/>
      <c r="J994" s="200"/>
      <c r="K994" s="200">
        <f>SUMIF(AE!C:C,ATB!C:C,AE!F:F)</f>
        <v>0</v>
      </c>
      <c r="L994" s="200">
        <f t="shared" si="38"/>
        <v>0</v>
      </c>
      <c r="M994" s="200">
        <f t="shared" si="39"/>
        <v>0</v>
      </c>
    </row>
    <row r="995" spans="2:13" x14ac:dyDescent="0.35">
      <c r="B995" s="117"/>
      <c r="C995" s="117"/>
      <c r="D995" s="117"/>
      <c r="E995" s="117"/>
      <c r="F995" s="200"/>
      <c r="G995" s="200"/>
      <c r="H995" s="200"/>
      <c r="I995" s="200"/>
      <c r="J995" s="200"/>
      <c r="K995" s="200">
        <f>SUMIF(AE!C:C,ATB!C:C,AE!F:F)</f>
        <v>0</v>
      </c>
      <c r="L995" s="200">
        <f t="shared" si="38"/>
        <v>0</v>
      </c>
      <c r="M995" s="200">
        <f t="shared" si="39"/>
        <v>0</v>
      </c>
    </row>
    <row r="996" spans="2:13" x14ac:dyDescent="0.35">
      <c r="B996" s="117"/>
      <c r="C996" s="117"/>
      <c r="D996" s="117"/>
      <c r="E996" s="117"/>
      <c r="F996" s="200"/>
      <c r="G996" s="200"/>
      <c r="H996" s="200"/>
      <c r="I996" s="200"/>
      <c r="J996" s="200"/>
      <c r="K996" s="200">
        <f>SUMIF(AE!C:C,ATB!C:C,AE!F:F)</f>
        <v>0</v>
      </c>
      <c r="L996" s="200">
        <f t="shared" si="38"/>
        <v>0</v>
      </c>
      <c r="M996" s="200">
        <f t="shared" si="39"/>
        <v>0</v>
      </c>
    </row>
    <row r="997" spans="2:13" x14ac:dyDescent="0.35">
      <c r="B997" s="117"/>
      <c r="C997" s="117"/>
      <c r="D997" s="117"/>
      <c r="E997" s="117"/>
      <c r="F997" s="200"/>
      <c r="G997" s="200"/>
      <c r="H997" s="200"/>
      <c r="I997" s="200"/>
      <c r="J997" s="200"/>
      <c r="K997" s="200">
        <f>SUMIF(AE!C:C,ATB!C:C,AE!F:F)</f>
        <v>0</v>
      </c>
      <c r="L997" s="200">
        <f t="shared" si="38"/>
        <v>0</v>
      </c>
      <c r="M997" s="200">
        <f t="shared" si="39"/>
        <v>0</v>
      </c>
    </row>
    <row r="998" spans="2:13" x14ac:dyDescent="0.35">
      <c r="B998" s="117"/>
      <c r="C998" s="117"/>
      <c r="D998" s="117"/>
      <c r="E998" s="117"/>
      <c r="F998" s="200"/>
      <c r="G998" s="200"/>
      <c r="H998" s="200"/>
      <c r="I998" s="200"/>
      <c r="J998" s="200"/>
      <c r="K998" s="200">
        <f>SUMIF(AE!C:C,ATB!C:C,AE!F:F)</f>
        <v>0</v>
      </c>
      <c r="L998" s="200">
        <f t="shared" si="38"/>
        <v>0</v>
      </c>
      <c r="M998" s="200">
        <f t="shared" si="39"/>
        <v>0</v>
      </c>
    </row>
    <row r="999" spans="2:13" x14ac:dyDescent="0.35">
      <c r="B999" s="117"/>
      <c r="C999" s="117"/>
      <c r="D999" s="117"/>
      <c r="E999" s="117"/>
      <c r="F999" s="200"/>
      <c r="G999" s="200"/>
      <c r="H999" s="200"/>
      <c r="I999" s="200"/>
      <c r="J999" s="200"/>
      <c r="K999" s="200">
        <f>SUMIF(AE!C:C,ATB!C:C,AE!F:F)</f>
        <v>0</v>
      </c>
      <c r="L999" s="200">
        <f t="shared" si="38"/>
        <v>0</v>
      </c>
      <c r="M999" s="200">
        <f t="shared" si="39"/>
        <v>0</v>
      </c>
    </row>
    <row r="1000" spans="2:13" x14ac:dyDescent="0.35">
      <c r="B1000" s="117"/>
      <c r="C1000" s="117"/>
      <c r="D1000" s="117"/>
      <c r="E1000" s="117"/>
      <c r="F1000" s="200"/>
      <c r="G1000" s="200"/>
      <c r="H1000" s="200"/>
      <c r="I1000" s="200"/>
      <c r="J1000" s="200"/>
      <c r="K1000" s="200">
        <f>SUMIF(AE!C:C,ATB!C:C,AE!F:F)</f>
        <v>0</v>
      </c>
      <c r="L1000" s="200">
        <f t="shared" si="38"/>
        <v>0</v>
      </c>
      <c r="M1000" s="200">
        <f t="shared" si="39"/>
        <v>0</v>
      </c>
    </row>
    <row r="1001" spans="2:13" x14ac:dyDescent="0.35">
      <c r="B1001" s="117"/>
      <c r="C1001" s="117"/>
      <c r="D1001" s="117"/>
      <c r="E1001" s="117"/>
      <c r="F1001" s="200"/>
      <c r="G1001" s="200"/>
      <c r="H1001" s="200"/>
      <c r="I1001" s="200"/>
      <c r="J1001" s="200"/>
      <c r="K1001" s="200">
        <f>SUMIF(AE!C:C,ATB!C:C,AE!F:F)</f>
        <v>0</v>
      </c>
      <c r="L1001" s="200">
        <f t="shared" si="38"/>
        <v>0</v>
      </c>
      <c r="M1001" s="200">
        <f t="shared" si="39"/>
        <v>0</v>
      </c>
    </row>
    <row r="1002" spans="2:13" x14ac:dyDescent="0.35">
      <c r="B1002" s="117"/>
      <c r="C1002" s="117"/>
      <c r="D1002" s="117"/>
      <c r="E1002" s="117"/>
      <c r="F1002" s="200"/>
      <c r="G1002" s="200"/>
      <c r="H1002" s="200"/>
      <c r="I1002" s="200"/>
      <c r="J1002" s="200"/>
      <c r="K1002" s="200">
        <f>SUMIF(AE!C:C,ATB!C:C,AE!F:F)</f>
        <v>0</v>
      </c>
      <c r="L1002" s="200">
        <f t="shared" si="38"/>
        <v>0</v>
      </c>
      <c r="M1002" s="200">
        <f t="shared" si="39"/>
        <v>0</v>
      </c>
    </row>
    <row r="1003" spans="2:13" x14ac:dyDescent="0.35">
      <c r="B1003" s="117"/>
      <c r="C1003" s="117"/>
      <c r="D1003" s="117"/>
      <c r="E1003" s="117"/>
      <c r="F1003" s="200"/>
      <c r="G1003" s="200"/>
      <c r="H1003" s="200"/>
      <c r="I1003" s="200"/>
      <c r="J1003" s="200"/>
      <c r="K1003" s="200">
        <f>SUMIF(AE!C:C,ATB!C:C,AE!F:F)</f>
        <v>0</v>
      </c>
      <c r="L1003" s="200">
        <f t="shared" si="38"/>
        <v>0</v>
      </c>
      <c r="M1003" s="200">
        <f t="shared" si="39"/>
        <v>0</v>
      </c>
    </row>
    <row r="1004" spans="2:13" x14ac:dyDescent="0.35">
      <c r="B1004" s="117"/>
      <c r="C1004" s="117"/>
      <c r="D1004" s="117"/>
      <c r="E1004" s="117"/>
      <c r="F1004" s="200"/>
      <c r="G1004" s="200"/>
      <c r="H1004" s="200"/>
      <c r="I1004" s="200"/>
      <c r="J1004" s="200"/>
      <c r="K1004" s="200">
        <f>SUMIF(AE!C:C,ATB!C:C,AE!F:F)</f>
        <v>0</v>
      </c>
      <c r="L1004" s="200">
        <f t="shared" si="38"/>
        <v>0</v>
      </c>
      <c r="M1004" s="200">
        <f t="shared" si="39"/>
        <v>0</v>
      </c>
    </row>
    <row r="1005" spans="2:13" x14ac:dyDescent="0.35">
      <c r="B1005" s="117"/>
      <c r="C1005" s="117"/>
      <c r="D1005" s="117"/>
      <c r="E1005" s="117"/>
      <c r="F1005" s="200"/>
      <c r="G1005" s="200"/>
      <c r="H1005" s="200"/>
      <c r="I1005" s="200"/>
      <c r="J1005" s="200"/>
      <c r="K1005" s="200">
        <f>SUMIF(AE!C:C,ATB!C:C,AE!F:F)</f>
        <v>0</v>
      </c>
      <c r="L1005" s="200">
        <f t="shared" si="38"/>
        <v>0</v>
      </c>
      <c r="M1005" s="200">
        <f t="shared" si="39"/>
        <v>0</v>
      </c>
    </row>
    <row r="1006" spans="2:13" x14ac:dyDescent="0.35">
      <c r="B1006" s="117"/>
      <c r="C1006" s="117"/>
      <c r="D1006" s="117"/>
      <c r="E1006" s="117"/>
      <c r="F1006" s="200"/>
      <c r="G1006" s="200"/>
      <c r="H1006" s="200"/>
      <c r="I1006" s="200"/>
      <c r="J1006" s="200"/>
      <c r="K1006" s="200">
        <f>SUMIF(AE!C:C,ATB!C:C,AE!F:F)</f>
        <v>0</v>
      </c>
      <c r="L1006" s="200">
        <f t="shared" si="38"/>
        <v>0</v>
      </c>
      <c r="M1006" s="200">
        <f t="shared" si="39"/>
        <v>0</v>
      </c>
    </row>
    <row r="1007" spans="2:13" x14ac:dyDescent="0.35">
      <c r="B1007" s="117"/>
      <c r="C1007" s="117"/>
      <c r="D1007" s="117"/>
      <c r="E1007" s="117"/>
      <c r="F1007" s="200"/>
      <c r="G1007" s="200"/>
      <c r="H1007" s="200"/>
      <c r="I1007" s="200"/>
      <c r="J1007" s="200"/>
      <c r="K1007" s="200">
        <f>SUMIF(AE!C:C,ATB!C:C,AE!F:F)</f>
        <v>0</v>
      </c>
      <c r="L1007" s="200">
        <f t="shared" si="38"/>
        <v>0</v>
      </c>
      <c r="M1007" s="200">
        <f t="shared" si="39"/>
        <v>0</v>
      </c>
    </row>
    <row r="1008" spans="2:13" x14ac:dyDescent="0.35">
      <c r="B1008" s="117"/>
      <c r="C1008" s="117"/>
      <c r="D1008" s="117"/>
      <c r="E1008" s="117"/>
      <c r="F1008" s="200"/>
      <c r="G1008" s="200"/>
      <c r="H1008" s="200"/>
      <c r="I1008" s="200"/>
      <c r="J1008" s="200"/>
      <c r="K1008" s="200">
        <f>SUMIF(AE!C:C,ATB!C:C,AE!F:F)</f>
        <v>0</v>
      </c>
      <c r="L1008" s="200">
        <f t="shared" si="38"/>
        <v>0</v>
      </c>
      <c r="M1008" s="200">
        <f t="shared" si="39"/>
        <v>0</v>
      </c>
    </row>
    <row r="1009" spans="2:13" x14ac:dyDescent="0.35">
      <c r="B1009" s="117"/>
      <c r="C1009" s="117"/>
      <c r="D1009" s="117"/>
      <c r="E1009" s="117"/>
      <c r="F1009" s="200"/>
      <c r="G1009" s="200"/>
      <c r="H1009" s="200"/>
      <c r="I1009" s="200"/>
      <c r="J1009" s="200"/>
      <c r="K1009" s="200">
        <f>SUMIF(AE!C:C,ATB!C:C,AE!F:F)</f>
        <v>0</v>
      </c>
      <c r="L1009" s="200">
        <f t="shared" si="38"/>
        <v>0</v>
      </c>
      <c r="M1009" s="200">
        <f t="shared" si="39"/>
        <v>0</v>
      </c>
    </row>
    <row r="1010" spans="2:13" x14ac:dyDescent="0.35">
      <c r="B1010" s="117"/>
      <c r="C1010" s="117"/>
      <c r="D1010" s="117"/>
      <c r="E1010" s="117"/>
      <c r="F1010" s="200"/>
      <c r="G1010" s="200"/>
      <c r="H1010" s="200"/>
      <c r="I1010" s="200"/>
      <c r="J1010" s="200"/>
      <c r="K1010" s="200">
        <f>SUMIF(AE!C:C,ATB!C:C,AE!F:F)</f>
        <v>0</v>
      </c>
      <c r="L1010" s="200">
        <f t="shared" si="38"/>
        <v>0</v>
      </c>
      <c r="M1010" s="200">
        <f t="shared" si="39"/>
        <v>0</v>
      </c>
    </row>
    <row r="1011" spans="2:13" x14ac:dyDescent="0.35">
      <c r="B1011" s="117"/>
      <c r="C1011" s="117"/>
      <c r="D1011" s="117"/>
      <c r="E1011" s="117"/>
      <c r="F1011" s="200"/>
      <c r="G1011" s="200"/>
      <c r="H1011" s="200"/>
      <c r="I1011" s="200"/>
      <c r="J1011" s="200"/>
      <c r="K1011" s="200">
        <f>SUMIF(AE!C:C,ATB!C:C,AE!F:F)</f>
        <v>0</v>
      </c>
      <c r="L1011" s="200">
        <f t="shared" si="38"/>
        <v>0</v>
      </c>
      <c r="M1011" s="200">
        <f t="shared" si="39"/>
        <v>0</v>
      </c>
    </row>
    <row r="1012" spans="2:13" x14ac:dyDescent="0.35">
      <c r="B1012" s="117"/>
      <c r="C1012" s="117"/>
      <c r="D1012" s="117"/>
      <c r="E1012" s="117"/>
      <c r="F1012" s="200"/>
      <c r="G1012" s="200"/>
      <c r="H1012" s="200"/>
      <c r="I1012" s="200"/>
      <c r="J1012" s="200"/>
      <c r="K1012" s="200">
        <f>SUMIF(AE!C:C,ATB!C:C,AE!F:F)</f>
        <v>0</v>
      </c>
      <c r="L1012" s="200">
        <f t="shared" si="38"/>
        <v>0</v>
      </c>
      <c r="M1012" s="200">
        <f t="shared" si="39"/>
        <v>0</v>
      </c>
    </row>
    <row r="1013" spans="2:13" x14ac:dyDescent="0.35">
      <c r="B1013" s="117"/>
      <c r="C1013" s="117"/>
      <c r="D1013" s="117"/>
      <c r="E1013" s="117"/>
      <c r="F1013" s="200"/>
      <c r="G1013" s="200"/>
      <c r="H1013" s="200"/>
      <c r="I1013" s="200"/>
      <c r="J1013" s="200"/>
      <c r="K1013" s="200">
        <f>SUMIF(AE!C:C,ATB!C:C,AE!F:F)</f>
        <v>0</v>
      </c>
      <c r="L1013" s="200">
        <f t="shared" si="38"/>
        <v>0</v>
      </c>
      <c r="M1013" s="200">
        <f t="shared" si="39"/>
        <v>0</v>
      </c>
    </row>
    <row r="1014" spans="2:13" x14ac:dyDescent="0.35">
      <c r="B1014" s="117"/>
      <c r="C1014" s="117"/>
      <c r="D1014" s="117"/>
      <c r="E1014" s="117"/>
      <c r="F1014" s="200"/>
      <c r="G1014" s="200"/>
      <c r="H1014" s="200"/>
      <c r="I1014" s="200"/>
      <c r="J1014" s="200"/>
      <c r="K1014" s="200">
        <f>SUMIF(AE!C:C,ATB!C:C,AE!F:F)</f>
        <v>0</v>
      </c>
      <c r="L1014" s="200">
        <f t="shared" si="38"/>
        <v>0</v>
      </c>
      <c r="M1014" s="200">
        <f t="shared" si="39"/>
        <v>0</v>
      </c>
    </row>
    <row r="1015" spans="2:13" x14ac:dyDescent="0.35">
      <c r="B1015" s="117"/>
      <c r="C1015" s="117"/>
      <c r="D1015" s="117"/>
      <c r="E1015" s="117"/>
      <c r="F1015" s="200"/>
      <c r="G1015" s="200"/>
      <c r="H1015" s="200"/>
      <c r="I1015" s="200"/>
      <c r="J1015" s="200"/>
      <c r="K1015" s="200">
        <f>SUMIF(AE!C:C,ATB!C:C,AE!F:F)</f>
        <v>0</v>
      </c>
      <c r="L1015" s="200">
        <f t="shared" si="38"/>
        <v>0</v>
      </c>
      <c r="M1015" s="200">
        <f t="shared" si="39"/>
        <v>0</v>
      </c>
    </row>
    <row r="1016" spans="2:13" x14ac:dyDescent="0.35">
      <c r="B1016" s="117"/>
      <c r="C1016" s="117"/>
      <c r="D1016" s="117"/>
      <c r="E1016" s="117"/>
      <c r="F1016" s="200"/>
      <c r="G1016" s="200"/>
      <c r="H1016" s="200"/>
      <c r="I1016" s="200"/>
      <c r="J1016" s="200"/>
      <c r="K1016" s="200">
        <f>SUMIF(AE!C:C,ATB!C:C,AE!F:F)</f>
        <v>0</v>
      </c>
      <c r="L1016" s="200">
        <f t="shared" si="38"/>
        <v>0</v>
      </c>
      <c r="M1016" s="200">
        <f t="shared" si="39"/>
        <v>0</v>
      </c>
    </row>
    <row r="1017" spans="2:13" x14ac:dyDescent="0.35">
      <c r="B1017" s="117"/>
      <c r="C1017" s="117"/>
      <c r="D1017" s="117"/>
      <c r="E1017" s="117"/>
      <c r="F1017" s="200"/>
      <c r="G1017" s="200"/>
      <c r="H1017" s="200"/>
      <c r="I1017" s="200"/>
      <c r="J1017" s="200"/>
      <c r="K1017" s="200">
        <f>SUMIF(AE!C:C,ATB!C:C,AE!F:F)</f>
        <v>0</v>
      </c>
      <c r="L1017" s="200">
        <f t="shared" si="38"/>
        <v>0</v>
      </c>
      <c r="M1017" s="200">
        <f t="shared" si="39"/>
        <v>0</v>
      </c>
    </row>
    <row r="1018" spans="2:13" x14ac:dyDescent="0.35">
      <c r="B1018" s="117"/>
      <c r="C1018" s="117"/>
      <c r="D1018" s="117"/>
      <c r="E1018" s="117"/>
      <c r="F1018" s="200"/>
      <c r="G1018" s="200"/>
      <c r="H1018" s="200"/>
      <c r="I1018" s="200"/>
      <c r="J1018" s="200"/>
      <c r="K1018" s="200">
        <f>SUMIF(AE!C:C,ATB!C:C,AE!F:F)</f>
        <v>0</v>
      </c>
      <c r="L1018" s="200">
        <f t="shared" si="38"/>
        <v>0</v>
      </c>
      <c r="M1018" s="200">
        <f t="shared" si="39"/>
        <v>0</v>
      </c>
    </row>
    <row r="1019" spans="2:13" x14ac:dyDescent="0.35">
      <c r="B1019" s="117"/>
      <c r="C1019" s="117"/>
      <c r="D1019" s="117"/>
      <c r="E1019" s="117"/>
      <c r="F1019" s="200"/>
      <c r="G1019" s="200"/>
      <c r="H1019" s="200"/>
      <c r="I1019" s="200"/>
      <c r="J1019" s="200"/>
      <c r="K1019" s="200">
        <f>SUMIF(AE!C:C,ATB!C:C,AE!F:F)</f>
        <v>0</v>
      </c>
      <c r="L1019" s="200">
        <f t="shared" si="38"/>
        <v>0</v>
      </c>
      <c r="M1019" s="200">
        <f t="shared" si="39"/>
        <v>0</v>
      </c>
    </row>
    <row r="1020" spans="2:13" x14ac:dyDescent="0.35">
      <c r="B1020" s="117"/>
      <c r="C1020" s="117"/>
      <c r="D1020" s="117"/>
      <c r="E1020" s="117"/>
      <c r="F1020" s="200"/>
      <c r="G1020" s="200"/>
      <c r="H1020" s="200"/>
      <c r="I1020" s="200"/>
      <c r="J1020" s="200"/>
      <c r="K1020" s="200">
        <f>SUMIF(AE!C:C,ATB!C:C,AE!F:F)</f>
        <v>0</v>
      </c>
      <c r="L1020" s="200">
        <f t="shared" si="38"/>
        <v>0</v>
      </c>
      <c r="M1020" s="200">
        <f t="shared" si="39"/>
        <v>0</v>
      </c>
    </row>
    <row r="1021" spans="2:13" x14ac:dyDescent="0.35">
      <c r="B1021" s="117"/>
      <c r="C1021" s="117"/>
      <c r="D1021" s="117"/>
      <c r="E1021" s="117"/>
      <c r="F1021" s="200"/>
      <c r="G1021" s="200"/>
      <c r="H1021" s="200"/>
      <c r="I1021" s="200"/>
      <c r="J1021" s="200"/>
      <c r="K1021" s="200">
        <f>SUMIF(AE!C:C,ATB!C:C,AE!F:F)</f>
        <v>0</v>
      </c>
      <c r="L1021" s="200">
        <f t="shared" si="38"/>
        <v>0</v>
      </c>
      <c r="M1021" s="200">
        <f t="shared" si="39"/>
        <v>0</v>
      </c>
    </row>
    <row r="1022" spans="2:13" x14ac:dyDescent="0.35">
      <c r="B1022" s="117"/>
      <c r="C1022" s="117"/>
      <c r="D1022" s="117"/>
      <c r="E1022" s="117"/>
      <c r="F1022" s="200"/>
      <c r="G1022" s="200"/>
      <c r="H1022" s="200"/>
      <c r="I1022" s="200"/>
      <c r="J1022" s="200"/>
      <c r="K1022" s="200">
        <f>SUMIF(AE!C:C,ATB!C:C,AE!F:F)</f>
        <v>0</v>
      </c>
      <c r="L1022" s="200">
        <f t="shared" si="38"/>
        <v>0</v>
      </c>
      <c r="M1022" s="200">
        <f t="shared" si="39"/>
        <v>0</v>
      </c>
    </row>
    <row r="1023" spans="2:13" x14ac:dyDescent="0.35">
      <c r="B1023" s="117"/>
      <c r="C1023" s="117"/>
      <c r="D1023" s="117"/>
      <c r="E1023" s="117"/>
      <c r="F1023" s="200"/>
      <c r="G1023" s="200"/>
      <c r="H1023" s="200"/>
      <c r="I1023" s="200"/>
      <c r="J1023" s="200"/>
      <c r="K1023" s="200">
        <f>SUMIF(AE!C:C,ATB!C:C,AE!F:F)</f>
        <v>0</v>
      </c>
      <c r="L1023" s="200">
        <f t="shared" si="38"/>
        <v>0</v>
      </c>
      <c r="M1023" s="200">
        <f t="shared" si="39"/>
        <v>0</v>
      </c>
    </row>
    <row r="1024" spans="2:13" x14ac:dyDescent="0.35">
      <c r="B1024" s="117"/>
      <c r="C1024" s="117"/>
      <c r="D1024" s="117"/>
      <c r="E1024" s="117"/>
      <c r="F1024" s="200"/>
      <c r="G1024" s="200"/>
      <c r="H1024" s="200"/>
      <c r="I1024" s="200"/>
      <c r="J1024" s="200"/>
      <c r="K1024" s="200">
        <f>SUMIF(AE!C:C,ATB!C:C,AE!F:F)</f>
        <v>0</v>
      </c>
      <c r="L1024" s="200">
        <f t="shared" si="38"/>
        <v>0</v>
      </c>
      <c r="M1024" s="200">
        <f t="shared" si="39"/>
        <v>0</v>
      </c>
    </row>
    <row r="1025" spans="2:13" x14ac:dyDescent="0.35">
      <c r="B1025" s="117"/>
      <c r="C1025" s="117"/>
      <c r="D1025" s="117"/>
      <c r="E1025" s="117"/>
      <c r="F1025" s="200"/>
      <c r="G1025" s="200"/>
      <c r="H1025" s="200"/>
      <c r="I1025" s="200"/>
      <c r="J1025" s="200"/>
      <c r="K1025" s="200">
        <f>SUMIF(AE!C:C,ATB!C:C,AE!F:F)</f>
        <v>0</v>
      </c>
      <c r="L1025" s="200">
        <f t="shared" si="38"/>
        <v>0</v>
      </c>
      <c r="M1025" s="200">
        <f t="shared" si="39"/>
        <v>0</v>
      </c>
    </row>
    <row r="1026" spans="2:13" x14ac:dyDescent="0.35">
      <c r="B1026" s="117"/>
      <c r="C1026" s="117"/>
      <c r="D1026" s="117"/>
      <c r="E1026" s="117"/>
      <c r="F1026" s="200"/>
      <c r="G1026" s="200"/>
      <c r="H1026" s="200"/>
      <c r="I1026" s="200"/>
      <c r="J1026" s="200"/>
      <c r="K1026" s="200">
        <f>SUMIF(AE!C:C,ATB!C:C,AE!F:F)</f>
        <v>0</v>
      </c>
      <c r="L1026" s="200">
        <f t="shared" ref="L1026:L1089" si="40">ROUND(IF(F1026+H1026+J1026-G1026-I1026-K1026&gt;0,F1026+H1026+J1026-G1026-I1026-K1026,0),0)</f>
        <v>0</v>
      </c>
      <c r="M1026" s="200">
        <f t="shared" ref="M1026:M1089" si="41">-ROUND(IF(F1026+H1026+J1026-G1026-I1026-K1026&lt;0,F1026+H1026+J1026-G1026-I1026-K1026,0),0)</f>
        <v>0</v>
      </c>
    </row>
    <row r="1027" spans="2:13" x14ac:dyDescent="0.35">
      <c r="B1027" s="117"/>
      <c r="C1027" s="117"/>
      <c r="D1027" s="117"/>
      <c r="E1027" s="117"/>
      <c r="F1027" s="200"/>
      <c r="G1027" s="200"/>
      <c r="H1027" s="200"/>
      <c r="I1027" s="200"/>
      <c r="J1027" s="200"/>
      <c r="K1027" s="200">
        <f>SUMIF(AE!C:C,ATB!C:C,AE!F:F)</f>
        <v>0</v>
      </c>
      <c r="L1027" s="200">
        <f t="shared" si="40"/>
        <v>0</v>
      </c>
      <c r="M1027" s="200">
        <f t="shared" si="41"/>
        <v>0</v>
      </c>
    </row>
    <row r="1028" spans="2:13" x14ac:dyDescent="0.35">
      <c r="B1028" s="117"/>
      <c r="C1028" s="117"/>
      <c r="D1028" s="117"/>
      <c r="E1028" s="117"/>
      <c r="F1028" s="200"/>
      <c r="G1028" s="200"/>
      <c r="H1028" s="200"/>
      <c r="I1028" s="200"/>
      <c r="J1028" s="200"/>
      <c r="K1028" s="200">
        <f>SUMIF(AE!C:C,ATB!C:C,AE!F:F)</f>
        <v>0</v>
      </c>
      <c r="L1028" s="200">
        <f t="shared" si="40"/>
        <v>0</v>
      </c>
      <c r="M1028" s="200">
        <f t="shared" si="41"/>
        <v>0</v>
      </c>
    </row>
    <row r="1029" spans="2:13" x14ac:dyDescent="0.35">
      <c r="B1029" s="117"/>
      <c r="C1029" s="117"/>
      <c r="D1029" s="117"/>
      <c r="E1029" s="117"/>
      <c r="F1029" s="200"/>
      <c r="G1029" s="200"/>
      <c r="H1029" s="200"/>
      <c r="I1029" s="200"/>
      <c r="J1029" s="200"/>
      <c r="K1029" s="200">
        <f>SUMIF(AE!C:C,ATB!C:C,AE!F:F)</f>
        <v>0</v>
      </c>
      <c r="L1029" s="200">
        <f t="shared" si="40"/>
        <v>0</v>
      </c>
      <c r="M1029" s="200">
        <f t="shared" si="41"/>
        <v>0</v>
      </c>
    </row>
    <row r="1030" spans="2:13" x14ac:dyDescent="0.35">
      <c r="B1030" s="117"/>
      <c r="C1030" s="117"/>
      <c r="D1030" s="117"/>
      <c r="E1030" s="117"/>
      <c r="F1030" s="200"/>
      <c r="G1030" s="200"/>
      <c r="H1030" s="200"/>
      <c r="I1030" s="200"/>
      <c r="J1030" s="200"/>
      <c r="K1030" s="200">
        <f>SUMIF(AE!C:C,ATB!C:C,AE!F:F)</f>
        <v>0</v>
      </c>
      <c r="L1030" s="200">
        <f t="shared" si="40"/>
        <v>0</v>
      </c>
      <c r="M1030" s="200">
        <f t="shared" si="41"/>
        <v>0</v>
      </c>
    </row>
    <row r="1031" spans="2:13" x14ac:dyDescent="0.35">
      <c r="B1031" s="117"/>
      <c r="C1031" s="117"/>
      <c r="D1031" s="117"/>
      <c r="E1031" s="117"/>
      <c r="F1031" s="200"/>
      <c r="G1031" s="200"/>
      <c r="H1031" s="200"/>
      <c r="I1031" s="200"/>
      <c r="J1031" s="200"/>
      <c r="K1031" s="200">
        <f>SUMIF(AE!C:C,ATB!C:C,AE!F:F)</f>
        <v>0</v>
      </c>
      <c r="L1031" s="200">
        <f t="shared" si="40"/>
        <v>0</v>
      </c>
      <c r="M1031" s="200">
        <f t="shared" si="41"/>
        <v>0</v>
      </c>
    </row>
    <row r="1032" spans="2:13" x14ac:dyDescent="0.35">
      <c r="B1032" s="117"/>
      <c r="C1032" s="117"/>
      <c r="D1032" s="117"/>
      <c r="E1032" s="117"/>
      <c r="F1032" s="200"/>
      <c r="G1032" s="200"/>
      <c r="H1032" s="200"/>
      <c r="I1032" s="200"/>
      <c r="J1032" s="200"/>
      <c r="K1032" s="200">
        <f>SUMIF(AE!C:C,ATB!C:C,AE!F:F)</f>
        <v>0</v>
      </c>
      <c r="L1032" s="200">
        <f t="shared" si="40"/>
        <v>0</v>
      </c>
      <c r="M1032" s="200">
        <f t="shared" si="41"/>
        <v>0</v>
      </c>
    </row>
    <row r="1033" spans="2:13" x14ac:dyDescent="0.35">
      <c r="B1033" s="117"/>
      <c r="C1033" s="117"/>
      <c r="D1033" s="117"/>
      <c r="E1033" s="117"/>
      <c r="F1033" s="200"/>
      <c r="G1033" s="200"/>
      <c r="H1033" s="200"/>
      <c r="I1033" s="200"/>
      <c r="J1033" s="200"/>
      <c r="K1033" s="200">
        <f>SUMIF(AE!C:C,ATB!C:C,AE!F:F)</f>
        <v>0</v>
      </c>
      <c r="L1033" s="200">
        <f t="shared" si="40"/>
        <v>0</v>
      </c>
      <c r="M1033" s="200">
        <f t="shared" si="41"/>
        <v>0</v>
      </c>
    </row>
    <row r="1034" spans="2:13" x14ac:dyDescent="0.35">
      <c r="B1034" s="117"/>
      <c r="C1034" s="117"/>
      <c r="D1034" s="117"/>
      <c r="E1034" s="117"/>
      <c r="F1034" s="200"/>
      <c r="G1034" s="200"/>
      <c r="H1034" s="200"/>
      <c r="I1034" s="200"/>
      <c r="J1034" s="200"/>
      <c r="K1034" s="200">
        <f>SUMIF(AE!C:C,ATB!C:C,AE!F:F)</f>
        <v>0</v>
      </c>
      <c r="L1034" s="200">
        <f t="shared" si="40"/>
        <v>0</v>
      </c>
      <c r="M1034" s="200">
        <f t="shared" si="41"/>
        <v>0</v>
      </c>
    </row>
    <row r="1035" spans="2:13" x14ac:dyDescent="0.35">
      <c r="B1035" s="117"/>
      <c r="C1035" s="117"/>
      <c r="D1035" s="117"/>
      <c r="E1035" s="117"/>
      <c r="F1035" s="200"/>
      <c r="G1035" s="200"/>
      <c r="H1035" s="200"/>
      <c r="I1035" s="200"/>
      <c r="J1035" s="200"/>
      <c r="K1035" s="200">
        <f>SUMIF(AE!C:C,ATB!C:C,AE!F:F)</f>
        <v>0</v>
      </c>
      <c r="L1035" s="200">
        <f t="shared" si="40"/>
        <v>0</v>
      </c>
      <c r="M1035" s="200">
        <f t="shared" si="41"/>
        <v>0</v>
      </c>
    </row>
    <row r="1036" spans="2:13" x14ac:dyDescent="0.35">
      <c r="B1036" s="117"/>
      <c r="C1036" s="117"/>
      <c r="D1036" s="117"/>
      <c r="E1036" s="117"/>
      <c r="F1036" s="200"/>
      <c r="G1036" s="200"/>
      <c r="H1036" s="200"/>
      <c r="I1036" s="200"/>
      <c r="J1036" s="200"/>
      <c r="K1036" s="200">
        <f>SUMIF(AE!C:C,ATB!C:C,AE!F:F)</f>
        <v>0</v>
      </c>
      <c r="L1036" s="200">
        <f t="shared" si="40"/>
        <v>0</v>
      </c>
      <c r="M1036" s="200">
        <f t="shared" si="41"/>
        <v>0</v>
      </c>
    </row>
    <row r="1037" spans="2:13" x14ac:dyDescent="0.35">
      <c r="B1037" s="117"/>
      <c r="C1037" s="117"/>
      <c r="D1037" s="117"/>
      <c r="E1037" s="117"/>
      <c r="F1037" s="200"/>
      <c r="G1037" s="200"/>
      <c r="H1037" s="200"/>
      <c r="I1037" s="200"/>
      <c r="J1037" s="200"/>
      <c r="K1037" s="200">
        <f>SUMIF(AE!C:C,ATB!C:C,AE!F:F)</f>
        <v>0</v>
      </c>
      <c r="L1037" s="200">
        <f t="shared" si="40"/>
        <v>0</v>
      </c>
      <c r="M1037" s="200">
        <f t="shared" si="41"/>
        <v>0</v>
      </c>
    </row>
    <row r="1038" spans="2:13" x14ac:dyDescent="0.35">
      <c r="B1038" s="117"/>
      <c r="C1038" s="117"/>
      <c r="D1038" s="117"/>
      <c r="E1038" s="117"/>
      <c r="F1038" s="200"/>
      <c r="G1038" s="200"/>
      <c r="H1038" s="200"/>
      <c r="I1038" s="200"/>
      <c r="J1038" s="200"/>
      <c r="K1038" s="200">
        <f>SUMIF(AE!C:C,ATB!C:C,AE!F:F)</f>
        <v>0</v>
      </c>
      <c r="L1038" s="200">
        <f t="shared" si="40"/>
        <v>0</v>
      </c>
      <c r="M1038" s="200">
        <f t="shared" si="41"/>
        <v>0</v>
      </c>
    </row>
    <row r="1039" spans="2:13" x14ac:dyDescent="0.35">
      <c r="B1039" s="117"/>
      <c r="C1039" s="117"/>
      <c r="D1039" s="117"/>
      <c r="E1039" s="117"/>
      <c r="F1039" s="200"/>
      <c r="G1039" s="200"/>
      <c r="H1039" s="200"/>
      <c r="I1039" s="200"/>
      <c r="J1039" s="200"/>
      <c r="K1039" s="200">
        <f>SUMIF(AE!C:C,ATB!C:C,AE!F:F)</f>
        <v>0</v>
      </c>
      <c r="L1039" s="200">
        <f t="shared" si="40"/>
        <v>0</v>
      </c>
      <c r="M1039" s="200">
        <f t="shared" si="41"/>
        <v>0</v>
      </c>
    </row>
    <row r="1040" spans="2:13" x14ac:dyDescent="0.35">
      <c r="B1040" s="117"/>
      <c r="C1040" s="117"/>
      <c r="D1040" s="117"/>
      <c r="E1040" s="117"/>
      <c r="F1040" s="200"/>
      <c r="G1040" s="200"/>
      <c r="H1040" s="200"/>
      <c r="I1040" s="200"/>
      <c r="J1040" s="200"/>
      <c r="K1040" s="200">
        <f>SUMIF(AE!C:C,ATB!C:C,AE!F:F)</f>
        <v>0</v>
      </c>
      <c r="L1040" s="200">
        <f t="shared" si="40"/>
        <v>0</v>
      </c>
      <c r="M1040" s="200">
        <f t="shared" si="41"/>
        <v>0</v>
      </c>
    </row>
    <row r="1041" spans="2:13" x14ac:dyDescent="0.35">
      <c r="B1041" s="117"/>
      <c r="C1041" s="117"/>
      <c r="D1041" s="117"/>
      <c r="E1041" s="117"/>
      <c r="F1041" s="200"/>
      <c r="G1041" s="200"/>
      <c r="H1041" s="200"/>
      <c r="I1041" s="200"/>
      <c r="J1041" s="200"/>
      <c r="K1041" s="200">
        <f>SUMIF(AE!C:C,ATB!C:C,AE!F:F)</f>
        <v>0</v>
      </c>
      <c r="L1041" s="200">
        <f t="shared" si="40"/>
        <v>0</v>
      </c>
      <c r="M1041" s="200">
        <f t="shared" si="41"/>
        <v>0</v>
      </c>
    </row>
    <row r="1042" spans="2:13" x14ac:dyDescent="0.35">
      <c r="B1042" s="117"/>
      <c r="C1042" s="117"/>
      <c r="D1042" s="117"/>
      <c r="E1042" s="117"/>
      <c r="F1042" s="200"/>
      <c r="G1042" s="200"/>
      <c r="H1042" s="200"/>
      <c r="I1042" s="200"/>
      <c r="J1042" s="200"/>
      <c r="K1042" s="200">
        <f>SUMIF(AE!C:C,ATB!C:C,AE!F:F)</f>
        <v>0</v>
      </c>
      <c r="L1042" s="200">
        <f t="shared" si="40"/>
        <v>0</v>
      </c>
      <c r="M1042" s="200">
        <f t="shared" si="41"/>
        <v>0</v>
      </c>
    </row>
    <row r="1043" spans="2:13" x14ac:dyDescent="0.35">
      <c r="B1043" s="117"/>
      <c r="C1043" s="117"/>
      <c r="D1043" s="117"/>
      <c r="E1043" s="117"/>
      <c r="F1043" s="200"/>
      <c r="G1043" s="200"/>
      <c r="H1043" s="200"/>
      <c r="I1043" s="200"/>
      <c r="J1043" s="200"/>
      <c r="K1043" s="200">
        <f>SUMIF(AE!C:C,ATB!C:C,AE!F:F)</f>
        <v>0</v>
      </c>
      <c r="L1043" s="200">
        <f t="shared" si="40"/>
        <v>0</v>
      </c>
      <c r="M1043" s="200">
        <f t="shared" si="41"/>
        <v>0</v>
      </c>
    </row>
    <row r="1044" spans="2:13" x14ac:dyDescent="0.35">
      <c r="B1044" s="117"/>
      <c r="C1044" s="117"/>
      <c r="D1044" s="117"/>
      <c r="E1044" s="117"/>
      <c r="F1044" s="200"/>
      <c r="G1044" s="200"/>
      <c r="H1044" s="200"/>
      <c r="I1044" s="200"/>
      <c r="J1044" s="200"/>
      <c r="K1044" s="200">
        <f>SUMIF(AE!C:C,ATB!C:C,AE!F:F)</f>
        <v>0</v>
      </c>
      <c r="L1044" s="200">
        <f t="shared" si="40"/>
        <v>0</v>
      </c>
      <c r="M1044" s="200">
        <f t="shared" si="41"/>
        <v>0</v>
      </c>
    </row>
    <row r="1045" spans="2:13" x14ac:dyDescent="0.35">
      <c r="B1045" s="117"/>
      <c r="C1045" s="117"/>
      <c r="D1045" s="117"/>
      <c r="E1045" s="117"/>
      <c r="F1045" s="200"/>
      <c r="G1045" s="200"/>
      <c r="H1045" s="200"/>
      <c r="I1045" s="200"/>
      <c r="J1045" s="200"/>
      <c r="K1045" s="200">
        <f>SUMIF(AE!C:C,ATB!C:C,AE!F:F)</f>
        <v>0</v>
      </c>
      <c r="L1045" s="200">
        <f t="shared" si="40"/>
        <v>0</v>
      </c>
      <c r="M1045" s="200">
        <f t="shared" si="41"/>
        <v>0</v>
      </c>
    </row>
    <row r="1046" spans="2:13" x14ac:dyDescent="0.35">
      <c r="B1046" s="117"/>
      <c r="C1046" s="117"/>
      <c r="D1046" s="117"/>
      <c r="E1046" s="117"/>
      <c r="F1046" s="200"/>
      <c r="G1046" s="200"/>
      <c r="H1046" s="200"/>
      <c r="I1046" s="200"/>
      <c r="J1046" s="200"/>
      <c r="K1046" s="200">
        <f>SUMIF(AE!C:C,ATB!C:C,AE!F:F)</f>
        <v>0</v>
      </c>
      <c r="L1046" s="200">
        <f t="shared" si="40"/>
        <v>0</v>
      </c>
      <c r="M1046" s="200">
        <f t="shared" si="41"/>
        <v>0</v>
      </c>
    </row>
    <row r="1047" spans="2:13" x14ac:dyDescent="0.35">
      <c r="B1047" s="117"/>
      <c r="C1047" s="117"/>
      <c r="D1047" s="117"/>
      <c r="E1047" s="117"/>
      <c r="F1047" s="200"/>
      <c r="G1047" s="200"/>
      <c r="H1047" s="200"/>
      <c r="I1047" s="200"/>
      <c r="J1047" s="200"/>
      <c r="K1047" s="200">
        <f>SUMIF(AE!C:C,ATB!C:C,AE!F:F)</f>
        <v>0</v>
      </c>
      <c r="L1047" s="200">
        <f t="shared" si="40"/>
        <v>0</v>
      </c>
      <c r="M1047" s="200">
        <f t="shared" si="41"/>
        <v>0</v>
      </c>
    </row>
    <row r="1048" spans="2:13" x14ac:dyDescent="0.35">
      <c r="B1048" s="117"/>
      <c r="C1048" s="117"/>
      <c r="D1048" s="117"/>
      <c r="E1048" s="117"/>
      <c r="F1048" s="200"/>
      <c r="G1048" s="200"/>
      <c r="H1048" s="200"/>
      <c r="I1048" s="200"/>
      <c r="J1048" s="200"/>
      <c r="K1048" s="200">
        <f>SUMIF(AE!C:C,ATB!C:C,AE!F:F)</f>
        <v>0</v>
      </c>
      <c r="L1048" s="200">
        <f t="shared" si="40"/>
        <v>0</v>
      </c>
      <c r="M1048" s="200">
        <f t="shared" si="41"/>
        <v>0</v>
      </c>
    </row>
    <row r="1049" spans="2:13" x14ac:dyDescent="0.35">
      <c r="B1049" s="117"/>
      <c r="C1049" s="117"/>
      <c r="D1049" s="117"/>
      <c r="E1049" s="117"/>
      <c r="F1049" s="200"/>
      <c r="G1049" s="200"/>
      <c r="H1049" s="200"/>
      <c r="I1049" s="200"/>
      <c r="J1049" s="200"/>
      <c r="K1049" s="200">
        <f>SUMIF(AE!C:C,ATB!C:C,AE!F:F)</f>
        <v>0</v>
      </c>
      <c r="L1049" s="200">
        <f t="shared" si="40"/>
        <v>0</v>
      </c>
      <c r="M1049" s="200">
        <f t="shared" si="41"/>
        <v>0</v>
      </c>
    </row>
    <row r="1050" spans="2:13" x14ac:dyDescent="0.35">
      <c r="B1050" s="117"/>
      <c r="C1050" s="117"/>
      <c r="D1050" s="117"/>
      <c r="E1050" s="117"/>
      <c r="F1050" s="200"/>
      <c r="G1050" s="200"/>
      <c r="H1050" s="200"/>
      <c r="I1050" s="200"/>
      <c r="J1050" s="200"/>
      <c r="K1050" s="200">
        <f>SUMIF(AE!C:C,ATB!C:C,AE!F:F)</f>
        <v>0</v>
      </c>
      <c r="L1050" s="200">
        <f t="shared" si="40"/>
        <v>0</v>
      </c>
      <c r="M1050" s="200">
        <f t="shared" si="41"/>
        <v>0</v>
      </c>
    </row>
    <row r="1051" spans="2:13" x14ac:dyDescent="0.35">
      <c r="B1051" s="117"/>
      <c r="C1051" s="117"/>
      <c r="D1051" s="117"/>
      <c r="E1051" s="117"/>
      <c r="F1051" s="200"/>
      <c r="G1051" s="200"/>
      <c r="H1051" s="200"/>
      <c r="I1051" s="200"/>
      <c r="J1051" s="200"/>
      <c r="K1051" s="200">
        <f>SUMIF(AE!C:C,ATB!C:C,AE!F:F)</f>
        <v>0</v>
      </c>
      <c r="L1051" s="200">
        <f t="shared" si="40"/>
        <v>0</v>
      </c>
      <c r="M1051" s="200">
        <f t="shared" si="41"/>
        <v>0</v>
      </c>
    </row>
    <row r="1052" spans="2:13" x14ac:dyDescent="0.35">
      <c r="B1052" s="117"/>
      <c r="C1052" s="117"/>
      <c r="D1052" s="117"/>
      <c r="E1052" s="117"/>
      <c r="F1052" s="200"/>
      <c r="G1052" s="200"/>
      <c r="H1052" s="200"/>
      <c r="I1052" s="200"/>
      <c r="J1052" s="200"/>
      <c r="K1052" s="200">
        <f>SUMIF(AE!C:C,ATB!C:C,AE!F:F)</f>
        <v>0</v>
      </c>
      <c r="L1052" s="200">
        <f t="shared" si="40"/>
        <v>0</v>
      </c>
      <c r="M1052" s="200">
        <f t="shared" si="41"/>
        <v>0</v>
      </c>
    </row>
    <row r="1053" spans="2:13" x14ac:dyDescent="0.35">
      <c r="B1053" s="117"/>
      <c r="C1053" s="117"/>
      <c r="D1053" s="117"/>
      <c r="E1053" s="117"/>
      <c r="F1053" s="200"/>
      <c r="G1053" s="200"/>
      <c r="H1053" s="200"/>
      <c r="I1053" s="200"/>
      <c r="J1053" s="200"/>
      <c r="K1053" s="200">
        <f>SUMIF(AE!C:C,ATB!C:C,AE!F:F)</f>
        <v>0</v>
      </c>
      <c r="L1053" s="200">
        <f t="shared" si="40"/>
        <v>0</v>
      </c>
      <c r="M1053" s="200">
        <f t="shared" si="41"/>
        <v>0</v>
      </c>
    </row>
    <row r="1054" spans="2:13" x14ac:dyDescent="0.35">
      <c r="B1054" s="117"/>
      <c r="C1054" s="117"/>
      <c r="D1054" s="117"/>
      <c r="E1054" s="117"/>
      <c r="F1054" s="200"/>
      <c r="G1054" s="200"/>
      <c r="H1054" s="200"/>
      <c r="I1054" s="200"/>
      <c r="J1054" s="200"/>
      <c r="K1054" s="200">
        <f>SUMIF(AE!C:C,ATB!C:C,AE!F:F)</f>
        <v>0</v>
      </c>
      <c r="L1054" s="200">
        <f t="shared" si="40"/>
        <v>0</v>
      </c>
      <c r="M1054" s="200">
        <f t="shared" si="41"/>
        <v>0</v>
      </c>
    </row>
    <row r="1055" spans="2:13" x14ac:dyDescent="0.35">
      <c r="B1055" s="117"/>
      <c r="C1055" s="117"/>
      <c r="D1055" s="117"/>
      <c r="E1055" s="117"/>
      <c r="F1055" s="200"/>
      <c r="G1055" s="200"/>
      <c r="H1055" s="200"/>
      <c r="I1055" s="200"/>
      <c r="J1055" s="200"/>
      <c r="K1055" s="200">
        <f>SUMIF(AE!C:C,ATB!C:C,AE!F:F)</f>
        <v>0</v>
      </c>
      <c r="L1055" s="200">
        <f t="shared" si="40"/>
        <v>0</v>
      </c>
      <c r="M1055" s="200">
        <f t="shared" si="41"/>
        <v>0</v>
      </c>
    </row>
    <row r="1056" spans="2:13" x14ac:dyDescent="0.35">
      <c r="B1056" s="117"/>
      <c r="C1056" s="117"/>
      <c r="D1056" s="117"/>
      <c r="E1056" s="117"/>
      <c r="F1056" s="200"/>
      <c r="G1056" s="200"/>
      <c r="H1056" s="200"/>
      <c r="I1056" s="200"/>
      <c r="J1056" s="200"/>
      <c r="K1056" s="200">
        <f>SUMIF(AE!C:C,ATB!C:C,AE!F:F)</f>
        <v>0</v>
      </c>
      <c r="L1056" s="200">
        <f t="shared" si="40"/>
        <v>0</v>
      </c>
      <c r="M1056" s="200">
        <f t="shared" si="41"/>
        <v>0</v>
      </c>
    </row>
    <row r="1057" spans="2:13" x14ac:dyDescent="0.35">
      <c r="B1057" s="117"/>
      <c r="C1057" s="117"/>
      <c r="D1057" s="117"/>
      <c r="E1057" s="117"/>
      <c r="F1057" s="200"/>
      <c r="G1057" s="200"/>
      <c r="H1057" s="200"/>
      <c r="I1057" s="200"/>
      <c r="J1057" s="200"/>
      <c r="K1057" s="200">
        <f>SUMIF(AE!C:C,ATB!C:C,AE!F:F)</f>
        <v>0</v>
      </c>
      <c r="L1057" s="200">
        <f t="shared" si="40"/>
        <v>0</v>
      </c>
      <c r="M1057" s="200">
        <f t="shared" si="41"/>
        <v>0</v>
      </c>
    </row>
    <row r="1058" spans="2:13" x14ac:dyDescent="0.35">
      <c r="B1058" s="117"/>
      <c r="C1058" s="117"/>
      <c r="D1058" s="117"/>
      <c r="E1058" s="117"/>
      <c r="F1058" s="200"/>
      <c r="G1058" s="200"/>
      <c r="H1058" s="200"/>
      <c r="I1058" s="200"/>
      <c r="J1058" s="200"/>
      <c r="K1058" s="200">
        <f>SUMIF(AE!C:C,ATB!C:C,AE!F:F)</f>
        <v>0</v>
      </c>
      <c r="L1058" s="200">
        <f t="shared" si="40"/>
        <v>0</v>
      </c>
      <c r="M1058" s="200">
        <f t="shared" si="41"/>
        <v>0</v>
      </c>
    </row>
    <row r="1059" spans="2:13" x14ac:dyDescent="0.35">
      <c r="B1059" s="117"/>
      <c r="C1059" s="117"/>
      <c r="D1059" s="117"/>
      <c r="E1059" s="117"/>
      <c r="F1059" s="200"/>
      <c r="G1059" s="200"/>
      <c r="H1059" s="200"/>
      <c r="I1059" s="200"/>
      <c r="J1059" s="200"/>
      <c r="K1059" s="200">
        <f>SUMIF(AE!C:C,ATB!C:C,AE!F:F)</f>
        <v>0</v>
      </c>
      <c r="L1059" s="200">
        <f t="shared" si="40"/>
        <v>0</v>
      </c>
      <c r="M1059" s="200">
        <f t="shared" si="41"/>
        <v>0</v>
      </c>
    </row>
    <row r="1060" spans="2:13" x14ac:dyDescent="0.35">
      <c r="B1060" s="117"/>
      <c r="C1060" s="117"/>
      <c r="D1060" s="117"/>
      <c r="E1060" s="117"/>
      <c r="F1060" s="200"/>
      <c r="G1060" s="200"/>
      <c r="H1060" s="200"/>
      <c r="I1060" s="200"/>
      <c r="J1060" s="200"/>
      <c r="K1060" s="200">
        <f>SUMIF(AE!C:C,ATB!C:C,AE!F:F)</f>
        <v>0</v>
      </c>
      <c r="L1060" s="200">
        <f t="shared" si="40"/>
        <v>0</v>
      </c>
      <c r="M1060" s="200">
        <f t="shared" si="41"/>
        <v>0</v>
      </c>
    </row>
    <row r="1061" spans="2:13" x14ac:dyDescent="0.35">
      <c r="B1061" s="117"/>
      <c r="C1061" s="117"/>
      <c r="D1061" s="117"/>
      <c r="E1061" s="117"/>
      <c r="F1061" s="200"/>
      <c r="G1061" s="200"/>
      <c r="H1061" s="200"/>
      <c r="I1061" s="200"/>
      <c r="J1061" s="200"/>
      <c r="K1061" s="200">
        <f>SUMIF(AE!C:C,ATB!C:C,AE!F:F)</f>
        <v>0</v>
      </c>
      <c r="L1061" s="200">
        <f t="shared" si="40"/>
        <v>0</v>
      </c>
      <c r="M1061" s="200">
        <f t="shared" si="41"/>
        <v>0</v>
      </c>
    </row>
    <row r="1062" spans="2:13" x14ac:dyDescent="0.35">
      <c r="B1062" s="117"/>
      <c r="C1062" s="117"/>
      <c r="D1062" s="117"/>
      <c r="E1062" s="117"/>
      <c r="F1062" s="200"/>
      <c r="G1062" s="200"/>
      <c r="H1062" s="200"/>
      <c r="I1062" s="200"/>
      <c r="J1062" s="200"/>
      <c r="K1062" s="200">
        <f>SUMIF(AE!C:C,ATB!C:C,AE!F:F)</f>
        <v>0</v>
      </c>
      <c r="L1062" s="200">
        <f t="shared" si="40"/>
        <v>0</v>
      </c>
      <c r="M1062" s="200">
        <f t="shared" si="41"/>
        <v>0</v>
      </c>
    </row>
    <row r="1063" spans="2:13" x14ac:dyDescent="0.35">
      <c r="B1063" s="117"/>
      <c r="C1063" s="117"/>
      <c r="D1063" s="117"/>
      <c r="E1063" s="117"/>
      <c r="F1063" s="200"/>
      <c r="G1063" s="200"/>
      <c r="H1063" s="200"/>
      <c r="I1063" s="200"/>
      <c r="J1063" s="200"/>
      <c r="K1063" s="200">
        <f>SUMIF(AE!C:C,ATB!C:C,AE!F:F)</f>
        <v>0</v>
      </c>
      <c r="L1063" s="200">
        <f t="shared" si="40"/>
        <v>0</v>
      </c>
      <c r="M1063" s="200">
        <f t="shared" si="41"/>
        <v>0</v>
      </c>
    </row>
    <row r="1064" spans="2:13" x14ac:dyDescent="0.35">
      <c r="B1064" s="117"/>
      <c r="C1064" s="117"/>
      <c r="D1064" s="117"/>
      <c r="E1064" s="117"/>
      <c r="F1064" s="200"/>
      <c r="G1064" s="200"/>
      <c r="H1064" s="200"/>
      <c r="I1064" s="200"/>
      <c r="J1064" s="200"/>
      <c r="K1064" s="200">
        <f>SUMIF(AE!C:C,ATB!C:C,AE!F:F)</f>
        <v>0</v>
      </c>
      <c r="L1064" s="200">
        <f t="shared" si="40"/>
        <v>0</v>
      </c>
      <c r="M1064" s="200">
        <f t="shared" si="41"/>
        <v>0</v>
      </c>
    </row>
    <row r="1065" spans="2:13" x14ac:dyDescent="0.35">
      <c r="B1065" s="117"/>
      <c r="C1065" s="117"/>
      <c r="D1065" s="117"/>
      <c r="E1065" s="117"/>
      <c r="F1065" s="200"/>
      <c r="G1065" s="200"/>
      <c r="H1065" s="200"/>
      <c r="I1065" s="200"/>
      <c r="J1065" s="200"/>
      <c r="K1065" s="200">
        <f>SUMIF(AE!C:C,ATB!C:C,AE!F:F)</f>
        <v>0</v>
      </c>
      <c r="L1065" s="200">
        <f t="shared" si="40"/>
        <v>0</v>
      </c>
      <c r="M1065" s="200">
        <f t="shared" si="41"/>
        <v>0</v>
      </c>
    </row>
    <row r="1066" spans="2:13" x14ac:dyDescent="0.35">
      <c r="B1066" s="117"/>
      <c r="C1066" s="117"/>
      <c r="D1066" s="117"/>
      <c r="E1066" s="117"/>
      <c r="F1066" s="200"/>
      <c r="G1066" s="200"/>
      <c r="H1066" s="200"/>
      <c r="I1066" s="200"/>
      <c r="J1066" s="200"/>
      <c r="K1066" s="200">
        <f>SUMIF(AE!C:C,ATB!C:C,AE!F:F)</f>
        <v>0</v>
      </c>
      <c r="L1066" s="200">
        <f t="shared" si="40"/>
        <v>0</v>
      </c>
      <c r="M1066" s="200">
        <f t="shared" si="41"/>
        <v>0</v>
      </c>
    </row>
    <row r="1067" spans="2:13" x14ac:dyDescent="0.35">
      <c r="B1067" s="117"/>
      <c r="C1067" s="117"/>
      <c r="D1067" s="117"/>
      <c r="E1067" s="117"/>
      <c r="F1067" s="200"/>
      <c r="G1067" s="200"/>
      <c r="H1067" s="200"/>
      <c r="I1067" s="200"/>
      <c r="J1067" s="200"/>
      <c r="K1067" s="200">
        <f>SUMIF(AE!C:C,ATB!C:C,AE!F:F)</f>
        <v>0</v>
      </c>
      <c r="L1067" s="200">
        <f t="shared" si="40"/>
        <v>0</v>
      </c>
      <c r="M1067" s="200">
        <f t="shared" si="41"/>
        <v>0</v>
      </c>
    </row>
    <row r="1068" spans="2:13" x14ac:dyDescent="0.35">
      <c r="B1068" s="117"/>
      <c r="C1068" s="117"/>
      <c r="D1068" s="117"/>
      <c r="E1068" s="117"/>
      <c r="F1068" s="200"/>
      <c r="G1068" s="200"/>
      <c r="H1068" s="200"/>
      <c r="I1068" s="200"/>
      <c r="J1068" s="200"/>
      <c r="K1068" s="200">
        <f>SUMIF(AE!C:C,ATB!C:C,AE!F:F)</f>
        <v>0</v>
      </c>
      <c r="L1068" s="200">
        <f t="shared" si="40"/>
        <v>0</v>
      </c>
      <c r="M1068" s="200">
        <f t="shared" si="41"/>
        <v>0</v>
      </c>
    </row>
    <row r="1069" spans="2:13" x14ac:dyDescent="0.35">
      <c r="B1069" s="117"/>
      <c r="C1069" s="117"/>
      <c r="D1069" s="117"/>
      <c r="E1069" s="117"/>
      <c r="F1069" s="200"/>
      <c r="G1069" s="200"/>
      <c r="H1069" s="200"/>
      <c r="I1069" s="200"/>
      <c r="J1069" s="200"/>
      <c r="K1069" s="200">
        <f>SUMIF(AE!C:C,ATB!C:C,AE!F:F)</f>
        <v>0</v>
      </c>
      <c r="L1069" s="200">
        <f t="shared" si="40"/>
        <v>0</v>
      </c>
      <c r="M1069" s="200">
        <f t="shared" si="41"/>
        <v>0</v>
      </c>
    </row>
    <row r="1070" spans="2:13" x14ac:dyDescent="0.35">
      <c r="B1070" s="117"/>
      <c r="C1070" s="117"/>
      <c r="D1070" s="117"/>
      <c r="E1070" s="117"/>
      <c r="F1070" s="200"/>
      <c r="G1070" s="200"/>
      <c r="H1070" s="200"/>
      <c r="I1070" s="200"/>
      <c r="J1070" s="200"/>
      <c r="K1070" s="200">
        <f>SUMIF(AE!C:C,ATB!C:C,AE!F:F)</f>
        <v>0</v>
      </c>
      <c r="L1070" s="200">
        <f t="shared" si="40"/>
        <v>0</v>
      </c>
      <c r="M1070" s="200">
        <f t="shared" si="41"/>
        <v>0</v>
      </c>
    </row>
    <row r="1071" spans="2:13" x14ac:dyDescent="0.35">
      <c r="B1071" s="117"/>
      <c r="C1071" s="117"/>
      <c r="D1071" s="117"/>
      <c r="E1071" s="117"/>
      <c r="F1071" s="200"/>
      <c r="G1071" s="200"/>
      <c r="H1071" s="200"/>
      <c r="I1071" s="200"/>
      <c r="J1071" s="200"/>
      <c r="K1071" s="200">
        <f>SUMIF(AE!C:C,ATB!C:C,AE!F:F)</f>
        <v>0</v>
      </c>
      <c r="L1071" s="200">
        <f t="shared" si="40"/>
        <v>0</v>
      </c>
      <c r="M1071" s="200">
        <f t="shared" si="41"/>
        <v>0</v>
      </c>
    </row>
    <row r="1072" spans="2:13" x14ac:dyDescent="0.35">
      <c r="B1072" s="117"/>
      <c r="C1072" s="117"/>
      <c r="D1072" s="117"/>
      <c r="E1072" s="117"/>
      <c r="F1072" s="200"/>
      <c r="G1072" s="200"/>
      <c r="H1072" s="200"/>
      <c r="I1072" s="200"/>
      <c r="J1072" s="200"/>
      <c r="K1072" s="200">
        <f>SUMIF(AE!C:C,ATB!C:C,AE!F:F)</f>
        <v>0</v>
      </c>
      <c r="L1072" s="200">
        <f t="shared" si="40"/>
        <v>0</v>
      </c>
      <c r="M1072" s="200">
        <f t="shared" si="41"/>
        <v>0</v>
      </c>
    </row>
    <row r="1073" spans="2:13" x14ac:dyDescent="0.35">
      <c r="B1073" s="117"/>
      <c r="C1073" s="117"/>
      <c r="D1073" s="117"/>
      <c r="E1073" s="117"/>
      <c r="F1073" s="200"/>
      <c r="G1073" s="200"/>
      <c r="H1073" s="200"/>
      <c r="I1073" s="200"/>
      <c r="J1073" s="200"/>
      <c r="K1073" s="200">
        <f>SUMIF(AE!C:C,ATB!C:C,AE!F:F)</f>
        <v>0</v>
      </c>
      <c r="L1073" s="200">
        <f t="shared" si="40"/>
        <v>0</v>
      </c>
      <c r="M1073" s="200">
        <f t="shared" si="41"/>
        <v>0</v>
      </c>
    </row>
    <row r="1074" spans="2:13" x14ac:dyDescent="0.35">
      <c r="B1074" s="117"/>
      <c r="C1074" s="117"/>
      <c r="D1074" s="117"/>
      <c r="E1074" s="117"/>
      <c r="F1074" s="200"/>
      <c r="G1074" s="200"/>
      <c r="H1074" s="200"/>
      <c r="I1074" s="200"/>
      <c r="J1074" s="200"/>
      <c r="K1074" s="200">
        <f>SUMIF(AE!C:C,ATB!C:C,AE!F:F)</f>
        <v>0</v>
      </c>
      <c r="L1074" s="200">
        <f t="shared" si="40"/>
        <v>0</v>
      </c>
      <c r="M1074" s="200">
        <f t="shared" si="41"/>
        <v>0</v>
      </c>
    </row>
    <row r="1075" spans="2:13" x14ac:dyDescent="0.35">
      <c r="B1075" s="117"/>
      <c r="C1075" s="117"/>
      <c r="D1075" s="117"/>
      <c r="E1075" s="117"/>
      <c r="F1075" s="200"/>
      <c r="G1075" s="200"/>
      <c r="H1075" s="200"/>
      <c r="I1075" s="200"/>
      <c r="J1075" s="200"/>
      <c r="K1075" s="200">
        <f>SUMIF(AE!C:C,ATB!C:C,AE!F:F)</f>
        <v>0</v>
      </c>
      <c r="L1075" s="200">
        <f t="shared" si="40"/>
        <v>0</v>
      </c>
      <c r="M1075" s="200">
        <f t="shared" si="41"/>
        <v>0</v>
      </c>
    </row>
    <row r="1076" spans="2:13" x14ac:dyDescent="0.35">
      <c r="B1076" s="117"/>
      <c r="C1076" s="117"/>
      <c r="D1076" s="117"/>
      <c r="E1076" s="117"/>
      <c r="F1076" s="200"/>
      <c r="G1076" s="200"/>
      <c r="H1076" s="200"/>
      <c r="I1076" s="200"/>
      <c r="J1076" s="200"/>
      <c r="K1076" s="200">
        <f>SUMIF(AE!C:C,ATB!C:C,AE!F:F)</f>
        <v>0</v>
      </c>
      <c r="L1076" s="200">
        <f t="shared" si="40"/>
        <v>0</v>
      </c>
      <c r="M1076" s="200">
        <f t="shared" si="41"/>
        <v>0</v>
      </c>
    </row>
    <row r="1077" spans="2:13" x14ac:dyDescent="0.35">
      <c r="B1077" s="117"/>
      <c r="C1077" s="117"/>
      <c r="D1077" s="117"/>
      <c r="E1077" s="117"/>
      <c r="F1077" s="200"/>
      <c r="G1077" s="200"/>
      <c r="H1077" s="200"/>
      <c r="I1077" s="200"/>
      <c r="J1077" s="200"/>
      <c r="K1077" s="200">
        <f>SUMIF(AE!C:C,ATB!C:C,AE!F:F)</f>
        <v>0</v>
      </c>
      <c r="L1077" s="200">
        <f t="shared" si="40"/>
        <v>0</v>
      </c>
      <c r="M1077" s="200">
        <f t="shared" si="41"/>
        <v>0</v>
      </c>
    </row>
    <row r="1078" spans="2:13" x14ac:dyDescent="0.35">
      <c r="B1078" s="117"/>
      <c r="C1078" s="117"/>
      <c r="D1078" s="117"/>
      <c r="E1078" s="117"/>
      <c r="F1078" s="200"/>
      <c r="G1078" s="200"/>
      <c r="H1078" s="200"/>
      <c r="I1078" s="200"/>
      <c r="J1078" s="200"/>
      <c r="K1078" s="200">
        <f>SUMIF(AE!C:C,ATB!C:C,AE!F:F)</f>
        <v>0</v>
      </c>
      <c r="L1078" s="200">
        <f t="shared" si="40"/>
        <v>0</v>
      </c>
      <c r="M1078" s="200">
        <f t="shared" si="41"/>
        <v>0</v>
      </c>
    </row>
    <row r="1079" spans="2:13" x14ac:dyDescent="0.35">
      <c r="B1079" s="117"/>
      <c r="C1079" s="117"/>
      <c r="D1079" s="117"/>
      <c r="E1079" s="117"/>
      <c r="F1079" s="200"/>
      <c r="G1079" s="200"/>
      <c r="H1079" s="200"/>
      <c r="I1079" s="200"/>
      <c r="J1079" s="200"/>
      <c r="K1079" s="200">
        <f>SUMIF(AE!C:C,ATB!C:C,AE!F:F)</f>
        <v>0</v>
      </c>
      <c r="L1079" s="200">
        <f t="shared" si="40"/>
        <v>0</v>
      </c>
      <c r="M1079" s="200">
        <f t="shared" si="41"/>
        <v>0</v>
      </c>
    </row>
    <row r="1080" spans="2:13" x14ac:dyDescent="0.35">
      <c r="B1080" s="117"/>
      <c r="C1080" s="117"/>
      <c r="D1080" s="117"/>
      <c r="E1080" s="117"/>
      <c r="F1080" s="200"/>
      <c r="G1080" s="200"/>
      <c r="H1080" s="200"/>
      <c r="I1080" s="200"/>
      <c r="J1080" s="200"/>
      <c r="K1080" s="200">
        <f>SUMIF(AE!C:C,ATB!C:C,AE!F:F)</f>
        <v>0</v>
      </c>
      <c r="L1080" s="200">
        <f t="shared" si="40"/>
        <v>0</v>
      </c>
      <c r="M1080" s="200">
        <f t="shared" si="41"/>
        <v>0</v>
      </c>
    </row>
    <row r="1081" spans="2:13" x14ac:dyDescent="0.35">
      <c r="B1081" s="117"/>
      <c r="C1081" s="117"/>
      <c r="D1081" s="117"/>
      <c r="E1081" s="117"/>
      <c r="F1081" s="200"/>
      <c r="G1081" s="200"/>
      <c r="H1081" s="200"/>
      <c r="I1081" s="200"/>
      <c r="J1081" s="200"/>
      <c r="K1081" s="200">
        <f>SUMIF(AE!C:C,ATB!C:C,AE!F:F)</f>
        <v>0</v>
      </c>
      <c r="L1081" s="200">
        <f t="shared" si="40"/>
        <v>0</v>
      </c>
      <c r="M1081" s="200">
        <f t="shared" si="41"/>
        <v>0</v>
      </c>
    </row>
    <row r="1082" spans="2:13" x14ac:dyDescent="0.35">
      <c r="B1082" s="117"/>
      <c r="C1082" s="117"/>
      <c r="D1082" s="117"/>
      <c r="E1082" s="117"/>
      <c r="F1082" s="200"/>
      <c r="G1082" s="200"/>
      <c r="H1082" s="200"/>
      <c r="I1082" s="200"/>
      <c r="J1082" s="200"/>
      <c r="K1082" s="200">
        <f>SUMIF(AE!C:C,ATB!C:C,AE!F:F)</f>
        <v>0</v>
      </c>
      <c r="L1082" s="200">
        <f t="shared" si="40"/>
        <v>0</v>
      </c>
      <c r="M1082" s="200">
        <f t="shared" si="41"/>
        <v>0</v>
      </c>
    </row>
    <row r="1083" spans="2:13" x14ac:dyDescent="0.35">
      <c r="B1083" s="117"/>
      <c r="C1083" s="117"/>
      <c r="D1083" s="117"/>
      <c r="E1083" s="117"/>
      <c r="F1083" s="200"/>
      <c r="G1083" s="200"/>
      <c r="H1083" s="200"/>
      <c r="I1083" s="200"/>
      <c r="J1083" s="200"/>
      <c r="K1083" s="200">
        <f>SUMIF(AE!C:C,ATB!C:C,AE!F:F)</f>
        <v>0</v>
      </c>
      <c r="L1083" s="200">
        <f t="shared" si="40"/>
        <v>0</v>
      </c>
      <c r="M1083" s="200">
        <f t="shared" si="41"/>
        <v>0</v>
      </c>
    </row>
    <row r="1084" spans="2:13" x14ac:dyDescent="0.35">
      <c r="B1084" s="117"/>
      <c r="C1084" s="117"/>
      <c r="D1084" s="117"/>
      <c r="E1084" s="117"/>
      <c r="F1084" s="200"/>
      <c r="G1084" s="200"/>
      <c r="H1084" s="200"/>
      <c r="I1084" s="200"/>
      <c r="J1084" s="200"/>
      <c r="K1084" s="200">
        <f>SUMIF(AE!C:C,ATB!C:C,AE!F:F)</f>
        <v>0</v>
      </c>
      <c r="L1084" s="200">
        <f t="shared" si="40"/>
        <v>0</v>
      </c>
      <c r="M1084" s="200">
        <f t="shared" si="41"/>
        <v>0</v>
      </c>
    </row>
    <row r="1085" spans="2:13" x14ac:dyDescent="0.35">
      <c r="B1085" s="117"/>
      <c r="C1085" s="117"/>
      <c r="D1085" s="117"/>
      <c r="E1085" s="117"/>
      <c r="F1085" s="200"/>
      <c r="G1085" s="200"/>
      <c r="H1085" s="200"/>
      <c r="I1085" s="200"/>
      <c r="J1085" s="200"/>
      <c r="K1085" s="200">
        <f>SUMIF(AE!C:C,ATB!C:C,AE!F:F)</f>
        <v>0</v>
      </c>
      <c r="L1085" s="200">
        <f t="shared" si="40"/>
        <v>0</v>
      </c>
      <c r="M1085" s="200">
        <f t="shared" si="41"/>
        <v>0</v>
      </c>
    </row>
    <row r="1086" spans="2:13" x14ac:dyDescent="0.35">
      <c r="B1086" s="117"/>
      <c r="C1086" s="117"/>
      <c r="D1086" s="117"/>
      <c r="E1086" s="117"/>
      <c r="F1086" s="200"/>
      <c r="G1086" s="200"/>
      <c r="H1086" s="200"/>
      <c r="I1086" s="200"/>
      <c r="J1086" s="200"/>
      <c r="K1086" s="200">
        <f>SUMIF(AE!C:C,ATB!C:C,AE!F:F)</f>
        <v>0</v>
      </c>
      <c r="L1086" s="200">
        <f t="shared" si="40"/>
        <v>0</v>
      </c>
      <c r="M1086" s="200">
        <f t="shared" si="41"/>
        <v>0</v>
      </c>
    </row>
    <row r="1087" spans="2:13" x14ac:dyDescent="0.35">
      <c r="B1087" s="117"/>
      <c r="C1087" s="117"/>
      <c r="D1087" s="117"/>
      <c r="E1087" s="117"/>
      <c r="F1087" s="200"/>
      <c r="G1087" s="200"/>
      <c r="H1087" s="200"/>
      <c r="I1087" s="200"/>
      <c r="J1087" s="200"/>
      <c r="K1087" s="200">
        <f>SUMIF(AE!C:C,ATB!C:C,AE!F:F)</f>
        <v>0</v>
      </c>
      <c r="L1087" s="200">
        <f t="shared" si="40"/>
        <v>0</v>
      </c>
      <c r="M1087" s="200">
        <f t="shared" si="41"/>
        <v>0</v>
      </c>
    </row>
    <row r="1088" spans="2:13" x14ac:dyDescent="0.35">
      <c r="B1088" s="117"/>
      <c r="C1088" s="117"/>
      <c r="D1088" s="117"/>
      <c r="E1088" s="117"/>
      <c r="F1088" s="200"/>
      <c r="G1088" s="200"/>
      <c r="H1088" s="200"/>
      <c r="I1088" s="200"/>
      <c r="J1088" s="200"/>
      <c r="K1088" s="200">
        <f>SUMIF(AE!C:C,ATB!C:C,AE!F:F)</f>
        <v>0</v>
      </c>
      <c r="L1088" s="200">
        <f t="shared" si="40"/>
        <v>0</v>
      </c>
      <c r="M1088" s="200">
        <f t="shared" si="41"/>
        <v>0</v>
      </c>
    </row>
    <row r="1089" spans="2:13" x14ac:dyDescent="0.35">
      <c r="B1089" s="117"/>
      <c r="C1089" s="117"/>
      <c r="D1089" s="117"/>
      <c r="E1089" s="117"/>
      <c r="F1089" s="200"/>
      <c r="G1089" s="200"/>
      <c r="H1089" s="200"/>
      <c r="I1089" s="200"/>
      <c r="J1089" s="200"/>
      <c r="K1089" s="200">
        <f>SUMIF(AE!C:C,ATB!C:C,AE!F:F)</f>
        <v>0</v>
      </c>
      <c r="L1089" s="200">
        <f t="shared" si="40"/>
        <v>0</v>
      </c>
      <c r="M1089" s="200">
        <f t="shared" si="41"/>
        <v>0</v>
      </c>
    </row>
    <row r="1090" spans="2:13" x14ac:dyDescent="0.35">
      <c r="B1090" s="117"/>
      <c r="C1090" s="117"/>
      <c r="D1090" s="117"/>
      <c r="E1090" s="117"/>
      <c r="F1090" s="200"/>
      <c r="G1090" s="200"/>
      <c r="H1090" s="200"/>
      <c r="I1090" s="200"/>
      <c r="J1090" s="200"/>
      <c r="K1090" s="200">
        <f>SUMIF(AE!C:C,ATB!C:C,AE!F:F)</f>
        <v>0</v>
      </c>
      <c r="L1090" s="200">
        <f t="shared" ref="L1090:L1153" si="42">ROUND(IF(F1090+H1090+J1090-G1090-I1090-K1090&gt;0,F1090+H1090+J1090-G1090-I1090-K1090,0),0)</f>
        <v>0</v>
      </c>
      <c r="M1090" s="200">
        <f t="shared" ref="M1090:M1153" si="43">-ROUND(IF(F1090+H1090+J1090-G1090-I1090-K1090&lt;0,F1090+H1090+J1090-G1090-I1090-K1090,0),0)</f>
        <v>0</v>
      </c>
    </row>
    <row r="1091" spans="2:13" x14ac:dyDescent="0.35">
      <c r="B1091" s="117"/>
      <c r="C1091" s="117"/>
      <c r="D1091" s="117"/>
      <c r="E1091" s="117"/>
      <c r="F1091" s="200"/>
      <c r="G1091" s="200"/>
      <c r="H1091" s="200"/>
      <c r="I1091" s="200"/>
      <c r="J1091" s="200"/>
      <c r="K1091" s="200">
        <f>SUMIF(AE!C:C,ATB!C:C,AE!F:F)</f>
        <v>0</v>
      </c>
      <c r="L1091" s="200">
        <f t="shared" si="42"/>
        <v>0</v>
      </c>
      <c r="M1091" s="200">
        <f t="shared" si="43"/>
        <v>0</v>
      </c>
    </row>
    <row r="1092" spans="2:13" x14ac:dyDescent="0.35">
      <c r="B1092" s="117"/>
      <c r="C1092" s="117"/>
      <c r="D1092" s="117"/>
      <c r="E1092" s="117"/>
      <c r="F1092" s="200"/>
      <c r="G1092" s="200"/>
      <c r="H1092" s="200"/>
      <c r="I1092" s="200"/>
      <c r="J1092" s="200"/>
      <c r="K1092" s="200">
        <f>SUMIF(AE!C:C,ATB!C:C,AE!F:F)</f>
        <v>0</v>
      </c>
      <c r="L1092" s="200">
        <f t="shared" si="42"/>
        <v>0</v>
      </c>
      <c r="M1092" s="200">
        <f t="shared" si="43"/>
        <v>0</v>
      </c>
    </row>
    <row r="1093" spans="2:13" x14ac:dyDescent="0.35">
      <c r="B1093" s="117"/>
      <c r="C1093" s="117"/>
      <c r="D1093" s="117"/>
      <c r="E1093" s="117"/>
      <c r="F1093" s="200"/>
      <c r="G1093" s="200"/>
      <c r="H1093" s="200"/>
      <c r="I1093" s="200"/>
      <c r="J1093" s="200"/>
      <c r="K1093" s="200">
        <f>SUMIF(AE!C:C,ATB!C:C,AE!F:F)</f>
        <v>0</v>
      </c>
      <c r="L1093" s="200">
        <f t="shared" si="42"/>
        <v>0</v>
      </c>
      <c r="M1093" s="200">
        <f t="shared" si="43"/>
        <v>0</v>
      </c>
    </row>
    <row r="1094" spans="2:13" x14ac:dyDescent="0.35">
      <c r="B1094" s="117"/>
      <c r="C1094" s="117"/>
      <c r="D1094" s="117"/>
      <c r="E1094" s="117"/>
      <c r="F1094" s="200"/>
      <c r="G1094" s="200"/>
      <c r="H1094" s="200"/>
      <c r="I1094" s="200"/>
      <c r="J1094" s="200"/>
      <c r="K1094" s="200">
        <f>SUMIF(AE!C:C,ATB!C:C,AE!F:F)</f>
        <v>0</v>
      </c>
      <c r="L1094" s="200">
        <f t="shared" si="42"/>
        <v>0</v>
      </c>
      <c r="M1094" s="200">
        <f t="shared" si="43"/>
        <v>0</v>
      </c>
    </row>
    <row r="1095" spans="2:13" x14ac:dyDescent="0.35">
      <c r="B1095" s="117"/>
      <c r="C1095" s="117"/>
      <c r="D1095" s="117"/>
      <c r="E1095" s="117"/>
      <c r="F1095" s="200"/>
      <c r="G1095" s="200"/>
      <c r="H1095" s="200"/>
      <c r="I1095" s="200"/>
      <c r="J1095" s="200"/>
      <c r="K1095" s="200">
        <f>SUMIF(AE!C:C,ATB!C:C,AE!F:F)</f>
        <v>0</v>
      </c>
      <c r="L1095" s="200">
        <f t="shared" si="42"/>
        <v>0</v>
      </c>
      <c r="M1095" s="200">
        <f t="shared" si="43"/>
        <v>0</v>
      </c>
    </row>
    <row r="1096" spans="2:13" x14ac:dyDescent="0.35">
      <c r="B1096" s="117"/>
      <c r="C1096" s="117"/>
      <c r="D1096" s="117"/>
      <c r="E1096" s="117"/>
      <c r="F1096" s="200"/>
      <c r="G1096" s="200"/>
      <c r="H1096" s="200"/>
      <c r="I1096" s="200"/>
      <c r="J1096" s="200"/>
      <c r="K1096" s="200">
        <f>SUMIF(AE!C:C,ATB!C:C,AE!F:F)</f>
        <v>0</v>
      </c>
      <c r="L1096" s="200">
        <f t="shared" si="42"/>
        <v>0</v>
      </c>
      <c r="M1096" s="200">
        <f t="shared" si="43"/>
        <v>0</v>
      </c>
    </row>
    <row r="1097" spans="2:13" x14ac:dyDescent="0.35">
      <c r="B1097" s="117"/>
      <c r="C1097" s="117"/>
      <c r="D1097" s="117"/>
      <c r="E1097" s="117"/>
      <c r="F1097" s="200"/>
      <c r="G1097" s="200"/>
      <c r="H1097" s="200"/>
      <c r="I1097" s="200"/>
      <c r="J1097" s="200"/>
      <c r="K1097" s="200">
        <f>SUMIF(AE!C:C,ATB!C:C,AE!F:F)</f>
        <v>0</v>
      </c>
      <c r="L1097" s="200">
        <f t="shared" si="42"/>
        <v>0</v>
      </c>
      <c r="M1097" s="200">
        <f t="shared" si="43"/>
        <v>0</v>
      </c>
    </row>
    <row r="1098" spans="2:13" x14ac:dyDescent="0.35">
      <c r="B1098" s="117"/>
      <c r="C1098" s="117"/>
      <c r="D1098" s="117"/>
      <c r="E1098" s="117"/>
      <c r="F1098" s="200"/>
      <c r="G1098" s="200"/>
      <c r="H1098" s="200"/>
      <c r="I1098" s="200"/>
      <c r="J1098" s="200"/>
      <c r="K1098" s="200">
        <f>SUMIF(AE!C:C,ATB!C:C,AE!F:F)</f>
        <v>0</v>
      </c>
      <c r="L1098" s="200">
        <f t="shared" si="42"/>
        <v>0</v>
      </c>
      <c r="M1098" s="200">
        <f t="shared" si="43"/>
        <v>0</v>
      </c>
    </row>
    <row r="1099" spans="2:13" x14ac:dyDescent="0.35">
      <c r="B1099" s="117"/>
      <c r="C1099" s="117"/>
      <c r="D1099" s="117"/>
      <c r="E1099" s="117"/>
      <c r="F1099" s="200"/>
      <c r="G1099" s="200"/>
      <c r="H1099" s="200"/>
      <c r="I1099" s="200"/>
      <c r="J1099" s="200"/>
      <c r="K1099" s="200">
        <f>SUMIF(AE!C:C,ATB!C:C,AE!F:F)</f>
        <v>0</v>
      </c>
      <c r="L1099" s="200">
        <f t="shared" si="42"/>
        <v>0</v>
      </c>
      <c r="M1099" s="200">
        <f t="shared" si="43"/>
        <v>0</v>
      </c>
    </row>
    <row r="1100" spans="2:13" x14ac:dyDescent="0.35">
      <c r="B1100" s="117"/>
      <c r="C1100" s="117"/>
      <c r="D1100" s="117"/>
      <c r="E1100" s="117"/>
      <c r="F1100" s="200"/>
      <c r="G1100" s="200"/>
      <c r="H1100" s="200"/>
      <c r="I1100" s="200"/>
      <c r="J1100" s="200"/>
      <c r="K1100" s="200">
        <f>SUMIF(AE!C:C,ATB!C:C,AE!F:F)</f>
        <v>0</v>
      </c>
      <c r="L1100" s="200">
        <f t="shared" si="42"/>
        <v>0</v>
      </c>
      <c r="M1100" s="200">
        <f t="shared" si="43"/>
        <v>0</v>
      </c>
    </row>
    <row r="1101" spans="2:13" x14ac:dyDescent="0.35">
      <c r="B1101" s="117"/>
      <c r="C1101" s="117"/>
      <c r="D1101" s="117"/>
      <c r="E1101" s="117"/>
      <c r="F1101" s="200"/>
      <c r="G1101" s="200"/>
      <c r="H1101" s="200"/>
      <c r="I1101" s="200"/>
      <c r="J1101" s="200"/>
      <c r="K1101" s="200">
        <f>SUMIF(AE!C:C,ATB!C:C,AE!F:F)</f>
        <v>0</v>
      </c>
      <c r="L1101" s="200">
        <f t="shared" si="42"/>
        <v>0</v>
      </c>
      <c r="M1101" s="200">
        <f t="shared" si="43"/>
        <v>0</v>
      </c>
    </row>
    <row r="1102" spans="2:13" x14ac:dyDescent="0.35">
      <c r="B1102" s="117"/>
      <c r="C1102" s="117"/>
      <c r="D1102" s="117"/>
      <c r="E1102" s="117"/>
      <c r="F1102" s="200"/>
      <c r="G1102" s="200"/>
      <c r="H1102" s="200"/>
      <c r="I1102" s="200"/>
      <c r="J1102" s="200"/>
      <c r="K1102" s="200">
        <f>SUMIF(AE!C:C,ATB!C:C,AE!F:F)</f>
        <v>0</v>
      </c>
      <c r="L1102" s="200">
        <f t="shared" si="42"/>
        <v>0</v>
      </c>
      <c r="M1102" s="200">
        <f t="shared" si="43"/>
        <v>0</v>
      </c>
    </row>
    <row r="1103" spans="2:13" x14ac:dyDescent="0.35">
      <c r="B1103" s="117"/>
      <c r="C1103" s="117"/>
      <c r="D1103" s="117"/>
      <c r="E1103" s="117"/>
      <c r="F1103" s="200"/>
      <c r="G1103" s="200"/>
      <c r="H1103" s="200"/>
      <c r="I1103" s="200"/>
      <c r="J1103" s="200"/>
      <c r="K1103" s="200">
        <f>SUMIF(AE!C:C,ATB!C:C,AE!F:F)</f>
        <v>0</v>
      </c>
      <c r="L1103" s="200">
        <f t="shared" si="42"/>
        <v>0</v>
      </c>
      <c r="M1103" s="200">
        <f t="shared" si="43"/>
        <v>0</v>
      </c>
    </row>
    <row r="1104" spans="2:13" x14ac:dyDescent="0.35">
      <c r="B1104" s="117"/>
      <c r="C1104" s="117"/>
      <c r="D1104" s="117"/>
      <c r="E1104" s="117"/>
      <c r="F1104" s="200"/>
      <c r="G1104" s="200"/>
      <c r="H1104" s="200"/>
      <c r="I1104" s="200"/>
      <c r="J1104" s="200"/>
      <c r="K1104" s="200">
        <f>SUMIF(AE!C:C,ATB!C:C,AE!F:F)</f>
        <v>0</v>
      </c>
      <c r="L1104" s="200">
        <f t="shared" si="42"/>
        <v>0</v>
      </c>
      <c r="M1104" s="200">
        <f t="shared" si="43"/>
        <v>0</v>
      </c>
    </row>
    <row r="1105" spans="2:13" x14ac:dyDescent="0.35">
      <c r="B1105" s="117"/>
      <c r="C1105" s="117"/>
      <c r="D1105" s="117"/>
      <c r="E1105" s="117"/>
      <c r="F1105" s="200"/>
      <c r="G1105" s="200"/>
      <c r="H1105" s="200"/>
      <c r="I1105" s="200"/>
      <c r="J1105" s="200"/>
      <c r="K1105" s="200">
        <f>SUMIF(AE!C:C,ATB!C:C,AE!F:F)</f>
        <v>0</v>
      </c>
      <c r="L1105" s="200">
        <f t="shared" si="42"/>
        <v>0</v>
      </c>
      <c r="M1105" s="200">
        <f t="shared" si="43"/>
        <v>0</v>
      </c>
    </row>
    <row r="1106" spans="2:13" x14ac:dyDescent="0.35">
      <c r="B1106" s="117"/>
      <c r="C1106" s="117"/>
      <c r="D1106" s="117"/>
      <c r="E1106" s="117"/>
      <c r="F1106" s="200"/>
      <c r="G1106" s="200"/>
      <c r="H1106" s="200"/>
      <c r="I1106" s="200"/>
      <c r="J1106" s="200"/>
      <c r="K1106" s="200">
        <f>SUMIF(AE!C:C,ATB!C:C,AE!F:F)</f>
        <v>0</v>
      </c>
      <c r="L1106" s="200">
        <f t="shared" si="42"/>
        <v>0</v>
      </c>
      <c r="M1106" s="200">
        <f t="shared" si="43"/>
        <v>0</v>
      </c>
    </row>
    <row r="1107" spans="2:13" x14ac:dyDescent="0.35">
      <c r="B1107" s="117"/>
      <c r="C1107" s="117"/>
      <c r="D1107" s="117"/>
      <c r="E1107" s="117"/>
      <c r="F1107" s="200"/>
      <c r="G1107" s="200"/>
      <c r="H1107" s="200"/>
      <c r="I1107" s="200"/>
      <c r="J1107" s="200"/>
      <c r="K1107" s="200">
        <f>SUMIF(AE!C:C,ATB!C:C,AE!F:F)</f>
        <v>0</v>
      </c>
      <c r="L1107" s="200">
        <f t="shared" si="42"/>
        <v>0</v>
      </c>
      <c r="M1107" s="200">
        <f t="shared" si="43"/>
        <v>0</v>
      </c>
    </row>
    <row r="1108" spans="2:13" x14ac:dyDescent="0.35">
      <c r="B1108" s="117"/>
      <c r="C1108" s="117"/>
      <c r="D1108" s="117"/>
      <c r="E1108" s="117"/>
      <c r="F1108" s="200"/>
      <c r="G1108" s="200"/>
      <c r="H1108" s="200"/>
      <c r="I1108" s="200"/>
      <c r="J1108" s="200"/>
      <c r="K1108" s="200">
        <f>SUMIF(AE!C:C,ATB!C:C,AE!F:F)</f>
        <v>0</v>
      </c>
      <c r="L1108" s="200">
        <f t="shared" si="42"/>
        <v>0</v>
      </c>
      <c r="M1108" s="200">
        <f t="shared" si="43"/>
        <v>0</v>
      </c>
    </row>
    <row r="1109" spans="2:13" x14ac:dyDescent="0.35">
      <c r="B1109" s="117"/>
      <c r="C1109" s="117"/>
      <c r="D1109" s="117"/>
      <c r="E1109" s="117"/>
      <c r="F1109" s="200"/>
      <c r="G1109" s="200"/>
      <c r="H1109" s="200"/>
      <c r="I1109" s="200"/>
      <c r="J1109" s="200"/>
      <c r="K1109" s="200">
        <f>SUMIF(AE!C:C,ATB!C:C,AE!F:F)</f>
        <v>0</v>
      </c>
      <c r="L1109" s="200">
        <f t="shared" si="42"/>
        <v>0</v>
      </c>
      <c r="M1109" s="200">
        <f t="shared" si="43"/>
        <v>0</v>
      </c>
    </row>
    <row r="1110" spans="2:13" x14ac:dyDescent="0.35">
      <c r="B1110" s="117"/>
      <c r="C1110" s="117"/>
      <c r="D1110" s="117"/>
      <c r="E1110" s="117"/>
      <c r="F1110" s="200"/>
      <c r="G1110" s="200"/>
      <c r="H1110" s="200"/>
      <c r="I1110" s="200"/>
      <c r="J1110" s="200"/>
      <c r="K1110" s="200">
        <f>SUMIF(AE!C:C,ATB!C:C,AE!F:F)</f>
        <v>0</v>
      </c>
      <c r="L1110" s="200">
        <f t="shared" si="42"/>
        <v>0</v>
      </c>
      <c r="M1110" s="200">
        <f t="shared" si="43"/>
        <v>0</v>
      </c>
    </row>
    <row r="1111" spans="2:13" x14ac:dyDescent="0.35">
      <c r="B1111" s="117"/>
      <c r="C1111" s="117"/>
      <c r="D1111" s="117"/>
      <c r="E1111" s="117"/>
      <c r="F1111" s="200"/>
      <c r="G1111" s="200"/>
      <c r="H1111" s="200"/>
      <c r="I1111" s="200"/>
      <c r="J1111" s="200"/>
      <c r="K1111" s="200">
        <f>SUMIF(AE!C:C,ATB!C:C,AE!F:F)</f>
        <v>0</v>
      </c>
      <c r="L1111" s="200">
        <f t="shared" si="42"/>
        <v>0</v>
      </c>
      <c r="M1111" s="200">
        <f t="shared" si="43"/>
        <v>0</v>
      </c>
    </row>
    <row r="1112" spans="2:13" x14ac:dyDescent="0.35">
      <c r="B1112" s="117"/>
      <c r="C1112" s="117"/>
      <c r="D1112" s="117"/>
      <c r="E1112" s="117"/>
      <c r="F1112" s="200"/>
      <c r="G1112" s="200"/>
      <c r="H1112" s="200"/>
      <c r="I1112" s="200"/>
      <c r="J1112" s="200"/>
      <c r="K1112" s="200">
        <f>SUMIF(AE!C:C,ATB!C:C,AE!F:F)</f>
        <v>0</v>
      </c>
      <c r="L1112" s="200">
        <f t="shared" si="42"/>
        <v>0</v>
      </c>
      <c r="M1112" s="200">
        <f t="shared" si="43"/>
        <v>0</v>
      </c>
    </row>
    <row r="1113" spans="2:13" x14ac:dyDescent="0.35">
      <c r="B1113" s="117"/>
      <c r="C1113" s="117"/>
      <c r="D1113" s="117"/>
      <c r="E1113" s="117"/>
      <c r="F1113" s="200"/>
      <c r="G1113" s="200"/>
      <c r="H1113" s="200"/>
      <c r="I1113" s="200"/>
      <c r="J1113" s="200"/>
      <c r="K1113" s="200">
        <f>SUMIF(AE!C:C,ATB!C:C,AE!F:F)</f>
        <v>0</v>
      </c>
      <c r="L1113" s="200">
        <f t="shared" si="42"/>
        <v>0</v>
      </c>
      <c r="M1113" s="200">
        <f t="shared" si="43"/>
        <v>0</v>
      </c>
    </row>
    <row r="1114" spans="2:13" x14ac:dyDescent="0.35">
      <c r="B1114" s="117"/>
      <c r="C1114" s="117"/>
      <c r="D1114" s="117"/>
      <c r="E1114" s="117"/>
      <c r="F1114" s="200"/>
      <c r="G1114" s="200"/>
      <c r="H1114" s="200"/>
      <c r="I1114" s="200"/>
      <c r="J1114" s="200"/>
      <c r="K1114" s="200">
        <f>SUMIF(AE!C:C,ATB!C:C,AE!F:F)</f>
        <v>0</v>
      </c>
      <c r="L1114" s="200">
        <f t="shared" si="42"/>
        <v>0</v>
      </c>
      <c r="M1114" s="200">
        <f t="shared" si="43"/>
        <v>0</v>
      </c>
    </row>
    <row r="1115" spans="2:13" x14ac:dyDescent="0.35">
      <c r="B1115" s="117"/>
      <c r="C1115" s="117"/>
      <c r="D1115" s="117"/>
      <c r="E1115" s="117"/>
      <c r="F1115" s="200"/>
      <c r="G1115" s="200"/>
      <c r="H1115" s="200"/>
      <c r="I1115" s="200"/>
      <c r="J1115" s="200"/>
      <c r="K1115" s="200">
        <f>SUMIF(AE!C:C,ATB!C:C,AE!F:F)</f>
        <v>0</v>
      </c>
      <c r="L1115" s="200">
        <f t="shared" si="42"/>
        <v>0</v>
      </c>
      <c r="M1115" s="200">
        <f t="shared" si="43"/>
        <v>0</v>
      </c>
    </row>
    <row r="1116" spans="2:13" x14ac:dyDescent="0.35">
      <c r="B1116" s="117"/>
      <c r="C1116" s="117"/>
      <c r="D1116" s="117"/>
      <c r="E1116" s="117"/>
      <c r="F1116" s="200"/>
      <c r="G1116" s="200"/>
      <c r="H1116" s="200"/>
      <c r="I1116" s="200"/>
      <c r="J1116" s="200"/>
      <c r="K1116" s="200">
        <f>SUMIF(AE!C:C,ATB!C:C,AE!F:F)</f>
        <v>0</v>
      </c>
      <c r="L1116" s="200">
        <f t="shared" si="42"/>
        <v>0</v>
      </c>
      <c r="M1116" s="200">
        <f t="shared" si="43"/>
        <v>0</v>
      </c>
    </row>
    <row r="1117" spans="2:13" x14ac:dyDescent="0.35">
      <c r="B1117" s="117"/>
      <c r="C1117" s="117"/>
      <c r="D1117" s="117"/>
      <c r="E1117" s="117"/>
      <c r="F1117" s="200"/>
      <c r="G1117" s="200"/>
      <c r="H1117" s="200"/>
      <c r="I1117" s="200"/>
      <c r="J1117" s="200"/>
      <c r="K1117" s="200">
        <f>SUMIF(AE!C:C,ATB!C:C,AE!F:F)</f>
        <v>0</v>
      </c>
      <c r="L1117" s="200">
        <f t="shared" si="42"/>
        <v>0</v>
      </c>
      <c r="M1117" s="200">
        <f t="shared" si="43"/>
        <v>0</v>
      </c>
    </row>
    <row r="1118" spans="2:13" x14ac:dyDescent="0.35">
      <c r="B1118" s="117"/>
      <c r="C1118" s="117"/>
      <c r="D1118" s="117"/>
      <c r="E1118" s="117"/>
      <c r="F1118" s="200"/>
      <c r="G1118" s="200"/>
      <c r="H1118" s="200"/>
      <c r="I1118" s="200"/>
      <c r="J1118" s="200"/>
      <c r="K1118" s="200">
        <f>SUMIF(AE!C:C,ATB!C:C,AE!F:F)</f>
        <v>0</v>
      </c>
      <c r="L1118" s="200">
        <f t="shared" si="42"/>
        <v>0</v>
      </c>
      <c r="M1118" s="200">
        <f t="shared" si="43"/>
        <v>0</v>
      </c>
    </row>
    <row r="1119" spans="2:13" x14ac:dyDescent="0.35">
      <c r="B1119" s="117"/>
      <c r="C1119" s="117"/>
      <c r="D1119" s="117"/>
      <c r="E1119" s="117"/>
      <c r="F1119" s="200"/>
      <c r="G1119" s="200"/>
      <c r="H1119" s="200"/>
      <c r="I1119" s="200"/>
      <c r="J1119" s="200"/>
      <c r="K1119" s="200">
        <f>SUMIF(AE!C:C,ATB!C:C,AE!F:F)</f>
        <v>0</v>
      </c>
      <c r="L1119" s="200">
        <f t="shared" si="42"/>
        <v>0</v>
      </c>
      <c r="M1119" s="200">
        <f t="shared" si="43"/>
        <v>0</v>
      </c>
    </row>
    <row r="1120" spans="2:13" x14ac:dyDescent="0.35">
      <c r="B1120" s="117"/>
      <c r="C1120" s="117"/>
      <c r="D1120" s="117"/>
      <c r="E1120" s="117"/>
      <c r="F1120" s="200"/>
      <c r="G1120" s="200"/>
      <c r="H1120" s="200"/>
      <c r="I1120" s="200"/>
      <c r="J1120" s="200"/>
      <c r="K1120" s="200">
        <f>SUMIF(AE!C:C,ATB!C:C,AE!F:F)</f>
        <v>0</v>
      </c>
      <c r="L1120" s="200">
        <f t="shared" si="42"/>
        <v>0</v>
      </c>
      <c r="M1120" s="200">
        <f t="shared" si="43"/>
        <v>0</v>
      </c>
    </row>
    <row r="1121" spans="2:13" x14ac:dyDescent="0.35">
      <c r="B1121" s="117"/>
      <c r="C1121" s="117"/>
      <c r="D1121" s="117"/>
      <c r="E1121" s="117"/>
      <c r="F1121" s="200"/>
      <c r="G1121" s="200"/>
      <c r="H1121" s="200"/>
      <c r="I1121" s="200"/>
      <c r="J1121" s="200"/>
      <c r="K1121" s="200">
        <f>SUMIF(AE!C:C,ATB!C:C,AE!F:F)</f>
        <v>0</v>
      </c>
      <c r="L1121" s="200">
        <f t="shared" si="42"/>
        <v>0</v>
      </c>
      <c r="M1121" s="200">
        <f t="shared" si="43"/>
        <v>0</v>
      </c>
    </row>
    <row r="1122" spans="2:13" x14ac:dyDescent="0.35">
      <c r="B1122" s="117"/>
      <c r="C1122" s="117"/>
      <c r="D1122" s="117"/>
      <c r="E1122" s="117"/>
      <c r="F1122" s="200"/>
      <c r="G1122" s="200"/>
      <c r="H1122" s="200"/>
      <c r="I1122" s="200"/>
      <c r="J1122" s="200"/>
      <c r="K1122" s="200">
        <f>SUMIF(AE!C:C,ATB!C:C,AE!F:F)</f>
        <v>0</v>
      </c>
      <c r="L1122" s="200">
        <f t="shared" si="42"/>
        <v>0</v>
      </c>
      <c r="M1122" s="200">
        <f t="shared" si="43"/>
        <v>0</v>
      </c>
    </row>
    <row r="1123" spans="2:13" x14ac:dyDescent="0.35">
      <c r="B1123" s="117"/>
      <c r="C1123" s="117"/>
      <c r="D1123" s="117"/>
      <c r="E1123" s="117"/>
      <c r="F1123" s="200"/>
      <c r="G1123" s="200"/>
      <c r="H1123" s="200"/>
      <c r="I1123" s="200"/>
      <c r="J1123" s="200"/>
      <c r="K1123" s="200">
        <f>SUMIF(AE!C:C,ATB!C:C,AE!F:F)</f>
        <v>0</v>
      </c>
      <c r="L1123" s="200">
        <f t="shared" si="42"/>
        <v>0</v>
      </c>
      <c r="M1123" s="200">
        <f t="shared" si="43"/>
        <v>0</v>
      </c>
    </row>
    <row r="1124" spans="2:13" x14ac:dyDescent="0.35">
      <c r="B1124" s="117"/>
      <c r="C1124" s="117"/>
      <c r="D1124" s="117"/>
      <c r="E1124" s="117"/>
      <c r="F1124" s="200"/>
      <c r="G1124" s="200"/>
      <c r="H1124" s="200"/>
      <c r="I1124" s="200"/>
      <c r="J1124" s="200"/>
      <c r="K1124" s="200">
        <f>SUMIF(AE!C:C,ATB!C:C,AE!F:F)</f>
        <v>0</v>
      </c>
      <c r="L1124" s="200">
        <f t="shared" si="42"/>
        <v>0</v>
      </c>
      <c r="M1124" s="200">
        <f t="shared" si="43"/>
        <v>0</v>
      </c>
    </row>
    <row r="1125" spans="2:13" x14ac:dyDescent="0.35">
      <c r="B1125" s="117"/>
      <c r="C1125" s="117"/>
      <c r="D1125" s="117"/>
      <c r="E1125" s="117"/>
      <c r="F1125" s="200"/>
      <c r="G1125" s="200"/>
      <c r="H1125" s="200"/>
      <c r="I1125" s="200"/>
      <c r="J1125" s="200"/>
      <c r="K1125" s="200">
        <f>SUMIF(AE!C:C,ATB!C:C,AE!F:F)</f>
        <v>0</v>
      </c>
      <c r="L1125" s="200">
        <f t="shared" si="42"/>
        <v>0</v>
      </c>
      <c r="M1125" s="200">
        <f t="shared" si="43"/>
        <v>0</v>
      </c>
    </row>
    <row r="1126" spans="2:13" x14ac:dyDescent="0.35">
      <c r="B1126" s="117"/>
      <c r="C1126" s="117"/>
      <c r="D1126" s="117"/>
      <c r="E1126" s="117"/>
      <c r="F1126" s="200"/>
      <c r="G1126" s="200"/>
      <c r="H1126" s="200"/>
      <c r="I1126" s="200"/>
      <c r="J1126" s="200"/>
      <c r="K1126" s="200">
        <f>SUMIF(AE!C:C,ATB!C:C,AE!F:F)</f>
        <v>0</v>
      </c>
      <c r="L1126" s="200">
        <f t="shared" si="42"/>
        <v>0</v>
      </c>
      <c r="M1126" s="200">
        <f t="shared" si="43"/>
        <v>0</v>
      </c>
    </row>
    <row r="1127" spans="2:13" x14ac:dyDescent="0.35">
      <c r="B1127" s="117"/>
      <c r="C1127" s="117"/>
      <c r="D1127" s="117"/>
      <c r="E1127" s="117"/>
      <c r="F1127" s="200"/>
      <c r="G1127" s="200"/>
      <c r="H1127" s="200"/>
      <c r="I1127" s="200"/>
      <c r="J1127" s="200"/>
      <c r="K1127" s="200">
        <f>SUMIF(AE!C:C,ATB!C:C,AE!F:F)</f>
        <v>0</v>
      </c>
      <c r="L1127" s="200">
        <f t="shared" si="42"/>
        <v>0</v>
      </c>
      <c r="M1127" s="200">
        <f t="shared" si="43"/>
        <v>0</v>
      </c>
    </row>
    <row r="1128" spans="2:13" x14ac:dyDescent="0.35">
      <c r="B1128" s="117"/>
      <c r="C1128" s="117"/>
      <c r="D1128" s="117"/>
      <c r="E1128" s="117"/>
      <c r="F1128" s="200"/>
      <c r="G1128" s="200"/>
      <c r="H1128" s="200"/>
      <c r="I1128" s="200"/>
      <c r="J1128" s="200"/>
      <c r="K1128" s="200">
        <f>SUMIF(AE!C:C,ATB!C:C,AE!F:F)</f>
        <v>0</v>
      </c>
      <c r="L1128" s="200">
        <f t="shared" si="42"/>
        <v>0</v>
      </c>
      <c r="M1128" s="200">
        <f t="shared" si="43"/>
        <v>0</v>
      </c>
    </row>
    <row r="1129" spans="2:13" x14ac:dyDescent="0.35">
      <c r="B1129" s="117"/>
      <c r="C1129" s="117"/>
      <c r="D1129" s="117"/>
      <c r="E1129" s="117"/>
      <c r="F1129" s="200"/>
      <c r="G1129" s="200"/>
      <c r="H1129" s="200"/>
      <c r="I1129" s="200"/>
      <c r="J1129" s="200"/>
      <c r="K1129" s="200">
        <f>SUMIF(AE!C:C,ATB!C:C,AE!F:F)</f>
        <v>0</v>
      </c>
      <c r="L1129" s="200">
        <f t="shared" si="42"/>
        <v>0</v>
      </c>
      <c r="M1129" s="200">
        <f t="shared" si="43"/>
        <v>0</v>
      </c>
    </row>
    <row r="1130" spans="2:13" x14ac:dyDescent="0.35">
      <c r="B1130" s="117"/>
      <c r="C1130" s="117"/>
      <c r="D1130" s="117"/>
      <c r="E1130" s="117"/>
      <c r="F1130" s="200"/>
      <c r="G1130" s="200"/>
      <c r="H1130" s="200"/>
      <c r="I1130" s="200"/>
      <c r="J1130" s="200"/>
      <c r="K1130" s="200">
        <f>SUMIF(AE!C:C,ATB!C:C,AE!F:F)</f>
        <v>0</v>
      </c>
      <c r="L1130" s="200">
        <f t="shared" si="42"/>
        <v>0</v>
      </c>
      <c r="M1130" s="200">
        <f t="shared" si="43"/>
        <v>0</v>
      </c>
    </row>
    <row r="1131" spans="2:13" x14ac:dyDescent="0.35">
      <c r="B1131" s="117"/>
      <c r="C1131" s="117"/>
      <c r="D1131" s="117"/>
      <c r="E1131" s="117"/>
      <c r="F1131" s="200"/>
      <c r="G1131" s="200"/>
      <c r="H1131" s="200"/>
      <c r="I1131" s="200"/>
      <c r="J1131" s="200"/>
      <c r="K1131" s="200">
        <f>SUMIF(AE!C:C,ATB!C:C,AE!F:F)</f>
        <v>0</v>
      </c>
      <c r="L1131" s="200">
        <f t="shared" si="42"/>
        <v>0</v>
      </c>
      <c r="M1131" s="200">
        <f t="shared" si="43"/>
        <v>0</v>
      </c>
    </row>
    <row r="1132" spans="2:13" x14ac:dyDescent="0.35">
      <c r="B1132" s="117"/>
      <c r="C1132" s="117"/>
      <c r="D1132" s="117"/>
      <c r="E1132" s="117"/>
      <c r="F1132" s="200"/>
      <c r="G1132" s="200"/>
      <c r="H1132" s="200"/>
      <c r="I1132" s="200"/>
      <c r="J1132" s="200"/>
      <c r="K1132" s="200">
        <f>SUMIF(AE!C:C,ATB!C:C,AE!F:F)</f>
        <v>0</v>
      </c>
      <c r="L1132" s="200">
        <f t="shared" si="42"/>
        <v>0</v>
      </c>
      <c r="M1132" s="200">
        <f t="shared" si="43"/>
        <v>0</v>
      </c>
    </row>
    <row r="1133" spans="2:13" x14ac:dyDescent="0.35">
      <c r="B1133" s="117"/>
      <c r="C1133" s="117"/>
      <c r="D1133" s="117"/>
      <c r="E1133" s="117"/>
      <c r="F1133" s="200"/>
      <c r="G1133" s="200"/>
      <c r="H1133" s="200"/>
      <c r="I1133" s="200"/>
      <c r="J1133" s="200"/>
      <c r="K1133" s="200">
        <f>SUMIF(AE!C:C,ATB!C:C,AE!F:F)</f>
        <v>0</v>
      </c>
      <c r="L1133" s="200">
        <f t="shared" si="42"/>
        <v>0</v>
      </c>
      <c r="M1133" s="200">
        <f t="shared" si="43"/>
        <v>0</v>
      </c>
    </row>
    <row r="1134" spans="2:13" x14ac:dyDescent="0.35">
      <c r="B1134" s="117"/>
      <c r="C1134" s="117"/>
      <c r="D1134" s="117"/>
      <c r="E1134" s="117"/>
      <c r="F1134" s="200"/>
      <c r="G1134" s="200"/>
      <c r="H1134" s="200"/>
      <c r="I1134" s="200"/>
      <c r="J1134" s="200"/>
      <c r="K1134" s="200">
        <f>SUMIF(AE!C:C,ATB!C:C,AE!F:F)</f>
        <v>0</v>
      </c>
      <c r="L1134" s="200">
        <f t="shared" si="42"/>
        <v>0</v>
      </c>
      <c r="M1134" s="200">
        <f t="shared" si="43"/>
        <v>0</v>
      </c>
    </row>
    <row r="1135" spans="2:13" x14ac:dyDescent="0.35">
      <c r="B1135" s="117"/>
      <c r="C1135" s="117"/>
      <c r="D1135" s="117"/>
      <c r="E1135" s="117"/>
      <c r="F1135" s="200"/>
      <c r="G1135" s="200"/>
      <c r="H1135" s="200"/>
      <c r="I1135" s="200"/>
      <c r="J1135" s="200"/>
      <c r="K1135" s="200">
        <f>SUMIF(AE!C:C,ATB!C:C,AE!F:F)</f>
        <v>0</v>
      </c>
      <c r="L1135" s="200">
        <f t="shared" si="42"/>
        <v>0</v>
      </c>
      <c r="M1135" s="200">
        <f t="shared" si="43"/>
        <v>0</v>
      </c>
    </row>
    <row r="1136" spans="2:13" x14ac:dyDescent="0.35">
      <c r="B1136" s="117"/>
      <c r="C1136" s="117"/>
      <c r="D1136" s="117"/>
      <c r="E1136" s="117"/>
      <c r="F1136" s="200"/>
      <c r="G1136" s="200"/>
      <c r="H1136" s="200"/>
      <c r="I1136" s="200"/>
      <c r="J1136" s="200"/>
      <c r="K1136" s="200">
        <f>SUMIF(AE!C:C,ATB!C:C,AE!F:F)</f>
        <v>0</v>
      </c>
      <c r="L1136" s="200">
        <f t="shared" si="42"/>
        <v>0</v>
      </c>
      <c r="M1136" s="200">
        <f t="shared" si="43"/>
        <v>0</v>
      </c>
    </row>
    <row r="1137" spans="2:13" x14ac:dyDescent="0.35">
      <c r="B1137" s="117"/>
      <c r="C1137" s="117"/>
      <c r="D1137" s="117"/>
      <c r="E1137" s="117"/>
      <c r="F1137" s="200"/>
      <c r="G1137" s="200"/>
      <c r="H1137" s="200"/>
      <c r="I1137" s="200"/>
      <c r="J1137" s="200"/>
      <c r="K1137" s="200">
        <f>SUMIF(AE!C:C,ATB!C:C,AE!F:F)</f>
        <v>0</v>
      </c>
      <c r="L1137" s="200">
        <f t="shared" si="42"/>
        <v>0</v>
      </c>
      <c r="M1137" s="200">
        <f t="shared" si="43"/>
        <v>0</v>
      </c>
    </row>
    <row r="1138" spans="2:13" x14ac:dyDescent="0.35">
      <c r="B1138" s="117"/>
      <c r="C1138" s="117"/>
      <c r="D1138" s="117"/>
      <c r="E1138" s="117"/>
      <c r="F1138" s="200"/>
      <c r="G1138" s="200"/>
      <c r="H1138" s="200"/>
      <c r="I1138" s="200"/>
      <c r="J1138" s="200"/>
      <c r="K1138" s="200">
        <f>SUMIF(AE!C:C,ATB!C:C,AE!F:F)</f>
        <v>0</v>
      </c>
      <c r="L1138" s="200">
        <f t="shared" si="42"/>
        <v>0</v>
      </c>
      <c r="M1138" s="200">
        <f t="shared" si="43"/>
        <v>0</v>
      </c>
    </row>
    <row r="1139" spans="2:13" x14ac:dyDescent="0.35">
      <c r="B1139" s="117"/>
      <c r="C1139" s="117"/>
      <c r="D1139" s="117"/>
      <c r="E1139" s="117"/>
      <c r="F1139" s="200"/>
      <c r="G1139" s="200"/>
      <c r="H1139" s="200"/>
      <c r="I1139" s="200"/>
      <c r="J1139" s="200"/>
      <c r="K1139" s="200">
        <f>SUMIF(AE!C:C,ATB!C:C,AE!F:F)</f>
        <v>0</v>
      </c>
      <c r="L1139" s="200">
        <f t="shared" si="42"/>
        <v>0</v>
      </c>
      <c r="M1139" s="200">
        <f t="shared" si="43"/>
        <v>0</v>
      </c>
    </row>
    <row r="1140" spans="2:13" x14ac:dyDescent="0.35">
      <c r="B1140" s="117"/>
      <c r="C1140" s="117"/>
      <c r="D1140" s="117"/>
      <c r="E1140" s="117"/>
      <c r="F1140" s="200"/>
      <c r="G1140" s="200"/>
      <c r="H1140" s="200"/>
      <c r="I1140" s="200"/>
      <c r="J1140" s="200"/>
      <c r="K1140" s="200">
        <f>SUMIF(AE!C:C,ATB!C:C,AE!F:F)</f>
        <v>0</v>
      </c>
      <c r="L1140" s="200">
        <f t="shared" si="42"/>
        <v>0</v>
      </c>
      <c r="M1140" s="200">
        <f t="shared" si="43"/>
        <v>0</v>
      </c>
    </row>
    <row r="1141" spans="2:13" x14ac:dyDescent="0.35">
      <c r="B1141" s="117"/>
      <c r="C1141" s="117"/>
      <c r="D1141" s="117"/>
      <c r="E1141" s="117"/>
      <c r="F1141" s="200"/>
      <c r="G1141" s="200"/>
      <c r="H1141" s="200"/>
      <c r="I1141" s="200"/>
      <c r="J1141" s="200"/>
      <c r="K1141" s="200">
        <f>SUMIF(AE!C:C,ATB!C:C,AE!F:F)</f>
        <v>0</v>
      </c>
      <c r="L1141" s="200">
        <f t="shared" si="42"/>
        <v>0</v>
      </c>
      <c r="M1141" s="200">
        <f t="shared" si="43"/>
        <v>0</v>
      </c>
    </row>
    <row r="1142" spans="2:13" x14ac:dyDescent="0.35">
      <c r="B1142" s="117"/>
      <c r="C1142" s="117"/>
      <c r="D1142" s="117"/>
      <c r="E1142" s="117"/>
      <c r="F1142" s="200"/>
      <c r="G1142" s="200"/>
      <c r="H1142" s="200"/>
      <c r="I1142" s="200"/>
      <c r="J1142" s="200"/>
      <c r="K1142" s="200">
        <f>SUMIF(AE!C:C,ATB!C:C,AE!F:F)</f>
        <v>0</v>
      </c>
      <c r="L1142" s="200">
        <f t="shared" si="42"/>
        <v>0</v>
      </c>
      <c r="M1142" s="200">
        <f t="shared" si="43"/>
        <v>0</v>
      </c>
    </row>
    <row r="1143" spans="2:13" x14ac:dyDescent="0.35">
      <c r="B1143" s="117"/>
      <c r="C1143" s="117"/>
      <c r="D1143" s="117"/>
      <c r="E1143" s="117"/>
      <c r="F1143" s="200"/>
      <c r="G1143" s="200"/>
      <c r="H1143" s="200"/>
      <c r="I1143" s="200"/>
      <c r="J1143" s="200"/>
      <c r="K1143" s="200">
        <f>SUMIF(AE!C:C,ATB!C:C,AE!F:F)</f>
        <v>0</v>
      </c>
      <c r="L1143" s="200">
        <f t="shared" si="42"/>
        <v>0</v>
      </c>
      <c r="M1143" s="200">
        <f t="shared" si="43"/>
        <v>0</v>
      </c>
    </row>
    <row r="1144" spans="2:13" x14ac:dyDescent="0.35">
      <c r="B1144" s="117"/>
      <c r="C1144" s="117"/>
      <c r="D1144" s="117"/>
      <c r="E1144" s="117"/>
      <c r="F1144" s="200"/>
      <c r="G1144" s="200"/>
      <c r="H1144" s="200"/>
      <c r="I1144" s="200"/>
      <c r="J1144" s="200"/>
      <c r="K1144" s="200">
        <f>SUMIF(AE!C:C,ATB!C:C,AE!F:F)</f>
        <v>0</v>
      </c>
      <c r="L1144" s="200">
        <f t="shared" si="42"/>
        <v>0</v>
      </c>
      <c r="M1144" s="200">
        <f t="shared" si="43"/>
        <v>0</v>
      </c>
    </row>
    <row r="1145" spans="2:13" x14ac:dyDescent="0.35">
      <c r="B1145" s="117"/>
      <c r="C1145" s="117"/>
      <c r="D1145" s="117"/>
      <c r="E1145" s="117"/>
      <c r="F1145" s="200"/>
      <c r="G1145" s="200"/>
      <c r="H1145" s="200"/>
      <c r="I1145" s="200"/>
      <c r="J1145" s="200"/>
      <c r="K1145" s="200">
        <f>SUMIF(AE!C:C,ATB!C:C,AE!F:F)</f>
        <v>0</v>
      </c>
      <c r="L1145" s="200">
        <f t="shared" si="42"/>
        <v>0</v>
      </c>
      <c r="M1145" s="200">
        <f t="shared" si="43"/>
        <v>0</v>
      </c>
    </row>
    <row r="1146" spans="2:13" x14ac:dyDescent="0.35">
      <c r="B1146" s="117"/>
      <c r="C1146" s="117"/>
      <c r="D1146" s="117"/>
      <c r="E1146" s="117"/>
      <c r="F1146" s="200"/>
      <c r="G1146" s="200"/>
      <c r="H1146" s="200"/>
      <c r="I1146" s="200"/>
      <c r="J1146" s="200"/>
      <c r="K1146" s="200">
        <f>SUMIF(AE!C:C,ATB!C:C,AE!F:F)</f>
        <v>0</v>
      </c>
      <c r="L1146" s="200">
        <f t="shared" si="42"/>
        <v>0</v>
      </c>
      <c r="M1146" s="200">
        <f t="shared" si="43"/>
        <v>0</v>
      </c>
    </row>
    <row r="1147" spans="2:13" x14ac:dyDescent="0.35">
      <c r="B1147" s="117"/>
      <c r="C1147" s="117"/>
      <c r="D1147" s="117"/>
      <c r="E1147" s="117"/>
      <c r="F1147" s="200"/>
      <c r="G1147" s="200"/>
      <c r="H1147" s="200"/>
      <c r="I1147" s="200"/>
      <c r="J1147" s="200"/>
      <c r="K1147" s="200">
        <f>SUMIF(AE!C:C,ATB!C:C,AE!F:F)</f>
        <v>0</v>
      </c>
      <c r="L1147" s="200">
        <f t="shared" si="42"/>
        <v>0</v>
      </c>
      <c r="M1147" s="200">
        <f t="shared" si="43"/>
        <v>0</v>
      </c>
    </row>
    <row r="1148" spans="2:13" x14ac:dyDescent="0.35">
      <c r="B1148" s="117"/>
      <c r="C1148" s="117"/>
      <c r="D1148" s="117"/>
      <c r="E1148" s="117"/>
      <c r="F1148" s="200"/>
      <c r="G1148" s="200"/>
      <c r="H1148" s="200"/>
      <c r="I1148" s="200"/>
      <c r="J1148" s="200"/>
      <c r="K1148" s="200">
        <f>SUMIF(AE!C:C,ATB!C:C,AE!F:F)</f>
        <v>0</v>
      </c>
      <c r="L1148" s="200">
        <f t="shared" si="42"/>
        <v>0</v>
      </c>
      <c r="M1148" s="200">
        <f t="shared" si="43"/>
        <v>0</v>
      </c>
    </row>
    <row r="1149" spans="2:13" x14ac:dyDescent="0.35">
      <c r="B1149" s="117"/>
      <c r="C1149" s="117"/>
      <c r="D1149" s="117"/>
      <c r="E1149" s="117"/>
      <c r="F1149" s="200"/>
      <c r="G1149" s="200"/>
      <c r="H1149" s="200"/>
      <c r="I1149" s="200"/>
      <c r="J1149" s="200"/>
      <c r="K1149" s="200">
        <f>SUMIF(AE!C:C,ATB!C:C,AE!F:F)</f>
        <v>0</v>
      </c>
      <c r="L1149" s="200">
        <f t="shared" si="42"/>
        <v>0</v>
      </c>
      <c r="M1149" s="200">
        <f t="shared" si="43"/>
        <v>0</v>
      </c>
    </row>
    <row r="1150" spans="2:13" x14ac:dyDescent="0.35">
      <c r="B1150" s="117"/>
      <c r="C1150" s="117"/>
      <c r="D1150" s="117"/>
      <c r="E1150" s="117"/>
      <c r="F1150" s="200"/>
      <c r="G1150" s="200"/>
      <c r="H1150" s="200"/>
      <c r="I1150" s="200"/>
      <c r="J1150" s="200"/>
      <c r="K1150" s="200">
        <f>SUMIF(AE!C:C,ATB!C:C,AE!F:F)</f>
        <v>0</v>
      </c>
      <c r="L1150" s="200">
        <f t="shared" si="42"/>
        <v>0</v>
      </c>
      <c r="M1150" s="200">
        <f t="shared" si="43"/>
        <v>0</v>
      </c>
    </row>
    <row r="1151" spans="2:13" x14ac:dyDescent="0.35">
      <c r="B1151" s="117"/>
      <c r="C1151" s="117"/>
      <c r="D1151" s="117"/>
      <c r="E1151" s="117"/>
      <c r="F1151" s="200"/>
      <c r="G1151" s="200"/>
      <c r="H1151" s="200"/>
      <c r="I1151" s="200"/>
      <c r="J1151" s="200"/>
      <c r="K1151" s="200">
        <f>SUMIF(AE!C:C,ATB!C:C,AE!F:F)</f>
        <v>0</v>
      </c>
      <c r="L1151" s="200">
        <f t="shared" si="42"/>
        <v>0</v>
      </c>
      <c r="M1151" s="200">
        <f t="shared" si="43"/>
        <v>0</v>
      </c>
    </row>
    <row r="1152" spans="2:13" x14ac:dyDescent="0.35">
      <c r="B1152" s="117"/>
      <c r="C1152" s="117"/>
      <c r="D1152" s="117"/>
      <c r="E1152" s="117"/>
      <c r="F1152" s="200"/>
      <c r="G1152" s="200"/>
      <c r="H1152" s="200"/>
      <c r="I1152" s="200"/>
      <c r="J1152" s="200"/>
      <c r="K1152" s="200">
        <f>SUMIF(AE!C:C,ATB!C:C,AE!F:F)</f>
        <v>0</v>
      </c>
      <c r="L1152" s="200">
        <f t="shared" si="42"/>
        <v>0</v>
      </c>
      <c r="M1152" s="200">
        <f t="shared" si="43"/>
        <v>0</v>
      </c>
    </row>
    <row r="1153" spans="2:13" x14ac:dyDescent="0.35">
      <c r="B1153" s="117"/>
      <c r="C1153" s="117"/>
      <c r="D1153" s="117"/>
      <c r="E1153" s="117"/>
      <c r="F1153" s="200"/>
      <c r="G1153" s="200"/>
      <c r="H1153" s="200"/>
      <c r="I1153" s="200"/>
      <c r="J1153" s="200"/>
      <c r="K1153" s="200">
        <f>SUMIF(AE!C:C,ATB!C:C,AE!F:F)</f>
        <v>0</v>
      </c>
      <c r="L1153" s="200">
        <f t="shared" si="42"/>
        <v>0</v>
      </c>
      <c r="M1153" s="200">
        <f t="shared" si="43"/>
        <v>0</v>
      </c>
    </row>
    <row r="1154" spans="2:13" x14ac:dyDescent="0.35">
      <c r="B1154" s="117"/>
      <c r="C1154" s="117"/>
      <c r="D1154" s="117"/>
      <c r="E1154" s="117"/>
      <c r="F1154" s="200"/>
      <c r="G1154" s="200"/>
      <c r="H1154" s="200"/>
      <c r="I1154" s="200"/>
      <c r="J1154" s="200"/>
      <c r="K1154" s="200">
        <f>SUMIF(AE!C:C,ATB!C:C,AE!F:F)</f>
        <v>0</v>
      </c>
      <c r="L1154" s="200">
        <f t="shared" ref="L1154:L1217" si="44">ROUND(IF(F1154+H1154+J1154-G1154-I1154-K1154&gt;0,F1154+H1154+J1154-G1154-I1154-K1154,0),0)</f>
        <v>0</v>
      </c>
      <c r="M1154" s="200">
        <f t="shared" ref="M1154:M1217" si="45">-ROUND(IF(F1154+H1154+J1154-G1154-I1154-K1154&lt;0,F1154+H1154+J1154-G1154-I1154-K1154,0),0)</f>
        <v>0</v>
      </c>
    </row>
    <row r="1155" spans="2:13" x14ac:dyDescent="0.35">
      <c r="B1155" s="117"/>
      <c r="C1155" s="117"/>
      <c r="D1155" s="117"/>
      <c r="E1155" s="117"/>
      <c r="F1155" s="200"/>
      <c r="G1155" s="200"/>
      <c r="H1155" s="200"/>
      <c r="I1155" s="200"/>
      <c r="J1155" s="200"/>
      <c r="K1155" s="200">
        <f>SUMIF(AE!C:C,ATB!C:C,AE!F:F)</f>
        <v>0</v>
      </c>
      <c r="L1155" s="200">
        <f t="shared" si="44"/>
        <v>0</v>
      </c>
      <c r="M1155" s="200">
        <f t="shared" si="45"/>
        <v>0</v>
      </c>
    </row>
    <row r="1156" spans="2:13" x14ac:dyDescent="0.35">
      <c r="B1156" s="117"/>
      <c r="C1156" s="117"/>
      <c r="D1156" s="117"/>
      <c r="E1156" s="117"/>
      <c r="F1156" s="200"/>
      <c r="G1156" s="200"/>
      <c r="H1156" s="200"/>
      <c r="I1156" s="200"/>
      <c r="J1156" s="200"/>
      <c r="K1156" s="200">
        <f>SUMIF(AE!C:C,ATB!C:C,AE!F:F)</f>
        <v>0</v>
      </c>
      <c r="L1156" s="200">
        <f t="shared" si="44"/>
        <v>0</v>
      </c>
      <c r="M1156" s="200">
        <f t="shared" si="45"/>
        <v>0</v>
      </c>
    </row>
    <row r="1157" spans="2:13" x14ac:dyDescent="0.35">
      <c r="B1157" s="117"/>
      <c r="C1157" s="117"/>
      <c r="D1157" s="117"/>
      <c r="E1157" s="117"/>
      <c r="F1157" s="200"/>
      <c r="G1157" s="200"/>
      <c r="H1157" s="200"/>
      <c r="I1157" s="200"/>
      <c r="J1157" s="200"/>
      <c r="K1157" s="200">
        <f>SUMIF(AE!C:C,ATB!C:C,AE!F:F)</f>
        <v>0</v>
      </c>
      <c r="L1157" s="200">
        <f t="shared" si="44"/>
        <v>0</v>
      </c>
      <c r="M1157" s="200">
        <f t="shared" si="45"/>
        <v>0</v>
      </c>
    </row>
    <row r="1158" spans="2:13" x14ac:dyDescent="0.35">
      <c r="B1158" s="117"/>
      <c r="C1158" s="117"/>
      <c r="D1158" s="117"/>
      <c r="E1158" s="117"/>
      <c r="F1158" s="200"/>
      <c r="G1158" s="200"/>
      <c r="H1158" s="200"/>
      <c r="I1158" s="200"/>
      <c r="J1158" s="200"/>
      <c r="K1158" s="200">
        <f>SUMIF(AE!C:C,ATB!C:C,AE!F:F)</f>
        <v>0</v>
      </c>
      <c r="L1158" s="200">
        <f t="shared" si="44"/>
        <v>0</v>
      </c>
      <c r="M1158" s="200">
        <f t="shared" si="45"/>
        <v>0</v>
      </c>
    </row>
    <row r="1159" spans="2:13" x14ac:dyDescent="0.35">
      <c r="B1159" s="117"/>
      <c r="C1159" s="117"/>
      <c r="D1159" s="117"/>
      <c r="E1159" s="117"/>
      <c r="F1159" s="200"/>
      <c r="G1159" s="200"/>
      <c r="H1159" s="200"/>
      <c r="I1159" s="200"/>
      <c r="J1159" s="200"/>
      <c r="K1159" s="200">
        <f>SUMIF(AE!C:C,ATB!C:C,AE!F:F)</f>
        <v>0</v>
      </c>
      <c r="L1159" s="200">
        <f t="shared" si="44"/>
        <v>0</v>
      </c>
      <c r="M1159" s="200">
        <f t="shared" si="45"/>
        <v>0</v>
      </c>
    </row>
    <row r="1160" spans="2:13" x14ac:dyDescent="0.35">
      <c r="B1160" s="117"/>
      <c r="C1160" s="117"/>
      <c r="D1160" s="117"/>
      <c r="E1160" s="117"/>
      <c r="F1160" s="200"/>
      <c r="G1160" s="200"/>
      <c r="H1160" s="200"/>
      <c r="I1160" s="200"/>
      <c r="J1160" s="200"/>
      <c r="K1160" s="200">
        <f>SUMIF(AE!C:C,ATB!C:C,AE!F:F)</f>
        <v>0</v>
      </c>
      <c r="L1160" s="200">
        <f t="shared" si="44"/>
        <v>0</v>
      </c>
      <c r="M1160" s="200">
        <f t="shared" si="45"/>
        <v>0</v>
      </c>
    </row>
    <row r="1161" spans="2:13" x14ac:dyDescent="0.35">
      <c r="B1161" s="117"/>
      <c r="C1161" s="117"/>
      <c r="D1161" s="117"/>
      <c r="E1161" s="117"/>
      <c r="F1161" s="200"/>
      <c r="G1161" s="200"/>
      <c r="H1161" s="200"/>
      <c r="I1161" s="200"/>
      <c r="J1161" s="200"/>
      <c r="K1161" s="200">
        <f>SUMIF(AE!C:C,ATB!C:C,AE!F:F)</f>
        <v>0</v>
      </c>
      <c r="L1161" s="200">
        <f t="shared" si="44"/>
        <v>0</v>
      </c>
      <c r="M1161" s="200">
        <f t="shared" si="45"/>
        <v>0</v>
      </c>
    </row>
    <row r="1162" spans="2:13" x14ac:dyDescent="0.35">
      <c r="B1162" s="117"/>
      <c r="C1162" s="117"/>
      <c r="D1162" s="117"/>
      <c r="E1162" s="117"/>
      <c r="F1162" s="200"/>
      <c r="G1162" s="200"/>
      <c r="H1162" s="200"/>
      <c r="I1162" s="200"/>
      <c r="J1162" s="200"/>
      <c r="K1162" s="200">
        <f>SUMIF(AE!C:C,ATB!C:C,AE!F:F)</f>
        <v>0</v>
      </c>
      <c r="L1162" s="200">
        <f t="shared" si="44"/>
        <v>0</v>
      </c>
      <c r="M1162" s="200">
        <f t="shared" si="45"/>
        <v>0</v>
      </c>
    </row>
    <row r="1163" spans="2:13" x14ac:dyDescent="0.35">
      <c r="B1163" s="117"/>
      <c r="C1163" s="117"/>
      <c r="D1163" s="117"/>
      <c r="E1163" s="117"/>
      <c r="F1163" s="200"/>
      <c r="G1163" s="200"/>
      <c r="H1163" s="200"/>
      <c r="I1163" s="200"/>
      <c r="J1163" s="200"/>
      <c r="K1163" s="200">
        <f>SUMIF(AE!C:C,ATB!C:C,AE!F:F)</f>
        <v>0</v>
      </c>
      <c r="L1163" s="200">
        <f t="shared" si="44"/>
        <v>0</v>
      </c>
      <c r="M1163" s="200">
        <f t="shared" si="45"/>
        <v>0</v>
      </c>
    </row>
    <row r="1164" spans="2:13" x14ac:dyDescent="0.35">
      <c r="B1164" s="117"/>
      <c r="C1164" s="117"/>
      <c r="D1164" s="117"/>
      <c r="E1164" s="117"/>
      <c r="F1164" s="200"/>
      <c r="G1164" s="200"/>
      <c r="H1164" s="200"/>
      <c r="I1164" s="200"/>
      <c r="J1164" s="200"/>
      <c r="K1164" s="200">
        <f>SUMIF(AE!C:C,ATB!C:C,AE!F:F)</f>
        <v>0</v>
      </c>
      <c r="L1164" s="200">
        <f t="shared" si="44"/>
        <v>0</v>
      </c>
      <c r="M1164" s="200">
        <f t="shared" si="45"/>
        <v>0</v>
      </c>
    </row>
    <row r="1165" spans="2:13" x14ac:dyDescent="0.35">
      <c r="B1165" s="117"/>
      <c r="C1165" s="117"/>
      <c r="D1165" s="117"/>
      <c r="E1165" s="117"/>
      <c r="F1165" s="200"/>
      <c r="G1165" s="200"/>
      <c r="H1165" s="200"/>
      <c r="I1165" s="200"/>
      <c r="J1165" s="200"/>
      <c r="K1165" s="200">
        <f>SUMIF(AE!C:C,ATB!C:C,AE!F:F)</f>
        <v>0</v>
      </c>
      <c r="L1165" s="200">
        <f t="shared" si="44"/>
        <v>0</v>
      </c>
      <c r="M1165" s="200">
        <f t="shared" si="45"/>
        <v>0</v>
      </c>
    </row>
    <row r="1166" spans="2:13" x14ac:dyDescent="0.35">
      <c r="B1166" s="117"/>
      <c r="C1166" s="117"/>
      <c r="D1166" s="117"/>
      <c r="E1166" s="117"/>
      <c r="F1166" s="200"/>
      <c r="G1166" s="200"/>
      <c r="H1166" s="200"/>
      <c r="I1166" s="200"/>
      <c r="J1166" s="200"/>
      <c r="K1166" s="200">
        <f>SUMIF(AE!C:C,ATB!C:C,AE!F:F)</f>
        <v>0</v>
      </c>
      <c r="L1166" s="200">
        <f t="shared" si="44"/>
        <v>0</v>
      </c>
      <c r="M1166" s="200">
        <f t="shared" si="45"/>
        <v>0</v>
      </c>
    </row>
    <row r="1167" spans="2:13" x14ac:dyDescent="0.35">
      <c r="B1167" s="117"/>
      <c r="C1167" s="117"/>
      <c r="D1167" s="117"/>
      <c r="E1167" s="117"/>
      <c r="F1167" s="200"/>
      <c r="G1167" s="200"/>
      <c r="H1167" s="200"/>
      <c r="I1167" s="200"/>
      <c r="J1167" s="200"/>
      <c r="K1167" s="200">
        <f>SUMIF(AE!C:C,ATB!C:C,AE!F:F)</f>
        <v>0</v>
      </c>
      <c r="L1167" s="200">
        <f t="shared" si="44"/>
        <v>0</v>
      </c>
      <c r="M1167" s="200">
        <f t="shared" si="45"/>
        <v>0</v>
      </c>
    </row>
    <row r="1168" spans="2:13" x14ac:dyDescent="0.35">
      <c r="B1168" s="117"/>
      <c r="C1168" s="117"/>
      <c r="D1168" s="117"/>
      <c r="E1168" s="117"/>
      <c r="F1168" s="200"/>
      <c r="G1168" s="200"/>
      <c r="H1168" s="200"/>
      <c r="I1168" s="200"/>
      <c r="J1168" s="200"/>
      <c r="K1168" s="200">
        <f>SUMIF(AE!C:C,ATB!C:C,AE!F:F)</f>
        <v>0</v>
      </c>
      <c r="L1168" s="200">
        <f t="shared" si="44"/>
        <v>0</v>
      </c>
      <c r="M1168" s="200">
        <f t="shared" si="45"/>
        <v>0</v>
      </c>
    </row>
    <row r="1169" spans="2:13" x14ac:dyDescent="0.35">
      <c r="B1169" s="117"/>
      <c r="C1169" s="117"/>
      <c r="D1169" s="117"/>
      <c r="E1169" s="117"/>
      <c r="F1169" s="200"/>
      <c r="G1169" s="200"/>
      <c r="H1169" s="200"/>
      <c r="I1169" s="200"/>
      <c r="J1169" s="200"/>
      <c r="K1169" s="200">
        <f>SUMIF(AE!C:C,ATB!C:C,AE!F:F)</f>
        <v>0</v>
      </c>
      <c r="L1169" s="200">
        <f t="shared" si="44"/>
        <v>0</v>
      </c>
      <c r="M1169" s="200">
        <f t="shared" si="45"/>
        <v>0</v>
      </c>
    </row>
    <row r="1170" spans="2:13" x14ac:dyDescent="0.35">
      <c r="B1170" s="117"/>
      <c r="C1170" s="117"/>
      <c r="D1170" s="117"/>
      <c r="E1170" s="117"/>
      <c r="F1170" s="200"/>
      <c r="G1170" s="200"/>
      <c r="H1170" s="200"/>
      <c r="I1170" s="200"/>
      <c r="J1170" s="200"/>
      <c r="K1170" s="200">
        <f>SUMIF(AE!C:C,ATB!C:C,AE!F:F)</f>
        <v>0</v>
      </c>
      <c r="L1170" s="200">
        <f t="shared" si="44"/>
        <v>0</v>
      </c>
      <c r="M1170" s="200">
        <f t="shared" si="45"/>
        <v>0</v>
      </c>
    </row>
    <row r="1171" spans="2:13" x14ac:dyDescent="0.35">
      <c r="B1171" s="117"/>
      <c r="C1171" s="117"/>
      <c r="D1171" s="117"/>
      <c r="E1171" s="117"/>
      <c r="F1171" s="200"/>
      <c r="G1171" s="200"/>
      <c r="H1171" s="200"/>
      <c r="I1171" s="200"/>
      <c r="J1171" s="200"/>
      <c r="K1171" s="200">
        <f>SUMIF(AE!C:C,ATB!C:C,AE!F:F)</f>
        <v>0</v>
      </c>
      <c r="L1171" s="200">
        <f t="shared" si="44"/>
        <v>0</v>
      </c>
      <c r="M1171" s="200">
        <f t="shared" si="45"/>
        <v>0</v>
      </c>
    </row>
    <row r="1172" spans="2:13" x14ac:dyDescent="0.35">
      <c r="B1172" s="117"/>
      <c r="C1172" s="117"/>
      <c r="D1172" s="117"/>
      <c r="E1172" s="117"/>
      <c r="F1172" s="200"/>
      <c r="G1172" s="200"/>
      <c r="H1172" s="200"/>
      <c r="I1172" s="200"/>
      <c r="J1172" s="200"/>
      <c r="K1172" s="200">
        <f>SUMIF(AE!C:C,ATB!C:C,AE!F:F)</f>
        <v>0</v>
      </c>
      <c r="L1172" s="200">
        <f t="shared" si="44"/>
        <v>0</v>
      </c>
      <c r="M1172" s="200">
        <f t="shared" si="45"/>
        <v>0</v>
      </c>
    </row>
    <row r="1173" spans="2:13" x14ac:dyDescent="0.35">
      <c r="B1173" s="117"/>
      <c r="C1173" s="117"/>
      <c r="D1173" s="117"/>
      <c r="E1173" s="117"/>
      <c r="F1173" s="200"/>
      <c r="G1173" s="200"/>
      <c r="H1173" s="200"/>
      <c r="I1173" s="200"/>
      <c r="J1173" s="200"/>
      <c r="K1173" s="200">
        <f>SUMIF(AE!C:C,ATB!C:C,AE!F:F)</f>
        <v>0</v>
      </c>
      <c r="L1173" s="200">
        <f t="shared" si="44"/>
        <v>0</v>
      </c>
      <c r="M1173" s="200">
        <f t="shared" si="45"/>
        <v>0</v>
      </c>
    </row>
    <row r="1174" spans="2:13" x14ac:dyDescent="0.35">
      <c r="B1174" s="117"/>
      <c r="C1174" s="117"/>
      <c r="D1174" s="117"/>
      <c r="E1174" s="117"/>
      <c r="F1174" s="200"/>
      <c r="G1174" s="200"/>
      <c r="H1174" s="200"/>
      <c r="I1174" s="200"/>
      <c r="J1174" s="200"/>
      <c r="K1174" s="200">
        <f>SUMIF(AE!C:C,ATB!C:C,AE!F:F)</f>
        <v>0</v>
      </c>
      <c r="L1174" s="200">
        <f t="shared" si="44"/>
        <v>0</v>
      </c>
      <c r="M1174" s="200">
        <f t="shared" si="45"/>
        <v>0</v>
      </c>
    </row>
    <row r="1175" spans="2:13" x14ac:dyDescent="0.35">
      <c r="B1175" s="117"/>
      <c r="C1175" s="117"/>
      <c r="D1175" s="117"/>
      <c r="E1175" s="117"/>
      <c r="F1175" s="200"/>
      <c r="G1175" s="200"/>
      <c r="H1175" s="200"/>
      <c r="I1175" s="200"/>
      <c r="J1175" s="200"/>
      <c r="K1175" s="200">
        <f>SUMIF(AE!C:C,ATB!C:C,AE!F:F)</f>
        <v>0</v>
      </c>
      <c r="L1175" s="200">
        <f t="shared" si="44"/>
        <v>0</v>
      </c>
      <c r="M1175" s="200">
        <f t="shared" si="45"/>
        <v>0</v>
      </c>
    </row>
    <row r="1176" spans="2:13" x14ac:dyDescent="0.35">
      <c r="B1176" s="117"/>
      <c r="C1176" s="117"/>
      <c r="D1176" s="117"/>
      <c r="E1176" s="117"/>
      <c r="F1176" s="200"/>
      <c r="G1176" s="200"/>
      <c r="H1176" s="200"/>
      <c r="I1176" s="200"/>
      <c r="J1176" s="200"/>
      <c r="K1176" s="200">
        <f>SUMIF(AE!C:C,ATB!C:C,AE!F:F)</f>
        <v>0</v>
      </c>
      <c r="L1176" s="200">
        <f t="shared" si="44"/>
        <v>0</v>
      </c>
      <c r="M1176" s="200">
        <f t="shared" si="45"/>
        <v>0</v>
      </c>
    </row>
    <row r="1177" spans="2:13" x14ac:dyDescent="0.35">
      <c r="B1177" s="117"/>
      <c r="C1177" s="117"/>
      <c r="D1177" s="117"/>
      <c r="E1177" s="117"/>
      <c r="F1177" s="200"/>
      <c r="G1177" s="200"/>
      <c r="H1177" s="200"/>
      <c r="I1177" s="200"/>
      <c r="J1177" s="200"/>
      <c r="K1177" s="200">
        <f>SUMIF(AE!C:C,ATB!C:C,AE!F:F)</f>
        <v>0</v>
      </c>
      <c r="L1177" s="200">
        <f t="shared" si="44"/>
        <v>0</v>
      </c>
      <c r="M1177" s="200">
        <f t="shared" si="45"/>
        <v>0</v>
      </c>
    </row>
    <row r="1178" spans="2:13" x14ac:dyDescent="0.35">
      <c r="B1178" s="117"/>
      <c r="C1178" s="117"/>
      <c r="D1178" s="117"/>
      <c r="E1178" s="117"/>
      <c r="F1178" s="200"/>
      <c r="G1178" s="200"/>
      <c r="H1178" s="200"/>
      <c r="I1178" s="200"/>
      <c r="J1178" s="200"/>
      <c r="K1178" s="200">
        <f>SUMIF(AE!C:C,ATB!C:C,AE!F:F)</f>
        <v>0</v>
      </c>
      <c r="L1178" s="200">
        <f t="shared" si="44"/>
        <v>0</v>
      </c>
      <c r="M1178" s="200">
        <f t="shared" si="45"/>
        <v>0</v>
      </c>
    </row>
    <row r="1179" spans="2:13" x14ac:dyDescent="0.35">
      <c r="B1179" s="117"/>
      <c r="C1179" s="117"/>
      <c r="D1179" s="117"/>
      <c r="E1179" s="117"/>
      <c r="F1179" s="200"/>
      <c r="G1179" s="200"/>
      <c r="H1179" s="200"/>
      <c r="I1179" s="200"/>
      <c r="J1179" s="200"/>
      <c r="K1179" s="200">
        <f>SUMIF(AE!C:C,ATB!C:C,AE!F:F)</f>
        <v>0</v>
      </c>
      <c r="L1179" s="200">
        <f t="shared" si="44"/>
        <v>0</v>
      </c>
      <c r="M1179" s="200">
        <f t="shared" si="45"/>
        <v>0</v>
      </c>
    </row>
    <row r="1180" spans="2:13" x14ac:dyDescent="0.35">
      <c r="B1180" s="117"/>
      <c r="C1180" s="117"/>
      <c r="D1180" s="117"/>
      <c r="E1180" s="117"/>
      <c r="F1180" s="200"/>
      <c r="G1180" s="200"/>
      <c r="H1180" s="200"/>
      <c r="I1180" s="200"/>
      <c r="J1180" s="200"/>
      <c r="K1180" s="200">
        <f>SUMIF(AE!C:C,ATB!C:C,AE!F:F)</f>
        <v>0</v>
      </c>
      <c r="L1180" s="200">
        <f t="shared" si="44"/>
        <v>0</v>
      </c>
      <c r="M1180" s="200">
        <f t="shared" si="45"/>
        <v>0</v>
      </c>
    </row>
    <row r="1181" spans="2:13" x14ac:dyDescent="0.35">
      <c r="B1181" s="117"/>
      <c r="C1181" s="117"/>
      <c r="D1181" s="117"/>
      <c r="E1181" s="117"/>
      <c r="F1181" s="200"/>
      <c r="G1181" s="200"/>
      <c r="H1181" s="200"/>
      <c r="I1181" s="200"/>
      <c r="J1181" s="200"/>
      <c r="K1181" s="200">
        <f>SUMIF(AE!C:C,ATB!C:C,AE!F:F)</f>
        <v>0</v>
      </c>
      <c r="L1181" s="200">
        <f t="shared" si="44"/>
        <v>0</v>
      </c>
      <c r="M1181" s="200">
        <f t="shared" si="45"/>
        <v>0</v>
      </c>
    </row>
    <row r="1182" spans="2:13" x14ac:dyDescent="0.35">
      <c r="B1182" s="117"/>
      <c r="C1182" s="117"/>
      <c r="D1182" s="117"/>
      <c r="E1182" s="117"/>
      <c r="F1182" s="200"/>
      <c r="G1182" s="200"/>
      <c r="H1182" s="200"/>
      <c r="I1182" s="200"/>
      <c r="J1182" s="200"/>
      <c r="K1182" s="200">
        <f>SUMIF(AE!C:C,ATB!C:C,AE!F:F)</f>
        <v>0</v>
      </c>
      <c r="L1182" s="200">
        <f t="shared" si="44"/>
        <v>0</v>
      </c>
      <c r="M1182" s="200">
        <f t="shared" si="45"/>
        <v>0</v>
      </c>
    </row>
    <row r="1183" spans="2:13" x14ac:dyDescent="0.35">
      <c r="B1183" s="117"/>
      <c r="C1183" s="117"/>
      <c r="D1183" s="117"/>
      <c r="E1183" s="117"/>
      <c r="F1183" s="200"/>
      <c r="G1183" s="200"/>
      <c r="H1183" s="200"/>
      <c r="I1183" s="200"/>
      <c r="J1183" s="200"/>
      <c r="K1183" s="200">
        <f>SUMIF(AE!C:C,ATB!C:C,AE!F:F)</f>
        <v>0</v>
      </c>
      <c r="L1183" s="200">
        <f t="shared" si="44"/>
        <v>0</v>
      </c>
      <c r="M1183" s="200">
        <f t="shared" si="45"/>
        <v>0</v>
      </c>
    </row>
    <row r="1184" spans="2:13" x14ac:dyDescent="0.35">
      <c r="B1184" s="117"/>
      <c r="C1184" s="117"/>
      <c r="D1184" s="117"/>
      <c r="E1184" s="117"/>
      <c r="F1184" s="200"/>
      <c r="G1184" s="200"/>
      <c r="H1184" s="200"/>
      <c r="I1184" s="200"/>
      <c r="J1184" s="200"/>
      <c r="K1184" s="200">
        <f>SUMIF(AE!C:C,ATB!C:C,AE!F:F)</f>
        <v>0</v>
      </c>
      <c r="L1184" s="200">
        <f t="shared" si="44"/>
        <v>0</v>
      </c>
      <c r="M1184" s="200">
        <f t="shared" si="45"/>
        <v>0</v>
      </c>
    </row>
    <row r="1185" spans="2:13" x14ac:dyDescent="0.35">
      <c r="B1185" s="117"/>
      <c r="C1185" s="117"/>
      <c r="D1185" s="117"/>
      <c r="E1185" s="117"/>
      <c r="F1185" s="200"/>
      <c r="G1185" s="200"/>
      <c r="H1185" s="200"/>
      <c r="I1185" s="200"/>
      <c r="J1185" s="200"/>
      <c r="K1185" s="200">
        <f>SUMIF(AE!C:C,ATB!C:C,AE!F:F)</f>
        <v>0</v>
      </c>
      <c r="L1185" s="200">
        <f t="shared" si="44"/>
        <v>0</v>
      </c>
      <c r="M1185" s="200">
        <f t="shared" si="45"/>
        <v>0</v>
      </c>
    </row>
    <row r="1186" spans="2:13" x14ac:dyDescent="0.35">
      <c r="B1186" s="117"/>
      <c r="C1186" s="117"/>
      <c r="D1186" s="117"/>
      <c r="E1186" s="117"/>
      <c r="F1186" s="200"/>
      <c r="G1186" s="200"/>
      <c r="H1186" s="200"/>
      <c r="I1186" s="200"/>
      <c r="J1186" s="200"/>
      <c r="K1186" s="200">
        <f>SUMIF(AE!C:C,ATB!C:C,AE!F:F)</f>
        <v>0</v>
      </c>
      <c r="L1186" s="200">
        <f t="shared" si="44"/>
        <v>0</v>
      </c>
      <c r="M1186" s="200">
        <f t="shared" si="45"/>
        <v>0</v>
      </c>
    </row>
    <row r="1187" spans="2:13" x14ac:dyDescent="0.35">
      <c r="B1187" s="117"/>
      <c r="C1187" s="117"/>
      <c r="D1187" s="117"/>
      <c r="E1187" s="117"/>
      <c r="F1187" s="200"/>
      <c r="G1187" s="200"/>
      <c r="H1187" s="200"/>
      <c r="I1187" s="200"/>
      <c r="J1187" s="200"/>
      <c r="K1187" s="200">
        <f>SUMIF(AE!C:C,ATB!C:C,AE!F:F)</f>
        <v>0</v>
      </c>
      <c r="L1187" s="200">
        <f t="shared" si="44"/>
        <v>0</v>
      </c>
      <c r="M1187" s="200">
        <f t="shared" si="45"/>
        <v>0</v>
      </c>
    </row>
    <row r="1188" spans="2:13" x14ac:dyDescent="0.35">
      <c r="B1188" s="117"/>
      <c r="C1188" s="117"/>
      <c r="D1188" s="117"/>
      <c r="E1188" s="117"/>
      <c r="F1188" s="200"/>
      <c r="G1188" s="200"/>
      <c r="H1188" s="200"/>
      <c r="I1188" s="200"/>
      <c r="J1188" s="200"/>
      <c r="K1188" s="200">
        <f>SUMIF(AE!C:C,ATB!C:C,AE!F:F)</f>
        <v>0</v>
      </c>
      <c r="L1188" s="200">
        <f t="shared" si="44"/>
        <v>0</v>
      </c>
      <c r="M1188" s="200">
        <f t="shared" si="45"/>
        <v>0</v>
      </c>
    </row>
    <row r="1189" spans="2:13" x14ac:dyDescent="0.35">
      <c r="B1189" s="117"/>
      <c r="C1189" s="117"/>
      <c r="D1189" s="117"/>
      <c r="E1189" s="117"/>
      <c r="F1189" s="200"/>
      <c r="G1189" s="200"/>
      <c r="H1189" s="200"/>
      <c r="I1189" s="200"/>
      <c r="J1189" s="200"/>
      <c r="K1189" s="200">
        <f>SUMIF(AE!C:C,ATB!C:C,AE!F:F)</f>
        <v>0</v>
      </c>
      <c r="L1189" s="200">
        <f t="shared" si="44"/>
        <v>0</v>
      </c>
      <c r="M1189" s="200">
        <f t="shared" si="45"/>
        <v>0</v>
      </c>
    </row>
    <row r="1190" spans="2:13" x14ac:dyDescent="0.35">
      <c r="B1190" s="117"/>
      <c r="C1190" s="117"/>
      <c r="D1190" s="117"/>
      <c r="E1190" s="117"/>
      <c r="F1190" s="200"/>
      <c r="G1190" s="200"/>
      <c r="H1190" s="200"/>
      <c r="I1190" s="200"/>
      <c r="J1190" s="200"/>
      <c r="K1190" s="200">
        <f>SUMIF(AE!C:C,ATB!C:C,AE!F:F)</f>
        <v>0</v>
      </c>
      <c r="L1190" s="200">
        <f t="shared" si="44"/>
        <v>0</v>
      </c>
      <c r="M1190" s="200">
        <f t="shared" si="45"/>
        <v>0</v>
      </c>
    </row>
    <row r="1191" spans="2:13" x14ac:dyDescent="0.35">
      <c r="B1191" s="117"/>
      <c r="C1191" s="117"/>
      <c r="D1191" s="117"/>
      <c r="E1191" s="117"/>
      <c r="F1191" s="200"/>
      <c r="G1191" s="200"/>
      <c r="H1191" s="200"/>
      <c r="I1191" s="200"/>
      <c r="J1191" s="200"/>
      <c r="K1191" s="200">
        <f>SUMIF(AE!C:C,ATB!C:C,AE!F:F)</f>
        <v>0</v>
      </c>
      <c r="L1191" s="200">
        <f t="shared" si="44"/>
        <v>0</v>
      </c>
      <c r="M1191" s="200">
        <f t="shared" si="45"/>
        <v>0</v>
      </c>
    </row>
    <row r="1192" spans="2:13" x14ac:dyDescent="0.35">
      <c r="B1192" s="117"/>
      <c r="C1192" s="117"/>
      <c r="D1192" s="117"/>
      <c r="E1192" s="117"/>
      <c r="F1192" s="200"/>
      <c r="G1192" s="200"/>
      <c r="H1192" s="200"/>
      <c r="I1192" s="200"/>
      <c r="J1192" s="200"/>
      <c r="K1192" s="200">
        <f>SUMIF(AE!C:C,ATB!C:C,AE!F:F)</f>
        <v>0</v>
      </c>
      <c r="L1192" s="200">
        <f t="shared" si="44"/>
        <v>0</v>
      </c>
      <c r="M1192" s="200">
        <f t="shared" si="45"/>
        <v>0</v>
      </c>
    </row>
    <row r="1193" spans="2:13" x14ac:dyDescent="0.35">
      <c r="B1193" s="117"/>
      <c r="C1193" s="117"/>
      <c r="D1193" s="117"/>
      <c r="E1193" s="117"/>
      <c r="F1193" s="200"/>
      <c r="G1193" s="200"/>
      <c r="H1193" s="200"/>
      <c r="I1193" s="200"/>
      <c r="J1193" s="200"/>
      <c r="K1193" s="200">
        <f>SUMIF(AE!C:C,ATB!C:C,AE!F:F)</f>
        <v>0</v>
      </c>
      <c r="L1193" s="200">
        <f t="shared" si="44"/>
        <v>0</v>
      </c>
      <c r="M1193" s="200">
        <f t="shared" si="45"/>
        <v>0</v>
      </c>
    </row>
    <row r="1194" spans="2:13" x14ac:dyDescent="0.35">
      <c r="B1194" s="117"/>
      <c r="C1194" s="117"/>
      <c r="D1194" s="117"/>
      <c r="E1194" s="117"/>
      <c r="F1194" s="200"/>
      <c r="G1194" s="200"/>
      <c r="H1194" s="200"/>
      <c r="I1194" s="200"/>
      <c r="J1194" s="200"/>
      <c r="K1194" s="200">
        <f>SUMIF(AE!C:C,ATB!C:C,AE!F:F)</f>
        <v>0</v>
      </c>
      <c r="L1194" s="200">
        <f t="shared" si="44"/>
        <v>0</v>
      </c>
      <c r="M1194" s="200">
        <f t="shared" si="45"/>
        <v>0</v>
      </c>
    </row>
    <row r="1195" spans="2:13" x14ac:dyDescent="0.35">
      <c r="B1195" s="117"/>
      <c r="C1195" s="117"/>
      <c r="D1195" s="117"/>
      <c r="E1195" s="117"/>
      <c r="F1195" s="200"/>
      <c r="G1195" s="200"/>
      <c r="H1195" s="200"/>
      <c r="I1195" s="200"/>
      <c r="J1195" s="200"/>
      <c r="K1195" s="200">
        <f>SUMIF(AE!C:C,ATB!C:C,AE!F:F)</f>
        <v>0</v>
      </c>
      <c r="L1195" s="200">
        <f t="shared" si="44"/>
        <v>0</v>
      </c>
      <c r="M1195" s="200">
        <f t="shared" si="45"/>
        <v>0</v>
      </c>
    </row>
    <row r="1196" spans="2:13" x14ac:dyDescent="0.35">
      <c r="B1196" s="117"/>
      <c r="C1196" s="117"/>
      <c r="D1196" s="117"/>
      <c r="E1196" s="117"/>
      <c r="F1196" s="200"/>
      <c r="G1196" s="200"/>
      <c r="H1196" s="200"/>
      <c r="I1196" s="200"/>
      <c r="J1196" s="200"/>
      <c r="K1196" s="200">
        <f>SUMIF(AE!C:C,ATB!C:C,AE!F:F)</f>
        <v>0</v>
      </c>
      <c r="L1196" s="200">
        <f t="shared" si="44"/>
        <v>0</v>
      </c>
      <c r="M1196" s="200">
        <f t="shared" si="45"/>
        <v>0</v>
      </c>
    </row>
    <row r="1197" spans="2:13" x14ac:dyDescent="0.35">
      <c r="B1197" s="117"/>
      <c r="C1197" s="117"/>
      <c r="D1197" s="117"/>
      <c r="E1197" s="117"/>
      <c r="F1197" s="200"/>
      <c r="G1197" s="200"/>
      <c r="H1197" s="200"/>
      <c r="I1197" s="200"/>
      <c r="J1197" s="200"/>
      <c r="K1197" s="200">
        <f>SUMIF(AE!C:C,ATB!C:C,AE!F:F)</f>
        <v>0</v>
      </c>
      <c r="L1197" s="200">
        <f t="shared" si="44"/>
        <v>0</v>
      </c>
      <c r="M1197" s="200">
        <f t="shared" si="45"/>
        <v>0</v>
      </c>
    </row>
    <row r="1198" spans="2:13" x14ac:dyDescent="0.35">
      <c r="B1198" s="117"/>
      <c r="C1198" s="117"/>
      <c r="D1198" s="117"/>
      <c r="E1198" s="117"/>
      <c r="F1198" s="200"/>
      <c r="G1198" s="200"/>
      <c r="H1198" s="200"/>
      <c r="I1198" s="200"/>
      <c r="J1198" s="200"/>
      <c r="K1198" s="200">
        <f>SUMIF(AE!C:C,ATB!C:C,AE!F:F)</f>
        <v>0</v>
      </c>
      <c r="L1198" s="200">
        <f t="shared" si="44"/>
        <v>0</v>
      </c>
      <c r="M1198" s="200">
        <f t="shared" si="45"/>
        <v>0</v>
      </c>
    </row>
    <row r="1199" spans="2:13" x14ac:dyDescent="0.35">
      <c r="B1199" s="117"/>
      <c r="C1199" s="117"/>
      <c r="D1199" s="117"/>
      <c r="E1199" s="117"/>
      <c r="F1199" s="200"/>
      <c r="G1199" s="200"/>
      <c r="H1199" s="200"/>
      <c r="I1199" s="200"/>
      <c r="J1199" s="200"/>
      <c r="K1199" s="200">
        <f>SUMIF(AE!C:C,ATB!C:C,AE!F:F)</f>
        <v>0</v>
      </c>
      <c r="L1199" s="200">
        <f t="shared" si="44"/>
        <v>0</v>
      </c>
      <c r="M1199" s="200">
        <f t="shared" si="45"/>
        <v>0</v>
      </c>
    </row>
    <row r="1200" spans="2:13" x14ac:dyDescent="0.35">
      <c r="B1200" s="117"/>
      <c r="C1200" s="117"/>
      <c r="D1200" s="117"/>
      <c r="E1200" s="117"/>
      <c r="F1200" s="200"/>
      <c r="G1200" s="200"/>
      <c r="H1200" s="200"/>
      <c r="I1200" s="200"/>
      <c r="J1200" s="200"/>
      <c r="K1200" s="200">
        <f>SUMIF(AE!C:C,ATB!C:C,AE!F:F)</f>
        <v>0</v>
      </c>
      <c r="L1200" s="200">
        <f t="shared" si="44"/>
        <v>0</v>
      </c>
      <c r="M1200" s="200">
        <f t="shared" si="45"/>
        <v>0</v>
      </c>
    </row>
    <row r="1201" spans="2:13" x14ac:dyDescent="0.35">
      <c r="B1201" s="117"/>
      <c r="C1201" s="117"/>
      <c r="D1201" s="117"/>
      <c r="E1201" s="117"/>
      <c r="F1201" s="200"/>
      <c r="G1201" s="200"/>
      <c r="H1201" s="200"/>
      <c r="I1201" s="200"/>
      <c r="J1201" s="200"/>
      <c r="K1201" s="200">
        <f>SUMIF(AE!C:C,ATB!C:C,AE!F:F)</f>
        <v>0</v>
      </c>
      <c r="L1201" s="200">
        <f t="shared" si="44"/>
        <v>0</v>
      </c>
      <c r="M1201" s="200">
        <f t="shared" si="45"/>
        <v>0</v>
      </c>
    </row>
    <row r="1202" spans="2:13" x14ac:dyDescent="0.35">
      <c r="B1202" s="117"/>
      <c r="C1202" s="117"/>
      <c r="D1202" s="117"/>
      <c r="E1202" s="117"/>
      <c r="F1202" s="200"/>
      <c r="G1202" s="200"/>
      <c r="H1202" s="200"/>
      <c r="I1202" s="200"/>
      <c r="J1202" s="200"/>
      <c r="K1202" s="200">
        <f>SUMIF(AE!C:C,ATB!C:C,AE!F:F)</f>
        <v>0</v>
      </c>
      <c r="L1202" s="200">
        <f t="shared" si="44"/>
        <v>0</v>
      </c>
      <c r="M1202" s="200">
        <f t="shared" si="45"/>
        <v>0</v>
      </c>
    </row>
    <row r="1203" spans="2:13" x14ac:dyDescent="0.35">
      <c r="B1203" s="117"/>
      <c r="C1203" s="117"/>
      <c r="D1203" s="117"/>
      <c r="E1203" s="117"/>
      <c r="F1203" s="200"/>
      <c r="G1203" s="200"/>
      <c r="H1203" s="200"/>
      <c r="I1203" s="200"/>
      <c r="J1203" s="200"/>
      <c r="K1203" s="200">
        <f>SUMIF(AE!C:C,ATB!C:C,AE!F:F)</f>
        <v>0</v>
      </c>
      <c r="L1203" s="200">
        <f t="shared" si="44"/>
        <v>0</v>
      </c>
      <c r="M1203" s="200">
        <f t="shared" si="45"/>
        <v>0</v>
      </c>
    </row>
    <row r="1204" spans="2:13" x14ac:dyDescent="0.35">
      <c r="B1204" s="117"/>
      <c r="C1204" s="117"/>
      <c r="D1204" s="117"/>
      <c r="E1204" s="117"/>
      <c r="F1204" s="200"/>
      <c r="G1204" s="200"/>
      <c r="H1204" s="200"/>
      <c r="I1204" s="200"/>
      <c r="J1204" s="200"/>
      <c r="K1204" s="200">
        <f>SUMIF(AE!C:C,ATB!C:C,AE!F:F)</f>
        <v>0</v>
      </c>
      <c r="L1204" s="200">
        <f t="shared" si="44"/>
        <v>0</v>
      </c>
      <c r="M1204" s="200">
        <f t="shared" si="45"/>
        <v>0</v>
      </c>
    </row>
    <row r="1205" spans="2:13" x14ac:dyDescent="0.35">
      <c r="B1205" s="117"/>
      <c r="C1205" s="117"/>
      <c r="D1205" s="117"/>
      <c r="E1205" s="117"/>
      <c r="F1205" s="200"/>
      <c r="G1205" s="200"/>
      <c r="H1205" s="200"/>
      <c r="I1205" s="200"/>
      <c r="J1205" s="200"/>
      <c r="K1205" s="200">
        <f>SUMIF(AE!C:C,ATB!C:C,AE!F:F)</f>
        <v>0</v>
      </c>
      <c r="L1205" s="200">
        <f t="shared" si="44"/>
        <v>0</v>
      </c>
      <c r="M1205" s="200">
        <f t="shared" si="45"/>
        <v>0</v>
      </c>
    </row>
    <row r="1206" spans="2:13" x14ac:dyDescent="0.35">
      <c r="B1206" s="117"/>
      <c r="C1206" s="117"/>
      <c r="D1206" s="117"/>
      <c r="E1206" s="117"/>
      <c r="F1206" s="200"/>
      <c r="G1206" s="200"/>
      <c r="H1206" s="200"/>
      <c r="I1206" s="200"/>
      <c r="J1206" s="200"/>
      <c r="K1206" s="200">
        <f>SUMIF(AE!C:C,ATB!C:C,AE!F:F)</f>
        <v>0</v>
      </c>
      <c r="L1206" s="200">
        <f t="shared" si="44"/>
        <v>0</v>
      </c>
      <c r="M1206" s="200">
        <f t="shared" si="45"/>
        <v>0</v>
      </c>
    </row>
    <row r="1207" spans="2:13" x14ac:dyDescent="0.35">
      <c r="B1207" s="117"/>
      <c r="C1207" s="117"/>
      <c r="D1207" s="117"/>
      <c r="E1207" s="117"/>
      <c r="F1207" s="200"/>
      <c r="G1207" s="200"/>
      <c r="H1207" s="200"/>
      <c r="I1207" s="200"/>
      <c r="J1207" s="200"/>
      <c r="K1207" s="200">
        <f>SUMIF(AE!C:C,ATB!C:C,AE!F:F)</f>
        <v>0</v>
      </c>
      <c r="L1207" s="200">
        <f t="shared" si="44"/>
        <v>0</v>
      </c>
      <c r="M1207" s="200">
        <f t="shared" si="45"/>
        <v>0</v>
      </c>
    </row>
    <row r="1208" spans="2:13" x14ac:dyDescent="0.35">
      <c r="B1208" s="117"/>
      <c r="C1208" s="117"/>
      <c r="D1208" s="117"/>
      <c r="E1208" s="117"/>
      <c r="F1208" s="200"/>
      <c r="G1208" s="200"/>
      <c r="H1208" s="200"/>
      <c r="I1208" s="200"/>
      <c r="J1208" s="200"/>
      <c r="K1208" s="200">
        <f>SUMIF(AE!C:C,ATB!C:C,AE!F:F)</f>
        <v>0</v>
      </c>
      <c r="L1208" s="200">
        <f t="shared" si="44"/>
        <v>0</v>
      </c>
      <c r="M1208" s="200">
        <f t="shared" si="45"/>
        <v>0</v>
      </c>
    </row>
    <row r="1209" spans="2:13" x14ac:dyDescent="0.35">
      <c r="B1209" s="117"/>
      <c r="C1209" s="117"/>
      <c r="D1209" s="117"/>
      <c r="E1209" s="117"/>
      <c r="F1209" s="200"/>
      <c r="G1209" s="200"/>
      <c r="H1209" s="200"/>
      <c r="I1209" s="200"/>
      <c r="J1209" s="200"/>
      <c r="K1209" s="200">
        <f>SUMIF(AE!C:C,ATB!C:C,AE!F:F)</f>
        <v>0</v>
      </c>
      <c r="L1209" s="200">
        <f t="shared" si="44"/>
        <v>0</v>
      </c>
      <c r="M1209" s="200">
        <f t="shared" si="45"/>
        <v>0</v>
      </c>
    </row>
    <row r="1210" spans="2:13" x14ac:dyDescent="0.35">
      <c r="B1210" s="117"/>
      <c r="C1210" s="117"/>
      <c r="D1210" s="117"/>
      <c r="E1210" s="117"/>
      <c r="F1210" s="200"/>
      <c r="G1210" s="200"/>
      <c r="H1210" s="200"/>
      <c r="I1210" s="200"/>
      <c r="J1210" s="200"/>
      <c r="K1210" s="200">
        <f>SUMIF(AE!C:C,ATB!C:C,AE!F:F)</f>
        <v>0</v>
      </c>
      <c r="L1210" s="200">
        <f t="shared" si="44"/>
        <v>0</v>
      </c>
      <c r="M1210" s="200">
        <f t="shared" si="45"/>
        <v>0</v>
      </c>
    </row>
    <row r="1211" spans="2:13" x14ac:dyDescent="0.35">
      <c r="B1211" s="117"/>
      <c r="C1211" s="117"/>
      <c r="D1211" s="117"/>
      <c r="E1211" s="117"/>
      <c r="F1211" s="200"/>
      <c r="G1211" s="200"/>
      <c r="H1211" s="200"/>
      <c r="I1211" s="200"/>
      <c r="J1211" s="200"/>
      <c r="K1211" s="200">
        <f>SUMIF(AE!C:C,ATB!C:C,AE!F:F)</f>
        <v>0</v>
      </c>
      <c r="L1211" s="200">
        <f t="shared" si="44"/>
        <v>0</v>
      </c>
      <c r="M1211" s="200">
        <f t="shared" si="45"/>
        <v>0</v>
      </c>
    </row>
    <row r="1212" spans="2:13" x14ac:dyDescent="0.35">
      <c r="B1212" s="117"/>
      <c r="C1212" s="117"/>
      <c r="D1212" s="117"/>
      <c r="E1212" s="117"/>
      <c r="F1212" s="200"/>
      <c r="G1212" s="200"/>
      <c r="H1212" s="200"/>
      <c r="I1212" s="200"/>
      <c r="J1212" s="200"/>
      <c r="K1212" s="200">
        <f>SUMIF(AE!C:C,ATB!C:C,AE!F:F)</f>
        <v>0</v>
      </c>
      <c r="L1212" s="200">
        <f t="shared" si="44"/>
        <v>0</v>
      </c>
      <c r="M1212" s="200">
        <f t="shared" si="45"/>
        <v>0</v>
      </c>
    </row>
    <row r="1213" spans="2:13" x14ac:dyDescent="0.35">
      <c r="B1213" s="117"/>
      <c r="C1213" s="117"/>
      <c r="D1213" s="117"/>
      <c r="E1213" s="117"/>
      <c r="F1213" s="200"/>
      <c r="G1213" s="200"/>
      <c r="H1213" s="200"/>
      <c r="I1213" s="200"/>
      <c r="J1213" s="200"/>
      <c r="K1213" s="200">
        <f>SUMIF(AE!C:C,ATB!C:C,AE!F:F)</f>
        <v>0</v>
      </c>
      <c r="L1213" s="200">
        <f t="shared" si="44"/>
        <v>0</v>
      </c>
      <c r="M1213" s="200">
        <f t="shared" si="45"/>
        <v>0</v>
      </c>
    </row>
    <row r="1214" spans="2:13" x14ac:dyDescent="0.35">
      <c r="B1214" s="117"/>
      <c r="C1214" s="117"/>
      <c r="D1214" s="117"/>
      <c r="E1214" s="117"/>
      <c r="F1214" s="200"/>
      <c r="G1214" s="200"/>
      <c r="H1214" s="200"/>
      <c r="I1214" s="200"/>
      <c r="J1214" s="200"/>
      <c r="K1214" s="200">
        <f>SUMIF(AE!C:C,ATB!C:C,AE!F:F)</f>
        <v>0</v>
      </c>
      <c r="L1214" s="200">
        <f t="shared" si="44"/>
        <v>0</v>
      </c>
      <c r="M1214" s="200">
        <f t="shared" si="45"/>
        <v>0</v>
      </c>
    </row>
    <row r="1215" spans="2:13" x14ac:dyDescent="0.35">
      <c r="B1215" s="117"/>
      <c r="C1215" s="117"/>
      <c r="D1215" s="117"/>
      <c r="E1215" s="117"/>
      <c r="F1215" s="200"/>
      <c r="G1215" s="200"/>
      <c r="H1215" s="200"/>
      <c r="I1215" s="200"/>
      <c r="J1215" s="200"/>
      <c r="K1215" s="200">
        <f>SUMIF(AE!C:C,ATB!C:C,AE!F:F)</f>
        <v>0</v>
      </c>
      <c r="L1215" s="200">
        <f t="shared" si="44"/>
        <v>0</v>
      </c>
      <c r="M1215" s="200">
        <f t="shared" si="45"/>
        <v>0</v>
      </c>
    </row>
    <row r="1216" spans="2:13" x14ac:dyDescent="0.35">
      <c r="B1216" s="117"/>
      <c r="C1216" s="117"/>
      <c r="D1216" s="117"/>
      <c r="E1216" s="117"/>
      <c r="F1216" s="200"/>
      <c r="G1216" s="200"/>
      <c r="H1216" s="200"/>
      <c r="I1216" s="200"/>
      <c r="J1216" s="200"/>
      <c r="K1216" s="200">
        <f>SUMIF(AE!C:C,ATB!C:C,AE!F:F)</f>
        <v>0</v>
      </c>
      <c r="L1216" s="200">
        <f t="shared" si="44"/>
        <v>0</v>
      </c>
      <c r="M1216" s="200">
        <f t="shared" si="45"/>
        <v>0</v>
      </c>
    </row>
    <row r="1217" spans="2:13" x14ac:dyDescent="0.35">
      <c r="B1217" s="117"/>
      <c r="C1217" s="117"/>
      <c r="D1217" s="117"/>
      <c r="E1217" s="117"/>
      <c r="F1217" s="200"/>
      <c r="G1217" s="200"/>
      <c r="H1217" s="200"/>
      <c r="I1217" s="200"/>
      <c r="J1217" s="200"/>
      <c r="K1217" s="200">
        <f>SUMIF(AE!C:C,ATB!C:C,AE!F:F)</f>
        <v>0</v>
      </c>
      <c r="L1217" s="200">
        <f t="shared" si="44"/>
        <v>0</v>
      </c>
      <c r="M1217" s="200">
        <f t="shared" si="45"/>
        <v>0</v>
      </c>
    </row>
    <row r="1218" spans="2:13" x14ac:dyDescent="0.35">
      <c r="B1218" s="117"/>
      <c r="C1218" s="117"/>
      <c r="D1218" s="117"/>
      <c r="E1218" s="117"/>
      <c r="F1218" s="200"/>
      <c r="G1218" s="200"/>
      <c r="H1218" s="200"/>
      <c r="I1218" s="200"/>
      <c r="J1218" s="200"/>
      <c r="K1218" s="200">
        <f>SUMIF(AE!C:C,ATB!C:C,AE!F:F)</f>
        <v>0</v>
      </c>
      <c r="L1218" s="200">
        <f t="shared" ref="L1218:L1281" si="46">ROUND(IF(F1218+H1218+J1218-G1218-I1218-K1218&gt;0,F1218+H1218+J1218-G1218-I1218-K1218,0),0)</f>
        <v>0</v>
      </c>
      <c r="M1218" s="200">
        <f t="shared" ref="M1218:M1281" si="47">-ROUND(IF(F1218+H1218+J1218-G1218-I1218-K1218&lt;0,F1218+H1218+J1218-G1218-I1218-K1218,0),0)</f>
        <v>0</v>
      </c>
    </row>
    <row r="1219" spans="2:13" x14ac:dyDescent="0.35">
      <c r="B1219" s="117"/>
      <c r="C1219" s="117"/>
      <c r="D1219" s="117"/>
      <c r="E1219" s="117"/>
      <c r="F1219" s="200"/>
      <c r="G1219" s="200"/>
      <c r="H1219" s="200"/>
      <c r="I1219" s="200"/>
      <c r="J1219" s="200"/>
      <c r="K1219" s="200">
        <f>SUMIF(AE!C:C,ATB!C:C,AE!F:F)</f>
        <v>0</v>
      </c>
      <c r="L1219" s="200">
        <f t="shared" si="46"/>
        <v>0</v>
      </c>
      <c r="M1219" s="200">
        <f t="shared" si="47"/>
        <v>0</v>
      </c>
    </row>
    <row r="1220" spans="2:13" x14ac:dyDescent="0.35">
      <c r="B1220" s="117"/>
      <c r="C1220" s="117"/>
      <c r="D1220" s="117"/>
      <c r="E1220" s="117"/>
      <c r="F1220" s="200"/>
      <c r="G1220" s="200"/>
      <c r="H1220" s="200"/>
      <c r="I1220" s="200"/>
      <c r="J1220" s="200"/>
      <c r="K1220" s="200">
        <f>SUMIF(AE!C:C,ATB!C:C,AE!F:F)</f>
        <v>0</v>
      </c>
      <c r="L1220" s="200">
        <f t="shared" si="46"/>
        <v>0</v>
      </c>
      <c r="M1220" s="200">
        <f t="shared" si="47"/>
        <v>0</v>
      </c>
    </row>
    <row r="1221" spans="2:13" x14ac:dyDescent="0.35">
      <c r="B1221" s="117"/>
      <c r="C1221" s="117"/>
      <c r="D1221" s="117"/>
      <c r="E1221" s="117"/>
      <c r="F1221" s="200"/>
      <c r="G1221" s="200"/>
      <c r="H1221" s="200"/>
      <c r="I1221" s="200"/>
      <c r="J1221" s="200"/>
      <c r="K1221" s="200">
        <f>SUMIF(AE!C:C,ATB!C:C,AE!F:F)</f>
        <v>0</v>
      </c>
      <c r="L1221" s="200">
        <f t="shared" si="46"/>
        <v>0</v>
      </c>
      <c r="M1221" s="200">
        <f t="shared" si="47"/>
        <v>0</v>
      </c>
    </row>
    <row r="1222" spans="2:13" x14ac:dyDescent="0.35">
      <c r="B1222" s="117"/>
      <c r="C1222" s="117"/>
      <c r="D1222" s="117"/>
      <c r="E1222" s="117"/>
      <c r="F1222" s="200"/>
      <c r="G1222" s="200"/>
      <c r="H1222" s="200"/>
      <c r="I1222" s="200"/>
      <c r="J1222" s="200"/>
      <c r="K1222" s="200">
        <f>SUMIF(AE!C:C,ATB!C:C,AE!F:F)</f>
        <v>0</v>
      </c>
      <c r="L1222" s="200">
        <f t="shared" si="46"/>
        <v>0</v>
      </c>
      <c r="M1222" s="200">
        <f t="shared" si="47"/>
        <v>0</v>
      </c>
    </row>
    <row r="1223" spans="2:13" x14ac:dyDescent="0.35">
      <c r="B1223" s="117"/>
      <c r="C1223" s="117"/>
      <c r="D1223" s="117"/>
      <c r="E1223" s="117"/>
      <c r="F1223" s="200"/>
      <c r="G1223" s="200"/>
      <c r="H1223" s="200"/>
      <c r="I1223" s="200"/>
      <c r="J1223" s="200"/>
      <c r="K1223" s="200">
        <f>SUMIF(AE!C:C,ATB!C:C,AE!F:F)</f>
        <v>0</v>
      </c>
      <c r="L1223" s="200">
        <f t="shared" si="46"/>
        <v>0</v>
      </c>
      <c r="M1223" s="200">
        <f t="shared" si="47"/>
        <v>0</v>
      </c>
    </row>
    <row r="1224" spans="2:13" x14ac:dyDescent="0.35">
      <c r="B1224" s="117"/>
      <c r="C1224" s="117"/>
      <c r="D1224" s="117"/>
      <c r="E1224" s="117"/>
      <c r="F1224" s="200"/>
      <c r="G1224" s="200"/>
      <c r="H1224" s="200"/>
      <c r="I1224" s="200"/>
      <c r="J1224" s="200"/>
      <c r="K1224" s="200">
        <f>SUMIF(AE!C:C,ATB!C:C,AE!F:F)</f>
        <v>0</v>
      </c>
      <c r="L1224" s="200">
        <f t="shared" si="46"/>
        <v>0</v>
      </c>
      <c r="M1224" s="200">
        <f t="shared" si="47"/>
        <v>0</v>
      </c>
    </row>
    <row r="1225" spans="2:13" x14ac:dyDescent="0.35">
      <c r="B1225" s="117"/>
      <c r="C1225" s="117"/>
      <c r="D1225" s="117"/>
      <c r="E1225" s="117"/>
      <c r="F1225" s="200"/>
      <c r="G1225" s="200"/>
      <c r="H1225" s="200"/>
      <c r="I1225" s="200"/>
      <c r="J1225" s="200"/>
      <c r="K1225" s="200">
        <f>SUMIF(AE!C:C,ATB!C:C,AE!F:F)</f>
        <v>0</v>
      </c>
      <c r="L1225" s="200">
        <f t="shared" si="46"/>
        <v>0</v>
      </c>
      <c r="M1225" s="200">
        <f t="shared" si="47"/>
        <v>0</v>
      </c>
    </row>
    <row r="1226" spans="2:13" x14ac:dyDescent="0.35">
      <c r="B1226" s="117"/>
      <c r="C1226" s="117"/>
      <c r="D1226" s="117"/>
      <c r="E1226" s="117"/>
      <c r="F1226" s="200"/>
      <c r="G1226" s="200"/>
      <c r="H1226" s="200"/>
      <c r="I1226" s="200"/>
      <c r="J1226" s="200"/>
      <c r="K1226" s="200">
        <f>SUMIF(AE!C:C,ATB!C:C,AE!F:F)</f>
        <v>0</v>
      </c>
      <c r="L1226" s="200">
        <f t="shared" si="46"/>
        <v>0</v>
      </c>
      <c r="M1226" s="200">
        <f t="shared" si="47"/>
        <v>0</v>
      </c>
    </row>
    <row r="1227" spans="2:13" x14ac:dyDescent="0.35">
      <c r="B1227" s="117"/>
      <c r="C1227" s="117"/>
      <c r="D1227" s="117"/>
      <c r="E1227" s="117"/>
      <c r="F1227" s="200"/>
      <c r="G1227" s="200"/>
      <c r="H1227" s="200"/>
      <c r="I1227" s="200"/>
      <c r="J1227" s="200"/>
      <c r="K1227" s="200">
        <f>SUMIF(AE!C:C,ATB!C:C,AE!F:F)</f>
        <v>0</v>
      </c>
      <c r="L1227" s="200">
        <f t="shared" si="46"/>
        <v>0</v>
      </c>
      <c r="M1227" s="200">
        <f t="shared" si="47"/>
        <v>0</v>
      </c>
    </row>
    <row r="1228" spans="2:13" x14ac:dyDescent="0.35">
      <c r="B1228" s="117"/>
      <c r="C1228" s="117"/>
      <c r="D1228" s="117"/>
      <c r="E1228" s="117"/>
      <c r="F1228" s="200"/>
      <c r="G1228" s="200"/>
      <c r="H1228" s="200"/>
      <c r="I1228" s="200"/>
      <c r="J1228" s="200"/>
      <c r="K1228" s="200">
        <f>SUMIF(AE!C:C,ATB!C:C,AE!F:F)</f>
        <v>0</v>
      </c>
      <c r="L1228" s="200">
        <f t="shared" si="46"/>
        <v>0</v>
      </c>
      <c r="M1228" s="200">
        <f t="shared" si="47"/>
        <v>0</v>
      </c>
    </row>
    <row r="1229" spans="2:13" x14ac:dyDescent="0.35">
      <c r="B1229" s="117"/>
      <c r="C1229" s="117"/>
      <c r="D1229" s="117"/>
      <c r="E1229" s="117"/>
      <c r="F1229" s="200"/>
      <c r="G1229" s="200"/>
      <c r="H1229" s="200"/>
      <c r="I1229" s="200"/>
      <c r="J1229" s="200"/>
      <c r="K1229" s="200">
        <f>SUMIF(AE!C:C,ATB!C:C,AE!F:F)</f>
        <v>0</v>
      </c>
      <c r="L1229" s="200">
        <f t="shared" si="46"/>
        <v>0</v>
      </c>
      <c r="M1229" s="200">
        <f t="shared" si="47"/>
        <v>0</v>
      </c>
    </row>
    <row r="1230" spans="2:13" x14ac:dyDescent="0.35">
      <c r="B1230" s="117"/>
      <c r="C1230" s="117"/>
      <c r="D1230" s="117"/>
      <c r="E1230" s="117"/>
      <c r="F1230" s="200"/>
      <c r="G1230" s="200"/>
      <c r="H1230" s="200"/>
      <c r="I1230" s="200"/>
      <c r="J1230" s="200"/>
      <c r="K1230" s="200">
        <f>SUMIF(AE!C:C,ATB!C:C,AE!F:F)</f>
        <v>0</v>
      </c>
      <c r="L1230" s="200">
        <f t="shared" si="46"/>
        <v>0</v>
      </c>
      <c r="M1230" s="200">
        <f t="shared" si="47"/>
        <v>0</v>
      </c>
    </row>
    <row r="1231" spans="2:13" x14ac:dyDescent="0.35">
      <c r="B1231" s="117"/>
      <c r="C1231" s="117"/>
      <c r="D1231" s="117"/>
      <c r="E1231" s="117"/>
      <c r="F1231" s="200"/>
      <c r="G1231" s="200"/>
      <c r="H1231" s="200"/>
      <c r="I1231" s="200"/>
      <c r="J1231" s="200"/>
      <c r="K1231" s="200">
        <f>SUMIF(AE!C:C,ATB!C:C,AE!F:F)</f>
        <v>0</v>
      </c>
      <c r="L1231" s="200">
        <f t="shared" si="46"/>
        <v>0</v>
      </c>
      <c r="M1231" s="200">
        <f t="shared" si="47"/>
        <v>0</v>
      </c>
    </row>
    <row r="1232" spans="2:13" x14ac:dyDescent="0.35">
      <c r="B1232" s="117"/>
      <c r="C1232" s="117"/>
      <c r="D1232" s="117"/>
      <c r="E1232" s="117"/>
      <c r="F1232" s="200"/>
      <c r="G1232" s="200"/>
      <c r="H1232" s="200"/>
      <c r="I1232" s="200"/>
      <c r="J1232" s="200"/>
      <c r="K1232" s="200">
        <f>SUMIF(AE!C:C,ATB!C:C,AE!F:F)</f>
        <v>0</v>
      </c>
      <c r="L1232" s="200">
        <f t="shared" si="46"/>
        <v>0</v>
      </c>
      <c r="M1232" s="200">
        <f t="shared" si="47"/>
        <v>0</v>
      </c>
    </row>
    <row r="1233" spans="2:13" x14ac:dyDescent="0.35">
      <c r="B1233" s="117"/>
      <c r="C1233" s="117"/>
      <c r="D1233" s="117"/>
      <c r="E1233" s="117"/>
      <c r="F1233" s="200"/>
      <c r="G1233" s="200"/>
      <c r="H1233" s="200"/>
      <c r="I1233" s="200"/>
      <c r="J1233" s="200"/>
      <c r="K1233" s="200">
        <f>SUMIF(AE!C:C,ATB!C:C,AE!F:F)</f>
        <v>0</v>
      </c>
      <c r="L1233" s="200">
        <f t="shared" si="46"/>
        <v>0</v>
      </c>
      <c r="M1233" s="200">
        <f t="shared" si="47"/>
        <v>0</v>
      </c>
    </row>
    <row r="1234" spans="2:13" x14ac:dyDescent="0.35">
      <c r="B1234" s="117"/>
      <c r="C1234" s="117"/>
      <c r="D1234" s="117"/>
      <c r="E1234" s="117"/>
      <c r="F1234" s="200"/>
      <c r="G1234" s="200"/>
      <c r="H1234" s="200"/>
      <c r="I1234" s="200"/>
      <c r="J1234" s="200"/>
      <c r="K1234" s="200">
        <f>SUMIF(AE!C:C,ATB!C:C,AE!F:F)</f>
        <v>0</v>
      </c>
      <c r="L1234" s="200">
        <f t="shared" si="46"/>
        <v>0</v>
      </c>
      <c r="M1234" s="200">
        <f t="shared" si="47"/>
        <v>0</v>
      </c>
    </row>
    <row r="1235" spans="2:13" x14ac:dyDescent="0.35">
      <c r="B1235" s="117"/>
      <c r="C1235" s="117"/>
      <c r="D1235" s="117"/>
      <c r="E1235" s="117"/>
      <c r="F1235" s="200"/>
      <c r="G1235" s="200"/>
      <c r="H1235" s="200"/>
      <c r="I1235" s="200"/>
      <c r="J1235" s="200"/>
      <c r="K1235" s="200">
        <f>SUMIF(AE!C:C,ATB!C:C,AE!F:F)</f>
        <v>0</v>
      </c>
      <c r="L1235" s="200">
        <f t="shared" si="46"/>
        <v>0</v>
      </c>
      <c r="M1235" s="200">
        <f t="shared" si="47"/>
        <v>0</v>
      </c>
    </row>
    <row r="1236" spans="2:13" x14ac:dyDescent="0.35">
      <c r="B1236" s="117"/>
      <c r="C1236" s="117"/>
      <c r="D1236" s="117"/>
      <c r="E1236" s="117"/>
      <c r="F1236" s="200"/>
      <c r="G1236" s="200"/>
      <c r="H1236" s="200"/>
      <c r="I1236" s="200"/>
      <c r="J1236" s="200"/>
      <c r="K1236" s="200">
        <f>SUMIF(AE!C:C,ATB!C:C,AE!F:F)</f>
        <v>0</v>
      </c>
      <c r="L1236" s="200">
        <f t="shared" si="46"/>
        <v>0</v>
      </c>
      <c r="M1236" s="200">
        <f t="shared" si="47"/>
        <v>0</v>
      </c>
    </row>
    <row r="1237" spans="2:13" x14ac:dyDescent="0.35">
      <c r="B1237" s="117"/>
      <c r="C1237" s="117"/>
      <c r="D1237" s="117"/>
      <c r="E1237" s="117"/>
      <c r="F1237" s="200"/>
      <c r="G1237" s="200"/>
      <c r="H1237" s="200"/>
      <c r="I1237" s="200"/>
      <c r="J1237" s="200"/>
      <c r="K1237" s="200">
        <f>SUMIF(AE!C:C,ATB!C:C,AE!F:F)</f>
        <v>0</v>
      </c>
      <c r="L1237" s="200">
        <f t="shared" si="46"/>
        <v>0</v>
      </c>
      <c r="M1237" s="200">
        <f t="shared" si="47"/>
        <v>0</v>
      </c>
    </row>
    <row r="1238" spans="2:13" x14ac:dyDescent="0.35">
      <c r="B1238" s="117"/>
      <c r="C1238" s="117"/>
      <c r="D1238" s="117"/>
      <c r="E1238" s="117"/>
      <c r="F1238" s="200"/>
      <c r="G1238" s="200"/>
      <c r="H1238" s="200"/>
      <c r="I1238" s="200"/>
      <c r="J1238" s="200"/>
      <c r="K1238" s="200">
        <f>SUMIF(AE!C:C,ATB!C:C,AE!F:F)</f>
        <v>0</v>
      </c>
      <c r="L1238" s="200">
        <f t="shared" si="46"/>
        <v>0</v>
      </c>
      <c r="M1238" s="200">
        <f t="shared" si="47"/>
        <v>0</v>
      </c>
    </row>
    <row r="1239" spans="2:13" x14ac:dyDescent="0.35">
      <c r="B1239" s="117"/>
      <c r="C1239" s="117"/>
      <c r="D1239" s="117"/>
      <c r="E1239" s="117"/>
      <c r="F1239" s="200"/>
      <c r="G1239" s="200"/>
      <c r="H1239" s="200"/>
      <c r="I1239" s="200"/>
      <c r="J1239" s="200"/>
      <c r="K1239" s="200">
        <f>SUMIF(AE!C:C,ATB!C:C,AE!F:F)</f>
        <v>0</v>
      </c>
      <c r="L1239" s="200">
        <f t="shared" si="46"/>
        <v>0</v>
      </c>
      <c r="M1239" s="200">
        <f t="shared" si="47"/>
        <v>0</v>
      </c>
    </row>
    <row r="1240" spans="2:13" x14ac:dyDescent="0.35">
      <c r="B1240" s="117"/>
      <c r="C1240" s="117"/>
      <c r="D1240" s="117"/>
      <c r="E1240" s="117"/>
      <c r="F1240" s="200"/>
      <c r="G1240" s="200"/>
      <c r="H1240" s="200"/>
      <c r="I1240" s="200"/>
      <c r="J1240" s="200"/>
      <c r="K1240" s="200">
        <f>SUMIF(AE!C:C,ATB!C:C,AE!F:F)</f>
        <v>0</v>
      </c>
      <c r="L1240" s="200">
        <f t="shared" si="46"/>
        <v>0</v>
      </c>
      <c r="M1240" s="200">
        <f t="shared" si="47"/>
        <v>0</v>
      </c>
    </row>
    <row r="1241" spans="2:13" x14ac:dyDescent="0.35">
      <c r="B1241" s="117"/>
      <c r="C1241" s="117"/>
      <c r="D1241" s="117"/>
      <c r="E1241" s="117"/>
      <c r="F1241" s="200"/>
      <c r="G1241" s="200"/>
      <c r="H1241" s="200"/>
      <c r="I1241" s="200"/>
      <c r="J1241" s="200"/>
      <c r="K1241" s="200">
        <f>SUMIF(AE!C:C,ATB!C:C,AE!F:F)</f>
        <v>0</v>
      </c>
      <c r="L1241" s="200">
        <f t="shared" si="46"/>
        <v>0</v>
      </c>
      <c r="M1241" s="200">
        <f t="shared" si="47"/>
        <v>0</v>
      </c>
    </row>
    <row r="1242" spans="2:13" x14ac:dyDescent="0.35">
      <c r="B1242" s="117"/>
      <c r="C1242" s="117"/>
      <c r="D1242" s="117"/>
      <c r="E1242" s="117"/>
      <c r="F1242" s="200"/>
      <c r="G1242" s="200"/>
      <c r="H1242" s="200"/>
      <c r="I1242" s="200"/>
      <c r="J1242" s="200"/>
      <c r="K1242" s="200">
        <f>SUMIF(AE!C:C,ATB!C:C,AE!F:F)</f>
        <v>0</v>
      </c>
      <c r="L1242" s="200">
        <f t="shared" si="46"/>
        <v>0</v>
      </c>
      <c r="M1242" s="200">
        <f t="shared" si="47"/>
        <v>0</v>
      </c>
    </row>
    <row r="1243" spans="2:13" x14ac:dyDescent="0.35">
      <c r="B1243" s="117"/>
      <c r="C1243" s="117"/>
      <c r="D1243" s="117"/>
      <c r="E1243" s="117"/>
      <c r="F1243" s="200"/>
      <c r="G1243" s="200"/>
      <c r="H1243" s="200"/>
      <c r="I1243" s="200"/>
      <c r="J1243" s="200"/>
      <c r="K1243" s="200">
        <f>SUMIF(AE!C:C,ATB!C:C,AE!F:F)</f>
        <v>0</v>
      </c>
      <c r="L1243" s="200">
        <f t="shared" si="46"/>
        <v>0</v>
      </c>
      <c r="M1243" s="200">
        <f t="shared" si="47"/>
        <v>0</v>
      </c>
    </row>
    <row r="1244" spans="2:13" x14ac:dyDescent="0.35">
      <c r="B1244" s="117"/>
      <c r="C1244" s="117"/>
      <c r="D1244" s="117"/>
      <c r="E1244" s="117"/>
      <c r="F1244" s="200"/>
      <c r="G1244" s="200"/>
      <c r="H1244" s="200"/>
      <c r="I1244" s="200"/>
      <c r="J1244" s="200"/>
      <c r="K1244" s="200">
        <f>SUMIF(AE!C:C,ATB!C:C,AE!F:F)</f>
        <v>0</v>
      </c>
      <c r="L1244" s="200">
        <f t="shared" si="46"/>
        <v>0</v>
      </c>
      <c r="M1244" s="200">
        <f t="shared" si="47"/>
        <v>0</v>
      </c>
    </row>
    <row r="1245" spans="2:13" x14ac:dyDescent="0.35">
      <c r="B1245" s="117"/>
      <c r="C1245" s="117"/>
      <c r="D1245" s="117"/>
      <c r="E1245" s="117"/>
      <c r="F1245" s="200"/>
      <c r="G1245" s="200"/>
      <c r="H1245" s="200"/>
      <c r="I1245" s="200"/>
      <c r="J1245" s="200"/>
      <c r="K1245" s="200">
        <f>SUMIF(AE!C:C,ATB!C:C,AE!F:F)</f>
        <v>0</v>
      </c>
      <c r="L1245" s="200">
        <f t="shared" si="46"/>
        <v>0</v>
      </c>
      <c r="M1245" s="200">
        <f t="shared" si="47"/>
        <v>0</v>
      </c>
    </row>
    <row r="1246" spans="2:13" x14ac:dyDescent="0.35">
      <c r="B1246" s="117"/>
      <c r="C1246" s="117"/>
      <c r="D1246" s="117"/>
      <c r="E1246" s="117"/>
      <c r="F1246" s="200"/>
      <c r="G1246" s="200"/>
      <c r="H1246" s="200"/>
      <c r="I1246" s="200"/>
      <c r="J1246" s="200"/>
      <c r="K1246" s="200">
        <f>SUMIF(AE!C:C,ATB!C:C,AE!F:F)</f>
        <v>0</v>
      </c>
      <c r="L1246" s="200">
        <f t="shared" si="46"/>
        <v>0</v>
      </c>
      <c r="M1246" s="200">
        <f t="shared" si="47"/>
        <v>0</v>
      </c>
    </row>
    <row r="1247" spans="2:13" x14ac:dyDescent="0.35">
      <c r="B1247" s="117"/>
      <c r="C1247" s="117"/>
      <c r="D1247" s="117"/>
      <c r="E1247" s="117"/>
      <c r="F1247" s="200"/>
      <c r="G1247" s="200"/>
      <c r="H1247" s="200"/>
      <c r="I1247" s="200"/>
      <c r="J1247" s="200"/>
      <c r="K1247" s="200">
        <f>SUMIF(AE!C:C,ATB!C:C,AE!F:F)</f>
        <v>0</v>
      </c>
      <c r="L1247" s="200">
        <f t="shared" si="46"/>
        <v>0</v>
      </c>
      <c r="M1247" s="200">
        <f t="shared" si="47"/>
        <v>0</v>
      </c>
    </row>
    <row r="1248" spans="2:13" x14ac:dyDescent="0.35">
      <c r="B1248" s="117"/>
      <c r="C1248" s="117"/>
      <c r="D1248" s="117"/>
      <c r="E1248" s="117"/>
      <c r="F1248" s="200"/>
      <c r="G1248" s="200"/>
      <c r="H1248" s="200"/>
      <c r="I1248" s="200"/>
      <c r="J1248" s="200"/>
      <c r="K1248" s="200">
        <f>SUMIF(AE!C:C,ATB!C:C,AE!F:F)</f>
        <v>0</v>
      </c>
      <c r="L1248" s="200">
        <f t="shared" si="46"/>
        <v>0</v>
      </c>
      <c r="M1248" s="200">
        <f t="shared" si="47"/>
        <v>0</v>
      </c>
    </row>
    <row r="1249" spans="2:13" x14ac:dyDescent="0.35">
      <c r="B1249" s="117"/>
      <c r="C1249" s="117"/>
      <c r="D1249" s="117"/>
      <c r="E1249" s="117"/>
      <c r="F1249" s="200"/>
      <c r="G1249" s="200"/>
      <c r="H1249" s="200"/>
      <c r="I1249" s="200"/>
      <c r="J1249" s="200"/>
      <c r="K1249" s="200">
        <f>SUMIF(AE!C:C,ATB!C:C,AE!F:F)</f>
        <v>0</v>
      </c>
      <c r="L1249" s="200">
        <f t="shared" si="46"/>
        <v>0</v>
      </c>
      <c r="M1249" s="200">
        <f t="shared" si="47"/>
        <v>0</v>
      </c>
    </row>
    <row r="1250" spans="2:13" x14ac:dyDescent="0.35">
      <c r="B1250" s="117"/>
      <c r="C1250" s="117"/>
      <c r="D1250" s="117"/>
      <c r="E1250" s="117"/>
      <c r="F1250" s="200"/>
      <c r="G1250" s="200"/>
      <c r="H1250" s="200"/>
      <c r="I1250" s="200"/>
      <c r="J1250" s="200"/>
      <c r="K1250" s="200">
        <f>SUMIF(AE!C:C,ATB!C:C,AE!F:F)</f>
        <v>0</v>
      </c>
      <c r="L1250" s="200">
        <f t="shared" si="46"/>
        <v>0</v>
      </c>
      <c r="M1250" s="200">
        <f t="shared" si="47"/>
        <v>0</v>
      </c>
    </row>
    <row r="1251" spans="2:13" x14ac:dyDescent="0.35">
      <c r="B1251" s="117"/>
      <c r="C1251" s="117"/>
      <c r="D1251" s="117"/>
      <c r="E1251" s="117"/>
      <c r="F1251" s="200"/>
      <c r="G1251" s="200"/>
      <c r="H1251" s="200"/>
      <c r="I1251" s="200"/>
      <c r="J1251" s="200"/>
      <c r="K1251" s="200">
        <f>SUMIF(AE!C:C,ATB!C:C,AE!F:F)</f>
        <v>0</v>
      </c>
      <c r="L1251" s="200">
        <f t="shared" si="46"/>
        <v>0</v>
      </c>
      <c r="M1251" s="200">
        <f t="shared" si="47"/>
        <v>0</v>
      </c>
    </row>
    <row r="1252" spans="2:13" x14ac:dyDescent="0.35">
      <c r="B1252" s="117"/>
      <c r="C1252" s="117"/>
      <c r="D1252" s="117"/>
      <c r="E1252" s="117"/>
      <c r="F1252" s="200"/>
      <c r="G1252" s="200"/>
      <c r="H1252" s="200"/>
      <c r="I1252" s="200"/>
      <c r="J1252" s="200"/>
      <c r="K1252" s="200">
        <f>SUMIF(AE!C:C,ATB!C:C,AE!F:F)</f>
        <v>0</v>
      </c>
      <c r="L1252" s="200">
        <f t="shared" si="46"/>
        <v>0</v>
      </c>
      <c r="M1252" s="200">
        <f t="shared" si="47"/>
        <v>0</v>
      </c>
    </row>
    <row r="1253" spans="2:13" x14ac:dyDescent="0.35">
      <c r="B1253" s="117"/>
      <c r="C1253" s="117"/>
      <c r="D1253" s="117"/>
      <c r="E1253" s="117"/>
      <c r="F1253" s="200"/>
      <c r="G1253" s="200"/>
      <c r="H1253" s="200"/>
      <c r="I1253" s="200"/>
      <c r="J1253" s="200"/>
      <c r="K1253" s="200">
        <f>SUMIF(AE!C:C,ATB!C:C,AE!F:F)</f>
        <v>0</v>
      </c>
      <c r="L1253" s="200">
        <f t="shared" si="46"/>
        <v>0</v>
      </c>
      <c r="M1253" s="200">
        <f t="shared" si="47"/>
        <v>0</v>
      </c>
    </row>
    <row r="1254" spans="2:13" x14ac:dyDescent="0.35">
      <c r="B1254" s="117"/>
      <c r="C1254" s="117"/>
      <c r="D1254" s="117"/>
      <c r="E1254" s="117"/>
      <c r="F1254" s="200"/>
      <c r="G1254" s="200"/>
      <c r="H1254" s="200"/>
      <c r="I1254" s="200"/>
      <c r="J1254" s="200"/>
      <c r="K1254" s="200">
        <f>SUMIF(AE!C:C,ATB!C:C,AE!F:F)</f>
        <v>0</v>
      </c>
      <c r="L1254" s="200">
        <f t="shared" si="46"/>
        <v>0</v>
      </c>
      <c r="M1254" s="200">
        <f t="shared" si="47"/>
        <v>0</v>
      </c>
    </row>
    <row r="1255" spans="2:13" x14ac:dyDescent="0.35">
      <c r="B1255" s="117"/>
      <c r="C1255" s="117"/>
      <c r="D1255" s="117"/>
      <c r="E1255" s="117"/>
      <c r="F1255" s="200"/>
      <c r="G1255" s="200"/>
      <c r="H1255" s="200"/>
      <c r="I1255" s="200"/>
      <c r="J1255" s="200"/>
      <c r="K1255" s="200">
        <f>SUMIF(AE!C:C,ATB!C:C,AE!F:F)</f>
        <v>0</v>
      </c>
      <c r="L1255" s="200">
        <f t="shared" si="46"/>
        <v>0</v>
      </c>
      <c r="M1255" s="200">
        <f t="shared" si="47"/>
        <v>0</v>
      </c>
    </row>
    <row r="1256" spans="2:13" x14ac:dyDescent="0.35">
      <c r="B1256" s="117"/>
      <c r="C1256" s="117"/>
      <c r="D1256" s="117"/>
      <c r="E1256" s="117"/>
      <c r="F1256" s="200"/>
      <c r="G1256" s="200"/>
      <c r="H1256" s="200"/>
      <c r="I1256" s="200"/>
      <c r="J1256" s="200"/>
      <c r="K1256" s="200">
        <f>SUMIF(AE!C:C,ATB!C:C,AE!F:F)</f>
        <v>0</v>
      </c>
      <c r="L1256" s="200">
        <f t="shared" si="46"/>
        <v>0</v>
      </c>
      <c r="M1256" s="200">
        <f t="shared" si="47"/>
        <v>0</v>
      </c>
    </row>
    <row r="1257" spans="2:13" x14ac:dyDescent="0.35">
      <c r="B1257" s="117"/>
      <c r="C1257" s="117"/>
      <c r="D1257" s="117"/>
      <c r="E1257" s="117"/>
      <c r="F1257" s="200"/>
      <c r="G1257" s="200"/>
      <c r="H1257" s="200"/>
      <c r="I1257" s="200"/>
      <c r="J1257" s="200"/>
      <c r="K1257" s="200">
        <f>SUMIF(AE!C:C,ATB!C:C,AE!F:F)</f>
        <v>0</v>
      </c>
      <c r="L1257" s="200">
        <f t="shared" si="46"/>
        <v>0</v>
      </c>
      <c r="M1257" s="200">
        <f t="shared" si="47"/>
        <v>0</v>
      </c>
    </row>
    <row r="1258" spans="2:13" x14ac:dyDescent="0.35">
      <c r="B1258" s="117"/>
      <c r="C1258" s="117"/>
      <c r="D1258" s="117"/>
      <c r="E1258" s="117"/>
      <c r="F1258" s="200"/>
      <c r="G1258" s="200"/>
      <c r="H1258" s="200"/>
      <c r="I1258" s="200"/>
      <c r="J1258" s="200"/>
      <c r="K1258" s="200">
        <f>SUMIF(AE!C:C,ATB!C:C,AE!F:F)</f>
        <v>0</v>
      </c>
      <c r="L1258" s="200">
        <f t="shared" si="46"/>
        <v>0</v>
      </c>
      <c r="M1258" s="200">
        <f t="shared" si="47"/>
        <v>0</v>
      </c>
    </row>
    <row r="1259" spans="2:13" x14ac:dyDescent="0.35">
      <c r="B1259" s="117"/>
      <c r="C1259" s="117"/>
      <c r="D1259" s="117"/>
      <c r="E1259" s="117"/>
      <c r="F1259" s="200"/>
      <c r="G1259" s="200"/>
      <c r="H1259" s="200"/>
      <c r="I1259" s="200"/>
      <c r="J1259" s="200"/>
      <c r="K1259" s="200">
        <f>SUMIF(AE!C:C,ATB!C:C,AE!F:F)</f>
        <v>0</v>
      </c>
      <c r="L1259" s="200">
        <f t="shared" si="46"/>
        <v>0</v>
      </c>
      <c r="M1259" s="200">
        <f t="shared" si="47"/>
        <v>0</v>
      </c>
    </row>
    <row r="1260" spans="2:13" x14ac:dyDescent="0.35">
      <c r="B1260" s="117"/>
      <c r="C1260" s="117"/>
      <c r="D1260" s="117"/>
      <c r="E1260" s="117"/>
      <c r="F1260" s="200"/>
      <c r="G1260" s="200"/>
      <c r="H1260" s="200"/>
      <c r="I1260" s="200"/>
      <c r="J1260" s="200"/>
      <c r="K1260" s="200">
        <f>SUMIF(AE!C:C,ATB!C:C,AE!F:F)</f>
        <v>0</v>
      </c>
      <c r="L1260" s="200">
        <f t="shared" si="46"/>
        <v>0</v>
      </c>
      <c r="M1260" s="200">
        <f t="shared" si="47"/>
        <v>0</v>
      </c>
    </row>
    <row r="1261" spans="2:13" x14ac:dyDescent="0.35">
      <c r="B1261" s="117"/>
      <c r="C1261" s="117"/>
      <c r="D1261" s="117"/>
      <c r="E1261" s="117"/>
      <c r="F1261" s="200"/>
      <c r="G1261" s="200"/>
      <c r="H1261" s="200"/>
      <c r="I1261" s="200"/>
      <c r="J1261" s="200"/>
      <c r="K1261" s="200">
        <f>SUMIF(AE!C:C,ATB!C:C,AE!F:F)</f>
        <v>0</v>
      </c>
      <c r="L1261" s="200">
        <f t="shared" si="46"/>
        <v>0</v>
      </c>
      <c r="M1261" s="200">
        <f t="shared" si="47"/>
        <v>0</v>
      </c>
    </row>
    <row r="1262" spans="2:13" x14ac:dyDescent="0.35">
      <c r="B1262" s="117"/>
      <c r="C1262" s="117"/>
      <c r="D1262" s="117"/>
      <c r="E1262" s="117"/>
      <c r="F1262" s="200"/>
      <c r="G1262" s="200"/>
      <c r="H1262" s="200"/>
      <c r="I1262" s="200"/>
      <c r="J1262" s="200"/>
      <c r="K1262" s="200">
        <f>SUMIF(AE!C:C,ATB!C:C,AE!F:F)</f>
        <v>0</v>
      </c>
      <c r="L1262" s="200">
        <f t="shared" si="46"/>
        <v>0</v>
      </c>
      <c r="M1262" s="200">
        <f t="shared" si="47"/>
        <v>0</v>
      </c>
    </row>
    <row r="1263" spans="2:13" x14ac:dyDescent="0.35">
      <c r="B1263" s="117"/>
      <c r="C1263" s="117"/>
      <c r="D1263" s="117"/>
      <c r="E1263" s="117"/>
      <c r="F1263" s="200"/>
      <c r="G1263" s="200"/>
      <c r="H1263" s="200"/>
      <c r="I1263" s="200"/>
      <c r="J1263" s="200"/>
      <c r="K1263" s="200">
        <f>SUMIF(AE!C:C,ATB!C:C,AE!F:F)</f>
        <v>0</v>
      </c>
      <c r="L1263" s="200">
        <f t="shared" si="46"/>
        <v>0</v>
      </c>
      <c r="M1263" s="200">
        <f t="shared" si="47"/>
        <v>0</v>
      </c>
    </row>
    <row r="1264" spans="2:13" x14ac:dyDescent="0.35">
      <c r="B1264" s="117"/>
      <c r="C1264" s="117"/>
      <c r="D1264" s="117"/>
      <c r="E1264" s="117"/>
      <c r="F1264" s="200"/>
      <c r="G1264" s="200"/>
      <c r="H1264" s="200"/>
      <c r="I1264" s="200"/>
      <c r="J1264" s="200"/>
      <c r="K1264" s="200">
        <f>SUMIF(AE!C:C,ATB!C:C,AE!F:F)</f>
        <v>0</v>
      </c>
      <c r="L1264" s="200">
        <f t="shared" si="46"/>
        <v>0</v>
      </c>
      <c r="M1264" s="200">
        <f t="shared" si="47"/>
        <v>0</v>
      </c>
    </row>
    <row r="1265" spans="2:13" x14ac:dyDescent="0.35">
      <c r="B1265" s="117"/>
      <c r="C1265" s="117"/>
      <c r="D1265" s="117"/>
      <c r="E1265" s="117"/>
      <c r="F1265" s="200"/>
      <c r="G1265" s="200"/>
      <c r="H1265" s="200"/>
      <c r="I1265" s="200"/>
      <c r="J1265" s="200"/>
      <c r="K1265" s="200">
        <f>SUMIF(AE!C:C,ATB!C:C,AE!F:F)</f>
        <v>0</v>
      </c>
      <c r="L1265" s="200">
        <f t="shared" si="46"/>
        <v>0</v>
      </c>
      <c r="M1265" s="200">
        <f t="shared" si="47"/>
        <v>0</v>
      </c>
    </row>
    <row r="1266" spans="2:13" x14ac:dyDescent="0.35">
      <c r="B1266" s="117"/>
      <c r="C1266" s="117"/>
      <c r="D1266" s="117"/>
      <c r="E1266" s="117"/>
      <c r="F1266" s="200"/>
      <c r="G1266" s="200"/>
      <c r="H1266" s="200"/>
      <c r="I1266" s="200"/>
      <c r="J1266" s="200"/>
      <c r="K1266" s="200">
        <f>SUMIF(AE!C:C,ATB!C:C,AE!F:F)</f>
        <v>0</v>
      </c>
      <c r="L1266" s="200">
        <f t="shared" si="46"/>
        <v>0</v>
      </c>
      <c r="M1266" s="200">
        <f t="shared" si="47"/>
        <v>0</v>
      </c>
    </row>
    <row r="1267" spans="2:13" x14ac:dyDescent="0.35">
      <c r="B1267" s="117"/>
      <c r="C1267" s="117"/>
      <c r="D1267" s="117"/>
      <c r="E1267" s="117"/>
      <c r="F1267" s="200"/>
      <c r="G1267" s="200"/>
      <c r="H1267" s="200"/>
      <c r="I1267" s="200"/>
      <c r="J1267" s="200"/>
      <c r="K1267" s="200">
        <f>SUMIF(AE!C:C,ATB!C:C,AE!F:F)</f>
        <v>0</v>
      </c>
      <c r="L1267" s="200">
        <f t="shared" si="46"/>
        <v>0</v>
      </c>
      <c r="M1267" s="200">
        <f t="shared" si="47"/>
        <v>0</v>
      </c>
    </row>
    <row r="1268" spans="2:13" x14ac:dyDescent="0.35">
      <c r="B1268" s="117"/>
      <c r="C1268" s="117"/>
      <c r="D1268" s="117"/>
      <c r="E1268" s="117"/>
      <c r="F1268" s="200"/>
      <c r="G1268" s="200"/>
      <c r="H1268" s="200"/>
      <c r="I1268" s="200"/>
      <c r="J1268" s="200"/>
      <c r="K1268" s="200">
        <f>SUMIF(AE!C:C,ATB!C:C,AE!F:F)</f>
        <v>0</v>
      </c>
      <c r="L1268" s="200">
        <f t="shared" si="46"/>
        <v>0</v>
      </c>
      <c r="M1268" s="200">
        <f t="shared" si="47"/>
        <v>0</v>
      </c>
    </row>
    <row r="1269" spans="2:13" x14ac:dyDescent="0.35">
      <c r="B1269" s="117"/>
      <c r="C1269" s="117"/>
      <c r="D1269" s="117"/>
      <c r="E1269" s="117"/>
      <c r="F1269" s="200"/>
      <c r="G1269" s="200"/>
      <c r="H1269" s="200"/>
      <c r="I1269" s="200"/>
      <c r="J1269" s="200"/>
      <c r="K1269" s="200">
        <f>SUMIF(AE!C:C,ATB!C:C,AE!F:F)</f>
        <v>0</v>
      </c>
      <c r="L1269" s="200">
        <f t="shared" si="46"/>
        <v>0</v>
      </c>
      <c r="M1269" s="200">
        <f t="shared" si="47"/>
        <v>0</v>
      </c>
    </row>
    <row r="1270" spans="2:13" x14ac:dyDescent="0.35">
      <c r="B1270" s="117"/>
      <c r="C1270" s="117"/>
      <c r="D1270" s="117"/>
      <c r="E1270" s="117"/>
      <c r="F1270" s="200"/>
      <c r="G1270" s="200"/>
      <c r="H1270" s="200"/>
      <c r="I1270" s="200"/>
      <c r="J1270" s="200"/>
      <c r="K1270" s="200">
        <f>SUMIF(AE!C:C,ATB!C:C,AE!F:F)</f>
        <v>0</v>
      </c>
      <c r="L1270" s="200">
        <f t="shared" si="46"/>
        <v>0</v>
      </c>
      <c r="M1270" s="200">
        <f t="shared" si="47"/>
        <v>0</v>
      </c>
    </row>
    <row r="1271" spans="2:13" x14ac:dyDescent="0.35">
      <c r="B1271" s="117"/>
      <c r="C1271" s="117"/>
      <c r="D1271" s="117"/>
      <c r="E1271" s="117"/>
      <c r="F1271" s="200"/>
      <c r="G1271" s="200"/>
      <c r="H1271" s="200"/>
      <c r="I1271" s="200"/>
      <c r="J1271" s="200"/>
      <c r="K1271" s="200">
        <f>SUMIF(AE!C:C,ATB!C:C,AE!F:F)</f>
        <v>0</v>
      </c>
      <c r="L1271" s="200">
        <f t="shared" si="46"/>
        <v>0</v>
      </c>
      <c r="M1271" s="200">
        <f t="shared" si="47"/>
        <v>0</v>
      </c>
    </row>
    <row r="1272" spans="2:13" x14ac:dyDescent="0.35">
      <c r="B1272" s="117"/>
      <c r="C1272" s="117"/>
      <c r="D1272" s="117"/>
      <c r="E1272" s="117"/>
      <c r="F1272" s="200"/>
      <c r="G1272" s="200"/>
      <c r="H1272" s="200"/>
      <c r="I1272" s="200"/>
      <c r="J1272" s="200"/>
      <c r="K1272" s="200">
        <f>SUMIF(AE!C:C,ATB!C:C,AE!F:F)</f>
        <v>0</v>
      </c>
      <c r="L1272" s="200">
        <f t="shared" si="46"/>
        <v>0</v>
      </c>
      <c r="M1272" s="200">
        <f t="shared" si="47"/>
        <v>0</v>
      </c>
    </row>
    <row r="1273" spans="2:13" x14ac:dyDescent="0.35">
      <c r="B1273" s="117"/>
      <c r="C1273" s="117"/>
      <c r="D1273" s="117"/>
      <c r="E1273" s="117"/>
      <c r="F1273" s="200"/>
      <c r="G1273" s="200"/>
      <c r="H1273" s="200"/>
      <c r="I1273" s="200"/>
      <c r="J1273" s="200"/>
      <c r="K1273" s="200">
        <f>SUMIF(AE!C:C,ATB!C:C,AE!F:F)</f>
        <v>0</v>
      </c>
      <c r="L1273" s="200">
        <f t="shared" si="46"/>
        <v>0</v>
      </c>
      <c r="M1273" s="200">
        <f t="shared" si="47"/>
        <v>0</v>
      </c>
    </row>
    <row r="1274" spans="2:13" x14ac:dyDescent="0.35">
      <c r="B1274" s="117"/>
      <c r="C1274" s="117"/>
      <c r="D1274" s="117"/>
      <c r="E1274" s="117"/>
      <c r="F1274" s="200"/>
      <c r="G1274" s="200"/>
      <c r="H1274" s="200"/>
      <c r="I1274" s="200"/>
      <c r="J1274" s="200"/>
      <c r="K1274" s="200">
        <f>SUMIF(AE!C:C,ATB!C:C,AE!F:F)</f>
        <v>0</v>
      </c>
      <c r="L1274" s="200">
        <f t="shared" si="46"/>
        <v>0</v>
      </c>
      <c r="M1274" s="200">
        <f t="shared" si="47"/>
        <v>0</v>
      </c>
    </row>
    <row r="1275" spans="2:13" x14ac:dyDescent="0.35">
      <c r="B1275" s="117"/>
      <c r="C1275" s="117"/>
      <c r="D1275" s="117"/>
      <c r="E1275" s="117"/>
      <c r="F1275" s="200"/>
      <c r="G1275" s="200"/>
      <c r="H1275" s="200"/>
      <c r="I1275" s="200"/>
      <c r="J1275" s="200"/>
      <c r="K1275" s="200">
        <f>SUMIF(AE!C:C,ATB!C:C,AE!F:F)</f>
        <v>0</v>
      </c>
      <c r="L1275" s="200">
        <f t="shared" si="46"/>
        <v>0</v>
      </c>
      <c r="M1275" s="200">
        <f t="shared" si="47"/>
        <v>0</v>
      </c>
    </row>
    <row r="1276" spans="2:13" x14ac:dyDescent="0.35">
      <c r="B1276" s="117"/>
      <c r="C1276" s="117"/>
      <c r="D1276" s="117"/>
      <c r="E1276" s="117"/>
      <c r="F1276" s="200"/>
      <c r="G1276" s="200"/>
      <c r="H1276" s="200"/>
      <c r="I1276" s="200"/>
      <c r="J1276" s="200"/>
      <c r="K1276" s="200">
        <f>SUMIF(AE!C:C,ATB!C:C,AE!F:F)</f>
        <v>0</v>
      </c>
      <c r="L1276" s="200">
        <f t="shared" si="46"/>
        <v>0</v>
      </c>
      <c r="M1276" s="200">
        <f t="shared" si="47"/>
        <v>0</v>
      </c>
    </row>
    <row r="1277" spans="2:13" x14ac:dyDescent="0.35">
      <c r="B1277" s="117"/>
      <c r="C1277" s="117"/>
      <c r="D1277" s="117"/>
      <c r="E1277" s="117"/>
      <c r="F1277" s="200"/>
      <c r="G1277" s="200"/>
      <c r="H1277" s="200"/>
      <c r="I1277" s="200"/>
      <c r="J1277" s="200"/>
      <c r="K1277" s="200">
        <f>SUMIF(AE!C:C,ATB!C:C,AE!F:F)</f>
        <v>0</v>
      </c>
      <c r="L1277" s="200">
        <f t="shared" si="46"/>
        <v>0</v>
      </c>
      <c r="M1277" s="200">
        <f t="shared" si="47"/>
        <v>0</v>
      </c>
    </row>
    <row r="1278" spans="2:13" x14ac:dyDescent="0.35">
      <c r="B1278" s="117"/>
      <c r="C1278" s="117"/>
      <c r="D1278" s="117"/>
      <c r="E1278" s="117"/>
      <c r="F1278" s="200"/>
      <c r="G1278" s="200"/>
      <c r="H1278" s="200"/>
      <c r="I1278" s="200"/>
      <c r="J1278" s="200"/>
      <c r="K1278" s="200">
        <f>SUMIF(AE!C:C,ATB!C:C,AE!F:F)</f>
        <v>0</v>
      </c>
      <c r="L1278" s="200">
        <f t="shared" si="46"/>
        <v>0</v>
      </c>
      <c r="M1278" s="200">
        <f t="shared" si="47"/>
        <v>0</v>
      </c>
    </row>
    <row r="1279" spans="2:13" x14ac:dyDescent="0.35">
      <c r="B1279" s="117"/>
      <c r="C1279" s="117"/>
      <c r="D1279" s="117"/>
      <c r="E1279" s="117"/>
      <c r="F1279" s="200"/>
      <c r="G1279" s="200"/>
      <c r="H1279" s="200"/>
      <c r="I1279" s="200"/>
      <c r="J1279" s="200"/>
      <c r="K1279" s="200">
        <f>SUMIF(AE!C:C,ATB!C:C,AE!F:F)</f>
        <v>0</v>
      </c>
      <c r="L1279" s="200">
        <f t="shared" si="46"/>
        <v>0</v>
      </c>
      <c r="M1279" s="200">
        <f t="shared" si="47"/>
        <v>0</v>
      </c>
    </row>
    <row r="1280" spans="2:13" x14ac:dyDescent="0.35">
      <c r="B1280" s="117"/>
      <c r="C1280" s="117"/>
      <c r="D1280" s="117"/>
      <c r="E1280" s="117"/>
      <c r="F1280" s="200"/>
      <c r="G1280" s="200"/>
      <c r="H1280" s="200"/>
      <c r="I1280" s="200"/>
      <c r="J1280" s="200"/>
      <c r="K1280" s="200">
        <f>SUMIF(AE!C:C,ATB!C:C,AE!F:F)</f>
        <v>0</v>
      </c>
      <c r="L1280" s="200">
        <f t="shared" si="46"/>
        <v>0</v>
      </c>
      <c r="M1280" s="200">
        <f t="shared" si="47"/>
        <v>0</v>
      </c>
    </row>
    <row r="1281" spans="2:13" x14ac:dyDescent="0.35">
      <c r="B1281" s="117"/>
      <c r="C1281" s="117"/>
      <c r="D1281" s="117"/>
      <c r="E1281" s="117"/>
      <c r="F1281" s="200"/>
      <c r="G1281" s="200"/>
      <c r="H1281" s="200"/>
      <c r="I1281" s="200"/>
      <c r="J1281" s="200"/>
      <c r="K1281" s="200">
        <f>SUMIF(AE!C:C,ATB!C:C,AE!F:F)</f>
        <v>0</v>
      </c>
      <c r="L1281" s="200">
        <f t="shared" si="46"/>
        <v>0</v>
      </c>
      <c r="M1281" s="200">
        <f t="shared" si="47"/>
        <v>0</v>
      </c>
    </row>
    <row r="1282" spans="2:13" x14ac:dyDescent="0.35">
      <c r="B1282" s="117"/>
      <c r="C1282" s="117"/>
      <c r="D1282" s="117"/>
      <c r="E1282" s="117"/>
      <c r="F1282" s="200"/>
      <c r="G1282" s="200"/>
      <c r="H1282" s="200"/>
      <c r="I1282" s="200"/>
      <c r="J1282" s="200"/>
      <c r="K1282" s="200">
        <f>SUMIF(AE!C:C,ATB!C:C,AE!F:F)</f>
        <v>0</v>
      </c>
      <c r="L1282" s="200">
        <f t="shared" ref="L1282:L1345" si="48">ROUND(IF(F1282+H1282+J1282-G1282-I1282-K1282&gt;0,F1282+H1282+J1282-G1282-I1282-K1282,0),0)</f>
        <v>0</v>
      </c>
      <c r="M1282" s="200">
        <f t="shared" ref="M1282:M1345" si="49">-ROUND(IF(F1282+H1282+J1282-G1282-I1282-K1282&lt;0,F1282+H1282+J1282-G1282-I1282-K1282,0),0)</f>
        <v>0</v>
      </c>
    </row>
    <row r="1283" spans="2:13" x14ac:dyDescent="0.35">
      <c r="B1283" s="117"/>
      <c r="C1283" s="117"/>
      <c r="D1283" s="117"/>
      <c r="E1283" s="117"/>
      <c r="F1283" s="200"/>
      <c r="G1283" s="200"/>
      <c r="H1283" s="200"/>
      <c r="I1283" s="200"/>
      <c r="J1283" s="200"/>
      <c r="K1283" s="200">
        <f>SUMIF(AE!C:C,ATB!C:C,AE!F:F)</f>
        <v>0</v>
      </c>
      <c r="L1283" s="200">
        <f t="shared" si="48"/>
        <v>0</v>
      </c>
      <c r="M1283" s="200">
        <f t="shared" si="49"/>
        <v>0</v>
      </c>
    </row>
    <row r="1284" spans="2:13" x14ac:dyDescent="0.35">
      <c r="B1284" s="117"/>
      <c r="C1284" s="117"/>
      <c r="D1284" s="117"/>
      <c r="E1284" s="117"/>
      <c r="F1284" s="200"/>
      <c r="G1284" s="200"/>
      <c r="H1284" s="200"/>
      <c r="I1284" s="200"/>
      <c r="J1284" s="200"/>
      <c r="K1284" s="200">
        <f>SUMIF(AE!C:C,ATB!C:C,AE!F:F)</f>
        <v>0</v>
      </c>
      <c r="L1284" s="200">
        <f t="shared" si="48"/>
        <v>0</v>
      </c>
      <c r="M1284" s="200">
        <f t="shared" si="49"/>
        <v>0</v>
      </c>
    </row>
    <row r="1285" spans="2:13" x14ac:dyDescent="0.35">
      <c r="B1285" s="117"/>
      <c r="C1285" s="117"/>
      <c r="D1285" s="117"/>
      <c r="E1285" s="117"/>
      <c r="F1285" s="200"/>
      <c r="G1285" s="200"/>
      <c r="H1285" s="200"/>
      <c r="I1285" s="200"/>
      <c r="J1285" s="200"/>
      <c r="K1285" s="200">
        <f>SUMIF(AE!C:C,ATB!C:C,AE!F:F)</f>
        <v>0</v>
      </c>
      <c r="L1285" s="200">
        <f t="shared" si="48"/>
        <v>0</v>
      </c>
      <c r="M1285" s="200">
        <f t="shared" si="49"/>
        <v>0</v>
      </c>
    </row>
    <row r="1286" spans="2:13" x14ac:dyDescent="0.35">
      <c r="B1286" s="117"/>
      <c r="C1286" s="117"/>
      <c r="D1286" s="117"/>
      <c r="E1286" s="117"/>
      <c r="F1286" s="200"/>
      <c r="G1286" s="200"/>
      <c r="H1286" s="200"/>
      <c r="I1286" s="200"/>
      <c r="J1286" s="200"/>
      <c r="K1286" s="200">
        <f>SUMIF(AE!C:C,ATB!C:C,AE!F:F)</f>
        <v>0</v>
      </c>
      <c r="L1286" s="200">
        <f t="shared" si="48"/>
        <v>0</v>
      </c>
      <c r="M1286" s="200">
        <f t="shared" si="49"/>
        <v>0</v>
      </c>
    </row>
    <row r="1287" spans="2:13" x14ac:dyDescent="0.35">
      <c r="B1287" s="117"/>
      <c r="C1287" s="117"/>
      <c r="D1287" s="117"/>
      <c r="E1287" s="117"/>
      <c r="F1287" s="200"/>
      <c r="G1287" s="200"/>
      <c r="H1287" s="200"/>
      <c r="I1287" s="200"/>
      <c r="J1287" s="200"/>
      <c r="K1287" s="200">
        <f>SUMIF(AE!C:C,ATB!C:C,AE!F:F)</f>
        <v>0</v>
      </c>
      <c r="L1287" s="200">
        <f t="shared" si="48"/>
        <v>0</v>
      </c>
      <c r="M1287" s="200">
        <f t="shared" si="49"/>
        <v>0</v>
      </c>
    </row>
    <row r="1288" spans="2:13" x14ac:dyDescent="0.35">
      <c r="B1288" s="117"/>
      <c r="C1288" s="117"/>
      <c r="D1288" s="117"/>
      <c r="E1288" s="117"/>
      <c r="F1288" s="200"/>
      <c r="G1288" s="200"/>
      <c r="H1288" s="200"/>
      <c r="I1288" s="200"/>
      <c r="J1288" s="200"/>
      <c r="K1288" s="200">
        <f>SUMIF(AE!C:C,ATB!C:C,AE!F:F)</f>
        <v>0</v>
      </c>
      <c r="L1288" s="200">
        <f t="shared" si="48"/>
        <v>0</v>
      </c>
      <c r="M1288" s="200">
        <f t="shared" si="49"/>
        <v>0</v>
      </c>
    </row>
    <row r="1289" spans="2:13" x14ac:dyDescent="0.35">
      <c r="B1289" s="117"/>
      <c r="C1289" s="117"/>
      <c r="D1289" s="117"/>
      <c r="E1289" s="117"/>
      <c r="F1289" s="200"/>
      <c r="G1289" s="200"/>
      <c r="H1289" s="200"/>
      <c r="I1289" s="200"/>
      <c r="J1289" s="200"/>
      <c r="K1289" s="200">
        <f>SUMIF(AE!C:C,ATB!C:C,AE!F:F)</f>
        <v>0</v>
      </c>
      <c r="L1289" s="200">
        <f t="shared" si="48"/>
        <v>0</v>
      </c>
      <c r="M1289" s="200">
        <f t="shared" si="49"/>
        <v>0</v>
      </c>
    </row>
    <row r="1290" spans="2:13" x14ac:dyDescent="0.35">
      <c r="B1290" s="117"/>
      <c r="C1290" s="117"/>
      <c r="D1290" s="117"/>
      <c r="E1290" s="117"/>
      <c r="F1290" s="200"/>
      <c r="G1290" s="200"/>
      <c r="H1290" s="200"/>
      <c r="I1290" s="200"/>
      <c r="J1290" s="200"/>
      <c r="K1290" s="200">
        <f>SUMIF(AE!C:C,ATB!C:C,AE!F:F)</f>
        <v>0</v>
      </c>
      <c r="L1290" s="200">
        <f t="shared" si="48"/>
        <v>0</v>
      </c>
      <c r="M1290" s="200">
        <f t="shared" si="49"/>
        <v>0</v>
      </c>
    </row>
    <row r="1291" spans="2:13" x14ac:dyDescent="0.35">
      <c r="B1291" s="117"/>
      <c r="C1291" s="117"/>
      <c r="D1291" s="117"/>
      <c r="E1291" s="117"/>
      <c r="F1291" s="200"/>
      <c r="G1291" s="200"/>
      <c r="H1291" s="200"/>
      <c r="I1291" s="200"/>
      <c r="J1291" s="200"/>
      <c r="K1291" s="200">
        <f>SUMIF(AE!C:C,ATB!C:C,AE!F:F)</f>
        <v>0</v>
      </c>
      <c r="L1291" s="200">
        <f t="shared" si="48"/>
        <v>0</v>
      </c>
      <c r="M1291" s="200">
        <f t="shared" si="49"/>
        <v>0</v>
      </c>
    </row>
    <row r="1292" spans="2:13" x14ac:dyDescent="0.35">
      <c r="B1292" s="117"/>
      <c r="C1292" s="117"/>
      <c r="D1292" s="117"/>
      <c r="E1292" s="117"/>
      <c r="F1292" s="200"/>
      <c r="G1292" s="200"/>
      <c r="H1292" s="200"/>
      <c r="I1292" s="200"/>
      <c r="J1292" s="200"/>
      <c r="K1292" s="200">
        <f>SUMIF(AE!C:C,ATB!C:C,AE!F:F)</f>
        <v>0</v>
      </c>
      <c r="L1292" s="200">
        <f t="shared" si="48"/>
        <v>0</v>
      </c>
      <c r="M1292" s="200">
        <f t="shared" si="49"/>
        <v>0</v>
      </c>
    </row>
    <row r="1293" spans="2:13" x14ac:dyDescent="0.35">
      <c r="B1293" s="117"/>
      <c r="C1293" s="117"/>
      <c r="D1293" s="117"/>
      <c r="E1293" s="117"/>
      <c r="F1293" s="200"/>
      <c r="G1293" s="200"/>
      <c r="H1293" s="200"/>
      <c r="I1293" s="200"/>
      <c r="J1293" s="200"/>
      <c r="K1293" s="200">
        <f>SUMIF(AE!C:C,ATB!C:C,AE!F:F)</f>
        <v>0</v>
      </c>
      <c r="L1293" s="200">
        <f t="shared" si="48"/>
        <v>0</v>
      </c>
      <c r="M1293" s="200">
        <f t="shared" si="49"/>
        <v>0</v>
      </c>
    </row>
    <row r="1294" spans="2:13" x14ac:dyDescent="0.35">
      <c r="B1294" s="117"/>
      <c r="C1294" s="117"/>
      <c r="D1294" s="117"/>
      <c r="E1294" s="117"/>
      <c r="F1294" s="200"/>
      <c r="G1294" s="200"/>
      <c r="H1294" s="200"/>
      <c r="I1294" s="200"/>
      <c r="J1294" s="200"/>
      <c r="K1294" s="200">
        <f>SUMIF(AE!C:C,ATB!C:C,AE!F:F)</f>
        <v>0</v>
      </c>
      <c r="L1294" s="200">
        <f t="shared" si="48"/>
        <v>0</v>
      </c>
      <c r="M1294" s="200">
        <f t="shared" si="49"/>
        <v>0</v>
      </c>
    </row>
    <row r="1295" spans="2:13" x14ac:dyDescent="0.35">
      <c r="B1295" s="117"/>
      <c r="C1295" s="117"/>
      <c r="D1295" s="117"/>
      <c r="E1295" s="117"/>
      <c r="F1295" s="200"/>
      <c r="G1295" s="200"/>
      <c r="H1295" s="200"/>
      <c r="I1295" s="200"/>
      <c r="J1295" s="200"/>
      <c r="K1295" s="200">
        <f>SUMIF(AE!C:C,ATB!C:C,AE!F:F)</f>
        <v>0</v>
      </c>
      <c r="L1295" s="200">
        <f t="shared" si="48"/>
        <v>0</v>
      </c>
      <c r="M1295" s="200">
        <f t="shared" si="49"/>
        <v>0</v>
      </c>
    </row>
    <row r="1296" spans="2:13" x14ac:dyDescent="0.35">
      <c r="B1296" s="117"/>
      <c r="C1296" s="117"/>
      <c r="D1296" s="117"/>
      <c r="E1296" s="117"/>
      <c r="F1296" s="200"/>
      <c r="G1296" s="200"/>
      <c r="H1296" s="200"/>
      <c r="I1296" s="200"/>
      <c r="J1296" s="200"/>
      <c r="K1296" s="200">
        <f>SUMIF(AE!C:C,ATB!C:C,AE!F:F)</f>
        <v>0</v>
      </c>
      <c r="L1296" s="200">
        <f t="shared" si="48"/>
        <v>0</v>
      </c>
      <c r="M1296" s="200">
        <f t="shared" si="49"/>
        <v>0</v>
      </c>
    </row>
    <row r="1297" spans="2:13" x14ac:dyDescent="0.35">
      <c r="B1297" s="117"/>
      <c r="C1297" s="117"/>
      <c r="D1297" s="117"/>
      <c r="E1297" s="117"/>
      <c r="F1297" s="200"/>
      <c r="G1297" s="200"/>
      <c r="H1297" s="200"/>
      <c r="I1297" s="200"/>
      <c r="J1297" s="200"/>
      <c r="K1297" s="200">
        <f>SUMIF(AE!C:C,ATB!C:C,AE!F:F)</f>
        <v>0</v>
      </c>
      <c r="L1297" s="200">
        <f t="shared" si="48"/>
        <v>0</v>
      </c>
      <c r="M1297" s="200">
        <f t="shared" si="49"/>
        <v>0</v>
      </c>
    </row>
    <row r="1298" spans="2:13" x14ac:dyDescent="0.35">
      <c r="B1298" s="117"/>
      <c r="C1298" s="117"/>
      <c r="D1298" s="117"/>
      <c r="E1298" s="117"/>
      <c r="F1298" s="200"/>
      <c r="G1298" s="200"/>
      <c r="H1298" s="200"/>
      <c r="I1298" s="200"/>
      <c r="J1298" s="200"/>
      <c r="K1298" s="200">
        <f>SUMIF(AE!C:C,ATB!C:C,AE!F:F)</f>
        <v>0</v>
      </c>
      <c r="L1298" s="200">
        <f t="shared" si="48"/>
        <v>0</v>
      </c>
      <c r="M1298" s="200">
        <f t="shared" si="49"/>
        <v>0</v>
      </c>
    </row>
    <row r="1299" spans="2:13" x14ac:dyDescent="0.35">
      <c r="B1299" s="117"/>
      <c r="C1299" s="117"/>
      <c r="D1299" s="117"/>
      <c r="E1299" s="117"/>
      <c r="F1299" s="200"/>
      <c r="G1299" s="200"/>
      <c r="H1299" s="200"/>
      <c r="I1299" s="200"/>
      <c r="J1299" s="200"/>
      <c r="K1299" s="200">
        <f>SUMIF(AE!C:C,ATB!C:C,AE!F:F)</f>
        <v>0</v>
      </c>
      <c r="L1299" s="200">
        <f t="shared" si="48"/>
        <v>0</v>
      </c>
      <c r="M1299" s="200">
        <f t="shared" si="49"/>
        <v>0</v>
      </c>
    </row>
    <row r="1300" spans="2:13" x14ac:dyDescent="0.35">
      <c r="B1300" s="117"/>
      <c r="C1300" s="117"/>
      <c r="D1300" s="117"/>
      <c r="E1300" s="117"/>
      <c r="F1300" s="200"/>
      <c r="G1300" s="200"/>
      <c r="H1300" s="200"/>
      <c r="I1300" s="200"/>
      <c r="J1300" s="200"/>
      <c r="K1300" s="200">
        <f>SUMIF(AE!C:C,ATB!C:C,AE!F:F)</f>
        <v>0</v>
      </c>
      <c r="L1300" s="200">
        <f t="shared" si="48"/>
        <v>0</v>
      </c>
      <c r="M1300" s="200">
        <f t="shared" si="49"/>
        <v>0</v>
      </c>
    </row>
    <row r="1301" spans="2:13" x14ac:dyDescent="0.35">
      <c r="B1301" s="117"/>
      <c r="C1301" s="117"/>
      <c r="D1301" s="117"/>
      <c r="E1301" s="117"/>
      <c r="F1301" s="200"/>
      <c r="G1301" s="200"/>
      <c r="H1301" s="200"/>
      <c r="I1301" s="200"/>
      <c r="J1301" s="200"/>
      <c r="K1301" s="200">
        <f>SUMIF(AE!C:C,ATB!C:C,AE!F:F)</f>
        <v>0</v>
      </c>
      <c r="L1301" s="200">
        <f t="shared" si="48"/>
        <v>0</v>
      </c>
      <c r="M1301" s="200">
        <f t="shared" si="49"/>
        <v>0</v>
      </c>
    </row>
    <row r="1302" spans="2:13" x14ac:dyDescent="0.35">
      <c r="B1302" s="117"/>
      <c r="C1302" s="117"/>
      <c r="D1302" s="117"/>
      <c r="E1302" s="117"/>
      <c r="F1302" s="200"/>
      <c r="G1302" s="200"/>
      <c r="H1302" s="200"/>
      <c r="I1302" s="200"/>
      <c r="J1302" s="200"/>
      <c r="K1302" s="200">
        <f>SUMIF(AE!C:C,ATB!C:C,AE!F:F)</f>
        <v>0</v>
      </c>
      <c r="L1302" s="200">
        <f t="shared" si="48"/>
        <v>0</v>
      </c>
      <c r="M1302" s="200">
        <f t="shared" si="49"/>
        <v>0</v>
      </c>
    </row>
    <row r="1303" spans="2:13" x14ac:dyDescent="0.35">
      <c r="B1303" s="117"/>
      <c r="C1303" s="117"/>
      <c r="D1303" s="117"/>
      <c r="E1303" s="117"/>
      <c r="F1303" s="200"/>
      <c r="G1303" s="200"/>
      <c r="H1303" s="200"/>
      <c r="I1303" s="200"/>
      <c r="J1303" s="200"/>
      <c r="K1303" s="200">
        <f>SUMIF(AE!C:C,ATB!C:C,AE!F:F)</f>
        <v>0</v>
      </c>
      <c r="L1303" s="200">
        <f t="shared" si="48"/>
        <v>0</v>
      </c>
      <c r="M1303" s="200">
        <f t="shared" si="49"/>
        <v>0</v>
      </c>
    </row>
    <row r="1304" spans="2:13" x14ac:dyDescent="0.35">
      <c r="B1304" s="117"/>
      <c r="C1304" s="117"/>
      <c r="D1304" s="117"/>
      <c r="E1304" s="117"/>
      <c r="F1304" s="200"/>
      <c r="G1304" s="200"/>
      <c r="H1304" s="200"/>
      <c r="I1304" s="200"/>
      <c r="J1304" s="200"/>
      <c r="K1304" s="200">
        <f>SUMIF(AE!C:C,ATB!C:C,AE!F:F)</f>
        <v>0</v>
      </c>
      <c r="L1304" s="200">
        <f t="shared" si="48"/>
        <v>0</v>
      </c>
      <c r="M1304" s="200">
        <f t="shared" si="49"/>
        <v>0</v>
      </c>
    </row>
    <row r="1305" spans="2:13" x14ac:dyDescent="0.35">
      <c r="B1305" s="117"/>
      <c r="C1305" s="117"/>
      <c r="D1305" s="117"/>
      <c r="E1305" s="117"/>
      <c r="F1305" s="200"/>
      <c r="G1305" s="200"/>
      <c r="H1305" s="200"/>
      <c r="I1305" s="200"/>
      <c r="J1305" s="200"/>
      <c r="K1305" s="200">
        <f>SUMIF(AE!C:C,ATB!C:C,AE!F:F)</f>
        <v>0</v>
      </c>
      <c r="L1305" s="200">
        <f t="shared" si="48"/>
        <v>0</v>
      </c>
      <c r="M1305" s="200">
        <f t="shared" si="49"/>
        <v>0</v>
      </c>
    </row>
    <row r="1306" spans="2:13" x14ac:dyDescent="0.35">
      <c r="B1306" s="117"/>
      <c r="C1306" s="117"/>
      <c r="D1306" s="117"/>
      <c r="E1306" s="117"/>
      <c r="F1306" s="200"/>
      <c r="G1306" s="200"/>
      <c r="H1306" s="200"/>
      <c r="I1306" s="200"/>
      <c r="J1306" s="200"/>
      <c r="K1306" s="200">
        <f>SUMIF(AE!C:C,ATB!C:C,AE!F:F)</f>
        <v>0</v>
      </c>
      <c r="L1306" s="200">
        <f t="shared" si="48"/>
        <v>0</v>
      </c>
      <c r="M1306" s="200">
        <f t="shared" si="49"/>
        <v>0</v>
      </c>
    </row>
    <row r="1307" spans="2:13" x14ac:dyDescent="0.35">
      <c r="B1307" s="117"/>
      <c r="C1307" s="117"/>
      <c r="D1307" s="117"/>
      <c r="E1307" s="117"/>
      <c r="F1307" s="200"/>
      <c r="G1307" s="200"/>
      <c r="H1307" s="200"/>
      <c r="I1307" s="200"/>
      <c r="J1307" s="200"/>
      <c r="K1307" s="200">
        <f>SUMIF(AE!C:C,ATB!C:C,AE!F:F)</f>
        <v>0</v>
      </c>
      <c r="L1307" s="200">
        <f t="shared" si="48"/>
        <v>0</v>
      </c>
      <c r="M1307" s="200">
        <f t="shared" si="49"/>
        <v>0</v>
      </c>
    </row>
    <row r="1308" spans="2:13" x14ac:dyDescent="0.35">
      <c r="B1308" s="117"/>
      <c r="C1308" s="117"/>
      <c r="D1308" s="117"/>
      <c r="E1308" s="117"/>
      <c r="F1308" s="200"/>
      <c r="G1308" s="200"/>
      <c r="H1308" s="200"/>
      <c r="I1308" s="200"/>
      <c r="J1308" s="200"/>
      <c r="K1308" s="200">
        <f>SUMIF(AE!C:C,ATB!C:C,AE!F:F)</f>
        <v>0</v>
      </c>
      <c r="L1308" s="200">
        <f t="shared" si="48"/>
        <v>0</v>
      </c>
      <c r="M1308" s="200">
        <f t="shared" si="49"/>
        <v>0</v>
      </c>
    </row>
    <row r="1309" spans="2:13" x14ac:dyDescent="0.35">
      <c r="B1309" s="117"/>
      <c r="C1309" s="117"/>
      <c r="D1309" s="117"/>
      <c r="E1309" s="117"/>
      <c r="F1309" s="200"/>
      <c r="G1309" s="200"/>
      <c r="H1309" s="200"/>
      <c r="I1309" s="200"/>
      <c r="J1309" s="200"/>
      <c r="K1309" s="200">
        <f>SUMIF(AE!C:C,ATB!C:C,AE!F:F)</f>
        <v>0</v>
      </c>
      <c r="L1309" s="200">
        <f t="shared" si="48"/>
        <v>0</v>
      </c>
      <c r="M1309" s="200">
        <f t="shared" si="49"/>
        <v>0</v>
      </c>
    </row>
    <row r="1310" spans="2:13" x14ac:dyDescent="0.35">
      <c r="B1310" s="117"/>
      <c r="C1310" s="117"/>
      <c r="D1310" s="117"/>
      <c r="E1310" s="117"/>
      <c r="F1310" s="200"/>
      <c r="G1310" s="200"/>
      <c r="H1310" s="200"/>
      <c r="I1310" s="200"/>
      <c r="J1310" s="200"/>
      <c r="K1310" s="200">
        <f>SUMIF(AE!C:C,ATB!C:C,AE!F:F)</f>
        <v>0</v>
      </c>
      <c r="L1310" s="200">
        <f t="shared" si="48"/>
        <v>0</v>
      </c>
      <c r="M1310" s="200">
        <f t="shared" si="49"/>
        <v>0</v>
      </c>
    </row>
    <row r="1311" spans="2:13" x14ac:dyDescent="0.35">
      <c r="B1311" s="117"/>
      <c r="C1311" s="117"/>
      <c r="D1311" s="117"/>
      <c r="E1311" s="117"/>
      <c r="F1311" s="200"/>
      <c r="G1311" s="200"/>
      <c r="H1311" s="200"/>
      <c r="I1311" s="200"/>
      <c r="J1311" s="200"/>
      <c r="K1311" s="200">
        <f>SUMIF(AE!C:C,ATB!C:C,AE!F:F)</f>
        <v>0</v>
      </c>
      <c r="L1311" s="200">
        <f t="shared" si="48"/>
        <v>0</v>
      </c>
      <c r="M1311" s="200">
        <f t="shared" si="49"/>
        <v>0</v>
      </c>
    </row>
    <row r="1312" spans="2:13" x14ac:dyDescent="0.35">
      <c r="B1312" s="117"/>
      <c r="C1312" s="117"/>
      <c r="D1312" s="117"/>
      <c r="E1312" s="117"/>
      <c r="F1312" s="200"/>
      <c r="G1312" s="200"/>
      <c r="H1312" s="200"/>
      <c r="I1312" s="200"/>
      <c r="J1312" s="200"/>
      <c r="K1312" s="200">
        <f>SUMIF(AE!C:C,ATB!C:C,AE!F:F)</f>
        <v>0</v>
      </c>
      <c r="L1312" s="200">
        <f t="shared" si="48"/>
        <v>0</v>
      </c>
      <c r="M1312" s="200">
        <f t="shared" si="49"/>
        <v>0</v>
      </c>
    </row>
    <row r="1313" spans="2:13" x14ac:dyDescent="0.35">
      <c r="B1313" s="117"/>
      <c r="C1313" s="117"/>
      <c r="D1313" s="117"/>
      <c r="E1313" s="117"/>
      <c r="F1313" s="200"/>
      <c r="G1313" s="200"/>
      <c r="H1313" s="200"/>
      <c r="I1313" s="200"/>
      <c r="J1313" s="200"/>
      <c r="K1313" s="200">
        <f>SUMIF(AE!C:C,ATB!C:C,AE!F:F)</f>
        <v>0</v>
      </c>
      <c r="L1313" s="200">
        <f t="shared" si="48"/>
        <v>0</v>
      </c>
      <c r="M1313" s="200">
        <f t="shared" si="49"/>
        <v>0</v>
      </c>
    </row>
    <row r="1314" spans="2:13" x14ac:dyDescent="0.35">
      <c r="B1314" s="117"/>
      <c r="C1314" s="117"/>
      <c r="D1314" s="117"/>
      <c r="E1314" s="117"/>
      <c r="F1314" s="200"/>
      <c r="G1314" s="200"/>
      <c r="H1314" s="200"/>
      <c r="I1314" s="200"/>
      <c r="J1314" s="200"/>
      <c r="K1314" s="200">
        <f>SUMIF(AE!C:C,ATB!C:C,AE!F:F)</f>
        <v>0</v>
      </c>
      <c r="L1314" s="200">
        <f t="shared" si="48"/>
        <v>0</v>
      </c>
      <c r="M1314" s="200">
        <f t="shared" si="49"/>
        <v>0</v>
      </c>
    </row>
    <row r="1315" spans="2:13" x14ac:dyDescent="0.35">
      <c r="B1315" s="117"/>
      <c r="C1315" s="117"/>
      <c r="D1315" s="117"/>
      <c r="E1315" s="117"/>
      <c r="F1315" s="200"/>
      <c r="G1315" s="200"/>
      <c r="H1315" s="200"/>
      <c r="I1315" s="200"/>
      <c r="J1315" s="200"/>
      <c r="K1315" s="200">
        <f>SUMIF(AE!C:C,ATB!C:C,AE!F:F)</f>
        <v>0</v>
      </c>
      <c r="L1315" s="200">
        <f t="shared" si="48"/>
        <v>0</v>
      </c>
      <c r="M1315" s="200">
        <f t="shared" si="49"/>
        <v>0</v>
      </c>
    </row>
    <row r="1316" spans="2:13" x14ac:dyDescent="0.35">
      <c r="B1316" s="117"/>
      <c r="C1316" s="117"/>
      <c r="D1316" s="117"/>
      <c r="E1316" s="117"/>
      <c r="F1316" s="200"/>
      <c r="G1316" s="200"/>
      <c r="H1316" s="200"/>
      <c r="I1316" s="200"/>
      <c r="J1316" s="200"/>
      <c r="K1316" s="200">
        <f>SUMIF(AE!C:C,ATB!C:C,AE!F:F)</f>
        <v>0</v>
      </c>
      <c r="L1316" s="200">
        <f t="shared" si="48"/>
        <v>0</v>
      </c>
      <c r="M1316" s="200">
        <f t="shared" si="49"/>
        <v>0</v>
      </c>
    </row>
    <row r="1317" spans="2:13" x14ac:dyDescent="0.35">
      <c r="B1317" s="117"/>
      <c r="C1317" s="117"/>
      <c r="D1317" s="117"/>
      <c r="E1317" s="117"/>
      <c r="F1317" s="200"/>
      <c r="G1317" s="200"/>
      <c r="H1317" s="200"/>
      <c r="I1317" s="200"/>
      <c r="J1317" s="200"/>
      <c r="K1317" s="200">
        <f>SUMIF(AE!C:C,ATB!C:C,AE!F:F)</f>
        <v>0</v>
      </c>
      <c r="L1317" s="200">
        <f t="shared" si="48"/>
        <v>0</v>
      </c>
      <c r="M1317" s="200">
        <f t="shared" si="49"/>
        <v>0</v>
      </c>
    </row>
    <row r="1318" spans="2:13" x14ac:dyDescent="0.35">
      <c r="B1318" s="117"/>
      <c r="C1318" s="117"/>
      <c r="D1318" s="117"/>
      <c r="E1318" s="117"/>
      <c r="F1318" s="200"/>
      <c r="G1318" s="200"/>
      <c r="H1318" s="200"/>
      <c r="I1318" s="200"/>
      <c r="J1318" s="200"/>
      <c r="K1318" s="200">
        <f>SUMIF(AE!C:C,ATB!C:C,AE!F:F)</f>
        <v>0</v>
      </c>
      <c r="L1318" s="200">
        <f t="shared" si="48"/>
        <v>0</v>
      </c>
      <c r="M1318" s="200">
        <f t="shared" si="49"/>
        <v>0</v>
      </c>
    </row>
    <row r="1319" spans="2:13" x14ac:dyDescent="0.35">
      <c r="B1319" s="117"/>
      <c r="C1319" s="117"/>
      <c r="D1319" s="117"/>
      <c r="E1319" s="117"/>
      <c r="F1319" s="200"/>
      <c r="G1319" s="200"/>
      <c r="H1319" s="200"/>
      <c r="I1319" s="200"/>
      <c r="J1319" s="200"/>
      <c r="K1319" s="200">
        <f>SUMIF(AE!C:C,ATB!C:C,AE!F:F)</f>
        <v>0</v>
      </c>
      <c r="L1319" s="200">
        <f t="shared" si="48"/>
        <v>0</v>
      </c>
      <c r="M1319" s="200">
        <f t="shared" si="49"/>
        <v>0</v>
      </c>
    </row>
    <row r="1320" spans="2:13" x14ac:dyDescent="0.35">
      <c r="B1320" s="117"/>
      <c r="C1320" s="117"/>
      <c r="D1320" s="117"/>
      <c r="E1320" s="117"/>
      <c r="F1320" s="200"/>
      <c r="G1320" s="200"/>
      <c r="H1320" s="200"/>
      <c r="I1320" s="200"/>
      <c r="J1320" s="200"/>
      <c r="K1320" s="200">
        <f>SUMIF(AE!C:C,ATB!C:C,AE!F:F)</f>
        <v>0</v>
      </c>
      <c r="L1320" s="200">
        <f t="shared" si="48"/>
        <v>0</v>
      </c>
      <c r="M1320" s="200">
        <f t="shared" si="49"/>
        <v>0</v>
      </c>
    </row>
    <row r="1321" spans="2:13" x14ac:dyDescent="0.35">
      <c r="B1321" s="117"/>
      <c r="C1321" s="117"/>
      <c r="D1321" s="117"/>
      <c r="E1321" s="117"/>
      <c r="F1321" s="200"/>
      <c r="G1321" s="200"/>
      <c r="H1321" s="200"/>
      <c r="I1321" s="200"/>
      <c r="J1321" s="200"/>
      <c r="K1321" s="200">
        <f>SUMIF(AE!C:C,ATB!C:C,AE!F:F)</f>
        <v>0</v>
      </c>
      <c r="L1321" s="200">
        <f t="shared" si="48"/>
        <v>0</v>
      </c>
      <c r="M1321" s="200">
        <f t="shared" si="49"/>
        <v>0</v>
      </c>
    </row>
    <row r="1322" spans="2:13" x14ac:dyDescent="0.35">
      <c r="B1322" s="117"/>
      <c r="C1322" s="117"/>
      <c r="D1322" s="117"/>
      <c r="E1322" s="117"/>
      <c r="F1322" s="200"/>
      <c r="G1322" s="200"/>
      <c r="H1322" s="200"/>
      <c r="I1322" s="200"/>
      <c r="J1322" s="200"/>
      <c r="K1322" s="200">
        <f>SUMIF(AE!C:C,ATB!C:C,AE!F:F)</f>
        <v>0</v>
      </c>
      <c r="L1322" s="200">
        <f t="shared" si="48"/>
        <v>0</v>
      </c>
      <c r="M1322" s="200">
        <f t="shared" si="49"/>
        <v>0</v>
      </c>
    </row>
    <row r="1323" spans="2:13" x14ac:dyDescent="0.35">
      <c r="B1323" s="117"/>
      <c r="C1323" s="117"/>
      <c r="D1323" s="117"/>
      <c r="E1323" s="117"/>
      <c r="F1323" s="200"/>
      <c r="G1323" s="200"/>
      <c r="H1323" s="200"/>
      <c r="I1323" s="200"/>
      <c r="J1323" s="200"/>
      <c r="K1323" s="200">
        <f>SUMIF(AE!C:C,ATB!C:C,AE!F:F)</f>
        <v>0</v>
      </c>
      <c r="L1323" s="200">
        <f t="shared" si="48"/>
        <v>0</v>
      </c>
      <c r="M1323" s="200">
        <f t="shared" si="49"/>
        <v>0</v>
      </c>
    </row>
    <row r="1324" spans="2:13" x14ac:dyDescent="0.35">
      <c r="B1324" s="117"/>
      <c r="C1324" s="117"/>
      <c r="D1324" s="117"/>
      <c r="E1324" s="117"/>
      <c r="F1324" s="200"/>
      <c r="G1324" s="200"/>
      <c r="H1324" s="200"/>
      <c r="I1324" s="200"/>
      <c r="J1324" s="200"/>
      <c r="K1324" s="200">
        <f>SUMIF(AE!C:C,ATB!C:C,AE!F:F)</f>
        <v>0</v>
      </c>
      <c r="L1324" s="200">
        <f t="shared" si="48"/>
        <v>0</v>
      </c>
      <c r="M1324" s="200">
        <f t="shared" si="49"/>
        <v>0</v>
      </c>
    </row>
    <row r="1325" spans="2:13" x14ac:dyDescent="0.35">
      <c r="B1325" s="117"/>
      <c r="C1325" s="117"/>
      <c r="D1325" s="117"/>
      <c r="E1325" s="117"/>
      <c r="F1325" s="200"/>
      <c r="G1325" s="200"/>
      <c r="H1325" s="200"/>
      <c r="I1325" s="200"/>
      <c r="J1325" s="200"/>
      <c r="K1325" s="200">
        <f>SUMIF(AE!C:C,ATB!C:C,AE!F:F)</f>
        <v>0</v>
      </c>
      <c r="L1325" s="200">
        <f t="shared" si="48"/>
        <v>0</v>
      </c>
      <c r="M1325" s="200">
        <f t="shared" si="49"/>
        <v>0</v>
      </c>
    </row>
    <row r="1326" spans="2:13" x14ac:dyDescent="0.35">
      <c r="B1326" s="117"/>
      <c r="C1326" s="117"/>
      <c r="D1326" s="117"/>
      <c r="E1326" s="117"/>
      <c r="F1326" s="200"/>
      <c r="G1326" s="200"/>
      <c r="H1326" s="200"/>
      <c r="I1326" s="200"/>
      <c r="J1326" s="200"/>
      <c r="K1326" s="200">
        <f>SUMIF(AE!C:C,ATB!C:C,AE!F:F)</f>
        <v>0</v>
      </c>
      <c r="L1326" s="200">
        <f t="shared" si="48"/>
        <v>0</v>
      </c>
      <c r="M1326" s="200">
        <f t="shared" si="49"/>
        <v>0</v>
      </c>
    </row>
    <row r="1327" spans="2:13" x14ac:dyDescent="0.35">
      <c r="B1327" s="117"/>
      <c r="C1327" s="117"/>
      <c r="D1327" s="117"/>
      <c r="E1327" s="117"/>
      <c r="F1327" s="200"/>
      <c r="G1327" s="200"/>
      <c r="H1327" s="200"/>
      <c r="I1327" s="200"/>
      <c r="J1327" s="200"/>
      <c r="K1327" s="200">
        <f>SUMIF(AE!C:C,ATB!C:C,AE!F:F)</f>
        <v>0</v>
      </c>
      <c r="L1327" s="200">
        <f t="shared" si="48"/>
        <v>0</v>
      </c>
      <c r="M1327" s="200">
        <f t="shared" si="49"/>
        <v>0</v>
      </c>
    </row>
    <row r="1328" spans="2:13" x14ac:dyDescent="0.35">
      <c r="B1328" s="117"/>
      <c r="C1328" s="117"/>
      <c r="D1328" s="117"/>
      <c r="E1328" s="117"/>
      <c r="F1328" s="200"/>
      <c r="G1328" s="200"/>
      <c r="H1328" s="200"/>
      <c r="I1328" s="200"/>
      <c r="J1328" s="200"/>
      <c r="K1328" s="200">
        <f>SUMIF(AE!C:C,ATB!C:C,AE!F:F)</f>
        <v>0</v>
      </c>
      <c r="L1328" s="200">
        <f t="shared" si="48"/>
        <v>0</v>
      </c>
      <c r="M1328" s="200">
        <f t="shared" si="49"/>
        <v>0</v>
      </c>
    </row>
    <row r="1329" spans="2:13" x14ac:dyDescent="0.35">
      <c r="B1329" s="117"/>
      <c r="C1329" s="117"/>
      <c r="D1329" s="117"/>
      <c r="E1329" s="117"/>
      <c r="F1329" s="200"/>
      <c r="G1329" s="200"/>
      <c r="H1329" s="200"/>
      <c r="I1329" s="200"/>
      <c r="J1329" s="200"/>
      <c r="K1329" s="200">
        <f>SUMIF(AE!C:C,ATB!C:C,AE!F:F)</f>
        <v>0</v>
      </c>
      <c r="L1329" s="200">
        <f t="shared" si="48"/>
        <v>0</v>
      </c>
      <c r="M1329" s="200">
        <f t="shared" si="49"/>
        <v>0</v>
      </c>
    </row>
    <row r="1330" spans="2:13" x14ac:dyDescent="0.35">
      <c r="B1330" s="117"/>
      <c r="C1330" s="117"/>
      <c r="D1330" s="117"/>
      <c r="E1330" s="117"/>
      <c r="F1330" s="200"/>
      <c r="G1330" s="200"/>
      <c r="H1330" s="200"/>
      <c r="I1330" s="200"/>
      <c r="J1330" s="200"/>
      <c r="K1330" s="200">
        <f>SUMIF(AE!C:C,ATB!C:C,AE!F:F)</f>
        <v>0</v>
      </c>
      <c r="L1330" s="200">
        <f t="shared" si="48"/>
        <v>0</v>
      </c>
      <c r="M1330" s="200">
        <f t="shared" si="49"/>
        <v>0</v>
      </c>
    </row>
    <row r="1331" spans="2:13" x14ac:dyDescent="0.35">
      <c r="B1331" s="117"/>
      <c r="C1331" s="117"/>
      <c r="D1331" s="117"/>
      <c r="E1331" s="117"/>
      <c r="F1331" s="200"/>
      <c r="G1331" s="200"/>
      <c r="H1331" s="200"/>
      <c r="I1331" s="200"/>
      <c r="J1331" s="200"/>
      <c r="K1331" s="200">
        <f>SUMIF(AE!C:C,ATB!C:C,AE!F:F)</f>
        <v>0</v>
      </c>
      <c r="L1331" s="200">
        <f t="shared" si="48"/>
        <v>0</v>
      </c>
      <c r="M1331" s="200">
        <f t="shared" si="49"/>
        <v>0</v>
      </c>
    </row>
    <row r="1332" spans="2:13" x14ac:dyDescent="0.35">
      <c r="B1332" s="117"/>
      <c r="C1332" s="117"/>
      <c r="D1332" s="117"/>
      <c r="E1332" s="117"/>
      <c r="F1332" s="200"/>
      <c r="G1332" s="200"/>
      <c r="H1332" s="200"/>
      <c r="I1332" s="200"/>
      <c r="J1332" s="200"/>
      <c r="K1332" s="200">
        <f>SUMIF(AE!C:C,ATB!C:C,AE!F:F)</f>
        <v>0</v>
      </c>
      <c r="L1332" s="200">
        <f t="shared" si="48"/>
        <v>0</v>
      </c>
      <c r="M1332" s="200">
        <f t="shared" si="49"/>
        <v>0</v>
      </c>
    </row>
    <row r="1333" spans="2:13" x14ac:dyDescent="0.35">
      <c r="B1333" s="117"/>
      <c r="C1333" s="117"/>
      <c r="D1333" s="117"/>
      <c r="E1333" s="117"/>
      <c r="F1333" s="200"/>
      <c r="G1333" s="200"/>
      <c r="H1333" s="200"/>
      <c r="I1333" s="200"/>
      <c r="J1333" s="200"/>
      <c r="K1333" s="200">
        <f>SUMIF(AE!C:C,ATB!C:C,AE!F:F)</f>
        <v>0</v>
      </c>
      <c r="L1333" s="200">
        <f t="shared" si="48"/>
        <v>0</v>
      </c>
      <c r="M1333" s="200">
        <f t="shared" si="49"/>
        <v>0</v>
      </c>
    </row>
    <row r="1334" spans="2:13" x14ac:dyDescent="0.35">
      <c r="B1334" s="117"/>
      <c r="C1334" s="117"/>
      <c r="D1334" s="117"/>
      <c r="E1334" s="117"/>
      <c r="F1334" s="200"/>
      <c r="G1334" s="200"/>
      <c r="H1334" s="200"/>
      <c r="I1334" s="200"/>
      <c r="J1334" s="200"/>
      <c r="K1334" s="200">
        <f>SUMIF(AE!C:C,ATB!C:C,AE!F:F)</f>
        <v>0</v>
      </c>
      <c r="L1334" s="200">
        <f t="shared" si="48"/>
        <v>0</v>
      </c>
      <c r="M1334" s="200">
        <f t="shared" si="49"/>
        <v>0</v>
      </c>
    </row>
    <row r="1335" spans="2:13" x14ac:dyDescent="0.35">
      <c r="B1335" s="117"/>
      <c r="C1335" s="117"/>
      <c r="D1335" s="117"/>
      <c r="E1335" s="117"/>
      <c r="F1335" s="200"/>
      <c r="G1335" s="200"/>
      <c r="H1335" s="200"/>
      <c r="I1335" s="200"/>
      <c r="J1335" s="200"/>
      <c r="K1335" s="200">
        <f>SUMIF(AE!C:C,ATB!C:C,AE!F:F)</f>
        <v>0</v>
      </c>
      <c r="L1335" s="200">
        <f t="shared" si="48"/>
        <v>0</v>
      </c>
      <c r="M1335" s="200">
        <f t="shared" si="49"/>
        <v>0</v>
      </c>
    </row>
    <row r="1336" spans="2:13" x14ac:dyDescent="0.35">
      <c r="B1336" s="117"/>
      <c r="C1336" s="117"/>
      <c r="D1336" s="117"/>
      <c r="E1336" s="117"/>
      <c r="F1336" s="200"/>
      <c r="G1336" s="200"/>
      <c r="H1336" s="200"/>
      <c r="I1336" s="200"/>
      <c r="J1336" s="200"/>
      <c r="K1336" s="200">
        <f>SUMIF(AE!C:C,ATB!C:C,AE!F:F)</f>
        <v>0</v>
      </c>
      <c r="L1336" s="200">
        <f t="shared" si="48"/>
        <v>0</v>
      </c>
      <c r="M1336" s="200">
        <f t="shared" si="49"/>
        <v>0</v>
      </c>
    </row>
    <row r="1337" spans="2:13" x14ac:dyDescent="0.35">
      <c r="B1337" s="117"/>
      <c r="C1337" s="117"/>
      <c r="D1337" s="117"/>
      <c r="E1337" s="117"/>
      <c r="F1337" s="200"/>
      <c r="G1337" s="200"/>
      <c r="H1337" s="200"/>
      <c r="I1337" s="200"/>
      <c r="J1337" s="200"/>
      <c r="K1337" s="200">
        <f>SUMIF(AE!C:C,ATB!C:C,AE!F:F)</f>
        <v>0</v>
      </c>
      <c r="L1337" s="200">
        <f t="shared" si="48"/>
        <v>0</v>
      </c>
      <c r="M1337" s="200">
        <f t="shared" si="49"/>
        <v>0</v>
      </c>
    </row>
    <row r="1338" spans="2:13" x14ac:dyDescent="0.35">
      <c r="B1338" s="117"/>
      <c r="C1338" s="117"/>
      <c r="D1338" s="117"/>
      <c r="E1338" s="117"/>
      <c r="F1338" s="200"/>
      <c r="G1338" s="200"/>
      <c r="H1338" s="200"/>
      <c r="I1338" s="200"/>
      <c r="J1338" s="200"/>
      <c r="K1338" s="200">
        <f>SUMIF(AE!C:C,ATB!C:C,AE!F:F)</f>
        <v>0</v>
      </c>
      <c r="L1338" s="200">
        <f t="shared" si="48"/>
        <v>0</v>
      </c>
      <c r="M1338" s="200">
        <f t="shared" si="49"/>
        <v>0</v>
      </c>
    </row>
    <row r="1339" spans="2:13" x14ac:dyDescent="0.35">
      <c r="B1339" s="117"/>
      <c r="C1339" s="117"/>
      <c r="D1339" s="117"/>
      <c r="E1339" s="117"/>
      <c r="F1339" s="200"/>
      <c r="G1339" s="200"/>
      <c r="H1339" s="200"/>
      <c r="I1339" s="200"/>
      <c r="J1339" s="200"/>
      <c r="K1339" s="200">
        <f>SUMIF(AE!C:C,ATB!C:C,AE!F:F)</f>
        <v>0</v>
      </c>
      <c r="L1339" s="200">
        <f t="shared" si="48"/>
        <v>0</v>
      </c>
      <c r="M1339" s="200">
        <f t="shared" si="49"/>
        <v>0</v>
      </c>
    </row>
    <row r="1340" spans="2:13" x14ac:dyDescent="0.35">
      <c r="B1340" s="117"/>
      <c r="C1340" s="117"/>
      <c r="D1340" s="117"/>
      <c r="E1340" s="117"/>
      <c r="F1340" s="200"/>
      <c r="G1340" s="200"/>
      <c r="H1340" s="200"/>
      <c r="I1340" s="200"/>
      <c r="J1340" s="200"/>
      <c r="K1340" s="200">
        <f>SUMIF(AE!C:C,ATB!C:C,AE!F:F)</f>
        <v>0</v>
      </c>
      <c r="L1340" s="200">
        <f t="shared" si="48"/>
        <v>0</v>
      </c>
      <c r="M1340" s="200">
        <f t="shared" si="49"/>
        <v>0</v>
      </c>
    </row>
    <row r="1341" spans="2:13" x14ac:dyDescent="0.35">
      <c r="B1341" s="117"/>
      <c r="C1341" s="117"/>
      <c r="D1341" s="117"/>
      <c r="E1341" s="117"/>
      <c r="F1341" s="200"/>
      <c r="G1341" s="200"/>
      <c r="H1341" s="200"/>
      <c r="I1341" s="200"/>
      <c r="J1341" s="200"/>
      <c r="K1341" s="200">
        <f>SUMIF(AE!C:C,ATB!C:C,AE!F:F)</f>
        <v>0</v>
      </c>
      <c r="L1341" s="200">
        <f t="shared" si="48"/>
        <v>0</v>
      </c>
      <c r="M1341" s="200">
        <f t="shared" si="49"/>
        <v>0</v>
      </c>
    </row>
    <row r="1342" spans="2:13" x14ac:dyDescent="0.35">
      <c r="B1342" s="117"/>
      <c r="C1342" s="117"/>
      <c r="D1342" s="117"/>
      <c r="E1342" s="117"/>
      <c r="F1342" s="200"/>
      <c r="G1342" s="200"/>
      <c r="H1342" s="200"/>
      <c r="I1342" s="200"/>
      <c r="J1342" s="200"/>
      <c r="K1342" s="200">
        <f>SUMIF(AE!C:C,ATB!C:C,AE!F:F)</f>
        <v>0</v>
      </c>
      <c r="L1342" s="200">
        <f t="shared" si="48"/>
        <v>0</v>
      </c>
      <c r="M1342" s="200">
        <f t="shared" si="49"/>
        <v>0</v>
      </c>
    </row>
    <row r="1343" spans="2:13" x14ac:dyDescent="0.35">
      <c r="B1343" s="117"/>
      <c r="C1343" s="117"/>
      <c r="D1343" s="117"/>
      <c r="E1343" s="117"/>
      <c r="F1343" s="200"/>
      <c r="G1343" s="200"/>
      <c r="H1343" s="200"/>
      <c r="I1343" s="200"/>
      <c r="J1343" s="200"/>
      <c r="K1343" s="200">
        <f>SUMIF(AE!C:C,ATB!C:C,AE!F:F)</f>
        <v>0</v>
      </c>
      <c r="L1343" s="200">
        <f t="shared" si="48"/>
        <v>0</v>
      </c>
      <c r="M1343" s="200">
        <f t="shared" si="49"/>
        <v>0</v>
      </c>
    </row>
    <row r="1344" spans="2:13" x14ac:dyDescent="0.35">
      <c r="B1344" s="117"/>
      <c r="C1344" s="117"/>
      <c r="D1344" s="117"/>
      <c r="E1344" s="117"/>
      <c r="F1344" s="200"/>
      <c r="G1344" s="200"/>
      <c r="H1344" s="200"/>
      <c r="I1344" s="200"/>
      <c r="J1344" s="200"/>
      <c r="K1344" s="200">
        <f>SUMIF(AE!C:C,ATB!C:C,AE!F:F)</f>
        <v>0</v>
      </c>
      <c r="L1344" s="200">
        <f t="shared" si="48"/>
        <v>0</v>
      </c>
      <c r="M1344" s="200">
        <f t="shared" si="49"/>
        <v>0</v>
      </c>
    </row>
    <row r="1345" spans="2:13" x14ac:dyDescent="0.35">
      <c r="B1345" s="117"/>
      <c r="C1345" s="117"/>
      <c r="D1345" s="117"/>
      <c r="E1345" s="117"/>
      <c r="F1345" s="200"/>
      <c r="G1345" s="200"/>
      <c r="H1345" s="200"/>
      <c r="I1345" s="200"/>
      <c r="J1345" s="200"/>
      <c r="K1345" s="200">
        <f>SUMIF(AE!C:C,ATB!C:C,AE!F:F)</f>
        <v>0</v>
      </c>
      <c r="L1345" s="200">
        <f t="shared" si="48"/>
        <v>0</v>
      </c>
      <c r="M1345" s="200">
        <f t="shared" si="49"/>
        <v>0</v>
      </c>
    </row>
    <row r="1346" spans="2:13" x14ac:dyDescent="0.35">
      <c r="B1346" s="117"/>
      <c r="C1346" s="117"/>
      <c r="D1346" s="117"/>
      <c r="E1346" s="117"/>
      <c r="F1346" s="200"/>
      <c r="G1346" s="200"/>
      <c r="H1346" s="200"/>
      <c r="I1346" s="200"/>
      <c r="J1346" s="200"/>
      <c r="K1346" s="200">
        <f>SUMIF(AE!C:C,ATB!C:C,AE!F:F)</f>
        <v>0</v>
      </c>
      <c r="L1346" s="200">
        <f t="shared" ref="L1346:L1409" si="50">ROUND(IF(F1346+H1346+J1346-G1346-I1346-K1346&gt;0,F1346+H1346+J1346-G1346-I1346-K1346,0),0)</f>
        <v>0</v>
      </c>
      <c r="M1346" s="200">
        <f t="shared" ref="M1346:M1409" si="51">-ROUND(IF(F1346+H1346+J1346-G1346-I1346-K1346&lt;0,F1346+H1346+J1346-G1346-I1346-K1346,0),0)</f>
        <v>0</v>
      </c>
    </row>
    <row r="1347" spans="2:13" x14ac:dyDescent="0.35">
      <c r="B1347" s="117"/>
      <c r="C1347" s="117"/>
      <c r="D1347" s="117"/>
      <c r="E1347" s="117"/>
      <c r="F1347" s="200"/>
      <c r="G1347" s="200"/>
      <c r="H1347" s="200"/>
      <c r="I1347" s="200"/>
      <c r="J1347" s="200"/>
      <c r="K1347" s="200">
        <f>SUMIF(AE!C:C,ATB!C:C,AE!F:F)</f>
        <v>0</v>
      </c>
      <c r="L1347" s="200">
        <f t="shared" si="50"/>
        <v>0</v>
      </c>
      <c r="M1347" s="200">
        <f t="shared" si="51"/>
        <v>0</v>
      </c>
    </row>
    <row r="1348" spans="2:13" x14ac:dyDescent="0.35">
      <c r="B1348" s="117"/>
      <c r="C1348" s="117"/>
      <c r="D1348" s="117"/>
      <c r="E1348" s="117"/>
      <c r="F1348" s="200"/>
      <c r="G1348" s="200"/>
      <c r="H1348" s="200"/>
      <c r="I1348" s="200"/>
      <c r="J1348" s="200"/>
      <c r="K1348" s="200">
        <f>SUMIF(AE!C:C,ATB!C:C,AE!F:F)</f>
        <v>0</v>
      </c>
      <c r="L1348" s="200">
        <f t="shared" si="50"/>
        <v>0</v>
      </c>
      <c r="M1348" s="200">
        <f t="shared" si="51"/>
        <v>0</v>
      </c>
    </row>
    <row r="1349" spans="2:13" x14ac:dyDescent="0.35">
      <c r="B1349" s="117"/>
      <c r="C1349" s="117"/>
      <c r="D1349" s="117"/>
      <c r="E1349" s="117"/>
      <c r="F1349" s="200"/>
      <c r="G1349" s="200"/>
      <c r="H1349" s="200"/>
      <c r="I1349" s="200"/>
      <c r="J1349" s="200"/>
      <c r="K1349" s="200">
        <f>SUMIF(AE!C:C,ATB!C:C,AE!F:F)</f>
        <v>0</v>
      </c>
      <c r="L1349" s="200">
        <f t="shared" si="50"/>
        <v>0</v>
      </c>
      <c r="M1349" s="200">
        <f t="shared" si="51"/>
        <v>0</v>
      </c>
    </row>
    <row r="1350" spans="2:13" x14ac:dyDescent="0.35">
      <c r="B1350" s="117"/>
      <c r="C1350" s="117"/>
      <c r="D1350" s="117"/>
      <c r="E1350" s="117"/>
      <c r="F1350" s="200"/>
      <c r="G1350" s="200"/>
      <c r="H1350" s="200"/>
      <c r="I1350" s="200"/>
      <c r="J1350" s="200"/>
      <c r="K1350" s="200">
        <f>SUMIF(AE!C:C,ATB!C:C,AE!F:F)</f>
        <v>0</v>
      </c>
      <c r="L1350" s="200">
        <f t="shared" si="50"/>
        <v>0</v>
      </c>
      <c r="M1350" s="200">
        <f t="shared" si="51"/>
        <v>0</v>
      </c>
    </row>
    <row r="1351" spans="2:13" x14ac:dyDescent="0.35">
      <c r="B1351" s="117"/>
      <c r="C1351" s="117"/>
      <c r="D1351" s="117"/>
      <c r="E1351" s="117"/>
      <c r="F1351" s="200"/>
      <c r="G1351" s="200"/>
      <c r="H1351" s="200"/>
      <c r="I1351" s="200"/>
      <c r="J1351" s="200"/>
      <c r="K1351" s="200">
        <f>SUMIF(AE!C:C,ATB!C:C,AE!F:F)</f>
        <v>0</v>
      </c>
      <c r="L1351" s="200">
        <f t="shared" si="50"/>
        <v>0</v>
      </c>
      <c r="M1351" s="200">
        <f t="shared" si="51"/>
        <v>0</v>
      </c>
    </row>
    <row r="1352" spans="2:13" x14ac:dyDescent="0.35">
      <c r="B1352" s="117"/>
      <c r="C1352" s="117"/>
      <c r="D1352" s="117"/>
      <c r="E1352" s="117"/>
      <c r="F1352" s="200"/>
      <c r="G1352" s="200"/>
      <c r="H1352" s="200"/>
      <c r="I1352" s="200"/>
      <c r="J1352" s="200"/>
      <c r="K1352" s="200">
        <f>SUMIF(AE!C:C,ATB!C:C,AE!F:F)</f>
        <v>0</v>
      </c>
      <c r="L1352" s="200">
        <f t="shared" si="50"/>
        <v>0</v>
      </c>
      <c r="M1352" s="200">
        <f t="shared" si="51"/>
        <v>0</v>
      </c>
    </row>
    <row r="1353" spans="2:13" x14ac:dyDescent="0.35">
      <c r="B1353" s="117"/>
      <c r="C1353" s="117"/>
      <c r="D1353" s="117"/>
      <c r="E1353" s="117"/>
      <c r="F1353" s="200"/>
      <c r="G1353" s="200"/>
      <c r="H1353" s="200"/>
      <c r="I1353" s="200"/>
      <c r="J1353" s="200"/>
      <c r="K1353" s="200">
        <f>SUMIF(AE!C:C,ATB!C:C,AE!F:F)</f>
        <v>0</v>
      </c>
      <c r="L1353" s="200">
        <f t="shared" si="50"/>
        <v>0</v>
      </c>
      <c r="M1353" s="200">
        <f t="shared" si="51"/>
        <v>0</v>
      </c>
    </row>
    <row r="1354" spans="2:13" x14ac:dyDescent="0.35">
      <c r="B1354" s="117"/>
      <c r="C1354" s="117"/>
      <c r="D1354" s="117"/>
      <c r="E1354" s="117"/>
      <c r="F1354" s="200"/>
      <c r="G1354" s="200"/>
      <c r="H1354" s="200"/>
      <c r="I1354" s="200"/>
      <c r="J1354" s="200"/>
      <c r="K1354" s="200">
        <f>SUMIF(AE!C:C,ATB!C:C,AE!F:F)</f>
        <v>0</v>
      </c>
      <c r="L1354" s="200">
        <f t="shared" si="50"/>
        <v>0</v>
      </c>
      <c r="M1354" s="200">
        <f t="shared" si="51"/>
        <v>0</v>
      </c>
    </row>
    <row r="1355" spans="2:13" x14ac:dyDescent="0.35">
      <c r="B1355" s="117"/>
      <c r="C1355" s="117"/>
      <c r="D1355" s="117"/>
      <c r="E1355" s="117"/>
      <c r="F1355" s="200"/>
      <c r="G1355" s="200"/>
      <c r="H1355" s="200"/>
      <c r="I1355" s="200"/>
      <c r="J1355" s="200"/>
      <c r="K1355" s="200">
        <f>SUMIF(AE!C:C,ATB!C:C,AE!F:F)</f>
        <v>0</v>
      </c>
      <c r="L1355" s="200">
        <f t="shared" si="50"/>
        <v>0</v>
      </c>
      <c r="M1355" s="200">
        <f t="shared" si="51"/>
        <v>0</v>
      </c>
    </row>
    <row r="1356" spans="2:13" x14ac:dyDescent="0.35">
      <c r="B1356" s="117"/>
      <c r="C1356" s="117"/>
      <c r="D1356" s="117"/>
      <c r="E1356" s="117"/>
      <c r="F1356" s="200"/>
      <c r="G1356" s="200"/>
      <c r="H1356" s="200"/>
      <c r="I1356" s="200"/>
      <c r="J1356" s="200"/>
      <c r="K1356" s="200">
        <f>SUMIF(AE!C:C,ATB!C:C,AE!F:F)</f>
        <v>0</v>
      </c>
      <c r="L1356" s="200">
        <f t="shared" si="50"/>
        <v>0</v>
      </c>
      <c r="M1356" s="200">
        <f t="shared" si="51"/>
        <v>0</v>
      </c>
    </row>
    <row r="1357" spans="2:13" x14ac:dyDescent="0.35">
      <c r="B1357" s="117"/>
      <c r="C1357" s="117"/>
      <c r="D1357" s="117"/>
      <c r="E1357" s="117"/>
      <c r="F1357" s="200"/>
      <c r="G1357" s="200"/>
      <c r="H1357" s="200"/>
      <c r="I1357" s="200"/>
      <c r="J1357" s="200"/>
      <c r="K1357" s="200">
        <f>SUMIF(AE!C:C,ATB!C:C,AE!F:F)</f>
        <v>0</v>
      </c>
      <c r="L1357" s="200">
        <f t="shared" si="50"/>
        <v>0</v>
      </c>
      <c r="M1357" s="200">
        <f t="shared" si="51"/>
        <v>0</v>
      </c>
    </row>
    <row r="1358" spans="2:13" x14ac:dyDescent="0.35">
      <c r="B1358" s="117"/>
      <c r="C1358" s="117"/>
      <c r="D1358" s="117"/>
      <c r="E1358" s="117"/>
      <c r="F1358" s="200"/>
      <c r="G1358" s="200"/>
      <c r="H1358" s="200"/>
      <c r="I1358" s="200"/>
      <c r="J1358" s="200"/>
      <c r="K1358" s="200">
        <f>SUMIF(AE!C:C,ATB!C:C,AE!F:F)</f>
        <v>0</v>
      </c>
      <c r="L1358" s="200">
        <f t="shared" si="50"/>
        <v>0</v>
      </c>
      <c r="M1358" s="200">
        <f t="shared" si="51"/>
        <v>0</v>
      </c>
    </row>
    <row r="1359" spans="2:13" x14ac:dyDescent="0.35">
      <c r="B1359" s="117"/>
      <c r="C1359" s="117"/>
      <c r="D1359" s="117"/>
      <c r="E1359" s="117"/>
      <c r="F1359" s="200"/>
      <c r="G1359" s="200"/>
      <c r="H1359" s="200"/>
      <c r="I1359" s="200"/>
      <c r="J1359" s="200"/>
      <c r="K1359" s="200">
        <f>SUMIF(AE!C:C,ATB!C:C,AE!F:F)</f>
        <v>0</v>
      </c>
      <c r="L1359" s="200">
        <f t="shared" si="50"/>
        <v>0</v>
      </c>
      <c r="M1359" s="200">
        <f t="shared" si="51"/>
        <v>0</v>
      </c>
    </row>
    <row r="1360" spans="2:13" x14ac:dyDescent="0.35">
      <c r="B1360" s="117"/>
      <c r="C1360" s="117"/>
      <c r="D1360" s="117"/>
      <c r="E1360" s="117"/>
      <c r="F1360" s="200"/>
      <c r="G1360" s="200"/>
      <c r="H1360" s="200"/>
      <c r="I1360" s="200"/>
      <c r="J1360" s="200"/>
      <c r="K1360" s="200">
        <f>SUMIF(AE!C:C,ATB!C:C,AE!F:F)</f>
        <v>0</v>
      </c>
      <c r="L1360" s="200">
        <f t="shared" si="50"/>
        <v>0</v>
      </c>
      <c r="M1360" s="200">
        <f t="shared" si="51"/>
        <v>0</v>
      </c>
    </row>
    <row r="1361" spans="2:13" x14ac:dyDescent="0.35">
      <c r="B1361" s="117"/>
      <c r="C1361" s="117"/>
      <c r="D1361" s="117"/>
      <c r="E1361" s="117"/>
      <c r="F1361" s="200"/>
      <c r="G1361" s="200"/>
      <c r="H1361" s="200"/>
      <c r="I1361" s="200"/>
      <c r="J1361" s="200"/>
      <c r="K1361" s="200">
        <f>SUMIF(AE!C:C,ATB!C:C,AE!F:F)</f>
        <v>0</v>
      </c>
      <c r="L1361" s="200">
        <f t="shared" si="50"/>
        <v>0</v>
      </c>
      <c r="M1361" s="200">
        <f t="shared" si="51"/>
        <v>0</v>
      </c>
    </row>
    <row r="1362" spans="2:13" x14ac:dyDescent="0.35">
      <c r="B1362" s="117"/>
      <c r="C1362" s="117"/>
      <c r="D1362" s="117"/>
      <c r="E1362" s="117"/>
      <c r="F1362" s="200"/>
      <c r="G1362" s="200"/>
      <c r="H1362" s="200"/>
      <c r="I1362" s="200"/>
      <c r="J1362" s="200"/>
      <c r="K1362" s="200">
        <f>SUMIF(AE!C:C,ATB!C:C,AE!F:F)</f>
        <v>0</v>
      </c>
      <c r="L1362" s="200">
        <f t="shared" si="50"/>
        <v>0</v>
      </c>
      <c r="M1362" s="200">
        <f t="shared" si="51"/>
        <v>0</v>
      </c>
    </row>
    <row r="1363" spans="2:13" x14ac:dyDescent="0.35">
      <c r="B1363" s="117"/>
      <c r="C1363" s="117"/>
      <c r="D1363" s="117"/>
      <c r="E1363" s="117"/>
      <c r="F1363" s="200"/>
      <c r="G1363" s="200"/>
      <c r="H1363" s="200"/>
      <c r="I1363" s="200"/>
      <c r="J1363" s="200"/>
      <c r="K1363" s="200">
        <f>SUMIF(AE!C:C,ATB!C:C,AE!F:F)</f>
        <v>0</v>
      </c>
      <c r="L1363" s="200">
        <f t="shared" si="50"/>
        <v>0</v>
      </c>
      <c r="M1363" s="200">
        <f t="shared" si="51"/>
        <v>0</v>
      </c>
    </row>
    <row r="1364" spans="2:13" x14ac:dyDescent="0.35">
      <c r="B1364" s="117"/>
      <c r="C1364" s="117"/>
      <c r="D1364" s="117"/>
      <c r="E1364" s="117"/>
      <c r="F1364" s="200"/>
      <c r="G1364" s="200"/>
      <c r="H1364" s="200"/>
      <c r="I1364" s="200"/>
      <c r="J1364" s="200"/>
      <c r="K1364" s="200">
        <f>SUMIF(AE!C:C,ATB!C:C,AE!F:F)</f>
        <v>0</v>
      </c>
      <c r="L1364" s="200">
        <f t="shared" si="50"/>
        <v>0</v>
      </c>
      <c r="M1364" s="200">
        <f t="shared" si="51"/>
        <v>0</v>
      </c>
    </row>
    <row r="1365" spans="2:13" x14ac:dyDescent="0.35">
      <c r="B1365" s="117"/>
      <c r="C1365" s="117"/>
      <c r="D1365" s="117"/>
      <c r="E1365" s="117"/>
      <c r="F1365" s="200"/>
      <c r="G1365" s="200"/>
      <c r="H1365" s="200"/>
      <c r="I1365" s="200"/>
      <c r="J1365" s="200"/>
      <c r="K1365" s="200">
        <f>SUMIF(AE!C:C,ATB!C:C,AE!F:F)</f>
        <v>0</v>
      </c>
      <c r="L1365" s="200">
        <f t="shared" si="50"/>
        <v>0</v>
      </c>
      <c r="M1365" s="200">
        <f t="shared" si="51"/>
        <v>0</v>
      </c>
    </row>
    <row r="1366" spans="2:13" x14ac:dyDescent="0.35">
      <c r="B1366" s="117"/>
      <c r="C1366" s="117"/>
      <c r="D1366" s="117"/>
      <c r="E1366" s="117"/>
      <c r="F1366" s="200"/>
      <c r="G1366" s="200"/>
      <c r="H1366" s="200"/>
      <c r="I1366" s="200"/>
      <c r="J1366" s="200"/>
      <c r="K1366" s="200">
        <f>SUMIF(AE!C:C,ATB!C:C,AE!F:F)</f>
        <v>0</v>
      </c>
      <c r="L1366" s="200">
        <f t="shared" si="50"/>
        <v>0</v>
      </c>
      <c r="M1366" s="200">
        <f t="shared" si="51"/>
        <v>0</v>
      </c>
    </row>
    <row r="1367" spans="2:13" x14ac:dyDescent="0.35">
      <c r="B1367" s="117"/>
      <c r="C1367" s="117"/>
      <c r="D1367" s="117"/>
      <c r="E1367" s="117"/>
      <c r="F1367" s="200"/>
      <c r="G1367" s="200"/>
      <c r="H1367" s="200"/>
      <c r="I1367" s="200"/>
      <c r="J1367" s="200"/>
      <c r="K1367" s="200">
        <f>SUMIF(AE!C:C,ATB!C:C,AE!F:F)</f>
        <v>0</v>
      </c>
      <c r="L1367" s="200">
        <f t="shared" si="50"/>
        <v>0</v>
      </c>
      <c r="M1367" s="200">
        <f t="shared" si="51"/>
        <v>0</v>
      </c>
    </row>
    <row r="1368" spans="2:13" x14ac:dyDescent="0.35">
      <c r="B1368" s="117"/>
      <c r="C1368" s="117"/>
      <c r="D1368" s="117"/>
      <c r="E1368" s="117"/>
      <c r="F1368" s="200"/>
      <c r="G1368" s="200"/>
      <c r="H1368" s="200"/>
      <c r="I1368" s="200"/>
      <c r="J1368" s="200"/>
      <c r="K1368" s="200">
        <f>SUMIF(AE!C:C,ATB!C:C,AE!F:F)</f>
        <v>0</v>
      </c>
      <c r="L1368" s="200">
        <f t="shared" si="50"/>
        <v>0</v>
      </c>
      <c r="M1368" s="200">
        <f t="shared" si="51"/>
        <v>0</v>
      </c>
    </row>
    <row r="1369" spans="2:13" x14ac:dyDescent="0.35">
      <c r="B1369" s="117"/>
      <c r="C1369" s="117"/>
      <c r="D1369" s="117"/>
      <c r="E1369" s="117"/>
      <c r="F1369" s="200"/>
      <c r="G1369" s="200"/>
      <c r="H1369" s="200"/>
      <c r="I1369" s="200"/>
      <c r="J1369" s="200"/>
      <c r="K1369" s="200">
        <f>SUMIF(AE!C:C,ATB!C:C,AE!F:F)</f>
        <v>0</v>
      </c>
      <c r="L1369" s="200">
        <f t="shared" si="50"/>
        <v>0</v>
      </c>
      <c r="M1369" s="200">
        <f t="shared" si="51"/>
        <v>0</v>
      </c>
    </row>
    <row r="1370" spans="2:13" x14ac:dyDescent="0.35">
      <c r="B1370" s="117"/>
      <c r="C1370" s="117"/>
      <c r="D1370" s="117"/>
      <c r="E1370" s="117"/>
      <c r="F1370" s="200"/>
      <c r="G1370" s="200"/>
      <c r="H1370" s="200"/>
      <c r="I1370" s="200"/>
      <c r="J1370" s="200"/>
      <c r="K1370" s="200">
        <f>SUMIF(AE!C:C,ATB!C:C,AE!F:F)</f>
        <v>0</v>
      </c>
      <c r="L1370" s="200">
        <f t="shared" si="50"/>
        <v>0</v>
      </c>
      <c r="M1370" s="200">
        <f t="shared" si="51"/>
        <v>0</v>
      </c>
    </row>
    <row r="1371" spans="2:13" x14ac:dyDescent="0.35">
      <c r="B1371" s="117"/>
      <c r="C1371" s="117"/>
      <c r="D1371" s="117"/>
      <c r="E1371" s="117"/>
      <c r="F1371" s="200"/>
      <c r="G1371" s="200"/>
      <c r="H1371" s="200"/>
      <c r="I1371" s="200"/>
      <c r="J1371" s="200"/>
      <c r="K1371" s="200">
        <f>SUMIF(AE!C:C,ATB!C:C,AE!F:F)</f>
        <v>0</v>
      </c>
      <c r="L1371" s="200">
        <f t="shared" si="50"/>
        <v>0</v>
      </c>
      <c r="M1371" s="200">
        <f t="shared" si="51"/>
        <v>0</v>
      </c>
    </row>
    <row r="1372" spans="2:13" x14ac:dyDescent="0.35">
      <c r="B1372" s="117"/>
      <c r="C1372" s="117"/>
      <c r="D1372" s="117"/>
      <c r="E1372" s="117"/>
      <c r="F1372" s="200"/>
      <c r="G1372" s="200"/>
      <c r="H1372" s="200"/>
      <c r="I1372" s="200"/>
      <c r="J1372" s="200"/>
      <c r="K1372" s="200">
        <f>SUMIF(AE!C:C,ATB!C:C,AE!F:F)</f>
        <v>0</v>
      </c>
      <c r="L1372" s="200">
        <f t="shared" si="50"/>
        <v>0</v>
      </c>
      <c r="M1372" s="200">
        <f t="shared" si="51"/>
        <v>0</v>
      </c>
    </row>
    <row r="1373" spans="2:13" x14ac:dyDescent="0.35">
      <c r="B1373" s="117"/>
      <c r="C1373" s="117"/>
      <c r="D1373" s="117"/>
      <c r="E1373" s="117"/>
      <c r="F1373" s="200"/>
      <c r="G1373" s="200"/>
      <c r="H1373" s="200"/>
      <c r="I1373" s="200"/>
      <c r="J1373" s="200"/>
      <c r="K1373" s="200">
        <f>SUMIF(AE!C:C,ATB!C:C,AE!F:F)</f>
        <v>0</v>
      </c>
      <c r="L1373" s="200">
        <f t="shared" si="50"/>
        <v>0</v>
      </c>
      <c r="M1373" s="200">
        <f t="shared" si="51"/>
        <v>0</v>
      </c>
    </row>
    <row r="1374" spans="2:13" x14ac:dyDescent="0.35">
      <c r="B1374" s="117"/>
      <c r="C1374" s="117"/>
      <c r="D1374" s="117"/>
      <c r="E1374" s="117"/>
      <c r="F1374" s="200"/>
      <c r="G1374" s="200"/>
      <c r="H1374" s="200"/>
      <c r="I1374" s="200"/>
      <c r="J1374" s="200"/>
      <c r="K1374" s="200">
        <f>SUMIF(AE!C:C,ATB!C:C,AE!F:F)</f>
        <v>0</v>
      </c>
      <c r="L1374" s="200">
        <f t="shared" si="50"/>
        <v>0</v>
      </c>
      <c r="M1374" s="200">
        <f t="shared" si="51"/>
        <v>0</v>
      </c>
    </row>
    <row r="1375" spans="2:13" x14ac:dyDescent="0.35">
      <c r="B1375" s="117"/>
      <c r="C1375" s="117"/>
      <c r="D1375" s="117"/>
      <c r="E1375" s="117"/>
      <c r="F1375" s="200"/>
      <c r="G1375" s="200"/>
      <c r="H1375" s="200"/>
      <c r="I1375" s="200"/>
      <c r="J1375" s="200"/>
      <c r="K1375" s="200">
        <f>SUMIF(AE!C:C,ATB!C:C,AE!F:F)</f>
        <v>0</v>
      </c>
      <c r="L1375" s="200">
        <f t="shared" si="50"/>
        <v>0</v>
      </c>
      <c r="M1375" s="200">
        <f t="shared" si="51"/>
        <v>0</v>
      </c>
    </row>
    <row r="1376" spans="2:13" x14ac:dyDescent="0.35">
      <c r="B1376" s="117"/>
      <c r="C1376" s="117"/>
      <c r="D1376" s="117"/>
      <c r="E1376" s="117"/>
      <c r="F1376" s="200"/>
      <c r="G1376" s="200"/>
      <c r="H1376" s="200"/>
      <c r="I1376" s="200"/>
      <c r="J1376" s="200"/>
      <c r="K1376" s="200">
        <f>SUMIF(AE!C:C,ATB!C:C,AE!F:F)</f>
        <v>0</v>
      </c>
      <c r="L1376" s="200">
        <f t="shared" si="50"/>
        <v>0</v>
      </c>
      <c r="M1376" s="200">
        <f t="shared" si="51"/>
        <v>0</v>
      </c>
    </row>
    <row r="1377" spans="2:13" x14ac:dyDescent="0.35">
      <c r="B1377" s="117"/>
      <c r="C1377" s="117"/>
      <c r="D1377" s="117"/>
      <c r="E1377" s="117"/>
      <c r="F1377" s="200"/>
      <c r="G1377" s="200"/>
      <c r="H1377" s="200"/>
      <c r="I1377" s="200"/>
      <c r="J1377" s="200"/>
      <c r="K1377" s="200">
        <f>SUMIF(AE!C:C,ATB!C:C,AE!F:F)</f>
        <v>0</v>
      </c>
      <c r="L1377" s="200">
        <f t="shared" si="50"/>
        <v>0</v>
      </c>
      <c r="M1377" s="200">
        <f t="shared" si="51"/>
        <v>0</v>
      </c>
    </row>
    <row r="1378" spans="2:13" x14ac:dyDescent="0.35">
      <c r="B1378" s="117"/>
      <c r="C1378" s="117"/>
      <c r="D1378" s="117"/>
      <c r="E1378" s="117"/>
      <c r="F1378" s="200"/>
      <c r="G1378" s="200"/>
      <c r="H1378" s="200"/>
      <c r="I1378" s="200"/>
      <c r="J1378" s="200"/>
      <c r="K1378" s="200">
        <f>SUMIF(AE!C:C,ATB!C:C,AE!F:F)</f>
        <v>0</v>
      </c>
      <c r="L1378" s="200">
        <f t="shared" si="50"/>
        <v>0</v>
      </c>
      <c r="M1378" s="200">
        <f t="shared" si="51"/>
        <v>0</v>
      </c>
    </row>
    <row r="1379" spans="2:13" x14ac:dyDescent="0.35">
      <c r="B1379" s="117"/>
      <c r="C1379" s="117"/>
      <c r="D1379" s="117"/>
      <c r="E1379" s="117"/>
      <c r="F1379" s="200"/>
      <c r="G1379" s="200"/>
      <c r="H1379" s="200"/>
      <c r="I1379" s="200"/>
      <c r="J1379" s="200"/>
      <c r="K1379" s="200">
        <f>SUMIF(AE!C:C,ATB!C:C,AE!F:F)</f>
        <v>0</v>
      </c>
      <c r="L1379" s="200">
        <f t="shared" si="50"/>
        <v>0</v>
      </c>
      <c r="M1379" s="200">
        <f t="shared" si="51"/>
        <v>0</v>
      </c>
    </row>
    <row r="1380" spans="2:13" x14ac:dyDescent="0.35">
      <c r="B1380" s="117"/>
      <c r="C1380" s="117"/>
      <c r="D1380" s="117"/>
      <c r="E1380" s="117"/>
      <c r="F1380" s="200"/>
      <c r="G1380" s="200"/>
      <c r="H1380" s="200"/>
      <c r="I1380" s="200"/>
      <c r="J1380" s="200"/>
      <c r="K1380" s="200">
        <f>SUMIF(AE!C:C,ATB!C:C,AE!F:F)</f>
        <v>0</v>
      </c>
      <c r="L1380" s="200">
        <f t="shared" si="50"/>
        <v>0</v>
      </c>
      <c r="M1380" s="200">
        <f t="shared" si="51"/>
        <v>0</v>
      </c>
    </row>
    <row r="1381" spans="2:13" x14ac:dyDescent="0.35">
      <c r="B1381" s="117"/>
      <c r="C1381" s="117"/>
      <c r="D1381" s="117"/>
      <c r="E1381" s="117"/>
      <c r="F1381" s="200"/>
      <c r="G1381" s="200"/>
      <c r="H1381" s="200"/>
      <c r="I1381" s="200"/>
      <c r="J1381" s="200"/>
      <c r="K1381" s="200">
        <f>SUMIF(AE!C:C,ATB!C:C,AE!F:F)</f>
        <v>0</v>
      </c>
      <c r="L1381" s="200">
        <f t="shared" si="50"/>
        <v>0</v>
      </c>
      <c r="M1381" s="200">
        <f t="shared" si="51"/>
        <v>0</v>
      </c>
    </row>
    <row r="1382" spans="2:13" x14ac:dyDescent="0.35">
      <c r="B1382" s="117"/>
      <c r="C1382" s="117"/>
      <c r="D1382" s="117"/>
      <c r="E1382" s="117"/>
      <c r="F1382" s="200"/>
      <c r="G1382" s="200"/>
      <c r="H1382" s="200"/>
      <c r="I1382" s="200"/>
      <c r="J1382" s="200"/>
      <c r="K1382" s="200">
        <f>SUMIF(AE!C:C,ATB!C:C,AE!F:F)</f>
        <v>0</v>
      </c>
      <c r="L1382" s="200">
        <f t="shared" si="50"/>
        <v>0</v>
      </c>
      <c r="M1382" s="200">
        <f t="shared" si="51"/>
        <v>0</v>
      </c>
    </row>
    <row r="1383" spans="2:13" x14ac:dyDescent="0.35">
      <c r="B1383" s="117"/>
      <c r="C1383" s="117"/>
      <c r="D1383" s="117"/>
      <c r="E1383" s="117"/>
      <c r="F1383" s="200"/>
      <c r="G1383" s="200"/>
      <c r="H1383" s="200"/>
      <c r="I1383" s="200"/>
      <c r="J1383" s="200"/>
      <c r="K1383" s="200">
        <f>SUMIF(AE!C:C,ATB!C:C,AE!F:F)</f>
        <v>0</v>
      </c>
      <c r="L1383" s="200">
        <f t="shared" si="50"/>
        <v>0</v>
      </c>
      <c r="M1383" s="200">
        <f t="shared" si="51"/>
        <v>0</v>
      </c>
    </row>
    <row r="1384" spans="2:13" x14ac:dyDescent="0.35">
      <c r="B1384" s="117"/>
      <c r="C1384" s="117"/>
      <c r="D1384" s="117"/>
      <c r="E1384" s="117"/>
      <c r="F1384" s="200"/>
      <c r="G1384" s="200"/>
      <c r="H1384" s="200"/>
      <c r="I1384" s="200"/>
      <c r="J1384" s="200"/>
      <c r="K1384" s="200">
        <f>SUMIF(AE!C:C,ATB!C:C,AE!F:F)</f>
        <v>0</v>
      </c>
      <c r="L1384" s="200">
        <f t="shared" si="50"/>
        <v>0</v>
      </c>
      <c r="M1384" s="200">
        <f t="shared" si="51"/>
        <v>0</v>
      </c>
    </row>
    <row r="1385" spans="2:13" x14ac:dyDescent="0.35">
      <c r="B1385" s="117"/>
      <c r="C1385" s="117"/>
      <c r="D1385" s="117"/>
      <c r="E1385" s="117"/>
      <c r="F1385" s="200"/>
      <c r="G1385" s="200"/>
      <c r="H1385" s="200"/>
      <c r="I1385" s="200"/>
      <c r="J1385" s="200"/>
      <c r="K1385" s="200">
        <f>SUMIF(AE!C:C,ATB!C:C,AE!F:F)</f>
        <v>0</v>
      </c>
      <c r="L1385" s="200">
        <f t="shared" si="50"/>
        <v>0</v>
      </c>
      <c r="M1385" s="200">
        <f t="shared" si="51"/>
        <v>0</v>
      </c>
    </row>
    <row r="1386" spans="2:13" x14ac:dyDescent="0.35">
      <c r="B1386" s="117"/>
      <c r="C1386" s="117"/>
      <c r="D1386" s="117"/>
      <c r="E1386" s="117"/>
      <c r="F1386" s="200"/>
      <c r="G1386" s="200"/>
      <c r="H1386" s="200"/>
      <c r="I1386" s="200"/>
      <c r="J1386" s="200"/>
      <c r="K1386" s="200">
        <f>SUMIF(AE!C:C,ATB!C:C,AE!F:F)</f>
        <v>0</v>
      </c>
      <c r="L1386" s="200">
        <f t="shared" si="50"/>
        <v>0</v>
      </c>
      <c r="M1386" s="200">
        <f t="shared" si="51"/>
        <v>0</v>
      </c>
    </row>
    <row r="1387" spans="2:13" x14ac:dyDescent="0.35">
      <c r="B1387" s="117"/>
      <c r="C1387" s="117"/>
      <c r="D1387" s="117"/>
      <c r="E1387" s="117"/>
      <c r="F1387" s="200"/>
      <c r="G1387" s="200"/>
      <c r="H1387" s="200"/>
      <c r="I1387" s="200"/>
      <c r="J1387" s="200"/>
      <c r="K1387" s="200">
        <f>SUMIF(AE!C:C,ATB!C:C,AE!F:F)</f>
        <v>0</v>
      </c>
      <c r="L1387" s="200">
        <f t="shared" si="50"/>
        <v>0</v>
      </c>
      <c r="M1387" s="200">
        <f t="shared" si="51"/>
        <v>0</v>
      </c>
    </row>
    <row r="1388" spans="2:13" x14ac:dyDescent="0.35">
      <c r="B1388" s="117"/>
      <c r="C1388" s="117"/>
      <c r="D1388" s="117"/>
      <c r="E1388" s="117"/>
      <c r="F1388" s="200"/>
      <c r="G1388" s="200"/>
      <c r="H1388" s="200"/>
      <c r="I1388" s="200"/>
      <c r="J1388" s="200"/>
      <c r="K1388" s="200">
        <f>SUMIF(AE!C:C,ATB!C:C,AE!F:F)</f>
        <v>0</v>
      </c>
      <c r="L1388" s="200">
        <f t="shared" si="50"/>
        <v>0</v>
      </c>
      <c r="M1388" s="200">
        <f t="shared" si="51"/>
        <v>0</v>
      </c>
    </row>
    <row r="1389" spans="2:13" x14ac:dyDescent="0.35">
      <c r="B1389" s="117"/>
      <c r="C1389" s="117"/>
      <c r="D1389" s="117"/>
      <c r="E1389" s="117"/>
      <c r="F1389" s="200"/>
      <c r="G1389" s="200"/>
      <c r="H1389" s="200"/>
      <c r="I1389" s="200"/>
      <c r="J1389" s="200"/>
      <c r="K1389" s="200">
        <f>SUMIF(AE!C:C,ATB!C:C,AE!F:F)</f>
        <v>0</v>
      </c>
      <c r="L1389" s="200">
        <f t="shared" si="50"/>
        <v>0</v>
      </c>
      <c r="M1389" s="200">
        <f t="shared" si="51"/>
        <v>0</v>
      </c>
    </row>
    <row r="1390" spans="2:13" x14ac:dyDescent="0.35">
      <c r="B1390" s="117"/>
      <c r="C1390" s="117"/>
      <c r="D1390" s="117"/>
      <c r="E1390" s="117"/>
      <c r="F1390" s="200"/>
      <c r="G1390" s="200"/>
      <c r="H1390" s="200"/>
      <c r="I1390" s="200"/>
      <c r="J1390" s="200"/>
      <c r="K1390" s="200">
        <f>SUMIF(AE!C:C,ATB!C:C,AE!F:F)</f>
        <v>0</v>
      </c>
      <c r="L1390" s="200">
        <f t="shared" si="50"/>
        <v>0</v>
      </c>
      <c r="M1390" s="200">
        <f t="shared" si="51"/>
        <v>0</v>
      </c>
    </row>
    <row r="1391" spans="2:13" x14ac:dyDescent="0.35">
      <c r="B1391" s="117"/>
      <c r="C1391" s="117"/>
      <c r="D1391" s="117"/>
      <c r="E1391" s="117"/>
      <c r="F1391" s="200"/>
      <c r="G1391" s="200"/>
      <c r="H1391" s="200"/>
      <c r="I1391" s="200"/>
      <c r="J1391" s="200"/>
      <c r="K1391" s="200">
        <f>SUMIF(AE!C:C,ATB!C:C,AE!F:F)</f>
        <v>0</v>
      </c>
      <c r="L1391" s="200">
        <f t="shared" si="50"/>
        <v>0</v>
      </c>
      <c r="M1391" s="200">
        <f t="shared" si="51"/>
        <v>0</v>
      </c>
    </row>
    <row r="1392" spans="2:13" x14ac:dyDescent="0.35">
      <c r="B1392" s="117"/>
      <c r="C1392" s="117"/>
      <c r="D1392" s="117"/>
      <c r="E1392" s="117"/>
      <c r="F1392" s="200"/>
      <c r="G1392" s="200"/>
      <c r="H1392" s="200"/>
      <c r="I1392" s="200"/>
      <c r="J1392" s="200"/>
      <c r="K1392" s="200">
        <f>SUMIF(AE!C:C,ATB!C:C,AE!F:F)</f>
        <v>0</v>
      </c>
      <c r="L1392" s="200">
        <f t="shared" si="50"/>
        <v>0</v>
      </c>
      <c r="M1392" s="200">
        <f t="shared" si="51"/>
        <v>0</v>
      </c>
    </row>
    <row r="1393" spans="2:13" x14ac:dyDescent="0.35">
      <c r="B1393" s="117"/>
      <c r="C1393" s="117"/>
      <c r="D1393" s="117"/>
      <c r="E1393" s="117"/>
      <c r="F1393" s="200"/>
      <c r="G1393" s="200"/>
      <c r="H1393" s="200"/>
      <c r="I1393" s="200"/>
      <c r="J1393" s="200"/>
      <c r="K1393" s="200">
        <f>SUMIF(AE!C:C,ATB!C:C,AE!F:F)</f>
        <v>0</v>
      </c>
      <c r="L1393" s="200">
        <f t="shared" si="50"/>
        <v>0</v>
      </c>
      <c r="M1393" s="200">
        <f t="shared" si="51"/>
        <v>0</v>
      </c>
    </row>
    <row r="1394" spans="2:13" x14ac:dyDescent="0.35">
      <c r="B1394" s="117"/>
      <c r="C1394" s="117"/>
      <c r="D1394" s="117"/>
      <c r="E1394" s="117"/>
      <c r="F1394" s="200"/>
      <c r="G1394" s="200"/>
      <c r="H1394" s="200"/>
      <c r="I1394" s="200"/>
      <c r="J1394" s="200"/>
      <c r="K1394" s="200">
        <f>SUMIF(AE!C:C,ATB!C:C,AE!F:F)</f>
        <v>0</v>
      </c>
      <c r="L1394" s="200">
        <f t="shared" si="50"/>
        <v>0</v>
      </c>
      <c r="M1394" s="200">
        <f t="shared" si="51"/>
        <v>0</v>
      </c>
    </row>
    <row r="1395" spans="2:13" x14ac:dyDescent="0.35">
      <c r="B1395" s="117"/>
      <c r="C1395" s="117"/>
      <c r="D1395" s="117"/>
      <c r="E1395" s="117"/>
      <c r="F1395" s="200"/>
      <c r="G1395" s="200"/>
      <c r="H1395" s="200"/>
      <c r="I1395" s="200"/>
      <c r="J1395" s="200"/>
      <c r="K1395" s="200">
        <f>SUMIF(AE!C:C,ATB!C:C,AE!F:F)</f>
        <v>0</v>
      </c>
      <c r="L1395" s="200">
        <f t="shared" si="50"/>
        <v>0</v>
      </c>
      <c r="M1395" s="200">
        <f t="shared" si="51"/>
        <v>0</v>
      </c>
    </row>
    <row r="1396" spans="2:13" x14ac:dyDescent="0.35">
      <c r="B1396" s="117"/>
      <c r="C1396" s="117"/>
      <c r="D1396" s="117"/>
      <c r="E1396" s="117"/>
      <c r="F1396" s="200"/>
      <c r="G1396" s="200"/>
      <c r="H1396" s="200"/>
      <c r="I1396" s="200"/>
      <c r="J1396" s="200"/>
      <c r="K1396" s="200">
        <f>SUMIF(AE!C:C,ATB!C:C,AE!F:F)</f>
        <v>0</v>
      </c>
      <c r="L1396" s="200">
        <f t="shared" si="50"/>
        <v>0</v>
      </c>
      <c r="M1396" s="200">
        <f t="shared" si="51"/>
        <v>0</v>
      </c>
    </row>
    <row r="1397" spans="2:13" x14ac:dyDescent="0.35">
      <c r="B1397" s="117"/>
      <c r="C1397" s="117"/>
      <c r="D1397" s="117"/>
      <c r="E1397" s="117"/>
      <c r="F1397" s="200"/>
      <c r="G1397" s="200"/>
      <c r="H1397" s="200"/>
      <c r="I1397" s="200"/>
      <c r="J1397" s="200"/>
      <c r="K1397" s="200">
        <f>SUMIF(AE!C:C,ATB!C:C,AE!F:F)</f>
        <v>0</v>
      </c>
      <c r="L1397" s="200">
        <f t="shared" si="50"/>
        <v>0</v>
      </c>
      <c r="M1397" s="200">
        <f t="shared" si="51"/>
        <v>0</v>
      </c>
    </row>
    <row r="1398" spans="2:13" x14ac:dyDescent="0.35">
      <c r="B1398" s="117"/>
      <c r="C1398" s="117"/>
      <c r="D1398" s="117"/>
      <c r="E1398" s="117"/>
      <c r="F1398" s="200"/>
      <c r="G1398" s="200"/>
      <c r="H1398" s="200"/>
      <c r="I1398" s="200"/>
      <c r="J1398" s="200"/>
      <c r="K1398" s="200">
        <f>SUMIF(AE!C:C,ATB!C:C,AE!F:F)</f>
        <v>0</v>
      </c>
      <c r="L1398" s="200">
        <f t="shared" si="50"/>
        <v>0</v>
      </c>
      <c r="M1398" s="200">
        <f t="shared" si="51"/>
        <v>0</v>
      </c>
    </row>
    <row r="1399" spans="2:13" x14ac:dyDescent="0.35">
      <c r="B1399" s="117"/>
      <c r="C1399" s="117"/>
      <c r="D1399" s="117"/>
      <c r="E1399" s="117"/>
      <c r="F1399" s="200"/>
      <c r="G1399" s="200"/>
      <c r="H1399" s="200"/>
      <c r="I1399" s="200"/>
      <c r="J1399" s="200"/>
      <c r="K1399" s="200">
        <f>SUMIF(AE!C:C,ATB!C:C,AE!F:F)</f>
        <v>0</v>
      </c>
      <c r="L1399" s="200">
        <f t="shared" si="50"/>
        <v>0</v>
      </c>
      <c r="M1399" s="200">
        <f t="shared" si="51"/>
        <v>0</v>
      </c>
    </row>
    <row r="1400" spans="2:13" x14ac:dyDescent="0.35">
      <c r="B1400" s="117"/>
      <c r="C1400" s="117"/>
      <c r="D1400" s="117"/>
      <c r="E1400" s="117"/>
      <c r="F1400" s="200"/>
      <c r="G1400" s="200"/>
      <c r="H1400" s="200"/>
      <c r="I1400" s="200"/>
      <c r="J1400" s="200"/>
      <c r="K1400" s="200">
        <f>SUMIF(AE!C:C,ATB!C:C,AE!F:F)</f>
        <v>0</v>
      </c>
      <c r="L1400" s="200">
        <f t="shared" si="50"/>
        <v>0</v>
      </c>
      <c r="M1400" s="200">
        <f t="shared" si="51"/>
        <v>0</v>
      </c>
    </row>
    <row r="1401" spans="2:13" x14ac:dyDescent="0.35">
      <c r="B1401" s="117"/>
      <c r="C1401" s="117"/>
      <c r="D1401" s="117"/>
      <c r="E1401" s="117"/>
      <c r="F1401" s="200"/>
      <c r="G1401" s="200"/>
      <c r="H1401" s="200"/>
      <c r="I1401" s="200"/>
      <c r="J1401" s="200"/>
      <c r="K1401" s="200">
        <f>SUMIF(AE!C:C,ATB!C:C,AE!F:F)</f>
        <v>0</v>
      </c>
      <c r="L1401" s="200">
        <f t="shared" si="50"/>
        <v>0</v>
      </c>
      <c r="M1401" s="200">
        <f t="shared" si="51"/>
        <v>0</v>
      </c>
    </row>
    <row r="1402" spans="2:13" x14ac:dyDescent="0.35">
      <c r="B1402" s="117"/>
      <c r="C1402" s="117"/>
      <c r="D1402" s="117"/>
      <c r="E1402" s="117"/>
      <c r="F1402" s="200"/>
      <c r="G1402" s="200"/>
      <c r="H1402" s="200"/>
      <c r="I1402" s="200"/>
      <c r="J1402" s="200"/>
      <c r="K1402" s="200">
        <f>SUMIF(AE!C:C,ATB!C:C,AE!F:F)</f>
        <v>0</v>
      </c>
      <c r="L1402" s="200">
        <f t="shared" si="50"/>
        <v>0</v>
      </c>
      <c r="M1402" s="200">
        <f t="shared" si="51"/>
        <v>0</v>
      </c>
    </row>
    <row r="1403" spans="2:13" x14ac:dyDescent="0.35">
      <c r="B1403" s="117"/>
      <c r="C1403" s="117"/>
      <c r="D1403" s="117"/>
      <c r="E1403" s="117"/>
      <c r="F1403" s="200"/>
      <c r="G1403" s="200"/>
      <c r="H1403" s="200"/>
      <c r="I1403" s="200"/>
      <c r="J1403" s="200"/>
      <c r="K1403" s="200">
        <f>SUMIF(AE!C:C,ATB!C:C,AE!F:F)</f>
        <v>0</v>
      </c>
      <c r="L1403" s="200">
        <f t="shared" si="50"/>
        <v>0</v>
      </c>
      <c r="M1403" s="200">
        <f t="shared" si="51"/>
        <v>0</v>
      </c>
    </row>
    <row r="1404" spans="2:13" x14ac:dyDescent="0.35">
      <c r="B1404" s="117"/>
      <c r="C1404" s="117"/>
      <c r="D1404" s="117"/>
      <c r="E1404" s="117"/>
      <c r="F1404" s="200"/>
      <c r="G1404" s="200"/>
      <c r="H1404" s="200"/>
      <c r="I1404" s="200"/>
      <c r="J1404" s="200"/>
      <c r="K1404" s="200">
        <f>SUMIF(AE!C:C,ATB!C:C,AE!F:F)</f>
        <v>0</v>
      </c>
      <c r="L1404" s="200">
        <f t="shared" si="50"/>
        <v>0</v>
      </c>
      <c r="M1404" s="200">
        <f t="shared" si="51"/>
        <v>0</v>
      </c>
    </row>
    <row r="1405" spans="2:13" x14ac:dyDescent="0.35">
      <c r="B1405" s="117"/>
      <c r="C1405" s="117"/>
      <c r="D1405" s="117"/>
      <c r="E1405" s="117"/>
      <c r="F1405" s="200"/>
      <c r="G1405" s="200"/>
      <c r="H1405" s="200"/>
      <c r="I1405" s="200"/>
      <c r="J1405" s="200"/>
      <c r="K1405" s="200">
        <f>SUMIF(AE!C:C,ATB!C:C,AE!F:F)</f>
        <v>0</v>
      </c>
      <c r="L1405" s="200">
        <f t="shared" si="50"/>
        <v>0</v>
      </c>
      <c r="M1405" s="200">
        <f t="shared" si="51"/>
        <v>0</v>
      </c>
    </row>
    <row r="1406" spans="2:13" x14ac:dyDescent="0.35">
      <c r="B1406" s="117"/>
      <c r="C1406" s="117"/>
      <c r="D1406" s="117"/>
      <c r="E1406" s="117"/>
      <c r="F1406" s="200"/>
      <c r="G1406" s="200"/>
      <c r="H1406" s="200"/>
      <c r="I1406" s="200"/>
      <c r="J1406" s="200"/>
      <c r="K1406" s="200">
        <f>SUMIF(AE!C:C,ATB!C:C,AE!F:F)</f>
        <v>0</v>
      </c>
      <c r="L1406" s="200">
        <f t="shared" si="50"/>
        <v>0</v>
      </c>
      <c r="M1406" s="200">
        <f t="shared" si="51"/>
        <v>0</v>
      </c>
    </row>
    <row r="1407" spans="2:13" x14ac:dyDescent="0.35">
      <c r="B1407" s="117"/>
      <c r="C1407" s="117"/>
      <c r="D1407" s="117"/>
      <c r="E1407" s="117"/>
      <c r="F1407" s="200"/>
      <c r="G1407" s="200"/>
      <c r="H1407" s="200"/>
      <c r="I1407" s="200"/>
      <c r="J1407" s="200"/>
      <c r="K1407" s="200">
        <f>SUMIF(AE!C:C,ATB!C:C,AE!F:F)</f>
        <v>0</v>
      </c>
      <c r="L1407" s="200">
        <f t="shared" si="50"/>
        <v>0</v>
      </c>
      <c r="M1407" s="200">
        <f t="shared" si="51"/>
        <v>0</v>
      </c>
    </row>
    <row r="1408" spans="2:13" x14ac:dyDescent="0.35">
      <c r="B1408" s="117"/>
      <c r="C1408" s="117"/>
      <c r="D1408" s="117"/>
      <c r="E1408" s="117"/>
      <c r="F1408" s="200"/>
      <c r="G1408" s="200"/>
      <c r="H1408" s="200"/>
      <c r="I1408" s="200"/>
      <c r="J1408" s="200"/>
      <c r="K1408" s="200">
        <f>SUMIF(AE!C:C,ATB!C:C,AE!F:F)</f>
        <v>0</v>
      </c>
      <c r="L1408" s="200">
        <f t="shared" si="50"/>
        <v>0</v>
      </c>
      <c r="M1408" s="200">
        <f t="shared" si="51"/>
        <v>0</v>
      </c>
    </row>
    <row r="1409" spans="2:13" x14ac:dyDescent="0.35">
      <c r="B1409" s="117"/>
      <c r="C1409" s="117"/>
      <c r="D1409" s="117"/>
      <c r="E1409" s="117"/>
      <c r="F1409" s="200"/>
      <c r="G1409" s="200"/>
      <c r="H1409" s="200"/>
      <c r="I1409" s="200"/>
      <c r="J1409" s="200"/>
      <c r="K1409" s="200">
        <f>SUMIF(AE!C:C,ATB!C:C,AE!F:F)</f>
        <v>0</v>
      </c>
      <c r="L1409" s="200">
        <f t="shared" si="50"/>
        <v>0</v>
      </c>
      <c r="M1409" s="200">
        <f t="shared" si="51"/>
        <v>0</v>
      </c>
    </row>
    <row r="1410" spans="2:13" x14ac:dyDescent="0.35">
      <c r="B1410" s="117"/>
      <c r="C1410" s="117"/>
      <c r="D1410" s="117"/>
      <c r="E1410" s="117"/>
      <c r="F1410" s="200"/>
      <c r="G1410" s="200"/>
      <c r="H1410" s="200"/>
      <c r="I1410" s="200"/>
      <c r="J1410" s="200"/>
      <c r="K1410" s="200">
        <f>SUMIF(AE!C:C,ATB!C:C,AE!F:F)</f>
        <v>0</v>
      </c>
      <c r="L1410" s="200">
        <f t="shared" ref="L1410:L1473" si="52">ROUND(IF(F1410+H1410+J1410-G1410-I1410-K1410&gt;0,F1410+H1410+J1410-G1410-I1410-K1410,0),0)</f>
        <v>0</v>
      </c>
      <c r="M1410" s="200">
        <f t="shared" ref="M1410:M1473" si="53">-ROUND(IF(F1410+H1410+J1410-G1410-I1410-K1410&lt;0,F1410+H1410+J1410-G1410-I1410-K1410,0),0)</f>
        <v>0</v>
      </c>
    </row>
    <row r="1411" spans="2:13" x14ac:dyDescent="0.35">
      <c r="B1411" s="117"/>
      <c r="C1411" s="117"/>
      <c r="D1411" s="117"/>
      <c r="E1411" s="117"/>
      <c r="F1411" s="200"/>
      <c r="G1411" s="200"/>
      <c r="H1411" s="200"/>
      <c r="I1411" s="200"/>
      <c r="J1411" s="200"/>
      <c r="K1411" s="200">
        <f>SUMIF(AE!C:C,ATB!C:C,AE!F:F)</f>
        <v>0</v>
      </c>
      <c r="L1411" s="200">
        <f t="shared" si="52"/>
        <v>0</v>
      </c>
      <c r="M1411" s="200">
        <f t="shared" si="53"/>
        <v>0</v>
      </c>
    </row>
    <row r="1412" spans="2:13" x14ac:dyDescent="0.35">
      <c r="B1412" s="117"/>
      <c r="C1412" s="117"/>
      <c r="D1412" s="117"/>
      <c r="E1412" s="117"/>
      <c r="F1412" s="200"/>
      <c r="G1412" s="200"/>
      <c r="H1412" s="200"/>
      <c r="I1412" s="200"/>
      <c r="J1412" s="200"/>
      <c r="K1412" s="200">
        <f>SUMIF(AE!C:C,ATB!C:C,AE!F:F)</f>
        <v>0</v>
      </c>
      <c r="L1412" s="200">
        <f t="shared" si="52"/>
        <v>0</v>
      </c>
      <c r="M1412" s="200">
        <f t="shared" si="53"/>
        <v>0</v>
      </c>
    </row>
    <row r="1413" spans="2:13" x14ac:dyDescent="0.35">
      <c r="B1413" s="117"/>
      <c r="C1413" s="117"/>
      <c r="D1413" s="117"/>
      <c r="E1413" s="117"/>
      <c r="F1413" s="200"/>
      <c r="G1413" s="200"/>
      <c r="H1413" s="200"/>
      <c r="I1413" s="200"/>
      <c r="J1413" s="200"/>
      <c r="K1413" s="200">
        <f>SUMIF(AE!C:C,ATB!C:C,AE!F:F)</f>
        <v>0</v>
      </c>
      <c r="L1413" s="200">
        <f t="shared" si="52"/>
        <v>0</v>
      </c>
      <c r="M1413" s="200">
        <f t="shared" si="53"/>
        <v>0</v>
      </c>
    </row>
    <row r="1414" spans="2:13" x14ac:dyDescent="0.35">
      <c r="B1414" s="117"/>
      <c r="C1414" s="117"/>
      <c r="D1414" s="117"/>
      <c r="E1414" s="117"/>
      <c r="F1414" s="200"/>
      <c r="G1414" s="200"/>
      <c r="H1414" s="200"/>
      <c r="I1414" s="200"/>
      <c r="J1414" s="200"/>
      <c r="K1414" s="200">
        <f>SUMIF(AE!C:C,ATB!C:C,AE!F:F)</f>
        <v>0</v>
      </c>
      <c r="L1414" s="200">
        <f t="shared" si="52"/>
        <v>0</v>
      </c>
      <c r="M1414" s="200">
        <f t="shared" si="53"/>
        <v>0</v>
      </c>
    </row>
    <row r="1415" spans="2:13" x14ac:dyDescent="0.35">
      <c r="B1415" s="117"/>
      <c r="C1415" s="117"/>
      <c r="D1415" s="117"/>
      <c r="E1415" s="117"/>
      <c r="F1415" s="200"/>
      <c r="G1415" s="200"/>
      <c r="H1415" s="200"/>
      <c r="I1415" s="200"/>
      <c r="J1415" s="200"/>
      <c r="K1415" s="200">
        <f>SUMIF(AE!C:C,ATB!C:C,AE!F:F)</f>
        <v>0</v>
      </c>
      <c r="L1415" s="200">
        <f t="shared" si="52"/>
        <v>0</v>
      </c>
      <c r="M1415" s="200">
        <f t="shared" si="53"/>
        <v>0</v>
      </c>
    </row>
    <row r="1416" spans="2:13" x14ac:dyDescent="0.35">
      <c r="B1416" s="117"/>
      <c r="C1416" s="117"/>
      <c r="D1416" s="117"/>
      <c r="E1416" s="117"/>
      <c r="F1416" s="200"/>
      <c r="G1416" s="200"/>
      <c r="H1416" s="200"/>
      <c r="I1416" s="200"/>
      <c r="J1416" s="200"/>
      <c r="K1416" s="200">
        <f>SUMIF(AE!C:C,ATB!C:C,AE!F:F)</f>
        <v>0</v>
      </c>
      <c r="L1416" s="200">
        <f t="shared" si="52"/>
        <v>0</v>
      </c>
      <c r="M1416" s="200">
        <f t="shared" si="53"/>
        <v>0</v>
      </c>
    </row>
    <row r="1417" spans="2:13" x14ac:dyDescent="0.35">
      <c r="B1417" s="117"/>
      <c r="C1417" s="117"/>
      <c r="D1417" s="117"/>
      <c r="E1417" s="117"/>
      <c r="F1417" s="200"/>
      <c r="G1417" s="200"/>
      <c r="H1417" s="200"/>
      <c r="I1417" s="200"/>
      <c r="J1417" s="200"/>
      <c r="K1417" s="200">
        <f>SUMIF(AE!C:C,ATB!C:C,AE!F:F)</f>
        <v>0</v>
      </c>
      <c r="L1417" s="200">
        <f t="shared" si="52"/>
        <v>0</v>
      </c>
      <c r="M1417" s="200">
        <f t="shared" si="53"/>
        <v>0</v>
      </c>
    </row>
    <row r="1418" spans="2:13" x14ac:dyDescent="0.35">
      <c r="B1418" s="117"/>
      <c r="C1418" s="117"/>
      <c r="D1418" s="117"/>
      <c r="E1418" s="117"/>
      <c r="F1418" s="200"/>
      <c r="G1418" s="200"/>
      <c r="H1418" s="200"/>
      <c r="I1418" s="200"/>
      <c r="J1418" s="200"/>
      <c r="K1418" s="200">
        <f>SUMIF(AE!C:C,ATB!C:C,AE!F:F)</f>
        <v>0</v>
      </c>
      <c r="L1418" s="200">
        <f t="shared" si="52"/>
        <v>0</v>
      </c>
      <c r="M1418" s="200">
        <f t="shared" si="53"/>
        <v>0</v>
      </c>
    </row>
    <row r="1419" spans="2:13" x14ac:dyDescent="0.35">
      <c r="B1419" s="117"/>
      <c r="C1419" s="117"/>
      <c r="D1419" s="117"/>
      <c r="E1419" s="117"/>
      <c r="F1419" s="200"/>
      <c r="G1419" s="200"/>
      <c r="H1419" s="200"/>
      <c r="I1419" s="200"/>
      <c r="J1419" s="200"/>
      <c r="K1419" s="200">
        <f>SUMIF(AE!C:C,ATB!C:C,AE!F:F)</f>
        <v>0</v>
      </c>
      <c r="L1419" s="200">
        <f t="shared" si="52"/>
        <v>0</v>
      </c>
      <c r="M1419" s="200">
        <f t="shared" si="53"/>
        <v>0</v>
      </c>
    </row>
    <row r="1420" spans="2:13" x14ac:dyDescent="0.35">
      <c r="B1420" s="117"/>
      <c r="C1420" s="117"/>
      <c r="D1420" s="117"/>
      <c r="E1420" s="117"/>
      <c r="F1420" s="200"/>
      <c r="G1420" s="200"/>
      <c r="H1420" s="200"/>
      <c r="I1420" s="200"/>
      <c r="J1420" s="200"/>
      <c r="K1420" s="200">
        <f>SUMIF(AE!C:C,ATB!C:C,AE!F:F)</f>
        <v>0</v>
      </c>
      <c r="L1420" s="200">
        <f t="shared" si="52"/>
        <v>0</v>
      </c>
      <c r="M1420" s="200">
        <f t="shared" si="53"/>
        <v>0</v>
      </c>
    </row>
    <row r="1421" spans="2:13" x14ac:dyDescent="0.35">
      <c r="B1421" s="117"/>
      <c r="C1421" s="117"/>
      <c r="D1421" s="117"/>
      <c r="E1421" s="117"/>
      <c r="F1421" s="200"/>
      <c r="G1421" s="200"/>
      <c r="H1421" s="200"/>
      <c r="I1421" s="200"/>
      <c r="J1421" s="200"/>
      <c r="K1421" s="200">
        <f>SUMIF(AE!C:C,ATB!C:C,AE!F:F)</f>
        <v>0</v>
      </c>
      <c r="L1421" s="200">
        <f t="shared" si="52"/>
        <v>0</v>
      </c>
      <c r="M1421" s="200">
        <f t="shared" si="53"/>
        <v>0</v>
      </c>
    </row>
    <row r="1422" spans="2:13" x14ac:dyDescent="0.35">
      <c r="B1422" s="117"/>
      <c r="C1422" s="117"/>
      <c r="D1422" s="117"/>
      <c r="E1422" s="117"/>
      <c r="F1422" s="200"/>
      <c r="G1422" s="200"/>
      <c r="H1422" s="200"/>
      <c r="I1422" s="200"/>
      <c r="J1422" s="200"/>
      <c r="K1422" s="200">
        <f>SUMIF(AE!C:C,ATB!C:C,AE!F:F)</f>
        <v>0</v>
      </c>
      <c r="L1422" s="200">
        <f t="shared" si="52"/>
        <v>0</v>
      </c>
      <c r="M1422" s="200">
        <f t="shared" si="53"/>
        <v>0</v>
      </c>
    </row>
    <row r="1423" spans="2:13" x14ac:dyDescent="0.35">
      <c r="B1423" s="117"/>
      <c r="C1423" s="117"/>
      <c r="D1423" s="117"/>
      <c r="E1423" s="117"/>
      <c r="F1423" s="200"/>
      <c r="G1423" s="200"/>
      <c r="H1423" s="200"/>
      <c r="I1423" s="200"/>
      <c r="J1423" s="200"/>
      <c r="K1423" s="200">
        <f>SUMIF(AE!C:C,ATB!C:C,AE!F:F)</f>
        <v>0</v>
      </c>
      <c r="L1423" s="200">
        <f t="shared" si="52"/>
        <v>0</v>
      </c>
      <c r="M1423" s="200">
        <f t="shared" si="53"/>
        <v>0</v>
      </c>
    </row>
    <row r="1424" spans="2:13" x14ac:dyDescent="0.35">
      <c r="B1424" s="117"/>
      <c r="C1424" s="117"/>
      <c r="D1424" s="117"/>
      <c r="E1424" s="117"/>
      <c r="F1424" s="200"/>
      <c r="G1424" s="200"/>
      <c r="H1424" s="200"/>
      <c r="I1424" s="200"/>
      <c r="J1424" s="200"/>
      <c r="K1424" s="200">
        <f>SUMIF(AE!C:C,ATB!C:C,AE!F:F)</f>
        <v>0</v>
      </c>
      <c r="L1424" s="200">
        <f t="shared" si="52"/>
        <v>0</v>
      </c>
      <c r="M1424" s="200">
        <f t="shared" si="53"/>
        <v>0</v>
      </c>
    </row>
    <row r="1425" spans="2:13" x14ac:dyDescent="0.35">
      <c r="B1425" s="117"/>
      <c r="C1425" s="117"/>
      <c r="D1425" s="117"/>
      <c r="E1425" s="117"/>
      <c r="F1425" s="200"/>
      <c r="G1425" s="200"/>
      <c r="H1425" s="200"/>
      <c r="I1425" s="200"/>
      <c r="J1425" s="200"/>
      <c r="K1425" s="200">
        <f>SUMIF(AE!C:C,ATB!C:C,AE!F:F)</f>
        <v>0</v>
      </c>
      <c r="L1425" s="200">
        <f t="shared" si="52"/>
        <v>0</v>
      </c>
      <c r="M1425" s="200">
        <f t="shared" si="53"/>
        <v>0</v>
      </c>
    </row>
    <row r="1426" spans="2:13" x14ac:dyDescent="0.35">
      <c r="B1426" s="117"/>
      <c r="C1426" s="117"/>
      <c r="D1426" s="117"/>
      <c r="E1426" s="117"/>
      <c r="F1426" s="200"/>
      <c r="G1426" s="200"/>
      <c r="H1426" s="200"/>
      <c r="I1426" s="200"/>
      <c r="J1426" s="200"/>
      <c r="K1426" s="200">
        <f>SUMIF(AE!C:C,ATB!C:C,AE!F:F)</f>
        <v>0</v>
      </c>
      <c r="L1426" s="200">
        <f t="shared" si="52"/>
        <v>0</v>
      </c>
      <c r="M1426" s="200">
        <f t="shared" si="53"/>
        <v>0</v>
      </c>
    </row>
    <row r="1427" spans="2:13" x14ac:dyDescent="0.35">
      <c r="B1427" s="117"/>
      <c r="C1427" s="117"/>
      <c r="D1427" s="117"/>
      <c r="E1427" s="117"/>
      <c r="F1427" s="200"/>
      <c r="G1427" s="200"/>
      <c r="H1427" s="200"/>
      <c r="I1427" s="200"/>
      <c r="J1427" s="200"/>
      <c r="K1427" s="200">
        <f>SUMIF(AE!C:C,ATB!C:C,AE!F:F)</f>
        <v>0</v>
      </c>
      <c r="L1427" s="200">
        <f t="shared" si="52"/>
        <v>0</v>
      </c>
      <c r="M1427" s="200">
        <f t="shared" si="53"/>
        <v>0</v>
      </c>
    </row>
    <row r="1428" spans="2:13" x14ac:dyDescent="0.35">
      <c r="B1428" s="117"/>
      <c r="C1428" s="117"/>
      <c r="D1428" s="117"/>
      <c r="E1428" s="117"/>
      <c r="F1428" s="200"/>
      <c r="G1428" s="200"/>
      <c r="H1428" s="200"/>
      <c r="I1428" s="200"/>
      <c r="J1428" s="200"/>
      <c r="K1428" s="200">
        <f>SUMIF(AE!C:C,ATB!C:C,AE!F:F)</f>
        <v>0</v>
      </c>
      <c r="L1428" s="200">
        <f t="shared" si="52"/>
        <v>0</v>
      </c>
      <c r="M1428" s="200">
        <f t="shared" si="53"/>
        <v>0</v>
      </c>
    </row>
    <row r="1429" spans="2:13" x14ac:dyDescent="0.35">
      <c r="B1429" s="117"/>
      <c r="C1429" s="117"/>
      <c r="D1429" s="117"/>
      <c r="E1429" s="117"/>
      <c r="F1429" s="200"/>
      <c r="G1429" s="200"/>
      <c r="H1429" s="200"/>
      <c r="I1429" s="200"/>
      <c r="J1429" s="200"/>
      <c r="K1429" s="200">
        <f>SUMIF(AE!C:C,ATB!C:C,AE!F:F)</f>
        <v>0</v>
      </c>
      <c r="L1429" s="200">
        <f t="shared" si="52"/>
        <v>0</v>
      </c>
      <c r="M1429" s="200">
        <f t="shared" si="53"/>
        <v>0</v>
      </c>
    </row>
    <row r="1430" spans="2:13" x14ac:dyDescent="0.35">
      <c r="B1430" s="117"/>
      <c r="C1430" s="117"/>
      <c r="D1430" s="117"/>
      <c r="E1430" s="117"/>
      <c r="F1430" s="200"/>
      <c r="G1430" s="200"/>
      <c r="H1430" s="200"/>
      <c r="I1430" s="200"/>
      <c r="J1430" s="200"/>
      <c r="K1430" s="200">
        <f>SUMIF(AE!C:C,ATB!C:C,AE!F:F)</f>
        <v>0</v>
      </c>
      <c r="L1430" s="200">
        <f t="shared" si="52"/>
        <v>0</v>
      </c>
      <c r="M1430" s="200">
        <f t="shared" si="53"/>
        <v>0</v>
      </c>
    </row>
    <row r="1431" spans="2:13" x14ac:dyDescent="0.35">
      <c r="B1431" s="117"/>
      <c r="C1431" s="117"/>
      <c r="D1431" s="117"/>
      <c r="E1431" s="117"/>
      <c r="F1431" s="200"/>
      <c r="G1431" s="200"/>
      <c r="H1431" s="200"/>
      <c r="I1431" s="200"/>
      <c r="J1431" s="200"/>
      <c r="K1431" s="200">
        <f>SUMIF(AE!C:C,ATB!C:C,AE!F:F)</f>
        <v>0</v>
      </c>
      <c r="L1431" s="200">
        <f t="shared" si="52"/>
        <v>0</v>
      </c>
      <c r="M1431" s="200">
        <f t="shared" si="53"/>
        <v>0</v>
      </c>
    </row>
    <row r="1432" spans="2:13" x14ac:dyDescent="0.35">
      <c r="B1432" s="117"/>
      <c r="C1432" s="117"/>
      <c r="D1432" s="117"/>
      <c r="E1432" s="117"/>
      <c r="F1432" s="200"/>
      <c r="G1432" s="200"/>
      <c r="H1432" s="200"/>
      <c r="I1432" s="200"/>
      <c r="J1432" s="200"/>
      <c r="K1432" s="200">
        <f>SUMIF(AE!C:C,ATB!C:C,AE!F:F)</f>
        <v>0</v>
      </c>
      <c r="L1432" s="200">
        <f t="shared" si="52"/>
        <v>0</v>
      </c>
      <c r="M1432" s="200">
        <f t="shared" si="53"/>
        <v>0</v>
      </c>
    </row>
    <row r="1433" spans="2:13" x14ac:dyDescent="0.35">
      <c r="B1433" s="117"/>
      <c r="C1433" s="117"/>
      <c r="D1433" s="117"/>
      <c r="E1433" s="117"/>
      <c r="F1433" s="200"/>
      <c r="G1433" s="200"/>
      <c r="H1433" s="200"/>
      <c r="I1433" s="200"/>
      <c r="J1433" s="200"/>
      <c r="K1433" s="200">
        <f>SUMIF(AE!C:C,ATB!C:C,AE!F:F)</f>
        <v>0</v>
      </c>
      <c r="L1433" s="200">
        <f t="shared" si="52"/>
        <v>0</v>
      </c>
      <c r="M1433" s="200">
        <f t="shared" si="53"/>
        <v>0</v>
      </c>
    </row>
    <row r="1434" spans="2:13" x14ac:dyDescent="0.35">
      <c r="B1434" s="117"/>
      <c r="C1434" s="117"/>
      <c r="D1434" s="117"/>
      <c r="E1434" s="117"/>
      <c r="F1434" s="200"/>
      <c r="G1434" s="200"/>
      <c r="H1434" s="200"/>
      <c r="I1434" s="200"/>
      <c r="J1434" s="200"/>
      <c r="K1434" s="200">
        <f>SUMIF(AE!C:C,ATB!C:C,AE!F:F)</f>
        <v>0</v>
      </c>
      <c r="L1434" s="200">
        <f t="shared" si="52"/>
        <v>0</v>
      </c>
      <c r="M1434" s="200">
        <f t="shared" si="53"/>
        <v>0</v>
      </c>
    </row>
    <row r="1435" spans="2:13" x14ac:dyDescent="0.35">
      <c r="B1435" s="117"/>
      <c r="C1435" s="117"/>
      <c r="D1435" s="117"/>
      <c r="E1435" s="117"/>
      <c r="F1435" s="200"/>
      <c r="G1435" s="200"/>
      <c r="H1435" s="200"/>
      <c r="I1435" s="200"/>
      <c r="J1435" s="200"/>
      <c r="K1435" s="200">
        <f>SUMIF(AE!C:C,ATB!C:C,AE!F:F)</f>
        <v>0</v>
      </c>
      <c r="L1435" s="200">
        <f t="shared" si="52"/>
        <v>0</v>
      </c>
      <c r="M1435" s="200">
        <f t="shared" si="53"/>
        <v>0</v>
      </c>
    </row>
    <row r="1436" spans="2:13" x14ac:dyDescent="0.35">
      <c r="B1436" s="117"/>
      <c r="C1436" s="117"/>
      <c r="D1436" s="117"/>
      <c r="E1436" s="117"/>
      <c r="F1436" s="200"/>
      <c r="G1436" s="200"/>
      <c r="H1436" s="200"/>
      <c r="I1436" s="200"/>
      <c r="J1436" s="200"/>
      <c r="K1436" s="200">
        <f>SUMIF(AE!C:C,ATB!C:C,AE!F:F)</f>
        <v>0</v>
      </c>
      <c r="L1436" s="200">
        <f t="shared" si="52"/>
        <v>0</v>
      </c>
      <c r="M1436" s="200">
        <f t="shared" si="53"/>
        <v>0</v>
      </c>
    </row>
    <row r="1437" spans="2:13" x14ac:dyDescent="0.35">
      <c r="B1437" s="117"/>
      <c r="C1437" s="117"/>
      <c r="D1437" s="117"/>
      <c r="E1437" s="117"/>
      <c r="F1437" s="200"/>
      <c r="G1437" s="200"/>
      <c r="H1437" s="200"/>
      <c r="I1437" s="200"/>
      <c r="J1437" s="200"/>
      <c r="K1437" s="200">
        <f>SUMIF(AE!C:C,ATB!C:C,AE!F:F)</f>
        <v>0</v>
      </c>
      <c r="L1437" s="200">
        <f t="shared" si="52"/>
        <v>0</v>
      </c>
      <c r="M1437" s="200">
        <f t="shared" si="53"/>
        <v>0</v>
      </c>
    </row>
    <row r="1438" spans="2:13" x14ac:dyDescent="0.35">
      <c r="B1438" s="117"/>
      <c r="C1438" s="117"/>
      <c r="D1438" s="117"/>
      <c r="E1438" s="117"/>
      <c r="F1438" s="200"/>
      <c r="G1438" s="200"/>
      <c r="H1438" s="200"/>
      <c r="I1438" s="200"/>
      <c r="J1438" s="200"/>
      <c r="K1438" s="200">
        <f>SUMIF(AE!C:C,ATB!C:C,AE!F:F)</f>
        <v>0</v>
      </c>
      <c r="L1438" s="200">
        <f t="shared" si="52"/>
        <v>0</v>
      </c>
      <c r="M1438" s="200">
        <f t="shared" si="53"/>
        <v>0</v>
      </c>
    </row>
    <row r="1439" spans="2:13" x14ac:dyDescent="0.35">
      <c r="B1439" s="117"/>
      <c r="C1439" s="117"/>
      <c r="D1439" s="117"/>
      <c r="E1439" s="117"/>
      <c r="F1439" s="200"/>
      <c r="G1439" s="200"/>
      <c r="H1439" s="200"/>
      <c r="I1439" s="200"/>
      <c r="J1439" s="200"/>
      <c r="K1439" s="200">
        <f>SUMIF(AE!C:C,ATB!C:C,AE!F:F)</f>
        <v>0</v>
      </c>
      <c r="L1439" s="200">
        <f t="shared" si="52"/>
        <v>0</v>
      </c>
      <c r="M1439" s="200">
        <f t="shared" si="53"/>
        <v>0</v>
      </c>
    </row>
    <row r="1440" spans="2:13" x14ac:dyDescent="0.35">
      <c r="B1440" s="117"/>
      <c r="C1440" s="117"/>
      <c r="D1440" s="117"/>
      <c r="E1440" s="117"/>
      <c r="F1440" s="200"/>
      <c r="G1440" s="200"/>
      <c r="H1440" s="200"/>
      <c r="I1440" s="200"/>
      <c r="J1440" s="200"/>
      <c r="K1440" s="200">
        <f>SUMIF(AE!C:C,ATB!C:C,AE!F:F)</f>
        <v>0</v>
      </c>
      <c r="L1440" s="200">
        <f t="shared" si="52"/>
        <v>0</v>
      </c>
      <c r="M1440" s="200">
        <f t="shared" si="53"/>
        <v>0</v>
      </c>
    </row>
    <row r="1441" spans="2:13" x14ac:dyDescent="0.35">
      <c r="B1441" s="117"/>
      <c r="C1441" s="117"/>
      <c r="D1441" s="117"/>
      <c r="E1441" s="117"/>
      <c r="F1441" s="200"/>
      <c r="G1441" s="200"/>
      <c r="H1441" s="200"/>
      <c r="I1441" s="200"/>
      <c r="J1441" s="200"/>
      <c r="K1441" s="200">
        <f>SUMIF(AE!C:C,ATB!C:C,AE!F:F)</f>
        <v>0</v>
      </c>
      <c r="L1441" s="200">
        <f t="shared" si="52"/>
        <v>0</v>
      </c>
      <c r="M1441" s="200">
        <f t="shared" si="53"/>
        <v>0</v>
      </c>
    </row>
    <row r="1442" spans="2:13" x14ac:dyDescent="0.35">
      <c r="B1442" s="117"/>
      <c r="C1442" s="117"/>
      <c r="D1442" s="117"/>
      <c r="E1442" s="117"/>
      <c r="F1442" s="200"/>
      <c r="G1442" s="200"/>
      <c r="H1442" s="200"/>
      <c r="I1442" s="200"/>
      <c r="J1442" s="200"/>
      <c r="K1442" s="200">
        <f>SUMIF(AE!C:C,ATB!C:C,AE!F:F)</f>
        <v>0</v>
      </c>
      <c r="L1442" s="200">
        <f t="shared" si="52"/>
        <v>0</v>
      </c>
      <c r="M1442" s="200">
        <f t="shared" si="53"/>
        <v>0</v>
      </c>
    </row>
    <row r="1443" spans="2:13" x14ac:dyDescent="0.35">
      <c r="B1443" s="117"/>
      <c r="C1443" s="117"/>
      <c r="D1443" s="117"/>
      <c r="E1443" s="117"/>
      <c r="F1443" s="200"/>
      <c r="G1443" s="200"/>
      <c r="H1443" s="200"/>
      <c r="I1443" s="200"/>
      <c r="J1443" s="200"/>
      <c r="K1443" s="200">
        <f>SUMIF(AE!C:C,ATB!C:C,AE!F:F)</f>
        <v>0</v>
      </c>
      <c r="L1443" s="200">
        <f t="shared" si="52"/>
        <v>0</v>
      </c>
      <c r="M1443" s="200">
        <f t="shared" si="53"/>
        <v>0</v>
      </c>
    </row>
    <row r="1444" spans="2:13" x14ac:dyDescent="0.35">
      <c r="B1444" s="117"/>
      <c r="C1444" s="117"/>
      <c r="D1444" s="117"/>
      <c r="E1444" s="117"/>
      <c r="F1444" s="200"/>
      <c r="G1444" s="200"/>
      <c r="H1444" s="200"/>
      <c r="I1444" s="200"/>
      <c r="J1444" s="200"/>
      <c r="K1444" s="200">
        <f>SUMIF(AE!C:C,ATB!C:C,AE!F:F)</f>
        <v>0</v>
      </c>
      <c r="L1444" s="200">
        <f t="shared" si="52"/>
        <v>0</v>
      </c>
      <c r="M1444" s="200">
        <f t="shared" si="53"/>
        <v>0</v>
      </c>
    </row>
    <row r="1445" spans="2:13" x14ac:dyDescent="0.35">
      <c r="B1445" s="117"/>
      <c r="C1445" s="117"/>
      <c r="D1445" s="117"/>
      <c r="E1445" s="117"/>
      <c r="F1445" s="200"/>
      <c r="G1445" s="200"/>
      <c r="H1445" s="200"/>
      <c r="I1445" s="200"/>
      <c r="J1445" s="200"/>
      <c r="K1445" s="200">
        <f>SUMIF(AE!C:C,ATB!C:C,AE!F:F)</f>
        <v>0</v>
      </c>
      <c r="L1445" s="200">
        <f t="shared" si="52"/>
        <v>0</v>
      </c>
      <c r="M1445" s="200">
        <f t="shared" si="53"/>
        <v>0</v>
      </c>
    </row>
    <row r="1446" spans="2:13" x14ac:dyDescent="0.35">
      <c r="B1446" s="117"/>
      <c r="C1446" s="117"/>
      <c r="D1446" s="117"/>
      <c r="E1446" s="117"/>
      <c r="F1446" s="200"/>
      <c r="G1446" s="200"/>
      <c r="H1446" s="200"/>
      <c r="I1446" s="200"/>
      <c r="J1446" s="200"/>
      <c r="K1446" s="200">
        <f>SUMIF(AE!C:C,ATB!C:C,AE!F:F)</f>
        <v>0</v>
      </c>
      <c r="L1446" s="200">
        <f t="shared" si="52"/>
        <v>0</v>
      </c>
      <c r="M1446" s="200">
        <f t="shared" si="53"/>
        <v>0</v>
      </c>
    </row>
    <row r="1447" spans="2:13" x14ac:dyDescent="0.35">
      <c r="B1447" s="117"/>
      <c r="C1447" s="117"/>
      <c r="D1447" s="117"/>
      <c r="E1447" s="117"/>
      <c r="F1447" s="200"/>
      <c r="G1447" s="200"/>
      <c r="H1447" s="200"/>
      <c r="I1447" s="200"/>
      <c r="J1447" s="200"/>
      <c r="K1447" s="200">
        <f>SUMIF(AE!C:C,ATB!C:C,AE!F:F)</f>
        <v>0</v>
      </c>
      <c r="L1447" s="200">
        <f t="shared" si="52"/>
        <v>0</v>
      </c>
      <c r="M1447" s="200">
        <f t="shared" si="53"/>
        <v>0</v>
      </c>
    </row>
    <row r="1448" spans="2:13" x14ac:dyDescent="0.35">
      <c r="B1448" s="117"/>
      <c r="C1448" s="117"/>
      <c r="D1448" s="117"/>
      <c r="E1448" s="117"/>
      <c r="F1448" s="200"/>
      <c r="G1448" s="200"/>
      <c r="H1448" s="200"/>
      <c r="I1448" s="200"/>
      <c r="J1448" s="200"/>
      <c r="K1448" s="200">
        <f>SUMIF(AE!C:C,ATB!C:C,AE!F:F)</f>
        <v>0</v>
      </c>
      <c r="L1448" s="200">
        <f t="shared" si="52"/>
        <v>0</v>
      </c>
      <c r="M1448" s="200">
        <f t="shared" si="53"/>
        <v>0</v>
      </c>
    </row>
    <row r="1449" spans="2:13" x14ac:dyDescent="0.35">
      <c r="B1449" s="117"/>
      <c r="C1449" s="117"/>
      <c r="D1449" s="117"/>
      <c r="E1449" s="117"/>
      <c r="F1449" s="200"/>
      <c r="G1449" s="200"/>
      <c r="H1449" s="200"/>
      <c r="I1449" s="200"/>
      <c r="J1449" s="200"/>
      <c r="K1449" s="200">
        <f>SUMIF(AE!C:C,ATB!C:C,AE!F:F)</f>
        <v>0</v>
      </c>
      <c r="L1449" s="200">
        <f t="shared" si="52"/>
        <v>0</v>
      </c>
      <c r="M1449" s="200">
        <f t="shared" si="53"/>
        <v>0</v>
      </c>
    </row>
    <row r="1450" spans="2:13" x14ac:dyDescent="0.35">
      <c r="B1450" s="117"/>
      <c r="C1450" s="117"/>
      <c r="D1450" s="117"/>
      <c r="E1450" s="117"/>
      <c r="F1450" s="200"/>
      <c r="G1450" s="200"/>
      <c r="H1450" s="200"/>
      <c r="I1450" s="200"/>
      <c r="J1450" s="200"/>
      <c r="K1450" s="200">
        <f>SUMIF(AE!C:C,ATB!C:C,AE!F:F)</f>
        <v>0</v>
      </c>
      <c r="L1450" s="200">
        <f t="shared" si="52"/>
        <v>0</v>
      </c>
      <c r="M1450" s="200">
        <f t="shared" si="53"/>
        <v>0</v>
      </c>
    </row>
    <row r="1451" spans="2:13" x14ac:dyDescent="0.35">
      <c r="B1451" s="117"/>
      <c r="C1451" s="117"/>
      <c r="D1451" s="117"/>
      <c r="E1451" s="117"/>
      <c r="F1451" s="200"/>
      <c r="G1451" s="200"/>
      <c r="H1451" s="200"/>
      <c r="I1451" s="200"/>
      <c r="J1451" s="200"/>
      <c r="K1451" s="200">
        <f>SUMIF(AE!C:C,ATB!C:C,AE!F:F)</f>
        <v>0</v>
      </c>
      <c r="L1451" s="200">
        <f t="shared" si="52"/>
        <v>0</v>
      </c>
      <c r="M1451" s="200">
        <f t="shared" si="53"/>
        <v>0</v>
      </c>
    </row>
    <row r="1452" spans="2:13" x14ac:dyDescent="0.35">
      <c r="B1452" s="117"/>
      <c r="C1452" s="117"/>
      <c r="D1452" s="117"/>
      <c r="E1452" s="117"/>
      <c r="F1452" s="200"/>
      <c r="G1452" s="200"/>
      <c r="H1452" s="200"/>
      <c r="I1452" s="200"/>
      <c r="J1452" s="200"/>
      <c r="K1452" s="200">
        <f>SUMIF(AE!C:C,ATB!C:C,AE!F:F)</f>
        <v>0</v>
      </c>
      <c r="L1452" s="200">
        <f t="shared" si="52"/>
        <v>0</v>
      </c>
      <c r="M1452" s="200">
        <f t="shared" si="53"/>
        <v>0</v>
      </c>
    </row>
    <row r="1453" spans="2:13" x14ac:dyDescent="0.35">
      <c r="B1453" s="117"/>
      <c r="C1453" s="117"/>
      <c r="D1453" s="117"/>
      <c r="E1453" s="117"/>
      <c r="F1453" s="200"/>
      <c r="G1453" s="200"/>
      <c r="H1453" s="200"/>
      <c r="I1453" s="200"/>
      <c r="J1453" s="200"/>
      <c r="K1453" s="200">
        <f>SUMIF(AE!C:C,ATB!C:C,AE!F:F)</f>
        <v>0</v>
      </c>
      <c r="L1453" s="200">
        <f t="shared" si="52"/>
        <v>0</v>
      </c>
      <c r="M1453" s="200">
        <f t="shared" si="53"/>
        <v>0</v>
      </c>
    </row>
    <row r="1454" spans="2:13" x14ac:dyDescent="0.35">
      <c r="B1454" s="117"/>
      <c r="C1454" s="117"/>
      <c r="D1454" s="117"/>
      <c r="E1454" s="117"/>
      <c r="F1454" s="200"/>
      <c r="G1454" s="200"/>
      <c r="H1454" s="200"/>
      <c r="I1454" s="200"/>
      <c r="J1454" s="200"/>
      <c r="K1454" s="200">
        <f>SUMIF(AE!C:C,ATB!C:C,AE!F:F)</f>
        <v>0</v>
      </c>
      <c r="L1454" s="200">
        <f t="shared" si="52"/>
        <v>0</v>
      </c>
      <c r="M1454" s="200">
        <f t="shared" si="53"/>
        <v>0</v>
      </c>
    </row>
    <row r="1455" spans="2:13" x14ac:dyDescent="0.35">
      <c r="B1455" s="117"/>
      <c r="C1455" s="117"/>
      <c r="D1455" s="117"/>
      <c r="E1455" s="117"/>
      <c r="F1455" s="200"/>
      <c r="G1455" s="200"/>
      <c r="H1455" s="200"/>
      <c r="I1455" s="200"/>
      <c r="J1455" s="200"/>
      <c r="K1455" s="200">
        <f>SUMIF(AE!C:C,ATB!C:C,AE!F:F)</f>
        <v>0</v>
      </c>
      <c r="L1455" s="200">
        <f t="shared" si="52"/>
        <v>0</v>
      </c>
      <c r="M1455" s="200">
        <f t="shared" si="53"/>
        <v>0</v>
      </c>
    </row>
    <row r="1456" spans="2:13" x14ac:dyDescent="0.35">
      <c r="B1456" s="117"/>
      <c r="C1456" s="117"/>
      <c r="D1456" s="117"/>
      <c r="E1456" s="117"/>
      <c r="F1456" s="200"/>
      <c r="G1456" s="200"/>
      <c r="H1456" s="200"/>
      <c r="I1456" s="200"/>
      <c r="J1456" s="200"/>
      <c r="K1456" s="200">
        <f>SUMIF(AE!C:C,ATB!C:C,AE!F:F)</f>
        <v>0</v>
      </c>
      <c r="L1456" s="200">
        <f t="shared" si="52"/>
        <v>0</v>
      </c>
      <c r="M1456" s="200">
        <f t="shared" si="53"/>
        <v>0</v>
      </c>
    </row>
    <row r="1457" spans="2:13" x14ac:dyDescent="0.35">
      <c r="B1457" s="117"/>
      <c r="C1457" s="117"/>
      <c r="D1457" s="117"/>
      <c r="E1457" s="117"/>
      <c r="F1457" s="200"/>
      <c r="G1457" s="200"/>
      <c r="H1457" s="200"/>
      <c r="I1457" s="200"/>
      <c r="J1457" s="200"/>
      <c r="K1457" s="200">
        <f>SUMIF(AE!C:C,ATB!C:C,AE!F:F)</f>
        <v>0</v>
      </c>
      <c r="L1457" s="200">
        <f t="shared" si="52"/>
        <v>0</v>
      </c>
      <c r="M1457" s="200">
        <f t="shared" si="53"/>
        <v>0</v>
      </c>
    </row>
    <row r="1458" spans="2:13" x14ac:dyDescent="0.35">
      <c r="B1458" s="117"/>
      <c r="C1458" s="117"/>
      <c r="D1458" s="117"/>
      <c r="E1458" s="117"/>
      <c r="F1458" s="200"/>
      <c r="G1458" s="200"/>
      <c r="H1458" s="200"/>
      <c r="I1458" s="200"/>
      <c r="J1458" s="200"/>
      <c r="K1458" s="200">
        <f>SUMIF(AE!C:C,ATB!C:C,AE!F:F)</f>
        <v>0</v>
      </c>
      <c r="L1458" s="200">
        <f t="shared" si="52"/>
        <v>0</v>
      </c>
      <c r="M1458" s="200">
        <f t="shared" si="53"/>
        <v>0</v>
      </c>
    </row>
    <row r="1459" spans="2:13" x14ac:dyDescent="0.35">
      <c r="B1459" s="117"/>
      <c r="C1459" s="117"/>
      <c r="D1459" s="117"/>
      <c r="E1459" s="117"/>
      <c r="F1459" s="200"/>
      <c r="G1459" s="200"/>
      <c r="H1459" s="200"/>
      <c r="I1459" s="200"/>
      <c r="J1459" s="200"/>
      <c r="K1459" s="200">
        <f>SUMIF(AE!C:C,ATB!C:C,AE!F:F)</f>
        <v>0</v>
      </c>
      <c r="L1459" s="200">
        <f t="shared" si="52"/>
        <v>0</v>
      </c>
      <c r="M1459" s="200">
        <f t="shared" si="53"/>
        <v>0</v>
      </c>
    </row>
    <row r="1460" spans="2:13" x14ac:dyDescent="0.35">
      <c r="B1460" s="117"/>
      <c r="C1460" s="117"/>
      <c r="D1460" s="117"/>
      <c r="E1460" s="117"/>
      <c r="F1460" s="200"/>
      <c r="G1460" s="200"/>
      <c r="H1460" s="200"/>
      <c r="I1460" s="200"/>
      <c r="J1460" s="200"/>
      <c r="K1460" s="200">
        <f>SUMIF(AE!C:C,ATB!C:C,AE!F:F)</f>
        <v>0</v>
      </c>
      <c r="L1460" s="200">
        <f t="shared" si="52"/>
        <v>0</v>
      </c>
      <c r="M1460" s="200">
        <f t="shared" si="53"/>
        <v>0</v>
      </c>
    </row>
    <row r="1461" spans="2:13" x14ac:dyDescent="0.35">
      <c r="B1461" s="117"/>
      <c r="C1461" s="117"/>
      <c r="D1461" s="117"/>
      <c r="E1461" s="117"/>
      <c r="F1461" s="200"/>
      <c r="G1461" s="200"/>
      <c r="H1461" s="200"/>
      <c r="I1461" s="200"/>
      <c r="J1461" s="200"/>
      <c r="K1461" s="200">
        <f>SUMIF(AE!C:C,ATB!C:C,AE!F:F)</f>
        <v>0</v>
      </c>
      <c r="L1461" s="200">
        <f t="shared" si="52"/>
        <v>0</v>
      </c>
      <c r="M1461" s="200">
        <f t="shared" si="53"/>
        <v>0</v>
      </c>
    </row>
    <row r="1462" spans="2:13" x14ac:dyDescent="0.35">
      <c r="B1462" s="117"/>
      <c r="C1462" s="117"/>
      <c r="D1462" s="117"/>
      <c r="E1462" s="117"/>
      <c r="F1462" s="200"/>
      <c r="G1462" s="200"/>
      <c r="H1462" s="200"/>
      <c r="I1462" s="200"/>
      <c r="J1462" s="200"/>
      <c r="K1462" s="200">
        <f>SUMIF(AE!C:C,ATB!C:C,AE!F:F)</f>
        <v>0</v>
      </c>
      <c r="L1462" s="200">
        <f t="shared" si="52"/>
        <v>0</v>
      </c>
      <c r="M1462" s="200">
        <f t="shared" si="53"/>
        <v>0</v>
      </c>
    </row>
    <row r="1463" spans="2:13" x14ac:dyDescent="0.35">
      <c r="B1463" s="117"/>
      <c r="C1463" s="117"/>
      <c r="D1463" s="117"/>
      <c r="E1463" s="117"/>
      <c r="F1463" s="200"/>
      <c r="G1463" s="200"/>
      <c r="H1463" s="200"/>
      <c r="I1463" s="200"/>
      <c r="J1463" s="200"/>
      <c r="K1463" s="200">
        <f>SUMIF(AE!C:C,ATB!C:C,AE!F:F)</f>
        <v>0</v>
      </c>
      <c r="L1463" s="200">
        <f t="shared" si="52"/>
        <v>0</v>
      </c>
      <c r="M1463" s="200">
        <f t="shared" si="53"/>
        <v>0</v>
      </c>
    </row>
    <row r="1464" spans="2:13" x14ac:dyDescent="0.35">
      <c r="B1464" s="117"/>
      <c r="C1464" s="117"/>
      <c r="D1464" s="117"/>
      <c r="E1464" s="117"/>
      <c r="F1464" s="200"/>
      <c r="G1464" s="200"/>
      <c r="H1464" s="200"/>
      <c r="I1464" s="200"/>
      <c r="J1464" s="200"/>
      <c r="K1464" s="200">
        <f>SUMIF(AE!C:C,ATB!C:C,AE!F:F)</f>
        <v>0</v>
      </c>
      <c r="L1464" s="200">
        <f t="shared" si="52"/>
        <v>0</v>
      </c>
      <c r="M1464" s="200">
        <f t="shared" si="53"/>
        <v>0</v>
      </c>
    </row>
    <row r="1465" spans="2:13" x14ac:dyDescent="0.35">
      <c r="B1465" s="117"/>
      <c r="C1465" s="117"/>
      <c r="D1465" s="117"/>
      <c r="E1465" s="117"/>
      <c r="F1465" s="200"/>
      <c r="G1465" s="200"/>
      <c r="H1465" s="200"/>
      <c r="I1465" s="200"/>
      <c r="J1465" s="200"/>
      <c r="K1465" s="200">
        <f>SUMIF(AE!C:C,ATB!C:C,AE!F:F)</f>
        <v>0</v>
      </c>
      <c r="L1465" s="200">
        <f t="shared" si="52"/>
        <v>0</v>
      </c>
      <c r="M1465" s="200">
        <f t="shared" si="53"/>
        <v>0</v>
      </c>
    </row>
    <row r="1466" spans="2:13" x14ac:dyDescent="0.35">
      <c r="B1466" s="117"/>
      <c r="C1466" s="117"/>
      <c r="D1466" s="117"/>
      <c r="E1466" s="117"/>
      <c r="F1466" s="200"/>
      <c r="G1466" s="200"/>
      <c r="H1466" s="200"/>
      <c r="I1466" s="200"/>
      <c r="J1466" s="200"/>
      <c r="K1466" s="200">
        <f>SUMIF(AE!C:C,ATB!C:C,AE!F:F)</f>
        <v>0</v>
      </c>
      <c r="L1466" s="200">
        <f t="shared" si="52"/>
        <v>0</v>
      </c>
      <c r="M1466" s="200">
        <f t="shared" si="53"/>
        <v>0</v>
      </c>
    </row>
    <row r="1467" spans="2:13" x14ac:dyDescent="0.35">
      <c r="B1467" s="117"/>
      <c r="C1467" s="117"/>
      <c r="D1467" s="117"/>
      <c r="E1467" s="117"/>
      <c r="F1467" s="200"/>
      <c r="G1467" s="200"/>
      <c r="H1467" s="200"/>
      <c r="I1467" s="200"/>
      <c r="J1467" s="200"/>
      <c r="K1467" s="200">
        <f>SUMIF(AE!C:C,ATB!C:C,AE!F:F)</f>
        <v>0</v>
      </c>
      <c r="L1467" s="200">
        <f t="shared" si="52"/>
        <v>0</v>
      </c>
      <c r="M1467" s="200">
        <f t="shared" si="53"/>
        <v>0</v>
      </c>
    </row>
    <row r="1468" spans="2:13" x14ac:dyDescent="0.35">
      <c r="B1468" s="117"/>
      <c r="C1468" s="117"/>
      <c r="D1468" s="117"/>
      <c r="E1468" s="117"/>
      <c r="F1468" s="200"/>
      <c r="G1468" s="200"/>
      <c r="H1468" s="200"/>
      <c r="I1468" s="200"/>
      <c r="J1468" s="200"/>
      <c r="K1468" s="200">
        <f>SUMIF(AE!C:C,ATB!C:C,AE!F:F)</f>
        <v>0</v>
      </c>
      <c r="L1468" s="200">
        <f t="shared" si="52"/>
        <v>0</v>
      </c>
      <c r="M1468" s="200">
        <f t="shared" si="53"/>
        <v>0</v>
      </c>
    </row>
    <row r="1469" spans="2:13" x14ac:dyDescent="0.35">
      <c r="B1469" s="117"/>
      <c r="C1469" s="117"/>
      <c r="D1469" s="117"/>
      <c r="E1469" s="117"/>
      <c r="F1469" s="200"/>
      <c r="G1469" s="200"/>
      <c r="H1469" s="200"/>
      <c r="I1469" s="200"/>
      <c r="J1469" s="200"/>
      <c r="K1469" s="200">
        <f>SUMIF(AE!C:C,ATB!C:C,AE!F:F)</f>
        <v>0</v>
      </c>
      <c r="L1469" s="200">
        <f t="shared" si="52"/>
        <v>0</v>
      </c>
      <c r="M1469" s="200">
        <f t="shared" si="53"/>
        <v>0</v>
      </c>
    </row>
    <row r="1470" spans="2:13" x14ac:dyDescent="0.35">
      <c r="B1470" s="117"/>
      <c r="C1470" s="117"/>
      <c r="D1470" s="117"/>
      <c r="E1470" s="117"/>
      <c r="F1470" s="200"/>
      <c r="G1470" s="200"/>
      <c r="H1470" s="200"/>
      <c r="I1470" s="200"/>
      <c r="J1470" s="200"/>
      <c r="K1470" s="200">
        <f>SUMIF(AE!C:C,ATB!C:C,AE!F:F)</f>
        <v>0</v>
      </c>
      <c r="L1470" s="200">
        <f t="shared" si="52"/>
        <v>0</v>
      </c>
      <c r="M1470" s="200">
        <f t="shared" si="53"/>
        <v>0</v>
      </c>
    </row>
    <row r="1471" spans="2:13" x14ac:dyDescent="0.35">
      <c r="B1471" s="117"/>
      <c r="C1471" s="117"/>
      <c r="D1471" s="117"/>
      <c r="E1471" s="117"/>
      <c r="F1471" s="200"/>
      <c r="G1471" s="200"/>
      <c r="H1471" s="200"/>
      <c r="I1471" s="200"/>
      <c r="J1471" s="200"/>
      <c r="K1471" s="200">
        <f>SUMIF(AE!C:C,ATB!C:C,AE!F:F)</f>
        <v>0</v>
      </c>
      <c r="L1471" s="200">
        <f t="shared" si="52"/>
        <v>0</v>
      </c>
      <c r="M1471" s="200">
        <f t="shared" si="53"/>
        <v>0</v>
      </c>
    </row>
    <row r="1472" spans="2:13" x14ac:dyDescent="0.35">
      <c r="B1472" s="117"/>
      <c r="C1472" s="117"/>
      <c r="D1472" s="117"/>
      <c r="E1472" s="117"/>
      <c r="F1472" s="200"/>
      <c r="G1472" s="200"/>
      <c r="H1472" s="200"/>
      <c r="I1472" s="200"/>
      <c r="J1472" s="200"/>
      <c r="K1472" s="200">
        <f>SUMIF(AE!C:C,ATB!C:C,AE!F:F)</f>
        <v>0</v>
      </c>
      <c r="L1472" s="200">
        <f t="shared" si="52"/>
        <v>0</v>
      </c>
      <c r="M1472" s="200">
        <f t="shared" si="53"/>
        <v>0</v>
      </c>
    </row>
    <row r="1473" spans="2:13" x14ac:dyDescent="0.35">
      <c r="B1473" s="117"/>
      <c r="C1473" s="117"/>
      <c r="D1473" s="117"/>
      <c r="E1473" s="117"/>
      <c r="F1473" s="200"/>
      <c r="G1473" s="200"/>
      <c r="H1473" s="200"/>
      <c r="I1473" s="200"/>
      <c r="J1473" s="200"/>
      <c r="K1473" s="200">
        <f>SUMIF(AE!C:C,ATB!C:C,AE!F:F)</f>
        <v>0</v>
      </c>
      <c r="L1473" s="200">
        <f t="shared" si="52"/>
        <v>0</v>
      </c>
      <c r="M1473" s="200">
        <f t="shared" si="53"/>
        <v>0</v>
      </c>
    </row>
    <row r="1474" spans="2:13" x14ac:dyDescent="0.35">
      <c r="B1474" s="117"/>
      <c r="C1474" s="117"/>
      <c r="D1474" s="117"/>
      <c r="E1474" s="117"/>
      <c r="F1474" s="200"/>
      <c r="G1474" s="200"/>
      <c r="H1474" s="200"/>
      <c r="I1474" s="200"/>
      <c r="J1474" s="200"/>
      <c r="K1474" s="200">
        <f>SUMIF(AE!C:C,ATB!C:C,AE!F:F)</f>
        <v>0</v>
      </c>
      <c r="L1474" s="200">
        <f t="shared" ref="L1474:L1537" si="54">ROUND(IF(F1474+H1474+J1474-G1474-I1474-K1474&gt;0,F1474+H1474+J1474-G1474-I1474-K1474,0),0)</f>
        <v>0</v>
      </c>
      <c r="M1474" s="200">
        <f t="shared" ref="M1474:M1537" si="55">-ROUND(IF(F1474+H1474+J1474-G1474-I1474-K1474&lt;0,F1474+H1474+J1474-G1474-I1474-K1474,0),0)</f>
        <v>0</v>
      </c>
    </row>
    <row r="1475" spans="2:13" x14ac:dyDescent="0.35">
      <c r="B1475" s="117"/>
      <c r="C1475" s="117"/>
      <c r="D1475" s="117"/>
      <c r="E1475" s="117"/>
      <c r="F1475" s="200"/>
      <c r="G1475" s="200"/>
      <c r="H1475" s="200"/>
      <c r="I1475" s="200"/>
      <c r="J1475" s="200"/>
      <c r="K1475" s="200">
        <f>SUMIF(AE!C:C,ATB!C:C,AE!F:F)</f>
        <v>0</v>
      </c>
      <c r="L1475" s="200">
        <f t="shared" si="54"/>
        <v>0</v>
      </c>
      <c r="M1475" s="200">
        <f t="shared" si="55"/>
        <v>0</v>
      </c>
    </row>
    <row r="1476" spans="2:13" x14ac:dyDescent="0.35">
      <c r="B1476" s="117"/>
      <c r="C1476" s="117"/>
      <c r="D1476" s="117"/>
      <c r="E1476" s="117"/>
      <c r="F1476" s="200"/>
      <c r="G1476" s="200"/>
      <c r="H1476" s="200"/>
      <c r="I1476" s="200"/>
      <c r="J1476" s="200"/>
      <c r="K1476" s="200">
        <f>SUMIF(AE!C:C,ATB!C:C,AE!F:F)</f>
        <v>0</v>
      </c>
      <c r="L1476" s="200">
        <f t="shared" si="54"/>
        <v>0</v>
      </c>
      <c r="M1476" s="200">
        <f t="shared" si="55"/>
        <v>0</v>
      </c>
    </row>
    <row r="1477" spans="2:13" x14ac:dyDescent="0.35">
      <c r="B1477" s="117"/>
      <c r="C1477" s="117"/>
      <c r="D1477" s="117"/>
      <c r="E1477" s="117"/>
      <c r="F1477" s="200"/>
      <c r="G1477" s="200"/>
      <c r="H1477" s="200"/>
      <c r="I1477" s="200"/>
      <c r="J1477" s="200"/>
      <c r="K1477" s="200">
        <f>SUMIF(AE!C:C,ATB!C:C,AE!F:F)</f>
        <v>0</v>
      </c>
      <c r="L1477" s="200">
        <f t="shared" si="54"/>
        <v>0</v>
      </c>
      <c r="M1477" s="200">
        <f t="shared" si="55"/>
        <v>0</v>
      </c>
    </row>
    <row r="1478" spans="2:13" x14ac:dyDescent="0.35">
      <c r="B1478" s="117"/>
      <c r="C1478" s="117"/>
      <c r="D1478" s="117"/>
      <c r="E1478" s="117"/>
      <c r="F1478" s="200"/>
      <c r="G1478" s="200"/>
      <c r="H1478" s="200"/>
      <c r="I1478" s="200"/>
      <c r="J1478" s="200"/>
      <c r="K1478" s="200">
        <f>SUMIF(AE!C:C,ATB!C:C,AE!F:F)</f>
        <v>0</v>
      </c>
      <c r="L1478" s="200">
        <f t="shared" si="54"/>
        <v>0</v>
      </c>
      <c r="M1478" s="200">
        <f t="shared" si="55"/>
        <v>0</v>
      </c>
    </row>
    <row r="1479" spans="2:13" x14ac:dyDescent="0.35">
      <c r="B1479" s="117"/>
      <c r="C1479" s="117"/>
      <c r="D1479" s="117"/>
      <c r="E1479" s="117"/>
      <c r="F1479" s="200"/>
      <c r="G1479" s="200"/>
      <c r="H1479" s="200"/>
      <c r="I1479" s="200"/>
      <c r="J1479" s="200"/>
      <c r="K1479" s="200">
        <f>SUMIF(AE!C:C,ATB!C:C,AE!F:F)</f>
        <v>0</v>
      </c>
      <c r="L1479" s="200">
        <f t="shared" si="54"/>
        <v>0</v>
      </c>
      <c r="M1479" s="200">
        <f t="shared" si="55"/>
        <v>0</v>
      </c>
    </row>
    <row r="1480" spans="2:13" x14ac:dyDescent="0.35">
      <c r="B1480" s="117"/>
      <c r="C1480" s="117"/>
      <c r="D1480" s="117"/>
      <c r="E1480" s="117"/>
      <c r="F1480" s="200"/>
      <c r="G1480" s="200"/>
      <c r="H1480" s="200"/>
      <c r="I1480" s="200"/>
      <c r="J1480" s="200"/>
      <c r="K1480" s="200">
        <f>SUMIF(AE!C:C,ATB!C:C,AE!F:F)</f>
        <v>0</v>
      </c>
      <c r="L1480" s="200">
        <f t="shared" si="54"/>
        <v>0</v>
      </c>
      <c r="M1480" s="200">
        <f t="shared" si="55"/>
        <v>0</v>
      </c>
    </row>
    <row r="1481" spans="2:13" x14ac:dyDescent="0.35">
      <c r="B1481" s="117"/>
      <c r="C1481" s="117"/>
      <c r="D1481" s="117"/>
      <c r="E1481" s="117"/>
      <c r="F1481" s="200"/>
      <c r="G1481" s="200"/>
      <c r="H1481" s="200"/>
      <c r="I1481" s="200"/>
      <c r="J1481" s="200"/>
      <c r="K1481" s="200">
        <f>SUMIF(AE!C:C,ATB!C:C,AE!F:F)</f>
        <v>0</v>
      </c>
      <c r="L1481" s="200">
        <f t="shared" si="54"/>
        <v>0</v>
      </c>
      <c r="M1481" s="200">
        <f t="shared" si="55"/>
        <v>0</v>
      </c>
    </row>
    <row r="1482" spans="2:13" x14ac:dyDescent="0.35">
      <c r="B1482" s="117"/>
      <c r="C1482" s="117"/>
      <c r="D1482" s="117"/>
      <c r="E1482" s="117"/>
      <c r="F1482" s="200"/>
      <c r="G1482" s="200"/>
      <c r="H1482" s="200"/>
      <c r="I1482" s="200"/>
      <c r="J1482" s="200"/>
      <c r="K1482" s="200">
        <f>SUMIF(AE!C:C,ATB!C:C,AE!F:F)</f>
        <v>0</v>
      </c>
      <c r="L1482" s="200">
        <f t="shared" si="54"/>
        <v>0</v>
      </c>
      <c r="M1482" s="200">
        <f t="shared" si="55"/>
        <v>0</v>
      </c>
    </row>
    <row r="1483" spans="2:13" x14ac:dyDescent="0.35">
      <c r="B1483" s="117"/>
      <c r="C1483" s="117"/>
      <c r="D1483" s="117"/>
      <c r="E1483" s="117"/>
      <c r="F1483" s="200"/>
      <c r="G1483" s="200"/>
      <c r="H1483" s="200"/>
      <c r="I1483" s="200"/>
      <c r="J1483" s="200"/>
      <c r="K1483" s="200">
        <f>SUMIF(AE!C:C,ATB!C:C,AE!F:F)</f>
        <v>0</v>
      </c>
      <c r="L1483" s="200">
        <f t="shared" si="54"/>
        <v>0</v>
      </c>
      <c r="M1483" s="200">
        <f t="shared" si="55"/>
        <v>0</v>
      </c>
    </row>
    <row r="1484" spans="2:13" x14ac:dyDescent="0.35">
      <c r="B1484" s="117"/>
      <c r="C1484" s="117"/>
      <c r="D1484" s="117"/>
      <c r="E1484" s="117"/>
      <c r="F1484" s="200"/>
      <c r="G1484" s="200"/>
      <c r="H1484" s="200"/>
      <c r="I1484" s="200"/>
      <c r="J1484" s="200"/>
      <c r="K1484" s="200">
        <f>SUMIF(AE!C:C,ATB!C:C,AE!F:F)</f>
        <v>0</v>
      </c>
      <c r="L1484" s="200">
        <f t="shared" si="54"/>
        <v>0</v>
      </c>
      <c r="M1484" s="200">
        <f t="shared" si="55"/>
        <v>0</v>
      </c>
    </row>
    <row r="1485" spans="2:13" x14ac:dyDescent="0.35">
      <c r="B1485" s="117"/>
      <c r="C1485" s="117"/>
      <c r="D1485" s="117"/>
      <c r="E1485" s="117"/>
      <c r="F1485" s="200"/>
      <c r="G1485" s="200"/>
      <c r="H1485" s="200"/>
      <c r="I1485" s="200"/>
      <c r="J1485" s="200"/>
      <c r="K1485" s="200">
        <f>SUMIF(AE!C:C,ATB!C:C,AE!F:F)</f>
        <v>0</v>
      </c>
      <c r="L1485" s="200">
        <f t="shared" si="54"/>
        <v>0</v>
      </c>
      <c r="M1485" s="200">
        <f t="shared" si="55"/>
        <v>0</v>
      </c>
    </row>
    <row r="1486" spans="2:13" x14ac:dyDescent="0.35">
      <c r="B1486" s="117"/>
      <c r="C1486" s="117"/>
      <c r="D1486" s="117"/>
      <c r="E1486" s="117"/>
      <c r="F1486" s="200"/>
      <c r="G1486" s="200"/>
      <c r="H1486" s="200"/>
      <c r="I1486" s="200"/>
      <c r="J1486" s="200"/>
      <c r="K1486" s="200">
        <f>SUMIF(AE!C:C,ATB!C:C,AE!F:F)</f>
        <v>0</v>
      </c>
      <c r="L1486" s="200">
        <f t="shared" si="54"/>
        <v>0</v>
      </c>
      <c r="M1486" s="200">
        <f t="shared" si="55"/>
        <v>0</v>
      </c>
    </row>
    <row r="1487" spans="2:13" x14ac:dyDescent="0.35">
      <c r="B1487" s="117"/>
      <c r="C1487" s="117"/>
      <c r="D1487" s="117"/>
      <c r="E1487" s="117"/>
      <c r="F1487" s="200"/>
      <c r="G1487" s="200"/>
      <c r="H1487" s="200"/>
      <c r="I1487" s="200"/>
      <c r="J1487" s="200"/>
      <c r="K1487" s="200">
        <f>SUMIF(AE!C:C,ATB!C:C,AE!F:F)</f>
        <v>0</v>
      </c>
      <c r="L1487" s="200">
        <f t="shared" si="54"/>
        <v>0</v>
      </c>
      <c r="M1487" s="200">
        <f t="shared" si="55"/>
        <v>0</v>
      </c>
    </row>
    <row r="1488" spans="2:13" x14ac:dyDescent="0.35">
      <c r="B1488" s="117"/>
      <c r="C1488" s="117"/>
      <c r="D1488" s="117"/>
      <c r="E1488" s="117"/>
      <c r="F1488" s="200"/>
      <c r="G1488" s="200"/>
      <c r="H1488" s="200"/>
      <c r="I1488" s="200"/>
      <c r="J1488" s="200"/>
      <c r="K1488" s="200">
        <f>SUMIF(AE!C:C,ATB!C:C,AE!F:F)</f>
        <v>0</v>
      </c>
      <c r="L1488" s="200">
        <f t="shared" si="54"/>
        <v>0</v>
      </c>
      <c r="M1488" s="200">
        <f t="shared" si="55"/>
        <v>0</v>
      </c>
    </row>
    <row r="1489" spans="2:13" x14ac:dyDescent="0.35">
      <c r="B1489" s="117"/>
      <c r="C1489" s="117"/>
      <c r="D1489" s="117"/>
      <c r="E1489" s="117"/>
      <c r="F1489" s="200"/>
      <c r="G1489" s="200"/>
      <c r="H1489" s="200"/>
      <c r="I1489" s="200"/>
      <c r="J1489" s="200"/>
      <c r="K1489" s="200">
        <f>SUMIF(AE!C:C,ATB!C:C,AE!F:F)</f>
        <v>0</v>
      </c>
      <c r="L1489" s="200">
        <f t="shared" si="54"/>
        <v>0</v>
      </c>
      <c r="M1489" s="200">
        <f t="shared" si="55"/>
        <v>0</v>
      </c>
    </row>
    <row r="1490" spans="2:13" x14ac:dyDescent="0.35">
      <c r="B1490" s="117"/>
      <c r="C1490" s="117"/>
      <c r="D1490" s="117"/>
      <c r="E1490" s="117"/>
      <c r="F1490" s="200"/>
      <c r="G1490" s="200"/>
      <c r="H1490" s="200"/>
      <c r="I1490" s="200"/>
      <c r="J1490" s="200"/>
      <c r="K1490" s="200">
        <f>SUMIF(AE!C:C,ATB!C:C,AE!F:F)</f>
        <v>0</v>
      </c>
      <c r="L1490" s="200">
        <f t="shared" si="54"/>
        <v>0</v>
      </c>
      <c r="M1490" s="200">
        <f t="shared" si="55"/>
        <v>0</v>
      </c>
    </row>
    <row r="1491" spans="2:13" x14ac:dyDescent="0.35">
      <c r="B1491" s="117"/>
      <c r="C1491" s="117"/>
      <c r="D1491" s="117"/>
      <c r="E1491" s="117"/>
      <c r="F1491" s="200"/>
      <c r="G1491" s="200"/>
      <c r="H1491" s="200"/>
      <c r="I1491" s="200"/>
      <c r="J1491" s="200"/>
      <c r="K1491" s="200">
        <f>SUMIF(AE!C:C,ATB!C:C,AE!F:F)</f>
        <v>0</v>
      </c>
      <c r="L1491" s="200">
        <f t="shared" si="54"/>
        <v>0</v>
      </c>
      <c r="M1491" s="200">
        <f t="shared" si="55"/>
        <v>0</v>
      </c>
    </row>
    <row r="1492" spans="2:13" x14ac:dyDescent="0.35">
      <c r="B1492" s="117"/>
      <c r="C1492" s="117"/>
      <c r="D1492" s="117"/>
      <c r="E1492" s="117"/>
      <c r="F1492" s="200"/>
      <c r="G1492" s="200"/>
      <c r="H1492" s="200"/>
      <c r="I1492" s="200"/>
      <c r="J1492" s="200"/>
      <c r="K1492" s="200">
        <f>SUMIF(AE!C:C,ATB!C:C,AE!F:F)</f>
        <v>0</v>
      </c>
      <c r="L1492" s="200">
        <f t="shared" si="54"/>
        <v>0</v>
      </c>
      <c r="M1492" s="200">
        <f t="shared" si="55"/>
        <v>0</v>
      </c>
    </row>
    <row r="1493" spans="2:13" x14ac:dyDescent="0.35">
      <c r="B1493" s="117"/>
      <c r="C1493" s="117"/>
      <c r="D1493" s="117"/>
      <c r="E1493" s="117"/>
      <c r="F1493" s="200"/>
      <c r="G1493" s="200"/>
      <c r="H1493" s="200"/>
      <c r="I1493" s="200"/>
      <c r="J1493" s="200"/>
      <c r="K1493" s="200">
        <f>SUMIF(AE!C:C,ATB!C:C,AE!F:F)</f>
        <v>0</v>
      </c>
      <c r="L1493" s="200">
        <f t="shared" si="54"/>
        <v>0</v>
      </c>
      <c r="M1493" s="200">
        <f t="shared" si="55"/>
        <v>0</v>
      </c>
    </row>
    <row r="1494" spans="2:13" x14ac:dyDescent="0.35">
      <c r="B1494" s="117"/>
      <c r="C1494" s="117"/>
      <c r="D1494" s="117"/>
      <c r="E1494" s="117"/>
      <c r="F1494" s="200"/>
      <c r="G1494" s="200"/>
      <c r="H1494" s="200"/>
      <c r="I1494" s="200"/>
      <c r="J1494" s="200"/>
      <c r="K1494" s="200">
        <f>SUMIF(AE!C:C,ATB!C:C,AE!F:F)</f>
        <v>0</v>
      </c>
      <c r="L1494" s="200">
        <f t="shared" si="54"/>
        <v>0</v>
      </c>
      <c r="M1494" s="200">
        <f t="shared" si="55"/>
        <v>0</v>
      </c>
    </row>
    <row r="1495" spans="2:13" x14ac:dyDescent="0.35">
      <c r="B1495" s="117"/>
      <c r="C1495" s="117"/>
      <c r="D1495" s="117"/>
      <c r="E1495" s="117"/>
      <c r="F1495" s="200"/>
      <c r="G1495" s="200"/>
      <c r="H1495" s="200"/>
      <c r="I1495" s="200"/>
      <c r="J1495" s="200"/>
      <c r="K1495" s="200">
        <f>SUMIF(AE!C:C,ATB!C:C,AE!F:F)</f>
        <v>0</v>
      </c>
      <c r="L1495" s="200">
        <f t="shared" si="54"/>
        <v>0</v>
      </c>
      <c r="M1495" s="200">
        <f t="shared" si="55"/>
        <v>0</v>
      </c>
    </row>
    <row r="1496" spans="2:13" x14ac:dyDescent="0.35">
      <c r="B1496" s="117"/>
      <c r="C1496" s="117"/>
      <c r="D1496" s="117"/>
      <c r="E1496" s="117"/>
      <c r="F1496" s="200"/>
      <c r="G1496" s="200"/>
      <c r="H1496" s="200"/>
      <c r="I1496" s="200"/>
      <c r="J1496" s="200"/>
      <c r="K1496" s="200">
        <f>SUMIF(AE!C:C,ATB!C:C,AE!F:F)</f>
        <v>0</v>
      </c>
      <c r="L1496" s="200">
        <f t="shared" si="54"/>
        <v>0</v>
      </c>
      <c r="M1496" s="200">
        <f t="shared" si="55"/>
        <v>0</v>
      </c>
    </row>
    <row r="1497" spans="2:13" x14ac:dyDescent="0.35">
      <c r="B1497" s="117"/>
      <c r="C1497" s="117"/>
      <c r="D1497" s="117"/>
      <c r="E1497" s="117"/>
      <c r="F1497" s="200"/>
      <c r="G1497" s="200"/>
      <c r="H1497" s="200"/>
      <c r="I1497" s="200"/>
      <c r="J1497" s="200"/>
      <c r="K1497" s="200">
        <f>SUMIF(AE!C:C,ATB!C:C,AE!F:F)</f>
        <v>0</v>
      </c>
      <c r="L1497" s="200">
        <f t="shared" si="54"/>
        <v>0</v>
      </c>
      <c r="M1497" s="200">
        <f t="shared" si="55"/>
        <v>0</v>
      </c>
    </row>
    <row r="1498" spans="2:13" x14ac:dyDescent="0.35">
      <c r="B1498" s="117"/>
      <c r="C1498" s="117"/>
      <c r="D1498" s="117"/>
      <c r="E1498" s="117"/>
      <c r="F1498" s="200"/>
      <c r="G1498" s="200"/>
      <c r="H1498" s="200"/>
      <c r="I1498" s="200"/>
      <c r="J1498" s="200"/>
      <c r="K1498" s="200">
        <f>SUMIF(AE!C:C,ATB!C:C,AE!F:F)</f>
        <v>0</v>
      </c>
      <c r="L1498" s="200">
        <f t="shared" si="54"/>
        <v>0</v>
      </c>
      <c r="M1498" s="200">
        <f t="shared" si="55"/>
        <v>0</v>
      </c>
    </row>
    <row r="1499" spans="2:13" x14ac:dyDescent="0.35">
      <c r="B1499" s="117"/>
      <c r="C1499" s="117"/>
      <c r="D1499" s="117"/>
      <c r="E1499" s="117"/>
      <c r="F1499" s="200"/>
      <c r="G1499" s="200"/>
      <c r="H1499" s="200"/>
      <c r="I1499" s="200"/>
      <c r="J1499" s="200"/>
      <c r="K1499" s="200">
        <f>SUMIF(AE!C:C,ATB!C:C,AE!F:F)</f>
        <v>0</v>
      </c>
      <c r="L1499" s="200">
        <f t="shared" si="54"/>
        <v>0</v>
      </c>
      <c r="M1499" s="200">
        <f t="shared" si="55"/>
        <v>0</v>
      </c>
    </row>
    <row r="1500" spans="2:13" x14ac:dyDescent="0.35">
      <c r="B1500" s="117"/>
      <c r="C1500" s="117"/>
      <c r="D1500" s="117"/>
      <c r="E1500" s="117"/>
      <c r="F1500" s="200"/>
      <c r="G1500" s="200"/>
      <c r="H1500" s="200"/>
      <c r="I1500" s="200"/>
      <c r="J1500" s="200"/>
      <c r="K1500" s="200">
        <f>SUMIF(AE!C:C,ATB!C:C,AE!F:F)</f>
        <v>0</v>
      </c>
      <c r="L1500" s="200">
        <f t="shared" si="54"/>
        <v>0</v>
      </c>
      <c r="M1500" s="200">
        <f t="shared" si="55"/>
        <v>0</v>
      </c>
    </row>
    <row r="1501" spans="2:13" x14ac:dyDescent="0.35">
      <c r="B1501" s="117"/>
      <c r="C1501" s="117"/>
      <c r="D1501" s="117"/>
      <c r="E1501" s="117"/>
      <c r="F1501" s="200"/>
      <c r="G1501" s="200"/>
      <c r="H1501" s="200"/>
      <c r="I1501" s="200"/>
      <c r="J1501" s="200"/>
      <c r="K1501" s="200">
        <f>SUMIF(AE!C:C,ATB!C:C,AE!F:F)</f>
        <v>0</v>
      </c>
      <c r="L1501" s="200">
        <f t="shared" si="54"/>
        <v>0</v>
      </c>
      <c r="M1501" s="200">
        <f t="shared" si="55"/>
        <v>0</v>
      </c>
    </row>
    <row r="1502" spans="2:13" x14ac:dyDescent="0.35">
      <c r="B1502" s="117"/>
      <c r="C1502" s="117"/>
      <c r="D1502" s="117"/>
      <c r="E1502" s="117"/>
      <c r="F1502" s="200"/>
      <c r="G1502" s="200"/>
      <c r="H1502" s="200"/>
      <c r="I1502" s="200"/>
      <c r="J1502" s="200"/>
      <c r="K1502" s="200">
        <f>SUMIF(AE!C:C,ATB!C:C,AE!F:F)</f>
        <v>0</v>
      </c>
      <c r="L1502" s="200">
        <f t="shared" si="54"/>
        <v>0</v>
      </c>
      <c r="M1502" s="200">
        <f t="shared" si="55"/>
        <v>0</v>
      </c>
    </row>
    <row r="1503" spans="2:13" x14ac:dyDescent="0.35">
      <c r="B1503" s="117"/>
      <c r="C1503" s="117"/>
      <c r="D1503" s="117"/>
      <c r="E1503" s="117"/>
      <c r="F1503" s="200"/>
      <c r="G1503" s="200"/>
      <c r="H1503" s="200"/>
      <c r="I1503" s="200"/>
      <c r="J1503" s="200"/>
      <c r="K1503" s="200">
        <f>SUMIF(AE!C:C,ATB!C:C,AE!F:F)</f>
        <v>0</v>
      </c>
      <c r="L1503" s="200">
        <f t="shared" si="54"/>
        <v>0</v>
      </c>
      <c r="M1503" s="200">
        <f t="shared" si="55"/>
        <v>0</v>
      </c>
    </row>
    <row r="1504" spans="2:13" x14ac:dyDescent="0.35">
      <c r="B1504" s="117"/>
      <c r="C1504" s="117"/>
      <c r="D1504" s="117"/>
      <c r="E1504" s="117"/>
      <c r="F1504" s="200"/>
      <c r="G1504" s="200"/>
      <c r="H1504" s="200"/>
      <c r="I1504" s="200"/>
      <c r="J1504" s="200"/>
      <c r="K1504" s="200">
        <f>SUMIF(AE!C:C,ATB!C:C,AE!F:F)</f>
        <v>0</v>
      </c>
      <c r="L1504" s="200">
        <f t="shared" si="54"/>
        <v>0</v>
      </c>
      <c r="M1504" s="200">
        <f t="shared" si="55"/>
        <v>0</v>
      </c>
    </row>
    <row r="1505" spans="2:13" x14ac:dyDescent="0.35">
      <c r="B1505" s="117"/>
      <c r="C1505" s="117"/>
      <c r="D1505" s="117"/>
      <c r="E1505" s="117"/>
      <c r="F1505" s="200"/>
      <c r="G1505" s="200"/>
      <c r="H1505" s="200"/>
      <c r="I1505" s="200"/>
      <c r="J1505" s="200"/>
      <c r="K1505" s="200">
        <f>SUMIF(AE!C:C,ATB!C:C,AE!F:F)</f>
        <v>0</v>
      </c>
      <c r="L1505" s="200">
        <f t="shared" si="54"/>
        <v>0</v>
      </c>
      <c r="M1505" s="200">
        <f t="shared" si="55"/>
        <v>0</v>
      </c>
    </row>
    <row r="1506" spans="2:13" x14ac:dyDescent="0.35">
      <c r="B1506" s="117"/>
      <c r="C1506" s="117"/>
      <c r="D1506" s="117"/>
      <c r="E1506" s="117"/>
      <c r="F1506" s="200"/>
      <c r="G1506" s="200"/>
      <c r="H1506" s="200"/>
      <c r="I1506" s="200"/>
      <c r="J1506" s="200"/>
      <c r="K1506" s="200">
        <f>SUMIF(AE!C:C,ATB!C:C,AE!F:F)</f>
        <v>0</v>
      </c>
      <c r="L1506" s="200">
        <f t="shared" si="54"/>
        <v>0</v>
      </c>
      <c r="M1506" s="200">
        <f t="shared" si="55"/>
        <v>0</v>
      </c>
    </row>
    <row r="1507" spans="2:13" x14ac:dyDescent="0.35">
      <c r="B1507" s="117"/>
      <c r="C1507" s="117"/>
      <c r="D1507" s="117"/>
      <c r="E1507" s="117"/>
      <c r="F1507" s="200"/>
      <c r="G1507" s="200"/>
      <c r="H1507" s="200"/>
      <c r="I1507" s="200"/>
      <c r="J1507" s="200"/>
      <c r="K1507" s="200">
        <f>SUMIF(AE!C:C,ATB!C:C,AE!F:F)</f>
        <v>0</v>
      </c>
      <c r="L1507" s="200">
        <f t="shared" si="54"/>
        <v>0</v>
      </c>
      <c r="M1507" s="200">
        <f t="shared" si="55"/>
        <v>0</v>
      </c>
    </row>
    <row r="1508" spans="2:13" x14ac:dyDescent="0.35">
      <c r="B1508" s="117"/>
      <c r="C1508" s="117"/>
      <c r="D1508" s="117"/>
      <c r="E1508" s="117"/>
      <c r="F1508" s="200"/>
      <c r="G1508" s="200"/>
      <c r="H1508" s="200"/>
      <c r="I1508" s="200"/>
      <c r="J1508" s="200"/>
      <c r="K1508" s="200">
        <f>SUMIF(AE!C:C,ATB!C:C,AE!F:F)</f>
        <v>0</v>
      </c>
      <c r="L1508" s="200">
        <f t="shared" si="54"/>
        <v>0</v>
      </c>
      <c r="M1508" s="200">
        <f t="shared" si="55"/>
        <v>0</v>
      </c>
    </row>
    <row r="1509" spans="2:13" x14ac:dyDescent="0.35">
      <c r="B1509" s="117"/>
      <c r="C1509" s="117"/>
      <c r="D1509" s="117"/>
      <c r="E1509" s="117"/>
      <c r="F1509" s="200"/>
      <c r="G1509" s="200"/>
      <c r="H1509" s="200"/>
      <c r="I1509" s="200"/>
      <c r="J1509" s="200"/>
      <c r="K1509" s="200">
        <f>SUMIF(AE!C:C,ATB!C:C,AE!F:F)</f>
        <v>0</v>
      </c>
      <c r="L1509" s="200">
        <f t="shared" si="54"/>
        <v>0</v>
      </c>
      <c r="M1509" s="200">
        <f t="shared" si="55"/>
        <v>0</v>
      </c>
    </row>
    <row r="1510" spans="2:13" x14ac:dyDescent="0.35">
      <c r="B1510" s="117"/>
      <c r="C1510" s="117"/>
      <c r="D1510" s="117"/>
      <c r="E1510" s="117"/>
      <c r="F1510" s="200"/>
      <c r="G1510" s="200"/>
      <c r="H1510" s="200"/>
      <c r="I1510" s="200"/>
      <c r="J1510" s="200"/>
      <c r="K1510" s="200">
        <f>SUMIF(AE!C:C,ATB!C:C,AE!F:F)</f>
        <v>0</v>
      </c>
      <c r="L1510" s="200">
        <f t="shared" si="54"/>
        <v>0</v>
      </c>
      <c r="M1510" s="200">
        <f t="shared" si="55"/>
        <v>0</v>
      </c>
    </row>
    <row r="1511" spans="2:13" x14ac:dyDescent="0.35">
      <c r="B1511" s="117"/>
      <c r="C1511" s="117"/>
      <c r="D1511" s="117"/>
      <c r="E1511" s="117"/>
      <c r="F1511" s="200"/>
      <c r="G1511" s="200"/>
      <c r="H1511" s="200"/>
      <c r="I1511" s="200"/>
      <c r="J1511" s="200"/>
      <c r="K1511" s="200">
        <f>SUMIF(AE!C:C,ATB!C:C,AE!F:F)</f>
        <v>0</v>
      </c>
      <c r="L1511" s="200">
        <f t="shared" si="54"/>
        <v>0</v>
      </c>
      <c r="M1511" s="200">
        <f t="shared" si="55"/>
        <v>0</v>
      </c>
    </row>
    <row r="1512" spans="2:13" x14ac:dyDescent="0.35">
      <c r="B1512" s="117"/>
      <c r="C1512" s="117"/>
      <c r="D1512" s="117"/>
      <c r="E1512" s="117"/>
      <c r="F1512" s="200"/>
      <c r="G1512" s="200"/>
      <c r="H1512" s="200"/>
      <c r="I1512" s="200"/>
      <c r="J1512" s="200"/>
      <c r="K1512" s="200">
        <f>SUMIF(AE!C:C,ATB!C:C,AE!F:F)</f>
        <v>0</v>
      </c>
      <c r="L1512" s="200">
        <f t="shared" si="54"/>
        <v>0</v>
      </c>
      <c r="M1512" s="200">
        <f t="shared" si="55"/>
        <v>0</v>
      </c>
    </row>
    <row r="1513" spans="2:13" x14ac:dyDescent="0.35">
      <c r="B1513" s="117"/>
      <c r="C1513" s="117"/>
      <c r="D1513" s="117"/>
      <c r="E1513" s="117"/>
      <c r="F1513" s="200"/>
      <c r="G1513" s="200"/>
      <c r="H1513" s="200"/>
      <c r="I1513" s="200"/>
      <c r="J1513" s="200"/>
      <c r="K1513" s="200">
        <f>SUMIF(AE!C:C,ATB!C:C,AE!F:F)</f>
        <v>0</v>
      </c>
      <c r="L1513" s="200">
        <f t="shared" si="54"/>
        <v>0</v>
      </c>
      <c r="M1513" s="200">
        <f t="shared" si="55"/>
        <v>0</v>
      </c>
    </row>
    <row r="1514" spans="2:13" x14ac:dyDescent="0.35">
      <c r="B1514" s="117"/>
      <c r="C1514" s="117"/>
      <c r="D1514" s="117"/>
      <c r="E1514" s="117"/>
      <c r="F1514" s="200"/>
      <c r="G1514" s="200"/>
      <c r="H1514" s="200"/>
      <c r="I1514" s="200"/>
      <c r="J1514" s="200"/>
      <c r="K1514" s="200">
        <f>SUMIF(AE!C:C,ATB!C:C,AE!F:F)</f>
        <v>0</v>
      </c>
      <c r="L1514" s="200">
        <f t="shared" si="54"/>
        <v>0</v>
      </c>
      <c r="M1514" s="200">
        <f t="shared" si="55"/>
        <v>0</v>
      </c>
    </row>
    <row r="1515" spans="2:13" x14ac:dyDescent="0.35">
      <c r="B1515" s="117"/>
      <c r="C1515" s="117"/>
      <c r="D1515" s="117"/>
      <c r="E1515" s="117"/>
      <c r="F1515" s="200"/>
      <c r="G1515" s="200"/>
      <c r="H1515" s="200"/>
      <c r="I1515" s="200"/>
      <c r="J1515" s="200"/>
      <c r="K1515" s="200">
        <f>SUMIF(AE!C:C,ATB!C:C,AE!F:F)</f>
        <v>0</v>
      </c>
      <c r="L1515" s="200">
        <f t="shared" si="54"/>
        <v>0</v>
      </c>
      <c r="M1515" s="200">
        <f t="shared" si="55"/>
        <v>0</v>
      </c>
    </row>
    <row r="1516" spans="2:13" x14ac:dyDescent="0.35">
      <c r="B1516" s="117"/>
      <c r="C1516" s="117"/>
      <c r="D1516" s="117"/>
      <c r="E1516" s="117"/>
      <c r="F1516" s="200"/>
      <c r="G1516" s="200"/>
      <c r="H1516" s="200"/>
      <c r="I1516" s="200"/>
      <c r="J1516" s="200"/>
      <c r="K1516" s="200">
        <f>SUMIF(AE!C:C,ATB!C:C,AE!F:F)</f>
        <v>0</v>
      </c>
      <c r="L1516" s="200">
        <f t="shared" si="54"/>
        <v>0</v>
      </c>
      <c r="M1516" s="200">
        <f t="shared" si="55"/>
        <v>0</v>
      </c>
    </row>
    <row r="1517" spans="2:13" x14ac:dyDescent="0.35">
      <c r="B1517" s="117"/>
      <c r="C1517" s="117"/>
      <c r="D1517" s="117"/>
      <c r="E1517" s="117"/>
      <c r="F1517" s="200"/>
      <c r="G1517" s="200"/>
      <c r="H1517" s="200"/>
      <c r="I1517" s="200"/>
      <c r="J1517" s="200"/>
      <c r="K1517" s="200">
        <f>SUMIF(AE!C:C,ATB!C:C,AE!F:F)</f>
        <v>0</v>
      </c>
      <c r="L1517" s="200">
        <f t="shared" si="54"/>
        <v>0</v>
      </c>
      <c r="M1517" s="200">
        <f t="shared" si="55"/>
        <v>0</v>
      </c>
    </row>
    <row r="1518" spans="2:13" x14ac:dyDescent="0.35">
      <c r="B1518" s="117"/>
      <c r="C1518" s="117"/>
      <c r="D1518" s="117"/>
      <c r="E1518" s="117"/>
      <c r="F1518" s="200"/>
      <c r="G1518" s="200"/>
      <c r="H1518" s="200"/>
      <c r="I1518" s="200"/>
      <c r="J1518" s="200"/>
      <c r="K1518" s="200">
        <f>SUMIF(AE!C:C,ATB!C:C,AE!F:F)</f>
        <v>0</v>
      </c>
      <c r="L1518" s="200">
        <f t="shared" si="54"/>
        <v>0</v>
      </c>
      <c r="M1518" s="200">
        <f t="shared" si="55"/>
        <v>0</v>
      </c>
    </row>
    <row r="1519" spans="2:13" x14ac:dyDescent="0.35">
      <c r="B1519" s="117"/>
      <c r="C1519" s="117"/>
      <c r="D1519" s="117"/>
      <c r="E1519" s="117"/>
      <c r="F1519" s="200"/>
      <c r="G1519" s="200"/>
      <c r="H1519" s="200"/>
      <c r="I1519" s="200"/>
      <c r="J1519" s="200"/>
      <c r="K1519" s="200">
        <f>SUMIF(AE!C:C,ATB!C:C,AE!F:F)</f>
        <v>0</v>
      </c>
      <c r="L1519" s="200">
        <f t="shared" si="54"/>
        <v>0</v>
      </c>
      <c r="M1519" s="200">
        <f t="shared" si="55"/>
        <v>0</v>
      </c>
    </row>
    <row r="1520" spans="2:13" x14ac:dyDescent="0.35">
      <c r="B1520" s="117"/>
      <c r="C1520" s="117"/>
      <c r="D1520" s="117"/>
      <c r="E1520" s="117"/>
      <c r="F1520" s="200"/>
      <c r="G1520" s="200"/>
      <c r="H1520" s="200"/>
      <c r="I1520" s="200"/>
      <c r="J1520" s="200"/>
      <c r="K1520" s="200">
        <f>SUMIF(AE!C:C,ATB!C:C,AE!F:F)</f>
        <v>0</v>
      </c>
      <c r="L1520" s="200">
        <f t="shared" si="54"/>
        <v>0</v>
      </c>
      <c r="M1520" s="200">
        <f t="shared" si="55"/>
        <v>0</v>
      </c>
    </row>
    <row r="1521" spans="2:13" x14ac:dyDescent="0.35">
      <c r="B1521" s="117"/>
      <c r="C1521" s="117"/>
      <c r="D1521" s="117"/>
      <c r="E1521" s="117"/>
      <c r="F1521" s="200"/>
      <c r="G1521" s="200"/>
      <c r="H1521" s="200"/>
      <c r="I1521" s="200"/>
      <c r="J1521" s="200"/>
      <c r="K1521" s="200">
        <f>SUMIF(AE!C:C,ATB!C:C,AE!F:F)</f>
        <v>0</v>
      </c>
      <c r="L1521" s="200">
        <f t="shared" si="54"/>
        <v>0</v>
      </c>
      <c r="M1521" s="200">
        <f t="shared" si="55"/>
        <v>0</v>
      </c>
    </row>
    <row r="1522" spans="2:13" x14ac:dyDescent="0.35">
      <c r="B1522" s="117"/>
      <c r="C1522" s="117"/>
      <c r="D1522" s="117"/>
      <c r="E1522" s="117"/>
      <c r="F1522" s="200"/>
      <c r="G1522" s="200"/>
      <c r="H1522" s="200"/>
      <c r="I1522" s="200"/>
      <c r="J1522" s="200"/>
      <c r="K1522" s="200">
        <f>SUMIF(AE!C:C,ATB!C:C,AE!F:F)</f>
        <v>0</v>
      </c>
      <c r="L1522" s="200">
        <f t="shared" si="54"/>
        <v>0</v>
      </c>
      <c r="M1522" s="200">
        <f t="shared" si="55"/>
        <v>0</v>
      </c>
    </row>
    <row r="1523" spans="2:13" x14ac:dyDescent="0.35">
      <c r="B1523" s="117"/>
      <c r="C1523" s="117"/>
      <c r="D1523" s="117"/>
      <c r="E1523" s="117"/>
      <c r="F1523" s="200"/>
      <c r="G1523" s="200"/>
      <c r="H1523" s="200"/>
      <c r="I1523" s="200"/>
      <c r="J1523" s="200"/>
      <c r="K1523" s="200">
        <f>SUMIF(AE!C:C,ATB!C:C,AE!F:F)</f>
        <v>0</v>
      </c>
      <c r="L1523" s="200">
        <f t="shared" si="54"/>
        <v>0</v>
      </c>
      <c r="M1523" s="200">
        <f t="shared" si="55"/>
        <v>0</v>
      </c>
    </row>
    <row r="1524" spans="2:13" x14ac:dyDescent="0.35">
      <c r="B1524" s="117"/>
      <c r="C1524" s="117"/>
      <c r="D1524" s="117"/>
      <c r="E1524" s="117"/>
      <c r="F1524" s="200"/>
      <c r="G1524" s="200"/>
      <c r="H1524" s="200"/>
      <c r="I1524" s="200"/>
      <c r="J1524" s="200"/>
      <c r="K1524" s="200">
        <f>SUMIF(AE!C:C,ATB!C:C,AE!F:F)</f>
        <v>0</v>
      </c>
      <c r="L1524" s="200">
        <f t="shared" si="54"/>
        <v>0</v>
      </c>
      <c r="M1524" s="200">
        <f t="shared" si="55"/>
        <v>0</v>
      </c>
    </row>
    <row r="1525" spans="2:13" x14ac:dyDescent="0.35">
      <c r="B1525" s="117"/>
      <c r="C1525" s="117"/>
      <c r="D1525" s="117"/>
      <c r="E1525" s="117"/>
      <c r="F1525" s="200"/>
      <c r="G1525" s="200"/>
      <c r="H1525" s="200"/>
      <c r="I1525" s="200"/>
      <c r="J1525" s="200"/>
      <c r="K1525" s="200">
        <f>SUMIF(AE!C:C,ATB!C:C,AE!F:F)</f>
        <v>0</v>
      </c>
      <c r="L1525" s="200">
        <f t="shared" si="54"/>
        <v>0</v>
      </c>
      <c r="M1525" s="200">
        <f t="shared" si="55"/>
        <v>0</v>
      </c>
    </row>
    <row r="1526" spans="2:13" x14ac:dyDescent="0.35">
      <c r="B1526" s="117"/>
      <c r="C1526" s="117"/>
      <c r="D1526" s="117"/>
      <c r="E1526" s="117"/>
      <c r="F1526" s="200"/>
      <c r="G1526" s="200"/>
      <c r="H1526" s="200"/>
      <c r="I1526" s="200"/>
      <c r="J1526" s="200"/>
      <c r="K1526" s="200">
        <f>SUMIF(AE!C:C,ATB!C:C,AE!F:F)</f>
        <v>0</v>
      </c>
      <c r="L1526" s="200">
        <f t="shared" si="54"/>
        <v>0</v>
      </c>
      <c r="M1526" s="200">
        <f t="shared" si="55"/>
        <v>0</v>
      </c>
    </row>
    <row r="1527" spans="2:13" x14ac:dyDescent="0.35">
      <c r="B1527" s="117"/>
      <c r="C1527" s="117"/>
      <c r="D1527" s="117"/>
      <c r="E1527" s="117"/>
      <c r="F1527" s="200"/>
      <c r="G1527" s="200"/>
      <c r="H1527" s="200"/>
      <c r="I1527" s="200"/>
      <c r="J1527" s="200"/>
      <c r="K1527" s="200">
        <f>SUMIF(AE!C:C,ATB!C:C,AE!F:F)</f>
        <v>0</v>
      </c>
      <c r="L1527" s="200">
        <f t="shared" si="54"/>
        <v>0</v>
      </c>
      <c r="M1527" s="200">
        <f t="shared" si="55"/>
        <v>0</v>
      </c>
    </row>
    <row r="1528" spans="2:13" x14ac:dyDescent="0.35">
      <c r="B1528" s="117"/>
      <c r="C1528" s="117"/>
      <c r="D1528" s="117"/>
      <c r="E1528" s="117"/>
      <c r="F1528" s="200"/>
      <c r="G1528" s="200"/>
      <c r="H1528" s="200"/>
      <c r="I1528" s="200"/>
      <c r="J1528" s="200"/>
      <c r="K1528" s="200">
        <f>SUMIF(AE!C:C,ATB!C:C,AE!F:F)</f>
        <v>0</v>
      </c>
      <c r="L1528" s="200">
        <f t="shared" si="54"/>
        <v>0</v>
      </c>
      <c r="M1528" s="200">
        <f t="shared" si="55"/>
        <v>0</v>
      </c>
    </row>
    <row r="1529" spans="2:13" x14ac:dyDescent="0.35">
      <c r="B1529" s="117"/>
      <c r="C1529" s="117"/>
      <c r="D1529" s="117"/>
      <c r="E1529" s="117"/>
      <c r="F1529" s="200"/>
      <c r="G1529" s="200"/>
      <c r="H1529" s="200"/>
      <c r="I1529" s="200"/>
      <c r="J1529" s="200"/>
      <c r="K1529" s="200">
        <f>SUMIF(AE!C:C,ATB!C:C,AE!F:F)</f>
        <v>0</v>
      </c>
      <c r="L1529" s="200">
        <f t="shared" si="54"/>
        <v>0</v>
      </c>
      <c r="M1529" s="200">
        <f t="shared" si="55"/>
        <v>0</v>
      </c>
    </row>
    <row r="1530" spans="2:13" x14ac:dyDescent="0.35">
      <c r="B1530" s="117"/>
      <c r="C1530" s="117"/>
      <c r="D1530" s="117"/>
      <c r="E1530" s="117"/>
      <c r="F1530" s="200"/>
      <c r="G1530" s="200"/>
      <c r="H1530" s="200"/>
      <c r="I1530" s="200"/>
      <c r="J1530" s="200"/>
      <c r="K1530" s="200">
        <f>SUMIF(AE!C:C,ATB!C:C,AE!F:F)</f>
        <v>0</v>
      </c>
      <c r="L1530" s="200">
        <f t="shared" si="54"/>
        <v>0</v>
      </c>
      <c r="M1530" s="200">
        <f t="shared" si="55"/>
        <v>0</v>
      </c>
    </row>
    <row r="1531" spans="2:13" x14ac:dyDescent="0.35">
      <c r="B1531" s="117"/>
      <c r="C1531" s="117"/>
      <c r="D1531" s="117"/>
      <c r="E1531" s="117"/>
      <c r="F1531" s="200"/>
      <c r="G1531" s="200"/>
      <c r="H1531" s="200"/>
      <c r="I1531" s="200"/>
      <c r="J1531" s="200"/>
      <c r="K1531" s="200">
        <f>SUMIF(AE!C:C,ATB!C:C,AE!F:F)</f>
        <v>0</v>
      </c>
      <c r="L1531" s="200">
        <f t="shared" si="54"/>
        <v>0</v>
      </c>
      <c r="M1531" s="200">
        <f t="shared" si="55"/>
        <v>0</v>
      </c>
    </row>
    <row r="1532" spans="2:13" x14ac:dyDescent="0.35">
      <c r="B1532" s="117"/>
      <c r="C1532" s="117"/>
      <c r="D1532" s="117"/>
      <c r="E1532" s="117"/>
      <c r="F1532" s="200"/>
      <c r="G1532" s="200"/>
      <c r="H1532" s="200"/>
      <c r="I1532" s="200"/>
      <c r="J1532" s="200"/>
      <c r="K1532" s="200">
        <f>SUMIF(AE!C:C,ATB!C:C,AE!F:F)</f>
        <v>0</v>
      </c>
      <c r="L1532" s="200">
        <f t="shared" si="54"/>
        <v>0</v>
      </c>
      <c r="M1532" s="200">
        <f t="shared" si="55"/>
        <v>0</v>
      </c>
    </row>
    <row r="1533" spans="2:13" x14ac:dyDescent="0.35">
      <c r="B1533" s="117"/>
      <c r="C1533" s="117"/>
      <c r="D1533" s="117"/>
      <c r="E1533" s="117"/>
      <c r="F1533" s="200"/>
      <c r="G1533" s="200"/>
      <c r="H1533" s="200"/>
      <c r="I1533" s="200"/>
      <c r="J1533" s="200"/>
      <c r="K1533" s="200">
        <f>SUMIF(AE!C:C,ATB!C:C,AE!F:F)</f>
        <v>0</v>
      </c>
      <c r="L1533" s="200">
        <f t="shared" si="54"/>
        <v>0</v>
      </c>
      <c r="M1533" s="200">
        <f t="shared" si="55"/>
        <v>0</v>
      </c>
    </row>
    <row r="1534" spans="2:13" x14ac:dyDescent="0.35">
      <c r="B1534" s="117"/>
      <c r="C1534" s="117"/>
      <c r="D1534" s="117"/>
      <c r="E1534" s="117"/>
      <c r="F1534" s="200"/>
      <c r="G1534" s="200"/>
      <c r="H1534" s="200"/>
      <c r="I1534" s="200"/>
      <c r="J1534" s="200"/>
      <c r="K1534" s="200">
        <f>SUMIF(AE!C:C,ATB!C:C,AE!F:F)</f>
        <v>0</v>
      </c>
      <c r="L1534" s="200">
        <f t="shared" si="54"/>
        <v>0</v>
      </c>
      <c r="M1534" s="200">
        <f t="shared" si="55"/>
        <v>0</v>
      </c>
    </row>
    <row r="1535" spans="2:13" x14ac:dyDescent="0.35">
      <c r="B1535" s="117"/>
      <c r="C1535" s="117"/>
      <c r="D1535" s="117"/>
      <c r="E1535" s="117"/>
      <c r="F1535" s="200"/>
      <c r="G1535" s="200"/>
      <c r="H1535" s="200"/>
      <c r="I1535" s="200"/>
      <c r="J1535" s="200"/>
      <c r="K1535" s="200">
        <f>SUMIF(AE!C:C,ATB!C:C,AE!F:F)</f>
        <v>0</v>
      </c>
      <c r="L1535" s="200">
        <f t="shared" si="54"/>
        <v>0</v>
      </c>
      <c r="M1535" s="200">
        <f t="shared" si="55"/>
        <v>0</v>
      </c>
    </row>
    <row r="1536" spans="2:13" x14ac:dyDescent="0.35">
      <c r="B1536" s="117"/>
      <c r="C1536" s="117"/>
      <c r="D1536" s="117"/>
      <c r="E1536" s="117"/>
      <c r="F1536" s="200"/>
      <c r="G1536" s="200"/>
      <c r="H1536" s="200"/>
      <c r="I1536" s="200"/>
      <c r="J1536" s="200"/>
      <c r="K1536" s="200">
        <f>SUMIF(AE!C:C,ATB!C:C,AE!F:F)</f>
        <v>0</v>
      </c>
      <c r="L1536" s="200">
        <f t="shared" si="54"/>
        <v>0</v>
      </c>
      <c r="M1536" s="200">
        <f t="shared" si="55"/>
        <v>0</v>
      </c>
    </row>
    <row r="1537" spans="2:13" x14ac:dyDescent="0.35">
      <c r="B1537" s="117"/>
      <c r="C1537" s="117"/>
      <c r="D1537" s="117"/>
      <c r="E1537" s="117"/>
      <c r="F1537" s="200"/>
      <c r="G1537" s="200"/>
      <c r="H1537" s="200"/>
      <c r="I1537" s="200"/>
      <c r="J1537" s="200"/>
      <c r="K1537" s="200">
        <f>SUMIF(AE!C:C,ATB!C:C,AE!F:F)</f>
        <v>0</v>
      </c>
      <c r="L1537" s="200">
        <f t="shared" si="54"/>
        <v>0</v>
      </c>
      <c r="M1537" s="200">
        <f t="shared" si="55"/>
        <v>0</v>
      </c>
    </row>
    <row r="1538" spans="2:13" x14ac:dyDescent="0.35">
      <c r="B1538" s="117"/>
      <c r="C1538" s="117"/>
      <c r="D1538" s="117"/>
      <c r="E1538" s="117"/>
      <c r="F1538" s="200"/>
      <c r="G1538" s="200"/>
      <c r="H1538" s="200"/>
      <c r="I1538" s="200"/>
      <c r="J1538" s="200"/>
      <c r="K1538" s="200">
        <f>SUMIF(AE!C:C,ATB!C:C,AE!F:F)</f>
        <v>0</v>
      </c>
      <c r="L1538" s="200">
        <f t="shared" ref="L1538:L1601" si="56">ROUND(IF(F1538+H1538+J1538-G1538-I1538-K1538&gt;0,F1538+H1538+J1538-G1538-I1538-K1538,0),0)</f>
        <v>0</v>
      </c>
      <c r="M1538" s="200">
        <f t="shared" ref="M1538:M1601" si="57">-ROUND(IF(F1538+H1538+J1538-G1538-I1538-K1538&lt;0,F1538+H1538+J1538-G1538-I1538-K1538,0),0)</f>
        <v>0</v>
      </c>
    </row>
    <row r="1539" spans="2:13" x14ac:dyDescent="0.35">
      <c r="B1539" s="117"/>
      <c r="C1539" s="117"/>
      <c r="D1539" s="117"/>
      <c r="E1539" s="117"/>
      <c r="F1539" s="200"/>
      <c r="G1539" s="200"/>
      <c r="H1539" s="200"/>
      <c r="I1539" s="200"/>
      <c r="J1539" s="200"/>
      <c r="K1539" s="200">
        <f>SUMIF(AE!C:C,ATB!C:C,AE!F:F)</f>
        <v>0</v>
      </c>
      <c r="L1539" s="200">
        <f t="shared" si="56"/>
        <v>0</v>
      </c>
      <c r="M1539" s="200">
        <f t="shared" si="57"/>
        <v>0</v>
      </c>
    </row>
    <row r="1540" spans="2:13" x14ac:dyDescent="0.35">
      <c r="B1540" s="117"/>
      <c r="C1540" s="117"/>
      <c r="D1540" s="117"/>
      <c r="E1540" s="117"/>
      <c r="F1540" s="200"/>
      <c r="G1540" s="200"/>
      <c r="H1540" s="200"/>
      <c r="I1540" s="200"/>
      <c r="J1540" s="200"/>
      <c r="K1540" s="200">
        <f>SUMIF(AE!C:C,ATB!C:C,AE!F:F)</f>
        <v>0</v>
      </c>
      <c r="L1540" s="200">
        <f t="shared" si="56"/>
        <v>0</v>
      </c>
      <c r="M1540" s="200">
        <f t="shared" si="57"/>
        <v>0</v>
      </c>
    </row>
    <row r="1541" spans="2:13" x14ac:dyDescent="0.35">
      <c r="B1541" s="117"/>
      <c r="C1541" s="117"/>
      <c r="D1541" s="117"/>
      <c r="E1541" s="117"/>
      <c r="F1541" s="200"/>
      <c r="G1541" s="200"/>
      <c r="H1541" s="200"/>
      <c r="I1541" s="200"/>
      <c r="J1541" s="200"/>
      <c r="K1541" s="200">
        <f>SUMIF(AE!C:C,ATB!C:C,AE!F:F)</f>
        <v>0</v>
      </c>
      <c r="L1541" s="200">
        <f t="shared" si="56"/>
        <v>0</v>
      </c>
      <c r="M1541" s="200">
        <f t="shared" si="57"/>
        <v>0</v>
      </c>
    </row>
    <row r="1542" spans="2:13" x14ac:dyDescent="0.35">
      <c r="B1542" s="117"/>
      <c r="C1542" s="117"/>
      <c r="D1542" s="117"/>
      <c r="E1542" s="117"/>
      <c r="F1542" s="200"/>
      <c r="G1542" s="200"/>
      <c r="H1542" s="200"/>
      <c r="I1542" s="200"/>
      <c r="J1542" s="200"/>
      <c r="K1542" s="200">
        <f>SUMIF(AE!C:C,ATB!C:C,AE!F:F)</f>
        <v>0</v>
      </c>
      <c r="L1542" s="200">
        <f t="shared" si="56"/>
        <v>0</v>
      </c>
      <c r="M1542" s="200">
        <f t="shared" si="57"/>
        <v>0</v>
      </c>
    </row>
    <row r="1543" spans="2:13" x14ac:dyDescent="0.35">
      <c r="B1543" s="117"/>
      <c r="C1543" s="117"/>
      <c r="D1543" s="117"/>
      <c r="E1543" s="117"/>
      <c r="F1543" s="200"/>
      <c r="G1543" s="200"/>
      <c r="H1543" s="200"/>
      <c r="I1543" s="200"/>
      <c r="J1543" s="200"/>
      <c r="K1543" s="200">
        <f>SUMIF(AE!C:C,ATB!C:C,AE!F:F)</f>
        <v>0</v>
      </c>
      <c r="L1543" s="200">
        <f t="shared" si="56"/>
        <v>0</v>
      </c>
      <c r="M1543" s="200">
        <f t="shared" si="57"/>
        <v>0</v>
      </c>
    </row>
    <row r="1544" spans="2:13" x14ac:dyDescent="0.35">
      <c r="B1544" s="117"/>
      <c r="C1544" s="117"/>
      <c r="D1544" s="117"/>
      <c r="E1544" s="117"/>
      <c r="F1544" s="200"/>
      <c r="G1544" s="200"/>
      <c r="H1544" s="200"/>
      <c r="I1544" s="200"/>
      <c r="J1544" s="200"/>
      <c r="K1544" s="200">
        <f>SUMIF(AE!C:C,ATB!C:C,AE!F:F)</f>
        <v>0</v>
      </c>
      <c r="L1544" s="200">
        <f t="shared" si="56"/>
        <v>0</v>
      </c>
      <c r="M1544" s="200">
        <f t="shared" si="57"/>
        <v>0</v>
      </c>
    </row>
    <row r="1545" spans="2:13" x14ac:dyDescent="0.35">
      <c r="B1545" s="117"/>
      <c r="C1545" s="117"/>
      <c r="D1545" s="117"/>
      <c r="E1545" s="117"/>
      <c r="F1545" s="200"/>
      <c r="G1545" s="200"/>
      <c r="H1545" s="200"/>
      <c r="I1545" s="200"/>
      <c r="J1545" s="200"/>
      <c r="K1545" s="200">
        <f>SUMIF(AE!C:C,ATB!C:C,AE!F:F)</f>
        <v>0</v>
      </c>
      <c r="L1545" s="200">
        <f t="shared" si="56"/>
        <v>0</v>
      </c>
      <c r="M1545" s="200">
        <f t="shared" si="57"/>
        <v>0</v>
      </c>
    </row>
    <row r="1546" spans="2:13" x14ac:dyDescent="0.35">
      <c r="B1546" s="117"/>
      <c r="C1546" s="117"/>
      <c r="D1546" s="117"/>
      <c r="E1546" s="117"/>
      <c r="F1546" s="200"/>
      <c r="G1546" s="200"/>
      <c r="H1546" s="200"/>
      <c r="I1546" s="200"/>
      <c r="J1546" s="200"/>
      <c r="K1546" s="200">
        <f>SUMIF(AE!C:C,ATB!C:C,AE!F:F)</f>
        <v>0</v>
      </c>
      <c r="L1546" s="200">
        <f t="shared" si="56"/>
        <v>0</v>
      </c>
      <c r="M1546" s="200">
        <f t="shared" si="57"/>
        <v>0</v>
      </c>
    </row>
    <row r="1547" spans="2:13" x14ac:dyDescent="0.35">
      <c r="B1547" s="117"/>
      <c r="C1547" s="117"/>
      <c r="D1547" s="117"/>
      <c r="E1547" s="117"/>
      <c r="F1547" s="200"/>
      <c r="G1547" s="200"/>
      <c r="H1547" s="200"/>
      <c r="I1547" s="200"/>
      <c r="J1547" s="200"/>
      <c r="K1547" s="200">
        <f>SUMIF(AE!C:C,ATB!C:C,AE!F:F)</f>
        <v>0</v>
      </c>
      <c r="L1547" s="200">
        <f t="shared" si="56"/>
        <v>0</v>
      </c>
      <c r="M1547" s="200">
        <f t="shared" si="57"/>
        <v>0</v>
      </c>
    </row>
    <row r="1548" spans="2:13" x14ac:dyDescent="0.35">
      <c r="B1548" s="117"/>
      <c r="C1548" s="117"/>
      <c r="D1548" s="117"/>
      <c r="E1548" s="117"/>
      <c r="F1548" s="200"/>
      <c r="G1548" s="200"/>
      <c r="H1548" s="200"/>
      <c r="I1548" s="200"/>
      <c r="J1548" s="200"/>
      <c r="K1548" s="200">
        <f>SUMIF(AE!C:C,ATB!C:C,AE!F:F)</f>
        <v>0</v>
      </c>
      <c r="L1548" s="200">
        <f t="shared" si="56"/>
        <v>0</v>
      </c>
      <c r="M1548" s="200">
        <f t="shared" si="57"/>
        <v>0</v>
      </c>
    </row>
    <row r="1549" spans="2:13" x14ac:dyDescent="0.35">
      <c r="B1549" s="117"/>
      <c r="C1549" s="117"/>
      <c r="D1549" s="117"/>
      <c r="E1549" s="117"/>
      <c r="F1549" s="200"/>
      <c r="G1549" s="200"/>
      <c r="H1549" s="200"/>
      <c r="I1549" s="200"/>
      <c r="J1549" s="200"/>
      <c r="K1549" s="200">
        <f>SUMIF(AE!C:C,ATB!C:C,AE!F:F)</f>
        <v>0</v>
      </c>
      <c r="L1549" s="200">
        <f t="shared" si="56"/>
        <v>0</v>
      </c>
      <c r="M1549" s="200">
        <f t="shared" si="57"/>
        <v>0</v>
      </c>
    </row>
    <row r="1550" spans="2:13" x14ac:dyDescent="0.35">
      <c r="B1550" s="117"/>
      <c r="C1550" s="117"/>
      <c r="D1550" s="117"/>
      <c r="E1550" s="117"/>
      <c r="F1550" s="200"/>
      <c r="G1550" s="200"/>
      <c r="H1550" s="200"/>
      <c r="I1550" s="200"/>
      <c r="J1550" s="200"/>
      <c r="K1550" s="200">
        <f>SUMIF(AE!C:C,ATB!C:C,AE!F:F)</f>
        <v>0</v>
      </c>
      <c r="L1550" s="200">
        <f t="shared" si="56"/>
        <v>0</v>
      </c>
      <c r="M1550" s="200">
        <f t="shared" si="57"/>
        <v>0</v>
      </c>
    </row>
    <row r="1551" spans="2:13" x14ac:dyDescent="0.35">
      <c r="B1551" s="117"/>
      <c r="C1551" s="117"/>
      <c r="D1551" s="117"/>
      <c r="E1551" s="117"/>
      <c r="F1551" s="200"/>
      <c r="G1551" s="200"/>
      <c r="H1551" s="200"/>
      <c r="I1551" s="200"/>
      <c r="J1551" s="200"/>
      <c r="K1551" s="200">
        <f>SUMIF(AE!C:C,ATB!C:C,AE!F:F)</f>
        <v>0</v>
      </c>
      <c r="L1551" s="200">
        <f t="shared" si="56"/>
        <v>0</v>
      </c>
      <c r="M1551" s="200">
        <f t="shared" si="57"/>
        <v>0</v>
      </c>
    </row>
    <row r="1552" spans="2:13" x14ac:dyDescent="0.35">
      <c r="B1552" s="117"/>
      <c r="C1552" s="117"/>
      <c r="D1552" s="117"/>
      <c r="E1552" s="117"/>
      <c r="F1552" s="200"/>
      <c r="G1552" s="200"/>
      <c r="H1552" s="200"/>
      <c r="I1552" s="200"/>
      <c r="J1552" s="200"/>
      <c r="K1552" s="200">
        <f>SUMIF(AE!C:C,ATB!C:C,AE!F:F)</f>
        <v>0</v>
      </c>
      <c r="L1552" s="200">
        <f t="shared" si="56"/>
        <v>0</v>
      </c>
      <c r="M1552" s="200">
        <f t="shared" si="57"/>
        <v>0</v>
      </c>
    </row>
    <row r="1553" spans="2:13" x14ac:dyDescent="0.35">
      <c r="B1553" s="117"/>
      <c r="C1553" s="117"/>
      <c r="D1553" s="117"/>
      <c r="E1553" s="117"/>
      <c r="F1553" s="200"/>
      <c r="G1553" s="200"/>
      <c r="H1553" s="200"/>
      <c r="I1553" s="200"/>
      <c r="J1553" s="200"/>
      <c r="K1553" s="200">
        <f>SUMIF(AE!C:C,ATB!C:C,AE!F:F)</f>
        <v>0</v>
      </c>
      <c r="L1553" s="200">
        <f t="shared" si="56"/>
        <v>0</v>
      </c>
      <c r="M1553" s="200">
        <f t="shared" si="57"/>
        <v>0</v>
      </c>
    </row>
    <row r="1554" spans="2:13" x14ac:dyDescent="0.35">
      <c r="B1554" s="117"/>
      <c r="C1554" s="117"/>
      <c r="D1554" s="117"/>
      <c r="E1554" s="117"/>
      <c r="F1554" s="200"/>
      <c r="G1554" s="200"/>
      <c r="H1554" s="200"/>
      <c r="I1554" s="200"/>
      <c r="J1554" s="200"/>
      <c r="K1554" s="200">
        <f>SUMIF(AE!C:C,ATB!C:C,AE!F:F)</f>
        <v>0</v>
      </c>
      <c r="L1554" s="200">
        <f t="shared" si="56"/>
        <v>0</v>
      </c>
      <c r="M1554" s="200">
        <f t="shared" si="57"/>
        <v>0</v>
      </c>
    </row>
    <row r="1555" spans="2:13" x14ac:dyDescent="0.35">
      <c r="B1555" s="117"/>
      <c r="C1555" s="117"/>
      <c r="D1555" s="117"/>
      <c r="E1555" s="117"/>
      <c r="F1555" s="200"/>
      <c r="G1555" s="200"/>
      <c r="H1555" s="200"/>
      <c r="I1555" s="200"/>
      <c r="J1555" s="200"/>
      <c r="K1555" s="200">
        <f>SUMIF(AE!C:C,ATB!C:C,AE!F:F)</f>
        <v>0</v>
      </c>
      <c r="L1555" s="200">
        <f t="shared" si="56"/>
        <v>0</v>
      </c>
      <c r="M1555" s="200">
        <f t="shared" si="57"/>
        <v>0</v>
      </c>
    </row>
    <row r="1556" spans="2:13" x14ac:dyDescent="0.35">
      <c r="B1556" s="117"/>
      <c r="C1556" s="117"/>
      <c r="D1556" s="117"/>
      <c r="E1556" s="117"/>
      <c r="F1556" s="200"/>
      <c r="G1556" s="200"/>
      <c r="H1556" s="200"/>
      <c r="I1556" s="200"/>
      <c r="J1556" s="200"/>
      <c r="K1556" s="200">
        <f>SUMIF(AE!C:C,ATB!C:C,AE!F:F)</f>
        <v>0</v>
      </c>
      <c r="L1556" s="200">
        <f t="shared" si="56"/>
        <v>0</v>
      </c>
      <c r="M1556" s="200">
        <f t="shared" si="57"/>
        <v>0</v>
      </c>
    </row>
    <row r="1557" spans="2:13" x14ac:dyDescent="0.35">
      <c r="B1557" s="117"/>
      <c r="C1557" s="117"/>
      <c r="D1557" s="117"/>
      <c r="E1557" s="117"/>
      <c r="F1557" s="200"/>
      <c r="G1557" s="200"/>
      <c r="H1557" s="200"/>
      <c r="I1557" s="200"/>
      <c r="J1557" s="200"/>
      <c r="K1557" s="200">
        <f>SUMIF(AE!C:C,ATB!C:C,AE!F:F)</f>
        <v>0</v>
      </c>
      <c r="L1557" s="200">
        <f t="shared" si="56"/>
        <v>0</v>
      </c>
      <c r="M1557" s="200">
        <f t="shared" si="57"/>
        <v>0</v>
      </c>
    </row>
    <row r="1558" spans="2:13" x14ac:dyDescent="0.35">
      <c r="B1558" s="117"/>
      <c r="C1558" s="117"/>
      <c r="D1558" s="117"/>
      <c r="E1558" s="117"/>
      <c r="F1558" s="200"/>
      <c r="G1558" s="200"/>
      <c r="H1558" s="200"/>
      <c r="I1558" s="200"/>
      <c r="J1558" s="200"/>
      <c r="K1558" s="200">
        <f>SUMIF(AE!C:C,ATB!C:C,AE!F:F)</f>
        <v>0</v>
      </c>
      <c r="L1558" s="200">
        <f t="shared" si="56"/>
        <v>0</v>
      </c>
      <c r="M1558" s="200">
        <f t="shared" si="57"/>
        <v>0</v>
      </c>
    </row>
    <row r="1559" spans="2:13" x14ac:dyDescent="0.35">
      <c r="B1559" s="117"/>
      <c r="C1559" s="117"/>
      <c r="D1559" s="117"/>
      <c r="E1559" s="117"/>
      <c r="F1559" s="200"/>
      <c r="G1559" s="200"/>
      <c r="H1559" s="200"/>
      <c r="I1559" s="200"/>
      <c r="J1559" s="200"/>
      <c r="K1559" s="200">
        <f>SUMIF(AE!C:C,ATB!C:C,AE!F:F)</f>
        <v>0</v>
      </c>
      <c r="L1559" s="200">
        <f t="shared" si="56"/>
        <v>0</v>
      </c>
      <c r="M1559" s="200">
        <f t="shared" si="57"/>
        <v>0</v>
      </c>
    </row>
    <row r="1560" spans="2:13" x14ac:dyDescent="0.35">
      <c r="B1560" s="117"/>
      <c r="C1560" s="117"/>
      <c r="D1560" s="117"/>
      <c r="E1560" s="117"/>
      <c r="F1560" s="200"/>
      <c r="G1560" s="200"/>
      <c r="H1560" s="200"/>
      <c r="I1560" s="200"/>
      <c r="J1560" s="200"/>
      <c r="K1560" s="200">
        <f>SUMIF(AE!C:C,ATB!C:C,AE!F:F)</f>
        <v>0</v>
      </c>
      <c r="L1560" s="200">
        <f t="shared" si="56"/>
        <v>0</v>
      </c>
      <c r="M1560" s="200">
        <f t="shared" si="57"/>
        <v>0</v>
      </c>
    </row>
    <row r="1561" spans="2:13" x14ac:dyDescent="0.35">
      <c r="B1561" s="117"/>
      <c r="C1561" s="117"/>
      <c r="D1561" s="117"/>
      <c r="E1561" s="117"/>
      <c r="F1561" s="200"/>
      <c r="G1561" s="200"/>
      <c r="H1561" s="200"/>
      <c r="I1561" s="200"/>
      <c r="J1561" s="200"/>
      <c r="K1561" s="200">
        <f>SUMIF(AE!C:C,ATB!C:C,AE!F:F)</f>
        <v>0</v>
      </c>
      <c r="L1561" s="200">
        <f t="shared" si="56"/>
        <v>0</v>
      </c>
      <c r="M1561" s="200">
        <f t="shared" si="57"/>
        <v>0</v>
      </c>
    </row>
    <row r="1562" spans="2:13" x14ac:dyDescent="0.35">
      <c r="B1562" s="117"/>
      <c r="C1562" s="117"/>
      <c r="D1562" s="117"/>
      <c r="E1562" s="117"/>
      <c r="F1562" s="200"/>
      <c r="G1562" s="200"/>
      <c r="H1562" s="200"/>
      <c r="I1562" s="200"/>
      <c r="J1562" s="200"/>
      <c r="K1562" s="200">
        <f>SUMIF(AE!C:C,ATB!C:C,AE!F:F)</f>
        <v>0</v>
      </c>
      <c r="L1562" s="200">
        <f t="shared" si="56"/>
        <v>0</v>
      </c>
      <c r="M1562" s="200">
        <f t="shared" si="57"/>
        <v>0</v>
      </c>
    </row>
    <row r="1563" spans="2:13" x14ac:dyDescent="0.35">
      <c r="B1563" s="117"/>
      <c r="C1563" s="117"/>
      <c r="D1563" s="117"/>
      <c r="E1563" s="117"/>
      <c r="F1563" s="200"/>
      <c r="G1563" s="200"/>
      <c r="H1563" s="200"/>
      <c r="I1563" s="200"/>
      <c r="J1563" s="200"/>
      <c r="K1563" s="200">
        <f>SUMIF(AE!C:C,ATB!C:C,AE!F:F)</f>
        <v>0</v>
      </c>
      <c r="L1563" s="200">
        <f t="shared" si="56"/>
        <v>0</v>
      </c>
      <c r="M1563" s="200">
        <f t="shared" si="57"/>
        <v>0</v>
      </c>
    </row>
    <row r="1564" spans="2:13" x14ac:dyDescent="0.35">
      <c r="B1564" s="117"/>
      <c r="C1564" s="117"/>
      <c r="D1564" s="117"/>
      <c r="E1564" s="117"/>
      <c r="F1564" s="200"/>
      <c r="G1564" s="200"/>
      <c r="H1564" s="200"/>
      <c r="I1564" s="200"/>
      <c r="J1564" s="200"/>
      <c r="K1564" s="200">
        <f>SUMIF(AE!C:C,ATB!C:C,AE!F:F)</f>
        <v>0</v>
      </c>
      <c r="L1564" s="200">
        <f t="shared" si="56"/>
        <v>0</v>
      </c>
      <c r="M1564" s="200">
        <f t="shared" si="57"/>
        <v>0</v>
      </c>
    </row>
    <row r="1565" spans="2:13" x14ac:dyDescent="0.35">
      <c r="B1565" s="117"/>
      <c r="C1565" s="117"/>
      <c r="D1565" s="117"/>
      <c r="E1565" s="117"/>
      <c r="F1565" s="200"/>
      <c r="G1565" s="200"/>
      <c r="H1565" s="200"/>
      <c r="I1565" s="200"/>
      <c r="J1565" s="200"/>
      <c r="K1565" s="200">
        <f>SUMIF(AE!C:C,ATB!C:C,AE!F:F)</f>
        <v>0</v>
      </c>
      <c r="L1565" s="200">
        <f t="shared" si="56"/>
        <v>0</v>
      </c>
      <c r="M1565" s="200">
        <f t="shared" si="57"/>
        <v>0</v>
      </c>
    </row>
    <row r="1566" spans="2:13" x14ac:dyDescent="0.35">
      <c r="B1566" s="117"/>
      <c r="C1566" s="117"/>
      <c r="D1566" s="117"/>
      <c r="E1566" s="117"/>
      <c r="F1566" s="200"/>
      <c r="G1566" s="200"/>
      <c r="H1566" s="200"/>
      <c r="I1566" s="200"/>
      <c r="J1566" s="200"/>
      <c r="K1566" s="200">
        <f>SUMIF(AE!C:C,ATB!C:C,AE!F:F)</f>
        <v>0</v>
      </c>
      <c r="L1566" s="200">
        <f t="shared" si="56"/>
        <v>0</v>
      </c>
      <c r="M1566" s="200">
        <f t="shared" si="57"/>
        <v>0</v>
      </c>
    </row>
    <row r="1567" spans="2:13" x14ac:dyDescent="0.35">
      <c r="B1567" s="117"/>
      <c r="C1567" s="117"/>
      <c r="D1567" s="117"/>
      <c r="E1567" s="117"/>
      <c r="F1567" s="200"/>
      <c r="G1567" s="200"/>
      <c r="H1567" s="200"/>
      <c r="I1567" s="200"/>
      <c r="J1567" s="200"/>
      <c r="K1567" s="200">
        <f>SUMIF(AE!C:C,ATB!C:C,AE!F:F)</f>
        <v>0</v>
      </c>
      <c r="L1567" s="200">
        <f t="shared" si="56"/>
        <v>0</v>
      </c>
      <c r="M1567" s="200">
        <f t="shared" si="57"/>
        <v>0</v>
      </c>
    </row>
    <row r="1568" spans="2:13" x14ac:dyDescent="0.35">
      <c r="B1568" s="117"/>
      <c r="C1568" s="117"/>
      <c r="D1568" s="117"/>
      <c r="E1568" s="117"/>
      <c r="F1568" s="200"/>
      <c r="G1568" s="200"/>
      <c r="H1568" s="200"/>
      <c r="I1568" s="200"/>
      <c r="J1568" s="200"/>
      <c r="K1568" s="200">
        <f>SUMIF(AE!C:C,ATB!C:C,AE!F:F)</f>
        <v>0</v>
      </c>
      <c r="L1568" s="200">
        <f t="shared" si="56"/>
        <v>0</v>
      </c>
      <c r="M1568" s="200">
        <f t="shared" si="57"/>
        <v>0</v>
      </c>
    </row>
    <row r="1569" spans="2:13" x14ac:dyDescent="0.35">
      <c r="B1569" s="117"/>
      <c r="C1569" s="117"/>
      <c r="D1569" s="117"/>
      <c r="E1569" s="117"/>
      <c r="F1569" s="200"/>
      <c r="G1569" s="200"/>
      <c r="H1569" s="200"/>
      <c r="I1569" s="200"/>
      <c r="J1569" s="200"/>
      <c r="K1569" s="200">
        <f>SUMIF(AE!C:C,ATB!C:C,AE!F:F)</f>
        <v>0</v>
      </c>
      <c r="L1569" s="200">
        <f t="shared" si="56"/>
        <v>0</v>
      </c>
      <c r="M1569" s="200">
        <f t="shared" si="57"/>
        <v>0</v>
      </c>
    </row>
    <row r="1570" spans="2:13" x14ac:dyDescent="0.35">
      <c r="B1570" s="117"/>
      <c r="C1570" s="117"/>
      <c r="D1570" s="117"/>
      <c r="E1570" s="117"/>
      <c r="F1570" s="200"/>
      <c r="G1570" s="200"/>
      <c r="H1570" s="200"/>
      <c r="I1570" s="200"/>
      <c r="J1570" s="200"/>
      <c r="K1570" s="200">
        <f>SUMIF(AE!C:C,ATB!C:C,AE!F:F)</f>
        <v>0</v>
      </c>
      <c r="L1570" s="200">
        <f t="shared" si="56"/>
        <v>0</v>
      </c>
      <c r="M1570" s="200">
        <f t="shared" si="57"/>
        <v>0</v>
      </c>
    </row>
    <row r="1571" spans="2:13" x14ac:dyDescent="0.35">
      <c r="B1571" s="117"/>
      <c r="C1571" s="117"/>
      <c r="D1571" s="117"/>
      <c r="E1571" s="117"/>
      <c r="F1571" s="200"/>
      <c r="G1571" s="200"/>
      <c r="H1571" s="200"/>
      <c r="I1571" s="200"/>
      <c r="J1571" s="200"/>
      <c r="K1571" s="200">
        <f>SUMIF(AE!C:C,ATB!C:C,AE!F:F)</f>
        <v>0</v>
      </c>
      <c r="L1571" s="200">
        <f t="shared" si="56"/>
        <v>0</v>
      </c>
      <c r="M1571" s="200">
        <f t="shared" si="57"/>
        <v>0</v>
      </c>
    </row>
    <row r="1572" spans="2:13" x14ac:dyDescent="0.35">
      <c r="B1572" s="117"/>
      <c r="C1572" s="117"/>
      <c r="D1572" s="117"/>
      <c r="E1572" s="117"/>
      <c r="F1572" s="200"/>
      <c r="G1572" s="200"/>
      <c r="H1572" s="200"/>
      <c r="I1572" s="200"/>
      <c r="J1572" s="200"/>
      <c r="K1572" s="200">
        <f>SUMIF(AE!C:C,ATB!C:C,AE!F:F)</f>
        <v>0</v>
      </c>
      <c r="L1572" s="200">
        <f t="shared" si="56"/>
        <v>0</v>
      </c>
      <c r="M1572" s="200">
        <f t="shared" si="57"/>
        <v>0</v>
      </c>
    </row>
    <row r="1573" spans="2:13" x14ac:dyDescent="0.35">
      <c r="B1573" s="117"/>
      <c r="C1573" s="117"/>
      <c r="D1573" s="117"/>
      <c r="E1573" s="117"/>
      <c r="F1573" s="200"/>
      <c r="G1573" s="200"/>
      <c r="H1573" s="200"/>
      <c r="I1573" s="200"/>
      <c r="J1573" s="200"/>
      <c r="K1573" s="200">
        <f>SUMIF(AE!C:C,ATB!C:C,AE!F:F)</f>
        <v>0</v>
      </c>
      <c r="L1573" s="200">
        <f t="shared" si="56"/>
        <v>0</v>
      </c>
      <c r="M1573" s="200">
        <f t="shared" si="57"/>
        <v>0</v>
      </c>
    </row>
    <row r="1574" spans="2:13" x14ac:dyDescent="0.35">
      <c r="B1574" s="117"/>
      <c r="C1574" s="117"/>
      <c r="D1574" s="117"/>
      <c r="E1574" s="117"/>
      <c r="F1574" s="200"/>
      <c r="G1574" s="200"/>
      <c r="H1574" s="200"/>
      <c r="I1574" s="200"/>
      <c r="J1574" s="200"/>
      <c r="K1574" s="200">
        <f>SUMIF(AE!C:C,ATB!C:C,AE!F:F)</f>
        <v>0</v>
      </c>
      <c r="L1574" s="200">
        <f t="shared" si="56"/>
        <v>0</v>
      </c>
      <c r="M1574" s="200">
        <f t="shared" si="57"/>
        <v>0</v>
      </c>
    </row>
    <row r="1575" spans="2:13" x14ac:dyDescent="0.35">
      <c r="B1575" s="117"/>
      <c r="C1575" s="117"/>
      <c r="D1575" s="117"/>
      <c r="E1575" s="117"/>
      <c r="F1575" s="200"/>
      <c r="G1575" s="200"/>
      <c r="H1575" s="200"/>
      <c r="I1575" s="200"/>
      <c r="J1575" s="200"/>
      <c r="K1575" s="200">
        <f>SUMIF(AE!C:C,ATB!C:C,AE!F:F)</f>
        <v>0</v>
      </c>
      <c r="L1575" s="200">
        <f t="shared" si="56"/>
        <v>0</v>
      </c>
      <c r="M1575" s="200">
        <f t="shared" si="57"/>
        <v>0</v>
      </c>
    </row>
    <row r="1576" spans="2:13" x14ac:dyDescent="0.35">
      <c r="B1576" s="117"/>
      <c r="C1576" s="117"/>
      <c r="D1576" s="117"/>
      <c r="E1576" s="117"/>
      <c r="F1576" s="200"/>
      <c r="G1576" s="200"/>
      <c r="H1576" s="200"/>
      <c r="I1576" s="200"/>
      <c r="J1576" s="200"/>
      <c r="K1576" s="200">
        <f>SUMIF(AE!C:C,ATB!C:C,AE!F:F)</f>
        <v>0</v>
      </c>
      <c r="L1576" s="200">
        <f t="shared" si="56"/>
        <v>0</v>
      </c>
      <c r="M1576" s="200">
        <f t="shared" si="57"/>
        <v>0</v>
      </c>
    </row>
    <row r="1577" spans="2:13" x14ac:dyDescent="0.35">
      <c r="B1577" s="117"/>
      <c r="C1577" s="117"/>
      <c r="D1577" s="117"/>
      <c r="E1577" s="117"/>
      <c r="F1577" s="200"/>
      <c r="G1577" s="200"/>
      <c r="H1577" s="200"/>
      <c r="I1577" s="200"/>
      <c r="J1577" s="200"/>
      <c r="K1577" s="200">
        <f>SUMIF(AE!C:C,ATB!C:C,AE!F:F)</f>
        <v>0</v>
      </c>
      <c r="L1577" s="200">
        <f t="shared" si="56"/>
        <v>0</v>
      </c>
      <c r="M1577" s="200">
        <f t="shared" si="57"/>
        <v>0</v>
      </c>
    </row>
    <row r="1578" spans="2:13" x14ac:dyDescent="0.35">
      <c r="B1578" s="117"/>
      <c r="C1578" s="117"/>
      <c r="D1578" s="117"/>
      <c r="E1578" s="117"/>
      <c r="F1578" s="200"/>
      <c r="G1578" s="200"/>
      <c r="H1578" s="200"/>
      <c r="I1578" s="200"/>
      <c r="J1578" s="200"/>
      <c r="K1578" s="200">
        <f>SUMIF(AE!C:C,ATB!C:C,AE!F:F)</f>
        <v>0</v>
      </c>
      <c r="L1578" s="200">
        <f t="shared" si="56"/>
        <v>0</v>
      </c>
      <c r="M1578" s="200">
        <f t="shared" si="57"/>
        <v>0</v>
      </c>
    </row>
    <row r="1579" spans="2:13" x14ac:dyDescent="0.35">
      <c r="B1579" s="117"/>
      <c r="C1579" s="117"/>
      <c r="D1579" s="117"/>
      <c r="E1579" s="117"/>
      <c r="F1579" s="200"/>
      <c r="G1579" s="200"/>
      <c r="H1579" s="200"/>
      <c r="I1579" s="200"/>
      <c r="J1579" s="200"/>
      <c r="K1579" s="200">
        <f>SUMIF(AE!C:C,ATB!C:C,AE!F:F)</f>
        <v>0</v>
      </c>
      <c r="L1579" s="200">
        <f t="shared" si="56"/>
        <v>0</v>
      </c>
      <c r="M1579" s="200">
        <f t="shared" si="57"/>
        <v>0</v>
      </c>
    </row>
    <row r="1580" spans="2:13" x14ac:dyDescent="0.35">
      <c r="B1580" s="117"/>
      <c r="C1580" s="117"/>
      <c r="D1580" s="117"/>
      <c r="E1580" s="117"/>
      <c r="F1580" s="200"/>
      <c r="G1580" s="200"/>
      <c r="H1580" s="200"/>
      <c r="I1580" s="200"/>
      <c r="J1580" s="200"/>
      <c r="K1580" s="200">
        <f>SUMIF(AE!C:C,ATB!C:C,AE!F:F)</f>
        <v>0</v>
      </c>
      <c r="L1580" s="200">
        <f t="shared" si="56"/>
        <v>0</v>
      </c>
      <c r="M1580" s="200">
        <f t="shared" si="57"/>
        <v>0</v>
      </c>
    </row>
    <row r="1581" spans="2:13" x14ac:dyDescent="0.35">
      <c r="B1581" s="117"/>
      <c r="C1581" s="117"/>
      <c r="D1581" s="117"/>
      <c r="E1581" s="117"/>
      <c r="F1581" s="200"/>
      <c r="G1581" s="200"/>
      <c r="H1581" s="200"/>
      <c r="I1581" s="200"/>
      <c r="J1581" s="200"/>
      <c r="K1581" s="200">
        <f>SUMIF(AE!C:C,ATB!C:C,AE!F:F)</f>
        <v>0</v>
      </c>
      <c r="L1581" s="200">
        <f t="shared" si="56"/>
        <v>0</v>
      </c>
      <c r="M1581" s="200">
        <f t="shared" si="57"/>
        <v>0</v>
      </c>
    </row>
    <row r="1582" spans="2:13" x14ac:dyDescent="0.35">
      <c r="B1582" s="117"/>
      <c r="C1582" s="117"/>
      <c r="D1582" s="117"/>
      <c r="E1582" s="117"/>
      <c r="F1582" s="200"/>
      <c r="G1582" s="200"/>
      <c r="H1582" s="200"/>
      <c r="I1582" s="200"/>
      <c r="J1582" s="200"/>
      <c r="K1582" s="200">
        <f>SUMIF(AE!C:C,ATB!C:C,AE!F:F)</f>
        <v>0</v>
      </c>
      <c r="L1582" s="200">
        <f t="shared" si="56"/>
        <v>0</v>
      </c>
      <c r="M1582" s="200">
        <f t="shared" si="57"/>
        <v>0</v>
      </c>
    </row>
    <row r="1583" spans="2:13" x14ac:dyDescent="0.35">
      <c r="B1583" s="117"/>
      <c r="C1583" s="117"/>
      <c r="D1583" s="117"/>
      <c r="E1583" s="117"/>
      <c r="F1583" s="200"/>
      <c r="G1583" s="200"/>
      <c r="H1583" s="200"/>
      <c r="I1583" s="200"/>
      <c r="J1583" s="200"/>
      <c r="K1583" s="200">
        <f>SUMIF(AE!C:C,ATB!C:C,AE!F:F)</f>
        <v>0</v>
      </c>
      <c r="L1583" s="200">
        <f t="shared" si="56"/>
        <v>0</v>
      </c>
      <c r="M1583" s="200">
        <f t="shared" si="57"/>
        <v>0</v>
      </c>
    </row>
    <row r="1584" spans="2:13" x14ac:dyDescent="0.35">
      <c r="B1584" s="117"/>
      <c r="C1584" s="117"/>
      <c r="D1584" s="117"/>
      <c r="E1584" s="117"/>
      <c r="F1584" s="200"/>
      <c r="G1584" s="200"/>
      <c r="H1584" s="200"/>
      <c r="I1584" s="200"/>
      <c r="J1584" s="200"/>
      <c r="K1584" s="200">
        <f>SUMIF(AE!C:C,ATB!C:C,AE!F:F)</f>
        <v>0</v>
      </c>
      <c r="L1584" s="200">
        <f t="shared" si="56"/>
        <v>0</v>
      </c>
      <c r="M1584" s="200">
        <f t="shared" si="57"/>
        <v>0</v>
      </c>
    </row>
    <row r="1585" spans="2:13" x14ac:dyDescent="0.35">
      <c r="B1585" s="117"/>
      <c r="C1585" s="117"/>
      <c r="D1585" s="117"/>
      <c r="E1585" s="117"/>
      <c r="F1585" s="200"/>
      <c r="G1585" s="200"/>
      <c r="H1585" s="200"/>
      <c r="I1585" s="200"/>
      <c r="J1585" s="200"/>
      <c r="K1585" s="200">
        <f>SUMIF(AE!C:C,ATB!C:C,AE!F:F)</f>
        <v>0</v>
      </c>
      <c r="L1585" s="200">
        <f t="shared" si="56"/>
        <v>0</v>
      </c>
      <c r="M1585" s="200">
        <f t="shared" si="57"/>
        <v>0</v>
      </c>
    </row>
    <row r="1586" spans="2:13" x14ac:dyDescent="0.35">
      <c r="B1586" s="117"/>
      <c r="C1586" s="117"/>
      <c r="D1586" s="117"/>
      <c r="E1586" s="117"/>
      <c r="F1586" s="200"/>
      <c r="G1586" s="200"/>
      <c r="H1586" s="200"/>
      <c r="I1586" s="200"/>
      <c r="J1586" s="200"/>
      <c r="K1586" s="200">
        <f>SUMIF(AE!C:C,ATB!C:C,AE!F:F)</f>
        <v>0</v>
      </c>
      <c r="L1586" s="200">
        <f t="shared" si="56"/>
        <v>0</v>
      </c>
      <c r="M1586" s="200">
        <f t="shared" si="57"/>
        <v>0</v>
      </c>
    </row>
    <row r="1587" spans="2:13" x14ac:dyDescent="0.35">
      <c r="B1587" s="117"/>
      <c r="C1587" s="117"/>
      <c r="D1587" s="117"/>
      <c r="E1587" s="117"/>
      <c r="F1587" s="200"/>
      <c r="G1587" s="200"/>
      <c r="H1587" s="200"/>
      <c r="I1587" s="200"/>
      <c r="J1587" s="200"/>
      <c r="K1587" s="200">
        <f>SUMIF(AE!C:C,ATB!C:C,AE!F:F)</f>
        <v>0</v>
      </c>
      <c r="L1587" s="200">
        <f t="shared" si="56"/>
        <v>0</v>
      </c>
      <c r="M1587" s="200">
        <f t="shared" si="57"/>
        <v>0</v>
      </c>
    </row>
    <row r="1588" spans="2:13" x14ac:dyDescent="0.35">
      <c r="B1588" s="117"/>
      <c r="C1588" s="117"/>
      <c r="D1588" s="117"/>
      <c r="E1588" s="117"/>
      <c r="F1588" s="200"/>
      <c r="G1588" s="200"/>
      <c r="H1588" s="200"/>
      <c r="I1588" s="200"/>
      <c r="J1588" s="200"/>
      <c r="K1588" s="200">
        <f>SUMIF(AE!C:C,ATB!C:C,AE!F:F)</f>
        <v>0</v>
      </c>
      <c r="L1588" s="200">
        <f t="shared" si="56"/>
        <v>0</v>
      </c>
      <c r="M1588" s="200">
        <f t="shared" si="57"/>
        <v>0</v>
      </c>
    </row>
    <row r="1589" spans="2:13" x14ac:dyDescent="0.35">
      <c r="B1589" s="117"/>
      <c r="C1589" s="117"/>
      <c r="D1589" s="117"/>
      <c r="E1589" s="117"/>
      <c r="F1589" s="200"/>
      <c r="G1589" s="200"/>
      <c r="H1589" s="200"/>
      <c r="I1589" s="200"/>
      <c r="J1589" s="200"/>
      <c r="K1589" s="200">
        <f>SUMIF(AE!C:C,ATB!C:C,AE!F:F)</f>
        <v>0</v>
      </c>
      <c r="L1589" s="200">
        <f t="shared" si="56"/>
        <v>0</v>
      </c>
      <c r="M1589" s="200">
        <f t="shared" si="57"/>
        <v>0</v>
      </c>
    </row>
    <row r="1590" spans="2:13" x14ac:dyDescent="0.35">
      <c r="B1590" s="117"/>
      <c r="C1590" s="117"/>
      <c r="D1590" s="117"/>
      <c r="E1590" s="117"/>
      <c r="F1590" s="200"/>
      <c r="G1590" s="200"/>
      <c r="H1590" s="200"/>
      <c r="I1590" s="200"/>
      <c r="J1590" s="200"/>
      <c r="K1590" s="200">
        <f>SUMIF(AE!C:C,ATB!C:C,AE!F:F)</f>
        <v>0</v>
      </c>
      <c r="L1590" s="200">
        <f t="shared" si="56"/>
        <v>0</v>
      </c>
      <c r="M1590" s="200">
        <f t="shared" si="57"/>
        <v>0</v>
      </c>
    </row>
    <row r="1591" spans="2:13" x14ac:dyDescent="0.35">
      <c r="B1591" s="117"/>
      <c r="C1591" s="117"/>
      <c r="D1591" s="117"/>
      <c r="E1591" s="117"/>
      <c r="F1591" s="200"/>
      <c r="G1591" s="200"/>
      <c r="H1591" s="200"/>
      <c r="I1591" s="200"/>
      <c r="J1591" s="200"/>
      <c r="K1591" s="200">
        <f>SUMIF(AE!C:C,ATB!C:C,AE!F:F)</f>
        <v>0</v>
      </c>
      <c r="L1591" s="200">
        <f t="shared" si="56"/>
        <v>0</v>
      </c>
      <c r="M1591" s="200">
        <f t="shared" si="57"/>
        <v>0</v>
      </c>
    </row>
    <row r="1592" spans="2:13" x14ac:dyDescent="0.35">
      <c r="B1592" s="117"/>
      <c r="C1592" s="117"/>
      <c r="D1592" s="117"/>
      <c r="E1592" s="117"/>
      <c r="F1592" s="200"/>
      <c r="G1592" s="200"/>
      <c r="H1592" s="200"/>
      <c r="I1592" s="200"/>
      <c r="J1592" s="200"/>
      <c r="K1592" s="200">
        <f>SUMIF(AE!C:C,ATB!C:C,AE!F:F)</f>
        <v>0</v>
      </c>
      <c r="L1592" s="200">
        <f t="shared" si="56"/>
        <v>0</v>
      </c>
      <c r="M1592" s="200">
        <f t="shared" si="57"/>
        <v>0</v>
      </c>
    </row>
    <row r="1593" spans="2:13" x14ac:dyDescent="0.35">
      <c r="B1593" s="117"/>
      <c r="C1593" s="117"/>
      <c r="D1593" s="117"/>
      <c r="E1593" s="117"/>
      <c r="F1593" s="200"/>
      <c r="G1593" s="200"/>
      <c r="H1593" s="200"/>
      <c r="I1593" s="200"/>
      <c r="J1593" s="200"/>
      <c r="K1593" s="200">
        <f>SUMIF(AE!C:C,ATB!C:C,AE!F:F)</f>
        <v>0</v>
      </c>
      <c r="L1593" s="200">
        <f t="shared" si="56"/>
        <v>0</v>
      </c>
      <c r="M1593" s="200">
        <f t="shared" si="57"/>
        <v>0</v>
      </c>
    </row>
    <row r="1594" spans="2:13" x14ac:dyDescent="0.35">
      <c r="B1594" s="117"/>
      <c r="C1594" s="117"/>
      <c r="D1594" s="117"/>
      <c r="E1594" s="117"/>
      <c r="F1594" s="200"/>
      <c r="G1594" s="200"/>
      <c r="H1594" s="200"/>
      <c r="I1594" s="200"/>
      <c r="J1594" s="200"/>
      <c r="K1594" s="200">
        <f>SUMIF(AE!C:C,ATB!C:C,AE!F:F)</f>
        <v>0</v>
      </c>
      <c r="L1594" s="200">
        <f t="shared" si="56"/>
        <v>0</v>
      </c>
      <c r="M1594" s="200">
        <f t="shared" si="57"/>
        <v>0</v>
      </c>
    </row>
    <row r="1595" spans="2:13" x14ac:dyDescent="0.35">
      <c r="B1595" s="117"/>
      <c r="C1595" s="117"/>
      <c r="D1595" s="117"/>
      <c r="E1595" s="117"/>
      <c r="F1595" s="200"/>
      <c r="G1595" s="200"/>
      <c r="H1595" s="200"/>
      <c r="I1595" s="200"/>
      <c r="J1595" s="200"/>
      <c r="K1595" s="200">
        <f>SUMIF(AE!C:C,ATB!C:C,AE!F:F)</f>
        <v>0</v>
      </c>
      <c r="L1595" s="200">
        <f t="shared" si="56"/>
        <v>0</v>
      </c>
      <c r="M1595" s="200">
        <f t="shared" si="57"/>
        <v>0</v>
      </c>
    </row>
    <row r="1596" spans="2:13" x14ac:dyDescent="0.35">
      <c r="B1596" s="117"/>
      <c r="C1596" s="117"/>
      <c r="D1596" s="117"/>
      <c r="E1596" s="117"/>
      <c r="F1596" s="200"/>
      <c r="G1596" s="200"/>
      <c r="H1596" s="200"/>
      <c r="I1596" s="200"/>
      <c r="J1596" s="200"/>
      <c r="K1596" s="200">
        <f>SUMIF(AE!C:C,ATB!C:C,AE!F:F)</f>
        <v>0</v>
      </c>
      <c r="L1596" s="200">
        <f t="shared" si="56"/>
        <v>0</v>
      </c>
      <c r="M1596" s="200">
        <f t="shared" si="57"/>
        <v>0</v>
      </c>
    </row>
    <row r="1597" spans="2:13" x14ac:dyDescent="0.35">
      <c r="B1597" s="117"/>
      <c r="C1597" s="117"/>
      <c r="D1597" s="117"/>
      <c r="E1597" s="117"/>
      <c r="F1597" s="200"/>
      <c r="G1597" s="200"/>
      <c r="H1597" s="200"/>
      <c r="I1597" s="200"/>
      <c r="J1597" s="200"/>
      <c r="K1597" s="200">
        <f>SUMIF(AE!C:C,ATB!C:C,AE!F:F)</f>
        <v>0</v>
      </c>
      <c r="L1597" s="200">
        <f t="shared" si="56"/>
        <v>0</v>
      </c>
      <c r="M1597" s="200">
        <f t="shared" si="57"/>
        <v>0</v>
      </c>
    </row>
    <row r="1598" spans="2:13" x14ac:dyDescent="0.35">
      <c r="B1598" s="117"/>
      <c r="C1598" s="117"/>
      <c r="D1598" s="117"/>
      <c r="E1598" s="117"/>
      <c r="F1598" s="200"/>
      <c r="G1598" s="200"/>
      <c r="H1598" s="200"/>
      <c r="I1598" s="200"/>
      <c r="J1598" s="200"/>
      <c r="K1598" s="200">
        <f>SUMIF(AE!C:C,ATB!C:C,AE!F:F)</f>
        <v>0</v>
      </c>
      <c r="L1598" s="200">
        <f t="shared" si="56"/>
        <v>0</v>
      </c>
      <c r="M1598" s="200">
        <f t="shared" si="57"/>
        <v>0</v>
      </c>
    </row>
    <row r="1599" spans="2:13" x14ac:dyDescent="0.35">
      <c r="B1599" s="117"/>
      <c r="C1599" s="117"/>
      <c r="D1599" s="117"/>
      <c r="E1599" s="117"/>
      <c r="F1599" s="200"/>
      <c r="G1599" s="200"/>
      <c r="H1599" s="200"/>
      <c r="I1599" s="200"/>
      <c r="J1599" s="200"/>
      <c r="K1599" s="200">
        <f>SUMIF(AE!C:C,ATB!C:C,AE!F:F)</f>
        <v>0</v>
      </c>
      <c r="L1599" s="200">
        <f t="shared" si="56"/>
        <v>0</v>
      </c>
      <c r="M1599" s="200">
        <f t="shared" si="57"/>
        <v>0</v>
      </c>
    </row>
    <row r="1600" spans="2:13" x14ac:dyDescent="0.35">
      <c r="B1600" s="117"/>
      <c r="C1600" s="117"/>
      <c r="D1600" s="117"/>
      <c r="E1600" s="117"/>
      <c r="F1600" s="200"/>
      <c r="G1600" s="200"/>
      <c r="H1600" s="200"/>
      <c r="I1600" s="200"/>
      <c r="J1600" s="200"/>
      <c r="K1600" s="200">
        <f>SUMIF(AE!C:C,ATB!C:C,AE!F:F)</f>
        <v>0</v>
      </c>
      <c r="L1600" s="200">
        <f t="shared" si="56"/>
        <v>0</v>
      </c>
      <c r="M1600" s="200">
        <f t="shared" si="57"/>
        <v>0</v>
      </c>
    </row>
    <row r="1601" spans="2:13" x14ac:dyDescent="0.35">
      <c r="B1601" s="117"/>
      <c r="C1601" s="117"/>
      <c r="D1601" s="117"/>
      <c r="E1601" s="117"/>
      <c r="F1601" s="200"/>
      <c r="G1601" s="200"/>
      <c r="H1601" s="200"/>
      <c r="I1601" s="200"/>
      <c r="J1601" s="200"/>
      <c r="K1601" s="200">
        <f>SUMIF(AE!C:C,ATB!C:C,AE!F:F)</f>
        <v>0</v>
      </c>
      <c r="L1601" s="200">
        <f t="shared" si="56"/>
        <v>0</v>
      </c>
      <c r="M1601" s="200">
        <f t="shared" si="57"/>
        <v>0</v>
      </c>
    </row>
    <row r="1602" spans="2:13" x14ac:dyDescent="0.35">
      <c r="B1602" s="117"/>
      <c r="C1602" s="117"/>
      <c r="D1602" s="117"/>
      <c r="E1602" s="117"/>
      <c r="F1602" s="200"/>
      <c r="G1602" s="200"/>
      <c r="H1602" s="200"/>
      <c r="I1602" s="200"/>
      <c r="J1602" s="200"/>
      <c r="K1602" s="200">
        <f>SUMIF(AE!C:C,ATB!C:C,AE!F:F)</f>
        <v>0</v>
      </c>
      <c r="L1602" s="200">
        <f t="shared" ref="L1602:L1665" si="58">ROUND(IF(F1602+H1602+J1602-G1602-I1602-K1602&gt;0,F1602+H1602+J1602-G1602-I1602-K1602,0),0)</f>
        <v>0</v>
      </c>
      <c r="M1602" s="200">
        <f t="shared" ref="M1602:M1665" si="59">-ROUND(IF(F1602+H1602+J1602-G1602-I1602-K1602&lt;0,F1602+H1602+J1602-G1602-I1602-K1602,0),0)</f>
        <v>0</v>
      </c>
    </row>
    <row r="1603" spans="2:13" x14ac:dyDescent="0.35">
      <c r="B1603" s="117"/>
      <c r="C1603" s="117"/>
      <c r="D1603" s="117"/>
      <c r="E1603" s="117"/>
      <c r="F1603" s="200"/>
      <c r="G1603" s="200"/>
      <c r="H1603" s="200"/>
      <c r="I1603" s="200"/>
      <c r="J1603" s="200"/>
      <c r="K1603" s="200">
        <f>SUMIF(AE!C:C,ATB!C:C,AE!F:F)</f>
        <v>0</v>
      </c>
      <c r="L1603" s="200">
        <f t="shared" si="58"/>
        <v>0</v>
      </c>
      <c r="M1603" s="200">
        <f t="shared" si="59"/>
        <v>0</v>
      </c>
    </row>
    <row r="1604" spans="2:13" x14ac:dyDescent="0.35">
      <c r="B1604" s="117"/>
      <c r="C1604" s="117"/>
      <c r="D1604" s="117"/>
      <c r="E1604" s="117"/>
      <c r="F1604" s="200"/>
      <c r="G1604" s="200"/>
      <c r="H1604" s="200"/>
      <c r="I1604" s="200"/>
      <c r="J1604" s="200"/>
      <c r="K1604" s="200">
        <f>SUMIF(AE!C:C,ATB!C:C,AE!F:F)</f>
        <v>0</v>
      </c>
      <c r="L1604" s="200">
        <f t="shared" si="58"/>
        <v>0</v>
      </c>
      <c r="M1604" s="200">
        <f t="shared" si="59"/>
        <v>0</v>
      </c>
    </row>
    <row r="1605" spans="2:13" x14ac:dyDescent="0.35">
      <c r="B1605" s="117"/>
      <c r="C1605" s="117"/>
      <c r="D1605" s="117"/>
      <c r="E1605" s="117"/>
      <c r="F1605" s="200"/>
      <c r="G1605" s="200"/>
      <c r="H1605" s="200"/>
      <c r="I1605" s="200"/>
      <c r="J1605" s="200"/>
      <c r="K1605" s="200">
        <f>SUMIF(AE!C:C,ATB!C:C,AE!F:F)</f>
        <v>0</v>
      </c>
      <c r="L1605" s="200">
        <f t="shared" si="58"/>
        <v>0</v>
      </c>
      <c r="M1605" s="200">
        <f t="shared" si="59"/>
        <v>0</v>
      </c>
    </row>
    <row r="1606" spans="2:13" x14ac:dyDescent="0.35">
      <c r="B1606" s="117"/>
      <c r="C1606" s="117"/>
      <c r="D1606" s="117"/>
      <c r="E1606" s="117"/>
      <c r="F1606" s="200"/>
      <c r="G1606" s="200"/>
      <c r="H1606" s="200"/>
      <c r="I1606" s="200"/>
      <c r="J1606" s="200"/>
      <c r="K1606" s="200">
        <f>SUMIF(AE!C:C,ATB!C:C,AE!F:F)</f>
        <v>0</v>
      </c>
      <c r="L1606" s="200">
        <f t="shared" si="58"/>
        <v>0</v>
      </c>
      <c r="M1606" s="200">
        <f t="shared" si="59"/>
        <v>0</v>
      </c>
    </row>
    <row r="1607" spans="2:13" x14ac:dyDescent="0.35">
      <c r="B1607" s="117"/>
      <c r="C1607" s="117"/>
      <c r="D1607" s="117"/>
      <c r="E1607" s="117"/>
      <c r="F1607" s="200"/>
      <c r="G1607" s="200"/>
      <c r="H1607" s="200"/>
      <c r="I1607" s="200"/>
      <c r="J1607" s="200"/>
      <c r="K1607" s="200">
        <f>SUMIF(AE!C:C,ATB!C:C,AE!F:F)</f>
        <v>0</v>
      </c>
      <c r="L1607" s="200">
        <f t="shared" si="58"/>
        <v>0</v>
      </c>
      <c r="M1607" s="200">
        <f t="shared" si="59"/>
        <v>0</v>
      </c>
    </row>
    <row r="1608" spans="2:13" x14ac:dyDescent="0.35">
      <c r="B1608" s="117"/>
      <c r="C1608" s="117"/>
      <c r="D1608" s="117"/>
      <c r="E1608" s="117"/>
      <c r="F1608" s="200"/>
      <c r="G1608" s="200"/>
      <c r="H1608" s="200"/>
      <c r="I1608" s="200"/>
      <c r="J1608" s="200"/>
      <c r="K1608" s="200">
        <f>SUMIF(AE!C:C,ATB!C:C,AE!F:F)</f>
        <v>0</v>
      </c>
      <c r="L1608" s="200">
        <f t="shared" si="58"/>
        <v>0</v>
      </c>
      <c r="M1608" s="200">
        <f t="shared" si="59"/>
        <v>0</v>
      </c>
    </row>
    <row r="1609" spans="2:13" x14ac:dyDescent="0.35">
      <c r="B1609" s="117"/>
      <c r="C1609" s="117"/>
      <c r="D1609" s="117"/>
      <c r="E1609" s="117"/>
      <c r="F1609" s="200"/>
      <c r="G1609" s="200"/>
      <c r="H1609" s="200"/>
      <c r="I1609" s="200"/>
      <c r="J1609" s="200"/>
      <c r="K1609" s="200">
        <f>SUMIF(AE!C:C,ATB!C:C,AE!F:F)</f>
        <v>0</v>
      </c>
      <c r="L1609" s="200">
        <f t="shared" si="58"/>
        <v>0</v>
      </c>
      <c r="M1609" s="200">
        <f t="shared" si="59"/>
        <v>0</v>
      </c>
    </row>
    <row r="1610" spans="2:13" x14ac:dyDescent="0.35">
      <c r="B1610" s="117"/>
      <c r="C1610" s="117"/>
      <c r="D1610" s="117"/>
      <c r="E1610" s="117"/>
      <c r="F1610" s="200"/>
      <c r="G1610" s="200"/>
      <c r="H1610" s="200"/>
      <c r="I1610" s="200"/>
      <c r="J1610" s="200"/>
      <c r="K1610" s="200">
        <f>SUMIF(AE!C:C,ATB!C:C,AE!F:F)</f>
        <v>0</v>
      </c>
      <c r="L1610" s="200">
        <f t="shared" si="58"/>
        <v>0</v>
      </c>
      <c r="M1610" s="200">
        <f t="shared" si="59"/>
        <v>0</v>
      </c>
    </row>
    <row r="1611" spans="2:13" x14ac:dyDescent="0.35">
      <c r="B1611" s="117"/>
      <c r="C1611" s="117"/>
      <c r="D1611" s="117"/>
      <c r="E1611" s="117"/>
      <c r="F1611" s="200"/>
      <c r="G1611" s="200"/>
      <c r="H1611" s="200"/>
      <c r="I1611" s="200"/>
      <c r="J1611" s="200"/>
      <c r="K1611" s="200">
        <f>SUMIF(AE!C:C,ATB!C:C,AE!F:F)</f>
        <v>0</v>
      </c>
      <c r="L1611" s="200">
        <f t="shared" si="58"/>
        <v>0</v>
      </c>
      <c r="M1611" s="200">
        <f t="shared" si="59"/>
        <v>0</v>
      </c>
    </row>
    <row r="1612" spans="2:13" x14ac:dyDescent="0.35">
      <c r="B1612" s="117"/>
      <c r="C1612" s="117"/>
      <c r="D1612" s="117"/>
      <c r="E1612" s="117"/>
      <c r="F1612" s="200"/>
      <c r="G1612" s="200"/>
      <c r="H1612" s="200"/>
      <c r="I1612" s="200"/>
      <c r="J1612" s="200"/>
      <c r="K1612" s="200">
        <f>SUMIF(AE!C:C,ATB!C:C,AE!F:F)</f>
        <v>0</v>
      </c>
      <c r="L1612" s="200">
        <f t="shared" si="58"/>
        <v>0</v>
      </c>
      <c r="M1612" s="200">
        <f t="shared" si="59"/>
        <v>0</v>
      </c>
    </row>
    <row r="1613" spans="2:13" x14ac:dyDescent="0.35">
      <c r="B1613" s="117"/>
      <c r="C1613" s="117"/>
      <c r="D1613" s="117"/>
      <c r="E1613" s="117"/>
      <c r="F1613" s="200"/>
      <c r="G1613" s="200"/>
      <c r="H1613" s="200"/>
      <c r="I1613" s="200"/>
      <c r="J1613" s="200"/>
      <c r="K1613" s="200">
        <f>SUMIF(AE!C:C,ATB!C:C,AE!F:F)</f>
        <v>0</v>
      </c>
      <c r="L1613" s="200">
        <f t="shared" si="58"/>
        <v>0</v>
      </c>
      <c r="M1613" s="200">
        <f t="shared" si="59"/>
        <v>0</v>
      </c>
    </row>
    <row r="1614" spans="2:13" x14ac:dyDescent="0.35">
      <c r="B1614" s="117"/>
      <c r="C1614" s="117"/>
      <c r="D1614" s="117"/>
      <c r="E1614" s="117"/>
      <c r="F1614" s="200"/>
      <c r="G1614" s="200"/>
      <c r="H1614" s="200"/>
      <c r="I1614" s="200"/>
      <c r="J1614" s="200"/>
      <c r="K1614" s="200">
        <f>SUMIF(AE!C:C,ATB!C:C,AE!F:F)</f>
        <v>0</v>
      </c>
      <c r="L1614" s="200">
        <f t="shared" si="58"/>
        <v>0</v>
      </c>
      <c r="M1614" s="200">
        <f t="shared" si="59"/>
        <v>0</v>
      </c>
    </row>
    <row r="1615" spans="2:13" x14ac:dyDescent="0.35">
      <c r="B1615" s="117"/>
      <c r="C1615" s="117"/>
      <c r="D1615" s="117"/>
      <c r="E1615" s="117"/>
      <c r="F1615" s="200"/>
      <c r="G1615" s="200"/>
      <c r="H1615" s="200"/>
      <c r="I1615" s="200"/>
      <c r="J1615" s="200"/>
      <c r="K1615" s="200">
        <f>SUMIF(AE!C:C,ATB!C:C,AE!F:F)</f>
        <v>0</v>
      </c>
      <c r="L1615" s="200">
        <f t="shared" si="58"/>
        <v>0</v>
      </c>
      <c r="M1615" s="200">
        <f t="shared" si="59"/>
        <v>0</v>
      </c>
    </row>
    <row r="1616" spans="2:13" x14ac:dyDescent="0.35">
      <c r="B1616" s="117"/>
      <c r="C1616" s="117"/>
      <c r="D1616" s="117"/>
      <c r="E1616" s="117"/>
      <c r="F1616" s="200"/>
      <c r="G1616" s="200"/>
      <c r="H1616" s="200"/>
      <c r="I1616" s="200"/>
      <c r="J1616" s="200"/>
      <c r="K1616" s="200">
        <f>SUMIF(AE!C:C,ATB!C:C,AE!F:F)</f>
        <v>0</v>
      </c>
      <c r="L1616" s="200">
        <f t="shared" si="58"/>
        <v>0</v>
      </c>
      <c r="M1616" s="200">
        <f t="shared" si="59"/>
        <v>0</v>
      </c>
    </row>
    <row r="1617" spans="2:13" x14ac:dyDescent="0.35">
      <c r="B1617" s="117"/>
      <c r="C1617" s="117"/>
      <c r="D1617" s="117"/>
      <c r="E1617" s="117"/>
      <c r="F1617" s="200"/>
      <c r="G1617" s="200"/>
      <c r="H1617" s="200"/>
      <c r="I1617" s="200"/>
      <c r="J1617" s="200"/>
      <c r="K1617" s="200">
        <f>SUMIF(AE!C:C,ATB!C:C,AE!F:F)</f>
        <v>0</v>
      </c>
      <c r="L1617" s="200">
        <f t="shared" si="58"/>
        <v>0</v>
      </c>
      <c r="M1617" s="200">
        <f t="shared" si="59"/>
        <v>0</v>
      </c>
    </row>
    <row r="1618" spans="2:13" x14ac:dyDescent="0.35">
      <c r="B1618" s="117"/>
      <c r="C1618" s="117"/>
      <c r="D1618" s="117"/>
      <c r="E1618" s="117"/>
      <c r="F1618" s="200"/>
      <c r="G1618" s="200"/>
      <c r="H1618" s="200"/>
      <c r="I1618" s="200"/>
      <c r="J1618" s="200"/>
      <c r="K1618" s="200">
        <f>SUMIF(AE!C:C,ATB!C:C,AE!F:F)</f>
        <v>0</v>
      </c>
      <c r="L1618" s="200">
        <f t="shared" si="58"/>
        <v>0</v>
      </c>
      <c r="M1618" s="200">
        <f t="shared" si="59"/>
        <v>0</v>
      </c>
    </row>
    <row r="1619" spans="2:13" x14ac:dyDescent="0.35">
      <c r="B1619" s="117"/>
      <c r="C1619" s="117"/>
      <c r="D1619" s="117"/>
      <c r="E1619" s="117"/>
      <c r="F1619" s="200"/>
      <c r="G1619" s="200"/>
      <c r="H1619" s="200"/>
      <c r="I1619" s="200"/>
      <c r="J1619" s="200"/>
      <c r="K1619" s="200">
        <f>SUMIF(AE!C:C,ATB!C:C,AE!F:F)</f>
        <v>0</v>
      </c>
      <c r="L1619" s="200">
        <f t="shared" si="58"/>
        <v>0</v>
      </c>
      <c r="M1619" s="200">
        <f t="shared" si="59"/>
        <v>0</v>
      </c>
    </row>
    <row r="1620" spans="2:13" x14ac:dyDescent="0.35">
      <c r="B1620" s="117"/>
      <c r="C1620" s="117"/>
      <c r="D1620" s="117"/>
      <c r="E1620" s="117"/>
      <c r="F1620" s="200"/>
      <c r="G1620" s="200"/>
      <c r="H1620" s="200"/>
      <c r="I1620" s="200"/>
      <c r="J1620" s="200"/>
      <c r="K1620" s="200">
        <f>SUMIF(AE!C:C,ATB!C:C,AE!F:F)</f>
        <v>0</v>
      </c>
      <c r="L1620" s="200">
        <f t="shared" si="58"/>
        <v>0</v>
      </c>
      <c r="M1620" s="200">
        <f t="shared" si="59"/>
        <v>0</v>
      </c>
    </row>
    <row r="1621" spans="2:13" x14ac:dyDescent="0.35">
      <c r="B1621" s="117"/>
      <c r="C1621" s="117"/>
      <c r="D1621" s="117"/>
      <c r="E1621" s="117"/>
      <c r="F1621" s="200"/>
      <c r="G1621" s="200"/>
      <c r="H1621" s="200"/>
      <c r="I1621" s="200"/>
      <c r="J1621" s="200"/>
      <c r="K1621" s="200">
        <f>SUMIF(AE!C:C,ATB!C:C,AE!F:F)</f>
        <v>0</v>
      </c>
      <c r="L1621" s="200">
        <f t="shared" si="58"/>
        <v>0</v>
      </c>
      <c r="M1621" s="200">
        <f t="shared" si="59"/>
        <v>0</v>
      </c>
    </row>
    <row r="1622" spans="2:13" x14ac:dyDescent="0.35">
      <c r="B1622" s="117"/>
      <c r="C1622" s="117"/>
      <c r="D1622" s="117"/>
      <c r="E1622" s="117"/>
      <c r="F1622" s="200"/>
      <c r="G1622" s="200"/>
      <c r="H1622" s="200"/>
      <c r="I1622" s="200"/>
      <c r="J1622" s="200"/>
      <c r="K1622" s="200">
        <f>SUMIF(AE!C:C,ATB!C:C,AE!F:F)</f>
        <v>0</v>
      </c>
      <c r="L1622" s="200">
        <f t="shared" si="58"/>
        <v>0</v>
      </c>
      <c r="M1622" s="200">
        <f t="shared" si="59"/>
        <v>0</v>
      </c>
    </row>
    <row r="1623" spans="2:13" x14ac:dyDescent="0.35">
      <c r="B1623" s="117"/>
      <c r="C1623" s="117"/>
      <c r="D1623" s="117"/>
      <c r="E1623" s="117"/>
      <c r="F1623" s="200"/>
      <c r="G1623" s="200"/>
      <c r="H1623" s="200"/>
      <c r="I1623" s="200"/>
      <c r="J1623" s="200"/>
      <c r="K1623" s="200">
        <f>SUMIF(AE!C:C,ATB!C:C,AE!F:F)</f>
        <v>0</v>
      </c>
      <c r="L1623" s="200">
        <f t="shared" si="58"/>
        <v>0</v>
      </c>
      <c r="M1623" s="200">
        <f t="shared" si="59"/>
        <v>0</v>
      </c>
    </row>
    <row r="1624" spans="2:13" x14ac:dyDescent="0.35">
      <c r="B1624" s="117"/>
      <c r="C1624" s="117"/>
      <c r="D1624" s="117"/>
      <c r="E1624" s="117"/>
      <c r="F1624" s="200"/>
      <c r="G1624" s="200"/>
      <c r="H1624" s="200"/>
      <c r="I1624" s="200"/>
      <c r="J1624" s="200"/>
      <c r="K1624" s="200">
        <f>SUMIF(AE!C:C,ATB!C:C,AE!F:F)</f>
        <v>0</v>
      </c>
      <c r="L1624" s="200">
        <f t="shared" si="58"/>
        <v>0</v>
      </c>
      <c r="M1624" s="200">
        <f t="shared" si="59"/>
        <v>0</v>
      </c>
    </row>
    <row r="1625" spans="2:13" x14ac:dyDescent="0.35">
      <c r="B1625" s="117"/>
      <c r="C1625" s="117"/>
      <c r="D1625" s="117"/>
      <c r="E1625" s="117"/>
      <c r="F1625" s="200"/>
      <c r="G1625" s="200"/>
      <c r="H1625" s="200"/>
      <c r="I1625" s="200"/>
      <c r="J1625" s="200"/>
      <c r="K1625" s="200">
        <f>SUMIF(AE!C:C,ATB!C:C,AE!F:F)</f>
        <v>0</v>
      </c>
      <c r="L1625" s="200">
        <f t="shared" si="58"/>
        <v>0</v>
      </c>
      <c r="M1625" s="200">
        <f t="shared" si="59"/>
        <v>0</v>
      </c>
    </row>
    <row r="1626" spans="2:13" x14ac:dyDescent="0.35">
      <c r="B1626" s="117"/>
      <c r="C1626" s="117"/>
      <c r="D1626" s="117"/>
      <c r="E1626" s="117"/>
      <c r="F1626" s="200"/>
      <c r="G1626" s="200"/>
      <c r="H1626" s="200"/>
      <c r="I1626" s="200"/>
      <c r="J1626" s="200"/>
      <c r="K1626" s="200">
        <f>SUMIF(AE!C:C,ATB!C:C,AE!F:F)</f>
        <v>0</v>
      </c>
      <c r="L1626" s="200">
        <f t="shared" si="58"/>
        <v>0</v>
      </c>
      <c r="M1626" s="200">
        <f t="shared" si="59"/>
        <v>0</v>
      </c>
    </row>
    <row r="1627" spans="2:13" x14ac:dyDescent="0.35">
      <c r="B1627" s="117"/>
      <c r="C1627" s="117"/>
      <c r="D1627" s="117"/>
      <c r="E1627" s="117"/>
      <c r="F1627" s="200"/>
      <c r="G1627" s="200"/>
      <c r="H1627" s="200"/>
      <c r="I1627" s="200"/>
      <c r="J1627" s="200"/>
      <c r="K1627" s="200">
        <f>SUMIF(AE!C:C,ATB!C:C,AE!F:F)</f>
        <v>0</v>
      </c>
      <c r="L1627" s="200">
        <f t="shared" si="58"/>
        <v>0</v>
      </c>
      <c r="M1627" s="200">
        <f t="shared" si="59"/>
        <v>0</v>
      </c>
    </row>
    <row r="1628" spans="2:13" x14ac:dyDescent="0.35">
      <c r="B1628" s="117"/>
      <c r="C1628" s="117"/>
      <c r="D1628" s="117"/>
      <c r="E1628" s="117"/>
      <c r="F1628" s="200"/>
      <c r="G1628" s="200"/>
      <c r="H1628" s="200"/>
      <c r="I1628" s="200"/>
      <c r="J1628" s="200"/>
      <c r="K1628" s="200">
        <f>SUMIF(AE!C:C,ATB!C:C,AE!F:F)</f>
        <v>0</v>
      </c>
      <c r="L1628" s="200">
        <f t="shared" si="58"/>
        <v>0</v>
      </c>
      <c r="M1628" s="200">
        <f t="shared" si="59"/>
        <v>0</v>
      </c>
    </row>
    <row r="1629" spans="2:13" x14ac:dyDescent="0.35">
      <c r="B1629" s="117"/>
      <c r="C1629" s="117"/>
      <c r="D1629" s="117"/>
      <c r="E1629" s="117"/>
      <c r="F1629" s="200"/>
      <c r="G1629" s="200"/>
      <c r="H1629" s="200"/>
      <c r="I1629" s="200"/>
      <c r="J1629" s="200"/>
      <c r="K1629" s="200">
        <f>SUMIF(AE!C:C,ATB!C:C,AE!F:F)</f>
        <v>0</v>
      </c>
      <c r="L1629" s="200">
        <f t="shared" si="58"/>
        <v>0</v>
      </c>
      <c r="M1629" s="200">
        <f t="shared" si="59"/>
        <v>0</v>
      </c>
    </row>
    <row r="1630" spans="2:13" x14ac:dyDescent="0.35">
      <c r="B1630" s="117"/>
      <c r="C1630" s="117"/>
      <c r="D1630" s="117"/>
      <c r="E1630" s="117"/>
      <c r="F1630" s="200"/>
      <c r="G1630" s="200"/>
      <c r="H1630" s="200"/>
      <c r="I1630" s="200"/>
      <c r="J1630" s="200"/>
      <c r="K1630" s="200">
        <f>SUMIF(AE!C:C,ATB!C:C,AE!F:F)</f>
        <v>0</v>
      </c>
      <c r="L1630" s="200">
        <f t="shared" si="58"/>
        <v>0</v>
      </c>
      <c r="M1630" s="200">
        <f t="shared" si="59"/>
        <v>0</v>
      </c>
    </row>
    <row r="1631" spans="2:13" x14ac:dyDescent="0.35">
      <c r="B1631" s="117"/>
      <c r="C1631" s="117"/>
      <c r="D1631" s="117"/>
      <c r="E1631" s="117"/>
      <c r="F1631" s="200"/>
      <c r="G1631" s="200"/>
      <c r="H1631" s="200"/>
      <c r="I1631" s="200"/>
      <c r="J1631" s="200"/>
      <c r="K1631" s="200">
        <f>SUMIF(AE!C:C,ATB!C:C,AE!F:F)</f>
        <v>0</v>
      </c>
      <c r="L1631" s="200">
        <f t="shared" si="58"/>
        <v>0</v>
      </c>
      <c r="M1631" s="200">
        <f t="shared" si="59"/>
        <v>0</v>
      </c>
    </row>
    <row r="1632" spans="2:13" x14ac:dyDescent="0.35">
      <c r="B1632" s="117"/>
      <c r="C1632" s="117"/>
      <c r="D1632" s="117"/>
      <c r="E1632" s="117"/>
      <c r="F1632" s="200"/>
      <c r="G1632" s="200"/>
      <c r="H1632" s="200"/>
      <c r="I1632" s="200"/>
      <c r="J1632" s="200"/>
      <c r="K1632" s="200">
        <f>SUMIF(AE!C:C,ATB!C:C,AE!F:F)</f>
        <v>0</v>
      </c>
      <c r="L1632" s="200">
        <f t="shared" si="58"/>
        <v>0</v>
      </c>
      <c r="M1632" s="200">
        <f t="shared" si="59"/>
        <v>0</v>
      </c>
    </row>
    <row r="1633" spans="2:13" x14ac:dyDescent="0.35">
      <c r="B1633" s="117"/>
      <c r="C1633" s="117"/>
      <c r="D1633" s="117"/>
      <c r="E1633" s="117"/>
      <c r="F1633" s="200"/>
      <c r="G1633" s="200"/>
      <c r="H1633" s="200"/>
      <c r="I1633" s="200"/>
      <c r="J1633" s="200"/>
      <c r="K1633" s="200">
        <f>SUMIF(AE!C:C,ATB!C:C,AE!F:F)</f>
        <v>0</v>
      </c>
      <c r="L1633" s="200">
        <f t="shared" si="58"/>
        <v>0</v>
      </c>
      <c r="M1633" s="200">
        <f t="shared" si="59"/>
        <v>0</v>
      </c>
    </row>
    <row r="1634" spans="2:13" x14ac:dyDescent="0.35">
      <c r="B1634" s="117"/>
      <c r="C1634" s="117"/>
      <c r="D1634" s="117"/>
      <c r="E1634" s="117"/>
      <c r="F1634" s="200"/>
      <c r="G1634" s="200"/>
      <c r="H1634" s="200"/>
      <c r="I1634" s="200"/>
      <c r="J1634" s="200"/>
      <c r="K1634" s="200">
        <f>SUMIF(AE!C:C,ATB!C:C,AE!F:F)</f>
        <v>0</v>
      </c>
      <c r="L1634" s="200">
        <f t="shared" si="58"/>
        <v>0</v>
      </c>
      <c r="M1634" s="200">
        <f t="shared" si="59"/>
        <v>0</v>
      </c>
    </row>
    <row r="1635" spans="2:13" x14ac:dyDescent="0.35">
      <c r="B1635" s="117"/>
      <c r="C1635" s="117"/>
      <c r="D1635" s="117"/>
      <c r="E1635" s="117"/>
      <c r="F1635" s="200"/>
      <c r="G1635" s="200"/>
      <c r="H1635" s="200"/>
      <c r="I1635" s="200"/>
      <c r="J1635" s="200"/>
      <c r="K1635" s="200">
        <f>SUMIF(AE!C:C,ATB!C:C,AE!F:F)</f>
        <v>0</v>
      </c>
      <c r="L1635" s="200">
        <f t="shared" si="58"/>
        <v>0</v>
      </c>
      <c r="M1635" s="200">
        <f t="shared" si="59"/>
        <v>0</v>
      </c>
    </row>
    <row r="1636" spans="2:13" x14ac:dyDescent="0.35">
      <c r="B1636" s="117"/>
      <c r="C1636" s="117"/>
      <c r="D1636" s="117"/>
      <c r="E1636" s="117"/>
      <c r="F1636" s="200"/>
      <c r="G1636" s="200"/>
      <c r="H1636" s="200"/>
      <c r="I1636" s="200"/>
      <c r="J1636" s="200"/>
      <c r="K1636" s="200">
        <f>SUMIF(AE!C:C,ATB!C:C,AE!F:F)</f>
        <v>0</v>
      </c>
      <c r="L1636" s="200">
        <f t="shared" si="58"/>
        <v>0</v>
      </c>
      <c r="M1636" s="200">
        <f t="shared" si="59"/>
        <v>0</v>
      </c>
    </row>
    <row r="1637" spans="2:13" x14ac:dyDescent="0.35">
      <c r="B1637" s="117"/>
      <c r="C1637" s="117"/>
      <c r="D1637" s="117"/>
      <c r="E1637" s="117"/>
      <c r="F1637" s="200"/>
      <c r="G1637" s="200"/>
      <c r="H1637" s="200"/>
      <c r="I1637" s="200"/>
      <c r="J1637" s="200"/>
      <c r="K1637" s="200">
        <f>SUMIF(AE!C:C,ATB!C:C,AE!F:F)</f>
        <v>0</v>
      </c>
      <c r="L1637" s="200">
        <f t="shared" si="58"/>
        <v>0</v>
      </c>
      <c r="M1637" s="200">
        <f t="shared" si="59"/>
        <v>0</v>
      </c>
    </row>
    <row r="1638" spans="2:13" x14ac:dyDescent="0.35">
      <c r="B1638" s="117"/>
      <c r="C1638" s="117"/>
      <c r="D1638" s="117"/>
      <c r="E1638" s="117"/>
      <c r="F1638" s="200"/>
      <c r="G1638" s="200"/>
      <c r="H1638" s="200"/>
      <c r="I1638" s="200"/>
      <c r="J1638" s="200"/>
      <c r="K1638" s="200">
        <f>SUMIF(AE!C:C,ATB!C:C,AE!F:F)</f>
        <v>0</v>
      </c>
      <c r="L1638" s="200">
        <f t="shared" si="58"/>
        <v>0</v>
      </c>
      <c r="M1638" s="200">
        <f t="shared" si="59"/>
        <v>0</v>
      </c>
    </row>
    <row r="1639" spans="2:13" x14ac:dyDescent="0.35">
      <c r="B1639" s="117"/>
      <c r="C1639" s="117"/>
      <c r="D1639" s="117"/>
      <c r="E1639" s="117"/>
      <c r="F1639" s="200"/>
      <c r="G1639" s="200"/>
      <c r="H1639" s="200"/>
      <c r="I1639" s="200"/>
      <c r="J1639" s="200"/>
      <c r="K1639" s="200">
        <f>SUMIF(AE!C:C,ATB!C:C,AE!F:F)</f>
        <v>0</v>
      </c>
      <c r="L1639" s="200">
        <f t="shared" si="58"/>
        <v>0</v>
      </c>
      <c r="M1639" s="200">
        <f t="shared" si="59"/>
        <v>0</v>
      </c>
    </row>
    <row r="1640" spans="2:13" x14ac:dyDescent="0.35">
      <c r="B1640" s="117"/>
      <c r="C1640" s="117"/>
      <c r="D1640" s="117"/>
      <c r="E1640" s="117"/>
      <c r="F1640" s="200"/>
      <c r="G1640" s="200"/>
      <c r="H1640" s="200"/>
      <c r="I1640" s="200"/>
      <c r="J1640" s="200"/>
      <c r="K1640" s="200">
        <f>SUMIF(AE!C:C,ATB!C:C,AE!F:F)</f>
        <v>0</v>
      </c>
      <c r="L1640" s="200">
        <f t="shared" si="58"/>
        <v>0</v>
      </c>
      <c r="M1640" s="200">
        <f t="shared" si="59"/>
        <v>0</v>
      </c>
    </row>
    <row r="1641" spans="2:13" x14ac:dyDescent="0.35">
      <c r="B1641" s="117"/>
      <c r="C1641" s="117"/>
      <c r="D1641" s="117"/>
      <c r="E1641" s="117"/>
      <c r="F1641" s="200"/>
      <c r="G1641" s="200"/>
      <c r="H1641" s="200"/>
      <c r="I1641" s="200"/>
      <c r="J1641" s="200"/>
      <c r="K1641" s="200">
        <f>SUMIF(AE!C:C,ATB!C:C,AE!F:F)</f>
        <v>0</v>
      </c>
      <c r="L1641" s="200">
        <f t="shared" si="58"/>
        <v>0</v>
      </c>
      <c r="M1641" s="200">
        <f t="shared" si="59"/>
        <v>0</v>
      </c>
    </row>
    <row r="1642" spans="2:13" x14ac:dyDescent="0.35">
      <c r="B1642" s="117"/>
      <c r="C1642" s="117"/>
      <c r="D1642" s="117"/>
      <c r="E1642" s="117"/>
      <c r="F1642" s="200"/>
      <c r="G1642" s="200"/>
      <c r="H1642" s="200"/>
      <c r="I1642" s="200"/>
      <c r="J1642" s="200"/>
      <c r="K1642" s="200">
        <f>SUMIF(AE!C:C,ATB!C:C,AE!F:F)</f>
        <v>0</v>
      </c>
      <c r="L1642" s="200">
        <f t="shared" si="58"/>
        <v>0</v>
      </c>
      <c r="M1642" s="200">
        <f t="shared" si="59"/>
        <v>0</v>
      </c>
    </row>
    <row r="1643" spans="2:13" x14ac:dyDescent="0.35">
      <c r="B1643" s="117"/>
      <c r="C1643" s="117"/>
      <c r="D1643" s="117"/>
      <c r="E1643" s="117"/>
      <c r="F1643" s="200"/>
      <c r="G1643" s="200"/>
      <c r="H1643" s="200"/>
      <c r="I1643" s="200"/>
      <c r="J1643" s="200"/>
      <c r="K1643" s="200">
        <f>SUMIF(AE!C:C,ATB!C:C,AE!F:F)</f>
        <v>0</v>
      </c>
      <c r="L1643" s="200">
        <f t="shared" si="58"/>
        <v>0</v>
      </c>
      <c r="M1643" s="200">
        <f t="shared" si="59"/>
        <v>0</v>
      </c>
    </row>
    <row r="1644" spans="2:13" x14ac:dyDescent="0.35">
      <c r="B1644" s="117"/>
      <c r="C1644" s="117"/>
      <c r="D1644" s="117"/>
      <c r="E1644" s="117"/>
      <c r="F1644" s="200"/>
      <c r="G1644" s="200"/>
      <c r="H1644" s="200"/>
      <c r="I1644" s="200"/>
      <c r="J1644" s="200"/>
      <c r="K1644" s="200">
        <f>SUMIF(AE!C:C,ATB!C:C,AE!F:F)</f>
        <v>0</v>
      </c>
      <c r="L1644" s="200">
        <f t="shared" si="58"/>
        <v>0</v>
      </c>
      <c r="M1644" s="200">
        <f t="shared" si="59"/>
        <v>0</v>
      </c>
    </row>
    <row r="1645" spans="2:13" x14ac:dyDescent="0.35">
      <c r="B1645" s="117"/>
      <c r="C1645" s="117"/>
      <c r="D1645" s="117"/>
      <c r="E1645" s="117"/>
      <c r="F1645" s="200"/>
      <c r="G1645" s="200"/>
      <c r="H1645" s="200"/>
      <c r="I1645" s="200"/>
      <c r="J1645" s="200"/>
      <c r="K1645" s="200">
        <f>SUMIF(AE!C:C,ATB!C:C,AE!F:F)</f>
        <v>0</v>
      </c>
      <c r="L1645" s="200">
        <f t="shared" si="58"/>
        <v>0</v>
      </c>
      <c r="M1645" s="200">
        <f t="shared" si="59"/>
        <v>0</v>
      </c>
    </row>
    <row r="1646" spans="2:13" x14ac:dyDescent="0.35">
      <c r="B1646" s="117"/>
      <c r="C1646" s="117"/>
      <c r="D1646" s="117"/>
      <c r="E1646" s="117"/>
      <c r="F1646" s="200"/>
      <c r="G1646" s="200"/>
      <c r="H1646" s="200"/>
      <c r="I1646" s="200"/>
      <c r="J1646" s="200"/>
      <c r="K1646" s="200">
        <f>SUMIF(AE!C:C,ATB!C:C,AE!F:F)</f>
        <v>0</v>
      </c>
      <c r="L1646" s="200">
        <f t="shared" si="58"/>
        <v>0</v>
      </c>
      <c r="M1646" s="200">
        <f t="shared" si="59"/>
        <v>0</v>
      </c>
    </row>
    <row r="1647" spans="2:13" x14ac:dyDescent="0.35">
      <c r="B1647" s="117"/>
      <c r="C1647" s="117"/>
      <c r="D1647" s="117"/>
      <c r="E1647" s="117"/>
      <c r="F1647" s="200"/>
      <c r="G1647" s="200"/>
      <c r="H1647" s="200"/>
      <c r="I1647" s="200"/>
      <c r="J1647" s="200"/>
      <c r="K1647" s="200">
        <f>SUMIF(AE!C:C,ATB!C:C,AE!F:F)</f>
        <v>0</v>
      </c>
      <c r="L1647" s="200">
        <f t="shared" si="58"/>
        <v>0</v>
      </c>
      <c r="M1647" s="200">
        <f t="shared" si="59"/>
        <v>0</v>
      </c>
    </row>
    <row r="1648" spans="2:13" x14ac:dyDescent="0.35">
      <c r="B1648" s="117"/>
      <c r="C1648" s="117"/>
      <c r="D1648" s="117"/>
      <c r="E1648" s="117"/>
      <c r="F1648" s="200"/>
      <c r="G1648" s="200"/>
      <c r="H1648" s="200"/>
      <c r="I1648" s="200"/>
      <c r="J1648" s="200"/>
      <c r="K1648" s="200">
        <f>SUMIF(AE!C:C,ATB!C:C,AE!F:F)</f>
        <v>0</v>
      </c>
      <c r="L1648" s="200">
        <f t="shared" si="58"/>
        <v>0</v>
      </c>
      <c r="M1648" s="200">
        <f t="shared" si="59"/>
        <v>0</v>
      </c>
    </row>
    <row r="1649" spans="2:13" x14ac:dyDescent="0.35">
      <c r="B1649" s="117"/>
      <c r="C1649" s="117"/>
      <c r="D1649" s="117"/>
      <c r="E1649" s="117"/>
      <c r="F1649" s="200"/>
      <c r="G1649" s="200"/>
      <c r="H1649" s="200"/>
      <c r="I1649" s="200"/>
      <c r="J1649" s="200"/>
      <c r="K1649" s="200">
        <f>SUMIF(AE!C:C,ATB!C:C,AE!F:F)</f>
        <v>0</v>
      </c>
      <c r="L1649" s="200">
        <f t="shared" si="58"/>
        <v>0</v>
      </c>
      <c r="M1649" s="200">
        <f t="shared" si="59"/>
        <v>0</v>
      </c>
    </row>
    <row r="1650" spans="2:13" x14ac:dyDescent="0.35">
      <c r="B1650" s="117"/>
      <c r="C1650" s="117"/>
      <c r="D1650" s="117"/>
      <c r="E1650" s="117"/>
      <c r="F1650" s="200"/>
      <c r="G1650" s="200"/>
      <c r="H1650" s="200"/>
      <c r="I1650" s="200"/>
      <c r="J1650" s="200"/>
      <c r="K1650" s="200">
        <f>SUMIF(AE!C:C,ATB!C:C,AE!F:F)</f>
        <v>0</v>
      </c>
      <c r="L1650" s="200">
        <f t="shared" si="58"/>
        <v>0</v>
      </c>
      <c r="M1650" s="200">
        <f t="shared" si="59"/>
        <v>0</v>
      </c>
    </row>
    <row r="1651" spans="2:13" x14ac:dyDescent="0.35">
      <c r="B1651" s="117"/>
      <c r="C1651" s="117"/>
      <c r="D1651" s="117"/>
      <c r="E1651" s="117"/>
      <c r="F1651" s="200"/>
      <c r="G1651" s="200"/>
      <c r="H1651" s="200"/>
      <c r="I1651" s="200"/>
      <c r="J1651" s="200"/>
      <c r="K1651" s="200">
        <f>SUMIF(AE!C:C,ATB!C:C,AE!F:F)</f>
        <v>0</v>
      </c>
      <c r="L1651" s="200">
        <f t="shared" si="58"/>
        <v>0</v>
      </c>
      <c r="M1651" s="200">
        <f t="shared" si="59"/>
        <v>0</v>
      </c>
    </row>
    <row r="1652" spans="2:13" x14ac:dyDescent="0.35">
      <c r="B1652" s="117"/>
      <c r="C1652" s="117"/>
      <c r="D1652" s="117"/>
      <c r="E1652" s="117"/>
      <c r="F1652" s="200"/>
      <c r="G1652" s="200"/>
      <c r="H1652" s="200"/>
      <c r="I1652" s="200"/>
      <c r="J1652" s="200"/>
      <c r="K1652" s="200">
        <f>SUMIF(AE!C:C,ATB!C:C,AE!F:F)</f>
        <v>0</v>
      </c>
      <c r="L1652" s="200">
        <f t="shared" si="58"/>
        <v>0</v>
      </c>
      <c r="M1652" s="200">
        <f t="shared" si="59"/>
        <v>0</v>
      </c>
    </row>
    <row r="1653" spans="2:13" x14ac:dyDescent="0.35">
      <c r="B1653" s="117"/>
      <c r="C1653" s="117"/>
      <c r="D1653" s="117"/>
      <c r="E1653" s="117"/>
      <c r="F1653" s="200"/>
      <c r="G1653" s="200"/>
      <c r="H1653" s="200"/>
      <c r="I1653" s="200"/>
      <c r="J1653" s="200"/>
      <c r="K1653" s="200">
        <f>SUMIF(AE!C:C,ATB!C:C,AE!F:F)</f>
        <v>0</v>
      </c>
      <c r="L1653" s="200">
        <f t="shared" si="58"/>
        <v>0</v>
      </c>
      <c r="M1653" s="200">
        <f t="shared" si="59"/>
        <v>0</v>
      </c>
    </row>
    <row r="1654" spans="2:13" x14ac:dyDescent="0.35">
      <c r="B1654" s="117"/>
      <c r="C1654" s="117"/>
      <c r="D1654" s="117"/>
      <c r="E1654" s="117"/>
      <c r="F1654" s="200"/>
      <c r="G1654" s="200"/>
      <c r="H1654" s="200"/>
      <c r="I1654" s="200"/>
      <c r="J1654" s="200"/>
      <c r="K1654" s="200">
        <f>SUMIF(AE!C:C,ATB!C:C,AE!F:F)</f>
        <v>0</v>
      </c>
      <c r="L1654" s="200">
        <f t="shared" si="58"/>
        <v>0</v>
      </c>
      <c r="M1654" s="200">
        <f t="shared" si="59"/>
        <v>0</v>
      </c>
    </row>
    <row r="1655" spans="2:13" x14ac:dyDescent="0.35">
      <c r="B1655" s="117"/>
      <c r="C1655" s="117"/>
      <c r="D1655" s="117"/>
      <c r="E1655" s="117"/>
      <c r="F1655" s="200"/>
      <c r="G1655" s="200"/>
      <c r="H1655" s="200"/>
      <c r="I1655" s="200"/>
      <c r="J1655" s="200"/>
      <c r="K1655" s="200">
        <f>SUMIF(AE!C:C,ATB!C:C,AE!F:F)</f>
        <v>0</v>
      </c>
      <c r="L1655" s="200">
        <f t="shared" si="58"/>
        <v>0</v>
      </c>
      <c r="M1655" s="200">
        <f t="shared" si="59"/>
        <v>0</v>
      </c>
    </row>
    <row r="1656" spans="2:13" x14ac:dyDescent="0.35">
      <c r="B1656" s="117"/>
      <c r="C1656" s="117"/>
      <c r="D1656" s="117"/>
      <c r="E1656" s="117"/>
      <c r="F1656" s="200"/>
      <c r="G1656" s="200"/>
      <c r="H1656" s="200"/>
      <c r="I1656" s="200"/>
      <c r="J1656" s="200"/>
      <c r="K1656" s="200">
        <f>SUMIF(AE!C:C,ATB!C:C,AE!F:F)</f>
        <v>0</v>
      </c>
      <c r="L1656" s="200">
        <f t="shared" si="58"/>
        <v>0</v>
      </c>
      <c r="M1656" s="200">
        <f t="shared" si="59"/>
        <v>0</v>
      </c>
    </row>
    <row r="1657" spans="2:13" x14ac:dyDescent="0.35">
      <c r="B1657" s="117"/>
      <c r="C1657" s="117"/>
      <c r="D1657" s="117"/>
      <c r="E1657" s="117"/>
      <c r="F1657" s="200"/>
      <c r="G1657" s="200"/>
      <c r="H1657" s="200"/>
      <c r="I1657" s="200"/>
      <c r="J1657" s="200"/>
      <c r="K1657" s="200">
        <f>SUMIF(AE!C:C,ATB!C:C,AE!F:F)</f>
        <v>0</v>
      </c>
      <c r="L1657" s="200">
        <f t="shared" si="58"/>
        <v>0</v>
      </c>
      <c r="M1657" s="200">
        <f t="shared" si="59"/>
        <v>0</v>
      </c>
    </row>
    <row r="1658" spans="2:13" x14ac:dyDescent="0.35">
      <c r="B1658" s="117"/>
      <c r="C1658" s="117"/>
      <c r="D1658" s="117"/>
      <c r="E1658" s="117"/>
      <c r="F1658" s="200"/>
      <c r="G1658" s="200"/>
      <c r="H1658" s="200"/>
      <c r="I1658" s="200"/>
      <c r="J1658" s="200"/>
      <c r="K1658" s="200">
        <f>SUMIF(AE!C:C,ATB!C:C,AE!F:F)</f>
        <v>0</v>
      </c>
      <c r="L1658" s="200">
        <f t="shared" si="58"/>
        <v>0</v>
      </c>
      <c r="M1658" s="200">
        <f t="shared" si="59"/>
        <v>0</v>
      </c>
    </row>
    <row r="1659" spans="2:13" x14ac:dyDescent="0.35">
      <c r="B1659" s="117"/>
      <c r="C1659" s="117"/>
      <c r="D1659" s="117"/>
      <c r="E1659" s="117"/>
      <c r="F1659" s="200"/>
      <c r="G1659" s="200"/>
      <c r="H1659" s="200"/>
      <c r="I1659" s="200"/>
      <c r="J1659" s="200"/>
      <c r="K1659" s="200">
        <f>SUMIF(AE!C:C,ATB!C:C,AE!F:F)</f>
        <v>0</v>
      </c>
      <c r="L1659" s="200">
        <f t="shared" si="58"/>
        <v>0</v>
      </c>
      <c r="M1659" s="200">
        <f t="shared" si="59"/>
        <v>0</v>
      </c>
    </row>
    <row r="1660" spans="2:13" x14ac:dyDescent="0.35">
      <c r="B1660" s="117"/>
      <c r="C1660" s="117"/>
      <c r="D1660" s="117"/>
      <c r="E1660" s="117"/>
      <c r="F1660" s="200"/>
      <c r="G1660" s="200"/>
      <c r="H1660" s="200"/>
      <c r="I1660" s="200"/>
      <c r="J1660" s="200"/>
      <c r="K1660" s="200">
        <f>SUMIF(AE!C:C,ATB!C:C,AE!F:F)</f>
        <v>0</v>
      </c>
      <c r="L1660" s="200">
        <f t="shared" si="58"/>
        <v>0</v>
      </c>
      <c r="M1660" s="200">
        <f t="shared" si="59"/>
        <v>0</v>
      </c>
    </row>
    <row r="1661" spans="2:13" x14ac:dyDescent="0.35">
      <c r="B1661" s="117"/>
      <c r="C1661" s="117"/>
      <c r="D1661" s="117"/>
      <c r="E1661" s="117"/>
      <c r="F1661" s="200"/>
      <c r="G1661" s="200"/>
      <c r="H1661" s="200"/>
      <c r="I1661" s="200"/>
      <c r="J1661" s="200"/>
      <c r="K1661" s="200">
        <f>SUMIF(AE!C:C,ATB!C:C,AE!F:F)</f>
        <v>0</v>
      </c>
      <c r="L1661" s="200">
        <f t="shared" si="58"/>
        <v>0</v>
      </c>
      <c r="M1661" s="200">
        <f t="shared" si="59"/>
        <v>0</v>
      </c>
    </row>
    <row r="1662" spans="2:13" x14ac:dyDescent="0.35">
      <c r="B1662" s="117"/>
      <c r="C1662" s="117"/>
      <c r="D1662" s="117"/>
      <c r="E1662" s="117"/>
      <c r="F1662" s="200"/>
      <c r="G1662" s="200"/>
      <c r="H1662" s="200"/>
      <c r="I1662" s="200"/>
      <c r="J1662" s="200"/>
      <c r="K1662" s="200">
        <f>SUMIF(AE!C:C,ATB!C:C,AE!F:F)</f>
        <v>0</v>
      </c>
      <c r="L1662" s="200">
        <f t="shared" si="58"/>
        <v>0</v>
      </c>
      <c r="M1662" s="200">
        <f t="shared" si="59"/>
        <v>0</v>
      </c>
    </row>
    <row r="1663" spans="2:13" x14ac:dyDescent="0.35">
      <c r="B1663" s="117"/>
      <c r="C1663" s="117"/>
      <c r="D1663" s="117"/>
      <c r="E1663" s="117"/>
      <c r="F1663" s="200"/>
      <c r="G1663" s="200"/>
      <c r="H1663" s="200"/>
      <c r="I1663" s="200"/>
      <c r="J1663" s="200"/>
      <c r="K1663" s="200">
        <f>SUMIF(AE!C:C,ATB!C:C,AE!F:F)</f>
        <v>0</v>
      </c>
      <c r="L1663" s="200">
        <f t="shared" si="58"/>
        <v>0</v>
      </c>
      <c r="M1663" s="200">
        <f t="shared" si="59"/>
        <v>0</v>
      </c>
    </row>
    <row r="1664" spans="2:13" x14ac:dyDescent="0.35">
      <c r="B1664" s="117"/>
      <c r="C1664" s="117"/>
      <c r="D1664" s="117"/>
      <c r="E1664" s="117"/>
      <c r="F1664" s="200"/>
      <c r="G1664" s="200"/>
      <c r="H1664" s="200"/>
      <c r="I1664" s="200"/>
      <c r="J1664" s="200"/>
      <c r="K1664" s="200">
        <f>SUMIF(AE!C:C,ATB!C:C,AE!F:F)</f>
        <v>0</v>
      </c>
      <c r="L1664" s="200">
        <f t="shared" si="58"/>
        <v>0</v>
      </c>
      <c r="M1664" s="200">
        <f t="shared" si="59"/>
        <v>0</v>
      </c>
    </row>
    <row r="1665" spans="2:13" x14ac:dyDescent="0.35">
      <c r="B1665" s="117"/>
      <c r="C1665" s="117"/>
      <c r="D1665" s="117"/>
      <c r="E1665" s="117"/>
      <c r="F1665" s="200"/>
      <c r="G1665" s="200"/>
      <c r="H1665" s="200"/>
      <c r="I1665" s="200"/>
      <c r="J1665" s="200"/>
      <c r="K1665" s="200">
        <f>SUMIF(AE!C:C,ATB!C:C,AE!F:F)</f>
        <v>0</v>
      </c>
      <c r="L1665" s="200">
        <f t="shared" si="58"/>
        <v>0</v>
      </c>
      <c r="M1665" s="200">
        <f t="shared" si="59"/>
        <v>0</v>
      </c>
    </row>
    <row r="1666" spans="2:13" x14ac:dyDescent="0.35">
      <c r="B1666" s="117"/>
      <c r="C1666" s="117"/>
      <c r="D1666" s="117"/>
      <c r="E1666" s="117"/>
      <c r="F1666" s="200"/>
      <c r="G1666" s="200"/>
      <c r="H1666" s="200"/>
      <c r="I1666" s="200"/>
      <c r="J1666" s="200"/>
      <c r="K1666" s="200">
        <f>SUMIF(AE!C:C,ATB!C:C,AE!F:F)</f>
        <v>0</v>
      </c>
      <c r="L1666" s="200">
        <f t="shared" ref="L1666:L1729" si="60">ROUND(IF(F1666+H1666+J1666-G1666-I1666-K1666&gt;0,F1666+H1666+J1666-G1666-I1666-K1666,0),0)</f>
        <v>0</v>
      </c>
      <c r="M1666" s="200">
        <f t="shared" ref="M1666:M1729" si="61">-ROUND(IF(F1666+H1666+J1666-G1666-I1666-K1666&lt;0,F1666+H1666+J1666-G1666-I1666-K1666,0),0)</f>
        <v>0</v>
      </c>
    </row>
    <row r="1667" spans="2:13" x14ac:dyDescent="0.35">
      <c r="B1667" s="117"/>
      <c r="C1667" s="117"/>
      <c r="D1667" s="117"/>
      <c r="E1667" s="117"/>
      <c r="F1667" s="200"/>
      <c r="G1667" s="200"/>
      <c r="H1667" s="200"/>
      <c r="I1667" s="200"/>
      <c r="J1667" s="200"/>
      <c r="K1667" s="200">
        <f>SUMIF(AE!C:C,ATB!C:C,AE!F:F)</f>
        <v>0</v>
      </c>
      <c r="L1667" s="200">
        <f t="shared" si="60"/>
        <v>0</v>
      </c>
      <c r="M1667" s="200">
        <f t="shared" si="61"/>
        <v>0</v>
      </c>
    </row>
    <row r="1668" spans="2:13" x14ac:dyDescent="0.35">
      <c r="B1668" s="117"/>
      <c r="C1668" s="117"/>
      <c r="D1668" s="117"/>
      <c r="E1668" s="117"/>
      <c r="F1668" s="200"/>
      <c r="G1668" s="200"/>
      <c r="H1668" s="200"/>
      <c r="I1668" s="200"/>
      <c r="J1668" s="200"/>
      <c r="K1668" s="200">
        <f>SUMIF(AE!C:C,ATB!C:C,AE!F:F)</f>
        <v>0</v>
      </c>
      <c r="L1668" s="200">
        <f t="shared" si="60"/>
        <v>0</v>
      </c>
      <c r="M1668" s="200">
        <f t="shared" si="61"/>
        <v>0</v>
      </c>
    </row>
    <row r="1669" spans="2:13" x14ac:dyDescent="0.35">
      <c r="B1669" s="117"/>
      <c r="C1669" s="117"/>
      <c r="D1669" s="117"/>
      <c r="E1669" s="117"/>
      <c r="F1669" s="200"/>
      <c r="G1669" s="200"/>
      <c r="H1669" s="200"/>
      <c r="I1669" s="200"/>
      <c r="J1669" s="200"/>
      <c r="K1669" s="200">
        <f>SUMIF(AE!C:C,ATB!C:C,AE!F:F)</f>
        <v>0</v>
      </c>
      <c r="L1669" s="200">
        <f t="shared" si="60"/>
        <v>0</v>
      </c>
      <c r="M1669" s="200">
        <f t="shared" si="61"/>
        <v>0</v>
      </c>
    </row>
    <row r="1670" spans="2:13" x14ac:dyDescent="0.35">
      <c r="B1670" s="117"/>
      <c r="C1670" s="117"/>
      <c r="D1670" s="117"/>
      <c r="E1670" s="117"/>
      <c r="F1670" s="200"/>
      <c r="G1670" s="200"/>
      <c r="H1670" s="200"/>
      <c r="I1670" s="200"/>
      <c r="J1670" s="200"/>
      <c r="K1670" s="200">
        <f>SUMIF(AE!C:C,ATB!C:C,AE!F:F)</f>
        <v>0</v>
      </c>
      <c r="L1670" s="200">
        <f t="shared" si="60"/>
        <v>0</v>
      </c>
      <c r="M1670" s="200">
        <f t="shared" si="61"/>
        <v>0</v>
      </c>
    </row>
    <row r="1671" spans="2:13" x14ac:dyDescent="0.35">
      <c r="B1671" s="117"/>
      <c r="C1671" s="117"/>
      <c r="D1671" s="117"/>
      <c r="E1671" s="117"/>
      <c r="F1671" s="200"/>
      <c r="G1671" s="200"/>
      <c r="H1671" s="200"/>
      <c r="I1671" s="200"/>
      <c r="J1671" s="200"/>
      <c r="K1671" s="200">
        <f>SUMIF(AE!C:C,ATB!C:C,AE!F:F)</f>
        <v>0</v>
      </c>
      <c r="L1671" s="200">
        <f t="shared" si="60"/>
        <v>0</v>
      </c>
      <c r="M1671" s="200">
        <f t="shared" si="61"/>
        <v>0</v>
      </c>
    </row>
    <row r="1672" spans="2:13" x14ac:dyDescent="0.35">
      <c r="B1672" s="117"/>
      <c r="C1672" s="117"/>
      <c r="D1672" s="117"/>
      <c r="E1672" s="117"/>
      <c r="F1672" s="200"/>
      <c r="G1672" s="200"/>
      <c r="H1672" s="200"/>
      <c r="I1672" s="200"/>
      <c r="J1672" s="200"/>
      <c r="K1672" s="200">
        <f>SUMIF(AE!C:C,ATB!C:C,AE!F:F)</f>
        <v>0</v>
      </c>
      <c r="L1672" s="200">
        <f t="shared" si="60"/>
        <v>0</v>
      </c>
      <c r="M1672" s="200">
        <f t="shared" si="61"/>
        <v>0</v>
      </c>
    </row>
    <row r="1673" spans="2:13" x14ac:dyDescent="0.35">
      <c r="B1673" s="117"/>
      <c r="C1673" s="117"/>
      <c r="D1673" s="117"/>
      <c r="E1673" s="117"/>
      <c r="F1673" s="200"/>
      <c r="G1673" s="200"/>
      <c r="H1673" s="200"/>
      <c r="I1673" s="200"/>
      <c r="J1673" s="200"/>
      <c r="K1673" s="200">
        <f>SUMIF(AE!C:C,ATB!C:C,AE!F:F)</f>
        <v>0</v>
      </c>
      <c r="L1673" s="200">
        <f t="shared" si="60"/>
        <v>0</v>
      </c>
      <c r="M1673" s="200">
        <f t="shared" si="61"/>
        <v>0</v>
      </c>
    </row>
    <row r="1674" spans="2:13" x14ac:dyDescent="0.35">
      <c r="B1674" s="117"/>
      <c r="C1674" s="117"/>
      <c r="D1674" s="117"/>
      <c r="E1674" s="117"/>
      <c r="F1674" s="200"/>
      <c r="G1674" s="200"/>
      <c r="H1674" s="200"/>
      <c r="I1674" s="200"/>
      <c r="J1674" s="200"/>
      <c r="K1674" s="200">
        <f>SUMIF(AE!C:C,ATB!C:C,AE!F:F)</f>
        <v>0</v>
      </c>
      <c r="L1674" s="200">
        <f t="shared" si="60"/>
        <v>0</v>
      </c>
      <c r="M1674" s="200">
        <f t="shared" si="61"/>
        <v>0</v>
      </c>
    </row>
    <row r="1675" spans="2:13" x14ac:dyDescent="0.35">
      <c r="B1675" s="117"/>
      <c r="C1675" s="117"/>
      <c r="D1675" s="117"/>
      <c r="E1675" s="117"/>
      <c r="F1675" s="200"/>
      <c r="G1675" s="200"/>
      <c r="H1675" s="200"/>
      <c r="I1675" s="200"/>
      <c r="J1675" s="200"/>
      <c r="K1675" s="200">
        <f>SUMIF(AE!C:C,ATB!C:C,AE!F:F)</f>
        <v>0</v>
      </c>
      <c r="L1675" s="200">
        <f t="shared" si="60"/>
        <v>0</v>
      </c>
      <c r="M1675" s="200">
        <f t="shared" si="61"/>
        <v>0</v>
      </c>
    </row>
    <row r="1676" spans="2:13" x14ac:dyDescent="0.35">
      <c r="B1676" s="117"/>
      <c r="C1676" s="117"/>
      <c r="D1676" s="117"/>
      <c r="E1676" s="117"/>
      <c r="F1676" s="200"/>
      <c r="G1676" s="200"/>
      <c r="H1676" s="200"/>
      <c r="I1676" s="200"/>
      <c r="J1676" s="200"/>
      <c r="K1676" s="200">
        <f>SUMIF(AE!C:C,ATB!C:C,AE!F:F)</f>
        <v>0</v>
      </c>
      <c r="L1676" s="200">
        <f t="shared" si="60"/>
        <v>0</v>
      </c>
      <c r="M1676" s="200">
        <f t="shared" si="61"/>
        <v>0</v>
      </c>
    </row>
    <row r="1677" spans="2:13" x14ac:dyDescent="0.35">
      <c r="B1677" s="117"/>
      <c r="C1677" s="117"/>
      <c r="D1677" s="117"/>
      <c r="E1677" s="117"/>
      <c r="F1677" s="200"/>
      <c r="G1677" s="200"/>
      <c r="H1677" s="200"/>
      <c r="I1677" s="200"/>
      <c r="J1677" s="200"/>
      <c r="K1677" s="200">
        <f>SUMIF(AE!C:C,ATB!C:C,AE!F:F)</f>
        <v>0</v>
      </c>
      <c r="L1677" s="200">
        <f t="shared" si="60"/>
        <v>0</v>
      </c>
      <c r="M1677" s="200">
        <f t="shared" si="61"/>
        <v>0</v>
      </c>
    </row>
    <row r="1678" spans="2:13" x14ac:dyDescent="0.35">
      <c r="B1678" s="117"/>
      <c r="C1678" s="117"/>
      <c r="D1678" s="117"/>
      <c r="E1678" s="117"/>
      <c r="F1678" s="200"/>
      <c r="G1678" s="200"/>
      <c r="H1678" s="200"/>
      <c r="I1678" s="200"/>
      <c r="J1678" s="200"/>
      <c r="K1678" s="200">
        <f>SUMIF(AE!C:C,ATB!C:C,AE!F:F)</f>
        <v>0</v>
      </c>
      <c r="L1678" s="200">
        <f t="shared" si="60"/>
        <v>0</v>
      </c>
      <c r="M1678" s="200">
        <f t="shared" si="61"/>
        <v>0</v>
      </c>
    </row>
    <row r="1679" spans="2:13" x14ac:dyDescent="0.35">
      <c r="B1679" s="117"/>
      <c r="C1679" s="117"/>
      <c r="D1679" s="117"/>
      <c r="E1679" s="117"/>
      <c r="F1679" s="200"/>
      <c r="G1679" s="200"/>
      <c r="H1679" s="200"/>
      <c r="I1679" s="200"/>
      <c r="J1679" s="200"/>
      <c r="K1679" s="200">
        <f>SUMIF(AE!C:C,ATB!C:C,AE!F:F)</f>
        <v>0</v>
      </c>
      <c r="L1679" s="200">
        <f t="shared" si="60"/>
        <v>0</v>
      </c>
      <c r="M1679" s="200">
        <f t="shared" si="61"/>
        <v>0</v>
      </c>
    </row>
    <row r="1680" spans="2:13" x14ac:dyDescent="0.35">
      <c r="B1680" s="117"/>
      <c r="C1680" s="117"/>
      <c r="D1680" s="117"/>
      <c r="E1680" s="117"/>
      <c r="F1680" s="200"/>
      <c r="G1680" s="200"/>
      <c r="H1680" s="200"/>
      <c r="I1680" s="200"/>
      <c r="J1680" s="200"/>
      <c r="K1680" s="200">
        <f>SUMIF(AE!C:C,ATB!C:C,AE!F:F)</f>
        <v>0</v>
      </c>
      <c r="L1680" s="200">
        <f t="shared" si="60"/>
        <v>0</v>
      </c>
      <c r="M1680" s="200">
        <f t="shared" si="61"/>
        <v>0</v>
      </c>
    </row>
    <row r="1681" spans="2:13" x14ac:dyDescent="0.35">
      <c r="B1681" s="117"/>
      <c r="C1681" s="117"/>
      <c r="D1681" s="117"/>
      <c r="E1681" s="117"/>
      <c r="F1681" s="200"/>
      <c r="G1681" s="200"/>
      <c r="H1681" s="200"/>
      <c r="I1681" s="200"/>
      <c r="J1681" s="200"/>
      <c r="K1681" s="200">
        <f>SUMIF(AE!C:C,ATB!C:C,AE!F:F)</f>
        <v>0</v>
      </c>
      <c r="L1681" s="200">
        <f t="shared" si="60"/>
        <v>0</v>
      </c>
      <c r="M1681" s="200">
        <f t="shared" si="61"/>
        <v>0</v>
      </c>
    </row>
    <row r="1682" spans="2:13" x14ac:dyDescent="0.35">
      <c r="B1682" s="117"/>
      <c r="C1682" s="117"/>
      <c r="D1682" s="117"/>
      <c r="E1682" s="117"/>
      <c r="F1682" s="200"/>
      <c r="G1682" s="200"/>
      <c r="H1682" s="200"/>
      <c r="I1682" s="200"/>
      <c r="J1682" s="200"/>
      <c r="K1682" s="200">
        <f>SUMIF(AE!C:C,ATB!C:C,AE!F:F)</f>
        <v>0</v>
      </c>
      <c r="L1682" s="200">
        <f t="shared" si="60"/>
        <v>0</v>
      </c>
      <c r="M1682" s="200">
        <f t="shared" si="61"/>
        <v>0</v>
      </c>
    </row>
    <row r="1683" spans="2:13" x14ac:dyDescent="0.35">
      <c r="B1683" s="117"/>
      <c r="C1683" s="117"/>
      <c r="D1683" s="117"/>
      <c r="E1683" s="117"/>
      <c r="F1683" s="200"/>
      <c r="G1683" s="200"/>
      <c r="H1683" s="200"/>
      <c r="I1683" s="200"/>
      <c r="J1683" s="200"/>
      <c r="K1683" s="200">
        <f>SUMIF(AE!C:C,ATB!C:C,AE!F:F)</f>
        <v>0</v>
      </c>
      <c r="L1683" s="200">
        <f t="shared" si="60"/>
        <v>0</v>
      </c>
      <c r="M1683" s="200">
        <f t="shared" si="61"/>
        <v>0</v>
      </c>
    </row>
    <row r="1684" spans="2:13" x14ac:dyDescent="0.35">
      <c r="B1684" s="117"/>
      <c r="C1684" s="117"/>
      <c r="D1684" s="117"/>
      <c r="E1684" s="117"/>
      <c r="F1684" s="200"/>
      <c r="G1684" s="200"/>
      <c r="H1684" s="200"/>
      <c r="I1684" s="200"/>
      <c r="J1684" s="200"/>
      <c r="K1684" s="200">
        <f>SUMIF(AE!C:C,ATB!C:C,AE!F:F)</f>
        <v>0</v>
      </c>
      <c r="L1684" s="200">
        <f t="shared" si="60"/>
        <v>0</v>
      </c>
      <c r="M1684" s="200">
        <f t="shared" si="61"/>
        <v>0</v>
      </c>
    </row>
    <row r="1685" spans="2:13" x14ac:dyDescent="0.35">
      <c r="B1685" s="117"/>
      <c r="C1685" s="117"/>
      <c r="D1685" s="117"/>
      <c r="E1685" s="117"/>
      <c r="F1685" s="200"/>
      <c r="G1685" s="200"/>
      <c r="H1685" s="200"/>
      <c r="I1685" s="200"/>
      <c r="J1685" s="200"/>
      <c r="K1685" s="200">
        <f>SUMIF(AE!C:C,ATB!C:C,AE!F:F)</f>
        <v>0</v>
      </c>
      <c r="L1685" s="200">
        <f t="shared" si="60"/>
        <v>0</v>
      </c>
      <c r="M1685" s="200">
        <f t="shared" si="61"/>
        <v>0</v>
      </c>
    </row>
    <row r="1686" spans="2:13" x14ac:dyDescent="0.35">
      <c r="B1686" s="117"/>
      <c r="C1686" s="117"/>
      <c r="D1686" s="117"/>
      <c r="E1686" s="117"/>
      <c r="F1686" s="200"/>
      <c r="G1686" s="200"/>
      <c r="H1686" s="200"/>
      <c r="I1686" s="200"/>
      <c r="J1686" s="200"/>
      <c r="K1686" s="200">
        <f>SUMIF(AE!C:C,ATB!C:C,AE!F:F)</f>
        <v>0</v>
      </c>
      <c r="L1686" s="200">
        <f t="shared" si="60"/>
        <v>0</v>
      </c>
      <c r="M1686" s="200">
        <f t="shared" si="61"/>
        <v>0</v>
      </c>
    </row>
    <row r="1687" spans="2:13" x14ac:dyDescent="0.35">
      <c r="B1687" s="117"/>
      <c r="C1687" s="117"/>
      <c r="D1687" s="117"/>
      <c r="E1687" s="117"/>
      <c r="F1687" s="200"/>
      <c r="G1687" s="200"/>
      <c r="H1687" s="200"/>
      <c r="I1687" s="200"/>
      <c r="J1687" s="200"/>
      <c r="K1687" s="200">
        <f>SUMIF(AE!C:C,ATB!C:C,AE!F:F)</f>
        <v>0</v>
      </c>
      <c r="L1687" s="200">
        <f t="shared" si="60"/>
        <v>0</v>
      </c>
      <c r="M1687" s="200">
        <f t="shared" si="61"/>
        <v>0</v>
      </c>
    </row>
    <row r="1688" spans="2:13" x14ac:dyDescent="0.35">
      <c r="B1688" s="117"/>
      <c r="C1688" s="117"/>
      <c r="D1688" s="117"/>
      <c r="E1688" s="117"/>
      <c r="F1688" s="200"/>
      <c r="G1688" s="200"/>
      <c r="H1688" s="200"/>
      <c r="I1688" s="200"/>
      <c r="J1688" s="200"/>
      <c r="K1688" s="200">
        <f>SUMIF(AE!C:C,ATB!C:C,AE!F:F)</f>
        <v>0</v>
      </c>
      <c r="L1688" s="200">
        <f t="shared" si="60"/>
        <v>0</v>
      </c>
      <c r="M1688" s="200">
        <f t="shared" si="61"/>
        <v>0</v>
      </c>
    </row>
    <row r="1689" spans="2:13" x14ac:dyDescent="0.35">
      <c r="B1689" s="117"/>
      <c r="C1689" s="117"/>
      <c r="D1689" s="117"/>
      <c r="E1689" s="117"/>
      <c r="F1689" s="200"/>
      <c r="G1689" s="200"/>
      <c r="H1689" s="200"/>
      <c r="I1689" s="200"/>
      <c r="J1689" s="200"/>
      <c r="K1689" s="200">
        <f>SUMIF(AE!C:C,ATB!C:C,AE!F:F)</f>
        <v>0</v>
      </c>
      <c r="L1689" s="200">
        <f t="shared" si="60"/>
        <v>0</v>
      </c>
      <c r="M1689" s="200">
        <f t="shared" si="61"/>
        <v>0</v>
      </c>
    </row>
    <row r="1690" spans="2:13" x14ac:dyDescent="0.35">
      <c r="B1690" s="117"/>
      <c r="C1690" s="117"/>
      <c r="D1690" s="117"/>
      <c r="E1690" s="117"/>
      <c r="F1690" s="200"/>
      <c r="G1690" s="200"/>
      <c r="H1690" s="200"/>
      <c r="I1690" s="200"/>
      <c r="J1690" s="200"/>
      <c r="K1690" s="200">
        <f>SUMIF(AE!C:C,ATB!C:C,AE!F:F)</f>
        <v>0</v>
      </c>
      <c r="L1690" s="200">
        <f t="shared" si="60"/>
        <v>0</v>
      </c>
      <c r="M1690" s="200">
        <f t="shared" si="61"/>
        <v>0</v>
      </c>
    </row>
    <row r="1691" spans="2:13" x14ac:dyDescent="0.35">
      <c r="B1691" s="117"/>
      <c r="C1691" s="117"/>
      <c r="D1691" s="117"/>
      <c r="E1691" s="117"/>
      <c r="F1691" s="200"/>
      <c r="G1691" s="200"/>
      <c r="H1691" s="200"/>
      <c r="I1691" s="200"/>
      <c r="J1691" s="200"/>
      <c r="K1691" s="200">
        <f>SUMIF(AE!C:C,ATB!C:C,AE!F:F)</f>
        <v>0</v>
      </c>
      <c r="L1691" s="200">
        <f t="shared" si="60"/>
        <v>0</v>
      </c>
      <c r="M1691" s="200">
        <f t="shared" si="61"/>
        <v>0</v>
      </c>
    </row>
    <row r="1692" spans="2:13" x14ac:dyDescent="0.35">
      <c r="B1692" s="117"/>
      <c r="C1692" s="117"/>
      <c r="D1692" s="117"/>
      <c r="E1692" s="117"/>
      <c r="F1692" s="200"/>
      <c r="G1692" s="200"/>
      <c r="H1692" s="200"/>
      <c r="I1692" s="200"/>
      <c r="J1692" s="200"/>
      <c r="K1692" s="200">
        <f>SUMIF(AE!C:C,ATB!C:C,AE!F:F)</f>
        <v>0</v>
      </c>
      <c r="L1692" s="200">
        <f t="shared" si="60"/>
        <v>0</v>
      </c>
      <c r="M1692" s="200">
        <f t="shared" si="61"/>
        <v>0</v>
      </c>
    </row>
    <row r="1693" spans="2:13" x14ac:dyDescent="0.35">
      <c r="B1693" s="117"/>
      <c r="C1693" s="117"/>
      <c r="D1693" s="117"/>
      <c r="E1693" s="117"/>
      <c r="F1693" s="200"/>
      <c r="G1693" s="200"/>
      <c r="H1693" s="200"/>
      <c r="I1693" s="200"/>
      <c r="J1693" s="200"/>
      <c r="K1693" s="200">
        <f>SUMIF(AE!C:C,ATB!C:C,AE!F:F)</f>
        <v>0</v>
      </c>
      <c r="L1693" s="200">
        <f t="shared" si="60"/>
        <v>0</v>
      </c>
      <c r="M1693" s="200">
        <f t="shared" si="61"/>
        <v>0</v>
      </c>
    </row>
    <row r="1694" spans="2:13" x14ac:dyDescent="0.35">
      <c r="B1694" s="117"/>
      <c r="C1694" s="117"/>
      <c r="D1694" s="117"/>
      <c r="E1694" s="117"/>
      <c r="F1694" s="200"/>
      <c r="G1694" s="200"/>
      <c r="H1694" s="200"/>
      <c r="I1694" s="200"/>
      <c r="J1694" s="200"/>
      <c r="K1694" s="200">
        <f>SUMIF(AE!C:C,ATB!C:C,AE!F:F)</f>
        <v>0</v>
      </c>
      <c r="L1694" s="200">
        <f t="shared" si="60"/>
        <v>0</v>
      </c>
      <c r="M1694" s="200">
        <f t="shared" si="61"/>
        <v>0</v>
      </c>
    </row>
    <row r="1695" spans="2:13" x14ac:dyDescent="0.35">
      <c r="B1695" s="117"/>
      <c r="C1695" s="117"/>
      <c r="D1695" s="117"/>
      <c r="E1695" s="117"/>
      <c r="F1695" s="200"/>
      <c r="G1695" s="200"/>
      <c r="H1695" s="200"/>
      <c r="I1695" s="200"/>
      <c r="J1695" s="200"/>
      <c r="K1695" s="200">
        <f>SUMIF(AE!C:C,ATB!C:C,AE!F:F)</f>
        <v>0</v>
      </c>
      <c r="L1695" s="200">
        <f t="shared" si="60"/>
        <v>0</v>
      </c>
      <c r="M1695" s="200">
        <f t="shared" si="61"/>
        <v>0</v>
      </c>
    </row>
    <row r="1696" spans="2:13" x14ac:dyDescent="0.35">
      <c r="B1696" s="117"/>
      <c r="C1696" s="117"/>
      <c r="D1696" s="117"/>
      <c r="E1696" s="117"/>
      <c r="F1696" s="200"/>
      <c r="G1696" s="200"/>
      <c r="H1696" s="200"/>
      <c r="I1696" s="200"/>
      <c r="J1696" s="200"/>
      <c r="K1696" s="200">
        <f>SUMIF(AE!C:C,ATB!C:C,AE!F:F)</f>
        <v>0</v>
      </c>
      <c r="L1696" s="200">
        <f t="shared" si="60"/>
        <v>0</v>
      </c>
      <c r="M1696" s="200">
        <f t="shared" si="61"/>
        <v>0</v>
      </c>
    </row>
    <row r="1697" spans="2:13" x14ac:dyDescent="0.35">
      <c r="B1697" s="117"/>
      <c r="C1697" s="117"/>
      <c r="D1697" s="117"/>
      <c r="E1697" s="117"/>
      <c r="F1697" s="200"/>
      <c r="G1697" s="200"/>
      <c r="H1697" s="200"/>
      <c r="I1697" s="200"/>
      <c r="J1697" s="200"/>
      <c r="K1697" s="200">
        <f>SUMIF(AE!C:C,ATB!C:C,AE!F:F)</f>
        <v>0</v>
      </c>
      <c r="L1697" s="200">
        <f t="shared" si="60"/>
        <v>0</v>
      </c>
      <c r="M1697" s="200">
        <f t="shared" si="61"/>
        <v>0</v>
      </c>
    </row>
    <row r="1698" spans="2:13" x14ac:dyDescent="0.35">
      <c r="B1698" s="117"/>
      <c r="C1698" s="117"/>
      <c r="D1698" s="117"/>
      <c r="E1698" s="117"/>
      <c r="F1698" s="200"/>
      <c r="G1698" s="200"/>
      <c r="H1698" s="200"/>
      <c r="I1698" s="200"/>
      <c r="J1698" s="200"/>
      <c r="K1698" s="200">
        <f>SUMIF(AE!C:C,ATB!C:C,AE!F:F)</f>
        <v>0</v>
      </c>
      <c r="L1698" s="200">
        <f t="shared" si="60"/>
        <v>0</v>
      </c>
      <c r="M1698" s="200">
        <f t="shared" si="61"/>
        <v>0</v>
      </c>
    </row>
    <row r="1699" spans="2:13" x14ac:dyDescent="0.35">
      <c r="B1699" s="117"/>
      <c r="C1699" s="117"/>
      <c r="D1699" s="117"/>
      <c r="E1699" s="117"/>
      <c r="F1699" s="200"/>
      <c r="G1699" s="200"/>
      <c r="H1699" s="200"/>
      <c r="I1699" s="200"/>
      <c r="J1699" s="200"/>
      <c r="K1699" s="200">
        <f>SUMIF(AE!C:C,ATB!C:C,AE!F:F)</f>
        <v>0</v>
      </c>
      <c r="L1699" s="200">
        <f t="shared" si="60"/>
        <v>0</v>
      </c>
      <c r="M1699" s="200">
        <f t="shared" si="61"/>
        <v>0</v>
      </c>
    </row>
    <row r="1700" spans="2:13" x14ac:dyDescent="0.35">
      <c r="B1700" s="117"/>
      <c r="C1700" s="117"/>
      <c r="D1700" s="117"/>
      <c r="E1700" s="117"/>
      <c r="F1700" s="200"/>
      <c r="G1700" s="200"/>
      <c r="H1700" s="200"/>
      <c r="I1700" s="200"/>
      <c r="J1700" s="200"/>
      <c r="K1700" s="200">
        <f>SUMIF(AE!C:C,ATB!C:C,AE!F:F)</f>
        <v>0</v>
      </c>
      <c r="L1700" s="200">
        <f t="shared" si="60"/>
        <v>0</v>
      </c>
      <c r="M1700" s="200">
        <f t="shared" si="61"/>
        <v>0</v>
      </c>
    </row>
    <row r="1701" spans="2:13" x14ac:dyDescent="0.35">
      <c r="B1701" s="117"/>
      <c r="C1701" s="117"/>
      <c r="D1701" s="117"/>
      <c r="E1701" s="117"/>
      <c r="F1701" s="200"/>
      <c r="G1701" s="200"/>
      <c r="H1701" s="200"/>
      <c r="I1701" s="200"/>
      <c r="J1701" s="200"/>
      <c r="K1701" s="200">
        <f>SUMIF(AE!C:C,ATB!C:C,AE!F:F)</f>
        <v>0</v>
      </c>
      <c r="L1701" s="200">
        <f t="shared" si="60"/>
        <v>0</v>
      </c>
      <c r="M1701" s="200">
        <f t="shared" si="61"/>
        <v>0</v>
      </c>
    </row>
    <row r="1702" spans="2:13" x14ac:dyDescent="0.35">
      <c r="B1702" s="117"/>
      <c r="C1702" s="117"/>
      <c r="D1702" s="117"/>
      <c r="E1702" s="117"/>
      <c r="F1702" s="200"/>
      <c r="G1702" s="200"/>
      <c r="H1702" s="200"/>
      <c r="I1702" s="200"/>
      <c r="J1702" s="200"/>
      <c r="K1702" s="200">
        <f>SUMIF(AE!C:C,ATB!C:C,AE!F:F)</f>
        <v>0</v>
      </c>
      <c r="L1702" s="200">
        <f t="shared" si="60"/>
        <v>0</v>
      </c>
      <c r="M1702" s="200">
        <f t="shared" si="61"/>
        <v>0</v>
      </c>
    </row>
    <row r="1703" spans="2:13" x14ac:dyDescent="0.35">
      <c r="B1703" s="117"/>
      <c r="C1703" s="117"/>
      <c r="D1703" s="117"/>
      <c r="E1703" s="117"/>
      <c r="F1703" s="200"/>
      <c r="G1703" s="200"/>
      <c r="H1703" s="200"/>
      <c r="I1703" s="200"/>
      <c r="J1703" s="200"/>
      <c r="K1703" s="200">
        <f>SUMIF(AE!C:C,ATB!C:C,AE!F:F)</f>
        <v>0</v>
      </c>
      <c r="L1703" s="200">
        <f t="shared" si="60"/>
        <v>0</v>
      </c>
      <c r="M1703" s="200">
        <f t="shared" si="61"/>
        <v>0</v>
      </c>
    </row>
    <row r="1704" spans="2:13" x14ac:dyDescent="0.35">
      <c r="B1704" s="117"/>
      <c r="C1704" s="117"/>
      <c r="D1704" s="117"/>
      <c r="E1704" s="117"/>
      <c r="F1704" s="200"/>
      <c r="G1704" s="200"/>
      <c r="H1704" s="200"/>
      <c r="I1704" s="200"/>
      <c r="J1704" s="200"/>
      <c r="K1704" s="200">
        <f>SUMIF(AE!C:C,ATB!C:C,AE!F:F)</f>
        <v>0</v>
      </c>
      <c r="L1704" s="200">
        <f t="shared" si="60"/>
        <v>0</v>
      </c>
      <c r="M1704" s="200">
        <f t="shared" si="61"/>
        <v>0</v>
      </c>
    </row>
    <row r="1705" spans="2:13" x14ac:dyDescent="0.35">
      <c r="B1705" s="117"/>
      <c r="C1705" s="117"/>
      <c r="D1705" s="117"/>
      <c r="E1705" s="117"/>
      <c r="F1705" s="200"/>
      <c r="G1705" s="200"/>
      <c r="H1705" s="200"/>
      <c r="I1705" s="200"/>
      <c r="J1705" s="200"/>
      <c r="K1705" s="200">
        <f>SUMIF(AE!C:C,ATB!C:C,AE!F:F)</f>
        <v>0</v>
      </c>
      <c r="L1705" s="200">
        <f t="shared" si="60"/>
        <v>0</v>
      </c>
      <c r="M1705" s="200">
        <f t="shared" si="61"/>
        <v>0</v>
      </c>
    </row>
    <row r="1706" spans="2:13" x14ac:dyDescent="0.35">
      <c r="B1706" s="117"/>
      <c r="C1706" s="117"/>
      <c r="D1706" s="117"/>
      <c r="E1706" s="117"/>
      <c r="F1706" s="200"/>
      <c r="G1706" s="200"/>
      <c r="H1706" s="200"/>
      <c r="I1706" s="200"/>
      <c r="J1706" s="200"/>
      <c r="K1706" s="200">
        <f>SUMIF(AE!C:C,ATB!C:C,AE!F:F)</f>
        <v>0</v>
      </c>
      <c r="L1706" s="200">
        <f t="shared" si="60"/>
        <v>0</v>
      </c>
      <c r="M1706" s="200">
        <f t="shared" si="61"/>
        <v>0</v>
      </c>
    </row>
    <row r="1707" spans="2:13" x14ac:dyDescent="0.35">
      <c r="B1707" s="117"/>
      <c r="C1707" s="117"/>
      <c r="D1707" s="117"/>
      <c r="E1707" s="117"/>
      <c r="F1707" s="200"/>
      <c r="G1707" s="200"/>
      <c r="H1707" s="200"/>
      <c r="I1707" s="200"/>
      <c r="J1707" s="200"/>
      <c r="K1707" s="200">
        <f>SUMIF(AE!C:C,ATB!C:C,AE!F:F)</f>
        <v>0</v>
      </c>
      <c r="L1707" s="200">
        <f t="shared" si="60"/>
        <v>0</v>
      </c>
      <c r="M1707" s="200">
        <f t="shared" si="61"/>
        <v>0</v>
      </c>
    </row>
    <row r="1708" spans="2:13" x14ac:dyDescent="0.35">
      <c r="B1708" s="117"/>
      <c r="C1708" s="117"/>
      <c r="D1708" s="117"/>
      <c r="E1708" s="117"/>
      <c r="F1708" s="200"/>
      <c r="G1708" s="200"/>
      <c r="H1708" s="200"/>
      <c r="I1708" s="200"/>
      <c r="J1708" s="200"/>
      <c r="K1708" s="200">
        <f>SUMIF(AE!C:C,ATB!C:C,AE!F:F)</f>
        <v>0</v>
      </c>
      <c r="L1708" s="200">
        <f t="shared" si="60"/>
        <v>0</v>
      </c>
      <c r="M1708" s="200">
        <f t="shared" si="61"/>
        <v>0</v>
      </c>
    </row>
    <row r="1709" spans="2:13" x14ac:dyDescent="0.35">
      <c r="B1709" s="117"/>
      <c r="C1709" s="117"/>
      <c r="D1709" s="117"/>
      <c r="E1709" s="117"/>
      <c r="F1709" s="200"/>
      <c r="G1709" s="200"/>
      <c r="H1709" s="200"/>
      <c r="I1709" s="200"/>
      <c r="J1709" s="200"/>
      <c r="K1709" s="200">
        <f>SUMIF(AE!C:C,ATB!C:C,AE!F:F)</f>
        <v>0</v>
      </c>
      <c r="L1709" s="200">
        <f t="shared" si="60"/>
        <v>0</v>
      </c>
      <c r="M1709" s="200">
        <f t="shared" si="61"/>
        <v>0</v>
      </c>
    </row>
    <row r="1710" spans="2:13" x14ac:dyDescent="0.35">
      <c r="B1710" s="117"/>
      <c r="C1710" s="117"/>
      <c r="D1710" s="117"/>
      <c r="E1710" s="117"/>
      <c r="F1710" s="200"/>
      <c r="G1710" s="200"/>
      <c r="H1710" s="200"/>
      <c r="I1710" s="200"/>
      <c r="J1710" s="200"/>
      <c r="K1710" s="200">
        <f>SUMIF(AE!C:C,ATB!C:C,AE!F:F)</f>
        <v>0</v>
      </c>
      <c r="L1710" s="200">
        <f t="shared" si="60"/>
        <v>0</v>
      </c>
      <c r="M1710" s="200">
        <f t="shared" si="61"/>
        <v>0</v>
      </c>
    </row>
    <row r="1711" spans="2:13" x14ac:dyDescent="0.35">
      <c r="B1711" s="117"/>
      <c r="C1711" s="117"/>
      <c r="D1711" s="117"/>
      <c r="E1711" s="117"/>
      <c r="F1711" s="200"/>
      <c r="G1711" s="200"/>
      <c r="H1711" s="200"/>
      <c r="I1711" s="200"/>
      <c r="J1711" s="200"/>
      <c r="K1711" s="200">
        <f>SUMIF(AE!C:C,ATB!C:C,AE!F:F)</f>
        <v>0</v>
      </c>
      <c r="L1711" s="200">
        <f t="shared" si="60"/>
        <v>0</v>
      </c>
      <c r="M1711" s="200">
        <f t="shared" si="61"/>
        <v>0</v>
      </c>
    </row>
    <row r="1712" spans="2:13" x14ac:dyDescent="0.35">
      <c r="B1712" s="117"/>
      <c r="C1712" s="117"/>
      <c r="D1712" s="117"/>
      <c r="E1712" s="117"/>
      <c r="F1712" s="200"/>
      <c r="G1712" s="200"/>
      <c r="H1712" s="200"/>
      <c r="I1712" s="200"/>
      <c r="J1712" s="200"/>
      <c r="K1712" s="200">
        <f>SUMIF(AE!C:C,ATB!C:C,AE!F:F)</f>
        <v>0</v>
      </c>
      <c r="L1712" s="200">
        <f t="shared" si="60"/>
        <v>0</v>
      </c>
      <c r="M1712" s="200">
        <f t="shared" si="61"/>
        <v>0</v>
      </c>
    </row>
    <row r="1713" spans="2:13" x14ac:dyDescent="0.35">
      <c r="B1713" s="117"/>
      <c r="C1713" s="117"/>
      <c r="D1713" s="117"/>
      <c r="E1713" s="117"/>
      <c r="F1713" s="200"/>
      <c r="G1713" s="200"/>
      <c r="H1713" s="200"/>
      <c r="I1713" s="200"/>
      <c r="J1713" s="200"/>
      <c r="K1713" s="200">
        <f>SUMIF(AE!C:C,ATB!C:C,AE!F:F)</f>
        <v>0</v>
      </c>
      <c r="L1713" s="200">
        <f t="shared" si="60"/>
        <v>0</v>
      </c>
      <c r="M1713" s="200">
        <f t="shared" si="61"/>
        <v>0</v>
      </c>
    </row>
    <row r="1714" spans="2:13" x14ac:dyDescent="0.35">
      <c r="B1714" s="117"/>
      <c r="C1714" s="117"/>
      <c r="D1714" s="117"/>
      <c r="E1714" s="117"/>
      <c r="F1714" s="200"/>
      <c r="G1714" s="200"/>
      <c r="H1714" s="200"/>
      <c r="I1714" s="200"/>
      <c r="J1714" s="200"/>
      <c r="K1714" s="200">
        <f>SUMIF(AE!C:C,ATB!C:C,AE!F:F)</f>
        <v>0</v>
      </c>
      <c r="L1714" s="200">
        <f t="shared" si="60"/>
        <v>0</v>
      </c>
      <c r="M1714" s="200">
        <f t="shared" si="61"/>
        <v>0</v>
      </c>
    </row>
    <row r="1715" spans="2:13" x14ac:dyDescent="0.35">
      <c r="B1715" s="117"/>
      <c r="C1715" s="117"/>
      <c r="D1715" s="117"/>
      <c r="E1715" s="117"/>
      <c r="F1715" s="200"/>
      <c r="G1715" s="200"/>
      <c r="H1715" s="200"/>
      <c r="I1715" s="200"/>
      <c r="J1715" s="200"/>
      <c r="K1715" s="200">
        <f>SUMIF(AE!C:C,ATB!C:C,AE!F:F)</f>
        <v>0</v>
      </c>
      <c r="L1715" s="200">
        <f t="shared" si="60"/>
        <v>0</v>
      </c>
      <c r="M1715" s="200">
        <f t="shared" si="61"/>
        <v>0</v>
      </c>
    </row>
    <row r="1716" spans="2:13" x14ac:dyDescent="0.35">
      <c r="B1716" s="117"/>
      <c r="C1716" s="117"/>
      <c r="D1716" s="117"/>
      <c r="E1716" s="117"/>
      <c r="F1716" s="200"/>
      <c r="G1716" s="200"/>
      <c r="H1716" s="200"/>
      <c r="I1716" s="200"/>
      <c r="J1716" s="200"/>
      <c r="K1716" s="200">
        <f>SUMIF(AE!C:C,ATB!C:C,AE!F:F)</f>
        <v>0</v>
      </c>
      <c r="L1716" s="200">
        <f t="shared" si="60"/>
        <v>0</v>
      </c>
      <c r="M1716" s="200">
        <f t="shared" si="61"/>
        <v>0</v>
      </c>
    </row>
    <row r="1717" spans="2:13" x14ac:dyDescent="0.35">
      <c r="B1717" s="117"/>
      <c r="C1717" s="117"/>
      <c r="D1717" s="117"/>
      <c r="E1717" s="117"/>
      <c r="F1717" s="200"/>
      <c r="G1717" s="200"/>
      <c r="H1717" s="200"/>
      <c r="I1717" s="200"/>
      <c r="J1717" s="200"/>
      <c r="K1717" s="200">
        <f>SUMIF(AE!C:C,ATB!C:C,AE!F:F)</f>
        <v>0</v>
      </c>
      <c r="L1717" s="200">
        <f t="shared" si="60"/>
        <v>0</v>
      </c>
      <c r="M1717" s="200">
        <f t="shared" si="61"/>
        <v>0</v>
      </c>
    </row>
    <row r="1718" spans="2:13" x14ac:dyDescent="0.35">
      <c r="B1718" s="117"/>
      <c r="C1718" s="117"/>
      <c r="D1718" s="117"/>
      <c r="E1718" s="117"/>
      <c r="F1718" s="200"/>
      <c r="G1718" s="200"/>
      <c r="H1718" s="200"/>
      <c r="I1718" s="200"/>
      <c r="J1718" s="200"/>
      <c r="K1718" s="200">
        <f>SUMIF(AE!C:C,ATB!C:C,AE!F:F)</f>
        <v>0</v>
      </c>
      <c r="L1718" s="200">
        <f t="shared" si="60"/>
        <v>0</v>
      </c>
      <c r="M1718" s="200">
        <f t="shared" si="61"/>
        <v>0</v>
      </c>
    </row>
    <row r="1719" spans="2:13" x14ac:dyDescent="0.35">
      <c r="B1719" s="117"/>
      <c r="C1719" s="117"/>
      <c r="D1719" s="117"/>
      <c r="E1719" s="117"/>
      <c r="F1719" s="200"/>
      <c r="G1719" s="200"/>
      <c r="H1719" s="200"/>
      <c r="I1719" s="200"/>
      <c r="J1719" s="200"/>
      <c r="K1719" s="200">
        <f>SUMIF(AE!C:C,ATB!C:C,AE!F:F)</f>
        <v>0</v>
      </c>
      <c r="L1719" s="200">
        <f t="shared" si="60"/>
        <v>0</v>
      </c>
      <c r="M1719" s="200">
        <f t="shared" si="61"/>
        <v>0</v>
      </c>
    </row>
    <row r="1720" spans="2:13" x14ac:dyDescent="0.35">
      <c r="B1720" s="117"/>
      <c r="C1720" s="117"/>
      <c r="D1720" s="117"/>
      <c r="E1720" s="117"/>
      <c r="F1720" s="200"/>
      <c r="G1720" s="200"/>
      <c r="H1720" s="200"/>
      <c r="I1720" s="200"/>
      <c r="J1720" s="200"/>
      <c r="K1720" s="200">
        <f>SUMIF(AE!C:C,ATB!C:C,AE!F:F)</f>
        <v>0</v>
      </c>
      <c r="L1720" s="200">
        <f t="shared" si="60"/>
        <v>0</v>
      </c>
      <c r="M1720" s="200">
        <f t="shared" si="61"/>
        <v>0</v>
      </c>
    </row>
    <row r="1721" spans="2:13" x14ac:dyDescent="0.35">
      <c r="B1721" s="117"/>
      <c r="C1721" s="117"/>
      <c r="D1721" s="117"/>
      <c r="E1721" s="117"/>
      <c r="F1721" s="200"/>
      <c r="G1721" s="200"/>
      <c r="H1721" s="200"/>
      <c r="I1721" s="200"/>
      <c r="J1721" s="200"/>
      <c r="K1721" s="200">
        <f>SUMIF(AE!C:C,ATB!C:C,AE!F:F)</f>
        <v>0</v>
      </c>
      <c r="L1721" s="200">
        <f t="shared" si="60"/>
        <v>0</v>
      </c>
      <c r="M1721" s="200">
        <f t="shared" si="61"/>
        <v>0</v>
      </c>
    </row>
    <row r="1722" spans="2:13" x14ac:dyDescent="0.35">
      <c r="B1722" s="117"/>
      <c r="C1722" s="117"/>
      <c r="D1722" s="117"/>
      <c r="E1722" s="117"/>
      <c r="F1722" s="200"/>
      <c r="G1722" s="200"/>
      <c r="H1722" s="200"/>
      <c r="I1722" s="200"/>
      <c r="J1722" s="200"/>
      <c r="K1722" s="200">
        <f>SUMIF(AE!C:C,ATB!C:C,AE!F:F)</f>
        <v>0</v>
      </c>
      <c r="L1722" s="200">
        <f t="shared" si="60"/>
        <v>0</v>
      </c>
      <c r="M1722" s="200">
        <f t="shared" si="61"/>
        <v>0</v>
      </c>
    </row>
    <row r="1723" spans="2:13" x14ac:dyDescent="0.35">
      <c r="B1723" s="117"/>
      <c r="C1723" s="117"/>
      <c r="D1723" s="117"/>
      <c r="E1723" s="117"/>
      <c r="F1723" s="200"/>
      <c r="G1723" s="200"/>
      <c r="H1723" s="200"/>
      <c r="I1723" s="200"/>
      <c r="J1723" s="200"/>
      <c r="K1723" s="200">
        <f>SUMIF(AE!C:C,ATB!C:C,AE!F:F)</f>
        <v>0</v>
      </c>
      <c r="L1723" s="200">
        <f t="shared" si="60"/>
        <v>0</v>
      </c>
      <c r="M1723" s="200">
        <f t="shared" si="61"/>
        <v>0</v>
      </c>
    </row>
    <row r="1724" spans="2:13" x14ac:dyDescent="0.35">
      <c r="B1724" s="117"/>
      <c r="C1724" s="117"/>
      <c r="D1724" s="117"/>
      <c r="E1724" s="117"/>
      <c r="F1724" s="200"/>
      <c r="G1724" s="200"/>
      <c r="H1724" s="200"/>
      <c r="I1724" s="200"/>
      <c r="J1724" s="200"/>
      <c r="K1724" s="200">
        <f>SUMIF(AE!C:C,ATB!C:C,AE!F:F)</f>
        <v>0</v>
      </c>
      <c r="L1724" s="200">
        <f t="shared" si="60"/>
        <v>0</v>
      </c>
      <c r="M1724" s="200">
        <f t="shared" si="61"/>
        <v>0</v>
      </c>
    </row>
    <row r="1725" spans="2:13" x14ac:dyDescent="0.35">
      <c r="B1725" s="117"/>
      <c r="C1725" s="117"/>
      <c r="D1725" s="117"/>
      <c r="E1725" s="117"/>
      <c r="F1725" s="200"/>
      <c r="G1725" s="200"/>
      <c r="H1725" s="200"/>
      <c r="I1725" s="200"/>
      <c r="J1725" s="200"/>
      <c r="K1725" s="200">
        <f>SUMIF(AE!C:C,ATB!C:C,AE!F:F)</f>
        <v>0</v>
      </c>
      <c r="L1725" s="200">
        <f t="shared" si="60"/>
        <v>0</v>
      </c>
      <c r="M1725" s="200">
        <f t="shared" si="61"/>
        <v>0</v>
      </c>
    </row>
    <row r="1726" spans="2:13" x14ac:dyDescent="0.35">
      <c r="B1726" s="117"/>
      <c r="C1726" s="117"/>
      <c r="D1726" s="117"/>
      <c r="E1726" s="117"/>
      <c r="F1726" s="200"/>
      <c r="G1726" s="200"/>
      <c r="H1726" s="200"/>
      <c r="I1726" s="200"/>
      <c r="J1726" s="200"/>
      <c r="K1726" s="200">
        <f>SUMIF(AE!C:C,ATB!C:C,AE!F:F)</f>
        <v>0</v>
      </c>
      <c r="L1726" s="200">
        <f t="shared" si="60"/>
        <v>0</v>
      </c>
      <c r="M1726" s="200">
        <f t="shared" si="61"/>
        <v>0</v>
      </c>
    </row>
    <row r="1727" spans="2:13" x14ac:dyDescent="0.35">
      <c r="B1727" s="117"/>
      <c r="C1727" s="117"/>
      <c r="D1727" s="117"/>
      <c r="E1727" s="117"/>
      <c r="F1727" s="200"/>
      <c r="G1727" s="200"/>
      <c r="H1727" s="200"/>
      <c r="I1727" s="200"/>
      <c r="J1727" s="200"/>
      <c r="K1727" s="200">
        <f>SUMIF(AE!C:C,ATB!C:C,AE!F:F)</f>
        <v>0</v>
      </c>
      <c r="L1727" s="200">
        <f t="shared" si="60"/>
        <v>0</v>
      </c>
      <c r="M1727" s="200">
        <f t="shared" si="61"/>
        <v>0</v>
      </c>
    </row>
    <row r="1728" spans="2:13" x14ac:dyDescent="0.35">
      <c r="B1728" s="117"/>
      <c r="C1728" s="117"/>
      <c r="D1728" s="117"/>
      <c r="E1728" s="117"/>
      <c r="F1728" s="200"/>
      <c r="G1728" s="200"/>
      <c r="H1728" s="200"/>
      <c r="I1728" s="200"/>
      <c r="J1728" s="200"/>
      <c r="K1728" s="200">
        <f>SUMIF(AE!C:C,ATB!C:C,AE!F:F)</f>
        <v>0</v>
      </c>
      <c r="L1728" s="200">
        <f t="shared" si="60"/>
        <v>0</v>
      </c>
      <c r="M1728" s="200">
        <f t="shared" si="61"/>
        <v>0</v>
      </c>
    </row>
    <row r="1729" spans="2:13" x14ac:dyDescent="0.35">
      <c r="B1729" s="117"/>
      <c r="C1729" s="117"/>
      <c r="D1729" s="117"/>
      <c r="E1729" s="117"/>
      <c r="F1729" s="200"/>
      <c r="G1729" s="200"/>
      <c r="H1729" s="200"/>
      <c r="I1729" s="200"/>
      <c r="J1729" s="200"/>
      <c r="K1729" s="200">
        <f>SUMIF(AE!C:C,ATB!C:C,AE!F:F)</f>
        <v>0</v>
      </c>
      <c r="L1729" s="200">
        <f t="shared" si="60"/>
        <v>0</v>
      </c>
      <c r="M1729" s="200">
        <f t="shared" si="61"/>
        <v>0</v>
      </c>
    </row>
    <row r="1730" spans="2:13" x14ac:dyDescent="0.35">
      <c r="B1730" s="117"/>
      <c r="C1730" s="117"/>
      <c r="D1730" s="117"/>
      <c r="E1730" s="117"/>
      <c r="F1730" s="200"/>
      <c r="G1730" s="200"/>
      <c r="H1730" s="200"/>
      <c r="I1730" s="200"/>
      <c r="J1730" s="200"/>
      <c r="K1730" s="200">
        <f>SUMIF(AE!C:C,ATB!C:C,AE!F:F)</f>
        <v>0</v>
      </c>
      <c r="L1730" s="200">
        <f t="shared" ref="L1730:L1793" si="62">ROUND(IF(F1730+H1730+J1730-G1730-I1730-K1730&gt;0,F1730+H1730+J1730-G1730-I1730-K1730,0),0)</f>
        <v>0</v>
      </c>
      <c r="M1730" s="200">
        <f t="shared" ref="M1730:M1793" si="63">-ROUND(IF(F1730+H1730+J1730-G1730-I1730-K1730&lt;0,F1730+H1730+J1730-G1730-I1730-K1730,0),0)</f>
        <v>0</v>
      </c>
    </row>
    <row r="1731" spans="2:13" x14ac:dyDescent="0.35">
      <c r="B1731" s="117"/>
      <c r="C1731" s="117"/>
      <c r="D1731" s="117"/>
      <c r="E1731" s="117"/>
      <c r="F1731" s="200"/>
      <c r="G1731" s="200"/>
      <c r="H1731" s="200"/>
      <c r="I1731" s="200"/>
      <c r="J1731" s="200"/>
      <c r="K1731" s="200">
        <f>SUMIF(AE!C:C,ATB!C:C,AE!F:F)</f>
        <v>0</v>
      </c>
      <c r="L1731" s="200">
        <f t="shared" si="62"/>
        <v>0</v>
      </c>
      <c r="M1731" s="200">
        <f t="shared" si="63"/>
        <v>0</v>
      </c>
    </row>
    <row r="1732" spans="2:13" x14ac:dyDescent="0.35">
      <c r="B1732" s="117"/>
      <c r="C1732" s="117"/>
      <c r="D1732" s="117"/>
      <c r="E1732" s="117"/>
      <c r="F1732" s="200"/>
      <c r="G1732" s="200"/>
      <c r="H1732" s="200"/>
      <c r="I1732" s="200"/>
      <c r="J1732" s="200"/>
      <c r="K1732" s="200">
        <f>SUMIF(AE!C:C,ATB!C:C,AE!F:F)</f>
        <v>0</v>
      </c>
      <c r="L1732" s="200">
        <f t="shared" si="62"/>
        <v>0</v>
      </c>
      <c r="M1732" s="200">
        <f t="shared" si="63"/>
        <v>0</v>
      </c>
    </row>
    <row r="1733" spans="2:13" x14ac:dyDescent="0.35">
      <c r="B1733" s="117"/>
      <c r="C1733" s="117"/>
      <c r="D1733" s="117"/>
      <c r="E1733" s="117"/>
      <c r="F1733" s="200"/>
      <c r="G1733" s="200"/>
      <c r="H1733" s="200"/>
      <c r="I1733" s="200"/>
      <c r="J1733" s="200"/>
      <c r="K1733" s="200">
        <f>SUMIF(AE!C:C,ATB!C:C,AE!F:F)</f>
        <v>0</v>
      </c>
      <c r="L1733" s="200">
        <f t="shared" si="62"/>
        <v>0</v>
      </c>
      <c r="M1733" s="200">
        <f t="shared" si="63"/>
        <v>0</v>
      </c>
    </row>
    <row r="1734" spans="2:13" x14ac:dyDescent="0.35">
      <c r="B1734" s="117"/>
      <c r="C1734" s="117"/>
      <c r="D1734" s="117"/>
      <c r="E1734" s="117"/>
      <c r="F1734" s="200"/>
      <c r="G1734" s="200"/>
      <c r="H1734" s="200"/>
      <c r="I1734" s="200"/>
      <c r="J1734" s="200"/>
      <c r="K1734" s="200">
        <f>SUMIF(AE!C:C,ATB!C:C,AE!F:F)</f>
        <v>0</v>
      </c>
      <c r="L1734" s="200">
        <f t="shared" si="62"/>
        <v>0</v>
      </c>
      <c r="M1734" s="200">
        <f t="shared" si="63"/>
        <v>0</v>
      </c>
    </row>
    <row r="1735" spans="2:13" x14ac:dyDescent="0.35">
      <c r="B1735" s="117"/>
      <c r="C1735" s="117"/>
      <c r="D1735" s="117"/>
      <c r="E1735" s="117"/>
      <c r="F1735" s="200"/>
      <c r="G1735" s="200"/>
      <c r="H1735" s="200"/>
      <c r="I1735" s="200"/>
      <c r="J1735" s="200"/>
      <c r="K1735" s="200">
        <f>SUMIF(AE!C:C,ATB!C:C,AE!F:F)</f>
        <v>0</v>
      </c>
      <c r="L1735" s="200">
        <f t="shared" si="62"/>
        <v>0</v>
      </c>
      <c r="M1735" s="200">
        <f t="shared" si="63"/>
        <v>0</v>
      </c>
    </row>
    <row r="1736" spans="2:13" x14ac:dyDescent="0.35">
      <c r="B1736" s="117"/>
      <c r="C1736" s="117"/>
      <c r="D1736" s="117"/>
      <c r="E1736" s="117"/>
      <c r="F1736" s="200"/>
      <c r="G1736" s="200"/>
      <c r="H1736" s="200"/>
      <c r="I1736" s="200"/>
      <c r="J1736" s="200"/>
      <c r="K1736" s="200">
        <f>SUMIF(AE!C:C,ATB!C:C,AE!F:F)</f>
        <v>0</v>
      </c>
      <c r="L1736" s="200">
        <f t="shared" si="62"/>
        <v>0</v>
      </c>
      <c r="M1736" s="200">
        <f t="shared" si="63"/>
        <v>0</v>
      </c>
    </row>
    <row r="1737" spans="2:13" x14ac:dyDescent="0.35">
      <c r="B1737" s="117"/>
      <c r="C1737" s="117"/>
      <c r="D1737" s="117"/>
      <c r="E1737" s="117"/>
      <c r="F1737" s="200"/>
      <c r="G1737" s="200"/>
      <c r="H1737" s="200"/>
      <c r="I1737" s="200"/>
      <c r="J1737" s="200"/>
      <c r="K1737" s="200">
        <f>SUMIF(AE!C:C,ATB!C:C,AE!F:F)</f>
        <v>0</v>
      </c>
      <c r="L1737" s="200">
        <f t="shared" si="62"/>
        <v>0</v>
      </c>
      <c r="M1737" s="200">
        <f t="shared" si="63"/>
        <v>0</v>
      </c>
    </row>
    <row r="1738" spans="2:13" x14ac:dyDescent="0.35">
      <c r="B1738" s="117"/>
      <c r="C1738" s="117"/>
      <c r="D1738" s="117"/>
      <c r="E1738" s="117"/>
      <c r="F1738" s="200"/>
      <c r="G1738" s="200"/>
      <c r="H1738" s="200"/>
      <c r="I1738" s="200"/>
      <c r="J1738" s="200"/>
      <c r="K1738" s="200">
        <f>SUMIF(AE!C:C,ATB!C:C,AE!F:F)</f>
        <v>0</v>
      </c>
      <c r="L1738" s="200">
        <f t="shared" si="62"/>
        <v>0</v>
      </c>
      <c r="M1738" s="200">
        <f t="shared" si="63"/>
        <v>0</v>
      </c>
    </row>
    <row r="1739" spans="2:13" x14ac:dyDescent="0.35">
      <c r="B1739" s="117"/>
      <c r="C1739" s="117"/>
      <c r="D1739" s="117"/>
      <c r="E1739" s="117"/>
      <c r="F1739" s="200"/>
      <c r="G1739" s="200"/>
      <c r="H1739" s="200"/>
      <c r="I1739" s="200"/>
      <c r="J1739" s="200"/>
      <c r="K1739" s="200">
        <f>SUMIF(AE!C:C,ATB!C:C,AE!F:F)</f>
        <v>0</v>
      </c>
      <c r="L1739" s="200">
        <f t="shared" si="62"/>
        <v>0</v>
      </c>
      <c r="M1739" s="200">
        <f t="shared" si="63"/>
        <v>0</v>
      </c>
    </row>
    <row r="1740" spans="2:13" x14ac:dyDescent="0.35">
      <c r="B1740" s="117"/>
      <c r="C1740" s="117"/>
      <c r="D1740" s="117"/>
      <c r="E1740" s="117"/>
      <c r="F1740" s="200"/>
      <c r="G1740" s="200"/>
      <c r="H1740" s="200"/>
      <c r="I1740" s="200"/>
      <c r="J1740" s="200"/>
      <c r="K1740" s="200">
        <f>SUMIF(AE!C:C,ATB!C:C,AE!F:F)</f>
        <v>0</v>
      </c>
      <c r="L1740" s="200">
        <f t="shared" si="62"/>
        <v>0</v>
      </c>
      <c r="M1740" s="200">
        <f t="shared" si="63"/>
        <v>0</v>
      </c>
    </row>
    <row r="1741" spans="2:13" x14ac:dyDescent="0.35">
      <c r="B1741" s="117"/>
      <c r="C1741" s="117"/>
      <c r="D1741" s="117"/>
      <c r="E1741" s="117"/>
      <c r="F1741" s="200"/>
      <c r="G1741" s="200"/>
      <c r="H1741" s="200"/>
      <c r="I1741" s="200"/>
      <c r="J1741" s="200"/>
      <c r="K1741" s="200">
        <f>SUMIF(AE!C:C,ATB!C:C,AE!F:F)</f>
        <v>0</v>
      </c>
      <c r="L1741" s="200">
        <f t="shared" si="62"/>
        <v>0</v>
      </c>
      <c r="M1741" s="200">
        <f t="shared" si="63"/>
        <v>0</v>
      </c>
    </row>
    <row r="1742" spans="2:13" x14ac:dyDescent="0.35">
      <c r="B1742" s="117"/>
      <c r="C1742" s="117"/>
      <c r="D1742" s="117"/>
      <c r="E1742" s="117"/>
      <c r="F1742" s="200"/>
      <c r="G1742" s="200"/>
      <c r="H1742" s="200"/>
      <c r="I1742" s="200"/>
      <c r="J1742" s="200"/>
      <c r="K1742" s="200">
        <f>SUMIF(AE!C:C,ATB!C:C,AE!F:F)</f>
        <v>0</v>
      </c>
      <c r="L1742" s="200">
        <f t="shared" si="62"/>
        <v>0</v>
      </c>
      <c r="M1742" s="200">
        <f t="shared" si="63"/>
        <v>0</v>
      </c>
    </row>
    <row r="1743" spans="2:13" x14ac:dyDescent="0.35">
      <c r="B1743" s="117"/>
      <c r="C1743" s="117"/>
      <c r="D1743" s="117"/>
      <c r="E1743" s="117"/>
      <c r="F1743" s="200"/>
      <c r="G1743" s="200"/>
      <c r="H1743" s="200"/>
      <c r="I1743" s="200"/>
      <c r="J1743" s="200"/>
      <c r="K1743" s="200">
        <f>SUMIF(AE!C:C,ATB!C:C,AE!F:F)</f>
        <v>0</v>
      </c>
      <c r="L1743" s="200">
        <f t="shared" si="62"/>
        <v>0</v>
      </c>
      <c r="M1743" s="200">
        <f t="shared" si="63"/>
        <v>0</v>
      </c>
    </row>
    <row r="1744" spans="2:13" x14ac:dyDescent="0.35">
      <c r="B1744" s="117"/>
      <c r="C1744" s="117"/>
      <c r="D1744" s="117"/>
      <c r="E1744" s="117"/>
      <c r="F1744" s="200"/>
      <c r="G1744" s="200"/>
      <c r="H1744" s="200"/>
      <c r="I1744" s="200"/>
      <c r="J1744" s="200"/>
      <c r="K1744" s="200">
        <f>SUMIF(AE!C:C,ATB!C:C,AE!F:F)</f>
        <v>0</v>
      </c>
      <c r="L1744" s="200">
        <f t="shared" si="62"/>
        <v>0</v>
      </c>
      <c r="M1744" s="200">
        <f t="shared" si="63"/>
        <v>0</v>
      </c>
    </row>
    <row r="1745" spans="2:13" x14ac:dyDescent="0.35">
      <c r="B1745" s="117"/>
      <c r="C1745" s="117"/>
      <c r="D1745" s="117"/>
      <c r="E1745" s="117"/>
      <c r="F1745" s="200"/>
      <c r="G1745" s="200"/>
      <c r="H1745" s="200"/>
      <c r="I1745" s="200"/>
      <c r="J1745" s="200"/>
      <c r="K1745" s="200">
        <f>SUMIF(AE!C:C,ATB!C:C,AE!F:F)</f>
        <v>0</v>
      </c>
      <c r="L1745" s="200">
        <f t="shared" si="62"/>
        <v>0</v>
      </c>
      <c r="M1745" s="200">
        <f t="shared" si="63"/>
        <v>0</v>
      </c>
    </row>
    <row r="1746" spans="2:13" x14ac:dyDescent="0.35">
      <c r="B1746" s="117"/>
      <c r="C1746" s="117"/>
      <c r="D1746" s="117"/>
      <c r="E1746" s="117"/>
      <c r="F1746" s="200"/>
      <c r="G1746" s="200"/>
      <c r="H1746" s="200"/>
      <c r="I1746" s="200"/>
      <c r="J1746" s="200"/>
      <c r="K1746" s="200">
        <f>SUMIF(AE!C:C,ATB!C:C,AE!F:F)</f>
        <v>0</v>
      </c>
      <c r="L1746" s="200">
        <f t="shared" si="62"/>
        <v>0</v>
      </c>
      <c r="M1746" s="200">
        <f t="shared" si="63"/>
        <v>0</v>
      </c>
    </row>
    <row r="1747" spans="2:13" x14ac:dyDescent="0.35">
      <c r="B1747" s="117"/>
      <c r="C1747" s="117"/>
      <c r="D1747" s="117"/>
      <c r="E1747" s="117"/>
      <c r="F1747" s="200"/>
      <c r="G1747" s="200"/>
      <c r="H1747" s="200"/>
      <c r="I1747" s="200"/>
      <c r="J1747" s="200"/>
      <c r="K1747" s="200">
        <f>SUMIF(AE!C:C,ATB!C:C,AE!F:F)</f>
        <v>0</v>
      </c>
      <c r="L1747" s="200">
        <f t="shared" si="62"/>
        <v>0</v>
      </c>
      <c r="M1747" s="200">
        <f t="shared" si="63"/>
        <v>0</v>
      </c>
    </row>
    <row r="1748" spans="2:13" x14ac:dyDescent="0.35">
      <c r="B1748" s="117"/>
      <c r="C1748" s="117"/>
      <c r="D1748" s="117"/>
      <c r="E1748" s="117"/>
      <c r="F1748" s="200"/>
      <c r="G1748" s="200"/>
      <c r="H1748" s="200"/>
      <c r="I1748" s="200"/>
      <c r="J1748" s="200"/>
      <c r="K1748" s="200">
        <f>SUMIF(AE!C:C,ATB!C:C,AE!F:F)</f>
        <v>0</v>
      </c>
      <c r="L1748" s="200">
        <f t="shared" si="62"/>
        <v>0</v>
      </c>
      <c r="M1748" s="200">
        <f t="shared" si="63"/>
        <v>0</v>
      </c>
    </row>
    <row r="1749" spans="2:13" x14ac:dyDescent="0.35">
      <c r="B1749" s="117"/>
      <c r="C1749" s="117"/>
      <c r="D1749" s="117"/>
      <c r="E1749" s="117"/>
      <c r="F1749" s="200"/>
      <c r="G1749" s="200"/>
      <c r="H1749" s="200"/>
      <c r="I1749" s="200"/>
      <c r="J1749" s="200"/>
      <c r="K1749" s="200">
        <f>SUMIF(AE!C:C,ATB!C:C,AE!F:F)</f>
        <v>0</v>
      </c>
      <c r="L1749" s="200">
        <f t="shared" si="62"/>
        <v>0</v>
      </c>
      <c r="M1749" s="200">
        <f t="shared" si="63"/>
        <v>0</v>
      </c>
    </row>
    <row r="1750" spans="2:13" x14ac:dyDescent="0.35">
      <c r="B1750" s="117"/>
      <c r="C1750" s="117"/>
      <c r="D1750" s="117"/>
      <c r="E1750" s="117"/>
      <c r="F1750" s="200"/>
      <c r="G1750" s="200"/>
      <c r="H1750" s="200"/>
      <c r="I1750" s="200"/>
      <c r="J1750" s="200"/>
      <c r="K1750" s="200">
        <f>SUMIF(AE!C:C,ATB!C:C,AE!F:F)</f>
        <v>0</v>
      </c>
      <c r="L1750" s="200">
        <f t="shared" si="62"/>
        <v>0</v>
      </c>
      <c r="M1750" s="200">
        <f t="shared" si="63"/>
        <v>0</v>
      </c>
    </row>
    <row r="1751" spans="2:13" x14ac:dyDescent="0.35">
      <c r="B1751" s="117"/>
      <c r="C1751" s="117"/>
      <c r="D1751" s="117"/>
      <c r="E1751" s="117"/>
      <c r="F1751" s="200"/>
      <c r="G1751" s="200"/>
      <c r="H1751" s="200"/>
      <c r="I1751" s="200"/>
      <c r="J1751" s="200"/>
      <c r="K1751" s="200">
        <f>SUMIF(AE!C:C,ATB!C:C,AE!F:F)</f>
        <v>0</v>
      </c>
      <c r="L1751" s="200">
        <f t="shared" si="62"/>
        <v>0</v>
      </c>
      <c r="M1751" s="200">
        <f t="shared" si="63"/>
        <v>0</v>
      </c>
    </row>
    <row r="1752" spans="2:13" x14ac:dyDescent="0.35">
      <c r="B1752" s="117"/>
      <c r="C1752" s="117"/>
      <c r="D1752" s="117"/>
      <c r="E1752" s="117"/>
      <c r="F1752" s="200"/>
      <c r="G1752" s="200"/>
      <c r="H1752" s="200"/>
      <c r="I1752" s="200"/>
      <c r="J1752" s="200"/>
      <c r="K1752" s="200">
        <f>SUMIF(AE!C:C,ATB!C:C,AE!F:F)</f>
        <v>0</v>
      </c>
      <c r="L1752" s="200">
        <f t="shared" si="62"/>
        <v>0</v>
      </c>
      <c r="M1752" s="200">
        <f t="shared" si="63"/>
        <v>0</v>
      </c>
    </row>
    <row r="1753" spans="2:13" x14ac:dyDescent="0.35">
      <c r="B1753" s="117"/>
      <c r="C1753" s="117"/>
      <c r="D1753" s="117"/>
      <c r="E1753" s="117"/>
      <c r="F1753" s="200"/>
      <c r="G1753" s="200"/>
      <c r="H1753" s="200"/>
      <c r="I1753" s="200"/>
      <c r="J1753" s="200"/>
      <c r="K1753" s="200">
        <f>SUMIF(AE!C:C,ATB!C:C,AE!F:F)</f>
        <v>0</v>
      </c>
      <c r="L1753" s="200">
        <f t="shared" si="62"/>
        <v>0</v>
      </c>
      <c r="M1753" s="200">
        <f t="shared" si="63"/>
        <v>0</v>
      </c>
    </row>
    <row r="1754" spans="2:13" x14ac:dyDescent="0.35">
      <c r="B1754" s="117"/>
      <c r="C1754" s="117"/>
      <c r="D1754" s="117"/>
      <c r="E1754" s="117"/>
      <c r="F1754" s="200"/>
      <c r="G1754" s="200"/>
      <c r="H1754" s="200"/>
      <c r="I1754" s="200"/>
      <c r="J1754" s="200"/>
      <c r="K1754" s="200">
        <f>SUMIF(AE!C:C,ATB!C:C,AE!F:F)</f>
        <v>0</v>
      </c>
      <c r="L1754" s="200">
        <f t="shared" si="62"/>
        <v>0</v>
      </c>
      <c r="M1754" s="200">
        <f t="shared" si="63"/>
        <v>0</v>
      </c>
    </row>
    <row r="1755" spans="2:13" x14ac:dyDescent="0.35">
      <c r="B1755" s="117"/>
      <c r="C1755" s="117"/>
      <c r="D1755" s="117"/>
      <c r="E1755" s="117"/>
      <c r="F1755" s="200"/>
      <c r="G1755" s="200"/>
      <c r="H1755" s="200"/>
      <c r="I1755" s="200"/>
      <c r="J1755" s="200"/>
      <c r="K1755" s="200">
        <f>SUMIF(AE!C:C,ATB!C:C,AE!F:F)</f>
        <v>0</v>
      </c>
      <c r="L1755" s="200">
        <f t="shared" si="62"/>
        <v>0</v>
      </c>
      <c r="M1755" s="200">
        <f t="shared" si="63"/>
        <v>0</v>
      </c>
    </row>
    <row r="1756" spans="2:13" x14ac:dyDescent="0.35">
      <c r="B1756" s="117"/>
      <c r="C1756" s="117"/>
      <c r="D1756" s="117"/>
      <c r="E1756" s="117"/>
      <c r="F1756" s="200"/>
      <c r="G1756" s="200"/>
      <c r="H1756" s="200"/>
      <c r="I1756" s="200"/>
      <c r="J1756" s="200"/>
      <c r="K1756" s="200">
        <f>SUMIF(AE!C:C,ATB!C:C,AE!F:F)</f>
        <v>0</v>
      </c>
      <c r="L1756" s="200">
        <f t="shared" si="62"/>
        <v>0</v>
      </c>
      <c r="M1756" s="200">
        <f t="shared" si="63"/>
        <v>0</v>
      </c>
    </row>
    <row r="1757" spans="2:13" x14ac:dyDescent="0.35">
      <c r="B1757" s="117"/>
      <c r="C1757" s="117"/>
      <c r="D1757" s="117"/>
      <c r="E1757" s="117"/>
      <c r="F1757" s="200"/>
      <c r="G1757" s="200"/>
      <c r="H1757" s="200"/>
      <c r="I1757" s="200"/>
      <c r="J1757" s="200"/>
      <c r="K1757" s="200">
        <f>SUMIF(AE!C:C,ATB!C:C,AE!F:F)</f>
        <v>0</v>
      </c>
      <c r="L1757" s="200">
        <f t="shared" si="62"/>
        <v>0</v>
      </c>
      <c r="M1757" s="200">
        <f t="shared" si="63"/>
        <v>0</v>
      </c>
    </row>
    <row r="1758" spans="2:13" x14ac:dyDescent="0.35">
      <c r="B1758" s="117"/>
      <c r="C1758" s="117"/>
      <c r="D1758" s="117"/>
      <c r="E1758" s="117"/>
      <c r="F1758" s="200"/>
      <c r="G1758" s="200"/>
      <c r="H1758" s="200"/>
      <c r="I1758" s="200"/>
      <c r="J1758" s="200"/>
      <c r="K1758" s="200">
        <f>SUMIF(AE!C:C,ATB!C:C,AE!F:F)</f>
        <v>0</v>
      </c>
      <c r="L1758" s="200">
        <f t="shared" si="62"/>
        <v>0</v>
      </c>
      <c r="M1758" s="200">
        <f t="shared" si="63"/>
        <v>0</v>
      </c>
    </row>
    <row r="1759" spans="2:13" x14ac:dyDescent="0.35">
      <c r="B1759" s="117"/>
      <c r="C1759" s="117"/>
      <c r="D1759" s="117"/>
      <c r="E1759" s="117"/>
      <c r="F1759" s="200"/>
      <c r="G1759" s="200"/>
      <c r="H1759" s="200"/>
      <c r="I1759" s="200"/>
      <c r="J1759" s="200"/>
      <c r="K1759" s="200">
        <f>SUMIF(AE!C:C,ATB!C:C,AE!F:F)</f>
        <v>0</v>
      </c>
      <c r="L1759" s="200">
        <f t="shared" si="62"/>
        <v>0</v>
      </c>
      <c r="M1759" s="200">
        <f t="shared" si="63"/>
        <v>0</v>
      </c>
    </row>
    <row r="1760" spans="2:13" x14ac:dyDescent="0.35">
      <c r="B1760" s="117"/>
      <c r="C1760" s="117"/>
      <c r="D1760" s="117"/>
      <c r="E1760" s="117"/>
      <c r="F1760" s="200"/>
      <c r="G1760" s="200"/>
      <c r="H1760" s="200"/>
      <c r="I1760" s="200"/>
      <c r="J1760" s="200"/>
      <c r="K1760" s="200">
        <f>SUMIF(AE!C:C,ATB!C:C,AE!F:F)</f>
        <v>0</v>
      </c>
      <c r="L1760" s="200">
        <f t="shared" si="62"/>
        <v>0</v>
      </c>
      <c r="M1760" s="200">
        <f t="shared" si="63"/>
        <v>0</v>
      </c>
    </row>
    <row r="1761" spans="2:13" x14ac:dyDescent="0.35">
      <c r="B1761" s="117"/>
      <c r="C1761" s="117"/>
      <c r="D1761" s="117"/>
      <c r="E1761" s="117"/>
      <c r="F1761" s="200"/>
      <c r="G1761" s="200"/>
      <c r="H1761" s="200"/>
      <c r="I1761" s="200"/>
      <c r="J1761" s="200"/>
      <c r="K1761" s="200">
        <f>SUMIF(AE!C:C,ATB!C:C,AE!F:F)</f>
        <v>0</v>
      </c>
      <c r="L1761" s="200">
        <f t="shared" si="62"/>
        <v>0</v>
      </c>
      <c r="M1761" s="200">
        <f t="shared" si="63"/>
        <v>0</v>
      </c>
    </row>
    <row r="1762" spans="2:13" x14ac:dyDescent="0.35">
      <c r="B1762" s="117"/>
      <c r="C1762" s="117"/>
      <c r="D1762" s="117"/>
      <c r="E1762" s="117"/>
      <c r="F1762" s="200"/>
      <c r="G1762" s="200"/>
      <c r="H1762" s="200"/>
      <c r="I1762" s="200"/>
      <c r="J1762" s="200"/>
      <c r="K1762" s="200">
        <f>SUMIF(AE!C:C,ATB!C:C,AE!F:F)</f>
        <v>0</v>
      </c>
      <c r="L1762" s="200">
        <f t="shared" si="62"/>
        <v>0</v>
      </c>
      <c r="M1762" s="200">
        <f t="shared" si="63"/>
        <v>0</v>
      </c>
    </row>
    <row r="1763" spans="2:13" x14ac:dyDescent="0.35">
      <c r="B1763" s="117"/>
      <c r="C1763" s="117"/>
      <c r="D1763" s="117"/>
      <c r="E1763" s="117"/>
      <c r="F1763" s="200"/>
      <c r="G1763" s="200"/>
      <c r="H1763" s="200"/>
      <c r="I1763" s="200"/>
      <c r="J1763" s="200"/>
      <c r="K1763" s="200">
        <f>SUMIF(AE!C:C,ATB!C:C,AE!F:F)</f>
        <v>0</v>
      </c>
      <c r="L1763" s="200">
        <f t="shared" si="62"/>
        <v>0</v>
      </c>
      <c r="M1763" s="200">
        <f t="shared" si="63"/>
        <v>0</v>
      </c>
    </row>
    <row r="1764" spans="2:13" x14ac:dyDescent="0.35">
      <c r="B1764" s="117"/>
      <c r="C1764" s="117"/>
      <c r="D1764" s="117"/>
      <c r="E1764" s="117"/>
      <c r="F1764" s="200"/>
      <c r="G1764" s="200"/>
      <c r="H1764" s="200"/>
      <c r="I1764" s="200"/>
      <c r="J1764" s="200"/>
      <c r="K1764" s="200">
        <f>SUMIF(AE!C:C,ATB!C:C,AE!F:F)</f>
        <v>0</v>
      </c>
      <c r="L1764" s="200">
        <f t="shared" si="62"/>
        <v>0</v>
      </c>
      <c r="M1764" s="200">
        <f t="shared" si="63"/>
        <v>0</v>
      </c>
    </row>
    <row r="1765" spans="2:13" x14ac:dyDescent="0.35">
      <c r="B1765" s="117"/>
      <c r="C1765" s="117"/>
      <c r="D1765" s="117"/>
      <c r="E1765" s="117"/>
      <c r="F1765" s="200"/>
      <c r="G1765" s="200"/>
      <c r="H1765" s="200"/>
      <c r="I1765" s="200"/>
      <c r="J1765" s="200"/>
      <c r="K1765" s="200">
        <f>SUMIF(AE!C:C,ATB!C:C,AE!F:F)</f>
        <v>0</v>
      </c>
      <c r="L1765" s="200">
        <f t="shared" si="62"/>
        <v>0</v>
      </c>
      <c r="M1765" s="200">
        <f t="shared" si="63"/>
        <v>0</v>
      </c>
    </row>
    <row r="1766" spans="2:13" x14ac:dyDescent="0.35">
      <c r="B1766" s="117"/>
      <c r="C1766" s="117"/>
      <c r="D1766" s="117"/>
      <c r="E1766" s="117"/>
      <c r="F1766" s="200"/>
      <c r="G1766" s="200"/>
      <c r="H1766" s="200"/>
      <c r="I1766" s="200"/>
      <c r="J1766" s="200"/>
      <c r="K1766" s="200">
        <f>SUMIF(AE!C:C,ATB!C:C,AE!F:F)</f>
        <v>0</v>
      </c>
      <c r="L1766" s="200">
        <f t="shared" si="62"/>
        <v>0</v>
      </c>
      <c r="M1766" s="200">
        <f t="shared" si="63"/>
        <v>0</v>
      </c>
    </row>
    <row r="1767" spans="2:13" x14ac:dyDescent="0.35">
      <c r="B1767" s="117"/>
      <c r="C1767" s="117"/>
      <c r="D1767" s="117"/>
      <c r="E1767" s="117"/>
      <c r="F1767" s="200"/>
      <c r="G1767" s="200"/>
      <c r="H1767" s="200"/>
      <c r="I1767" s="200"/>
      <c r="J1767" s="200"/>
      <c r="K1767" s="200">
        <f>SUMIF(AE!C:C,ATB!C:C,AE!F:F)</f>
        <v>0</v>
      </c>
      <c r="L1767" s="200">
        <f t="shared" si="62"/>
        <v>0</v>
      </c>
      <c r="M1767" s="200">
        <f t="shared" si="63"/>
        <v>0</v>
      </c>
    </row>
    <row r="1768" spans="2:13" x14ac:dyDescent="0.35">
      <c r="B1768" s="117"/>
      <c r="C1768" s="117"/>
      <c r="D1768" s="117"/>
      <c r="E1768" s="117"/>
      <c r="F1768" s="200"/>
      <c r="G1768" s="200"/>
      <c r="H1768" s="200"/>
      <c r="I1768" s="200"/>
      <c r="J1768" s="200"/>
      <c r="K1768" s="200">
        <f>SUMIF(AE!C:C,ATB!C:C,AE!F:F)</f>
        <v>0</v>
      </c>
      <c r="L1768" s="200">
        <f t="shared" si="62"/>
        <v>0</v>
      </c>
      <c r="M1768" s="200">
        <f t="shared" si="63"/>
        <v>0</v>
      </c>
    </row>
    <row r="1769" spans="2:13" x14ac:dyDescent="0.35">
      <c r="B1769" s="117"/>
      <c r="C1769" s="117"/>
      <c r="D1769" s="117"/>
      <c r="E1769" s="117"/>
      <c r="F1769" s="200"/>
      <c r="G1769" s="200"/>
      <c r="H1769" s="200"/>
      <c r="I1769" s="200"/>
      <c r="J1769" s="200"/>
      <c r="K1769" s="200">
        <f>SUMIF(AE!C:C,ATB!C:C,AE!F:F)</f>
        <v>0</v>
      </c>
      <c r="L1769" s="200">
        <f t="shared" si="62"/>
        <v>0</v>
      </c>
      <c r="M1769" s="200">
        <f t="shared" si="63"/>
        <v>0</v>
      </c>
    </row>
    <row r="1770" spans="2:13" x14ac:dyDescent="0.35">
      <c r="B1770" s="117"/>
      <c r="C1770" s="117"/>
      <c r="D1770" s="117"/>
      <c r="E1770" s="117"/>
      <c r="F1770" s="200"/>
      <c r="G1770" s="200"/>
      <c r="H1770" s="200"/>
      <c r="I1770" s="200"/>
      <c r="J1770" s="200"/>
      <c r="K1770" s="200">
        <f>SUMIF(AE!C:C,ATB!C:C,AE!F:F)</f>
        <v>0</v>
      </c>
      <c r="L1770" s="200">
        <f t="shared" si="62"/>
        <v>0</v>
      </c>
      <c r="M1770" s="200">
        <f t="shared" si="63"/>
        <v>0</v>
      </c>
    </row>
    <row r="1771" spans="2:13" x14ac:dyDescent="0.35">
      <c r="B1771" s="117"/>
      <c r="C1771" s="117"/>
      <c r="D1771" s="117"/>
      <c r="E1771" s="117"/>
      <c r="F1771" s="200"/>
      <c r="G1771" s="200"/>
      <c r="H1771" s="200"/>
      <c r="I1771" s="200"/>
      <c r="J1771" s="200"/>
      <c r="K1771" s="200">
        <f>SUMIF(AE!C:C,ATB!C:C,AE!F:F)</f>
        <v>0</v>
      </c>
      <c r="L1771" s="200">
        <f t="shared" si="62"/>
        <v>0</v>
      </c>
      <c r="M1771" s="200">
        <f t="shared" si="63"/>
        <v>0</v>
      </c>
    </row>
    <row r="1772" spans="2:13" x14ac:dyDescent="0.35">
      <c r="B1772" s="117"/>
      <c r="C1772" s="117"/>
      <c r="D1772" s="117"/>
      <c r="E1772" s="117"/>
      <c r="F1772" s="200"/>
      <c r="G1772" s="200"/>
      <c r="H1772" s="200"/>
      <c r="I1772" s="200"/>
      <c r="J1772" s="200"/>
      <c r="K1772" s="200">
        <f>SUMIF(AE!C:C,ATB!C:C,AE!F:F)</f>
        <v>0</v>
      </c>
      <c r="L1772" s="200">
        <f t="shared" si="62"/>
        <v>0</v>
      </c>
      <c r="M1772" s="200">
        <f t="shared" si="63"/>
        <v>0</v>
      </c>
    </row>
    <row r="1773" spans="2:13" x14ac:dyDescent="0.35">
      <c r="B1773" s="117"/>
      <c r="C1773" s="117"/>
      <c r="D1773" s="117"/>
      <c r="E1773" s="117"/>
      <c r="F1773" s="200"/>
      <c r="G1773" s="200"/>
      <c r="H1773" s="200"/>
      <c r="I1773" s="200"/>
      <c r="J1773" s="200"/>
      <c r="K1773" s="200">
        <f>SUMIF(AE!C:C,ATB!C:C,AE!F:F)</f>
        <v>0</v>
      </c>
      <c r="L1773" s="200">
        <f t="shared" si="62"/>
        <v>0</v>
      </c>
      <c r="M1773" s="200">
        <f t="shared" si="63"/>
        <v>0</v>
      </c>
    </row>
    <row r="1774" spans="2:13" x14ac:dyDescent="0.35">
      <c r="B1774" s="117"/>
      <c r="C1774" s="117"/>
      <c r="D1774" s="117"/>
      <c r="E1774" s="117"/>
      <c r="F1774" s="200"/>
      <c r="G1774" s="200"/>
      <c r="H1774" s="200"/>
      <c r="I1774" s="200"/>
      <c r="J1774" s="200"/>
      <c r="K1774" s="200">
        <f>SUMIF(AE!C:C,ATB!C:C,AE!F:F)</f>
        <v>0</v>
      </c>
      <c r="L1774" s="200">
        <f t="shared" si="62"/>
        <v>0</v>
      </c>
      <c r="M1774" s="200">
        <f t="shared" si="63"/>
        <v>0</v>
      </c>
    </row>
    <row r="1775" spans="2:13" x14ac:dyDescent="0.35">
      <c r="B1775" s="117"/>
      <c r="C1775" s="117"/>
      <c r="D1775" s="117"/>
      <c r="E1775" s="117"/>
      <c r="F1775" s="200"/>
      <c r="G1775" s="200"/>
      <c r="H1775" s="200"/>
      <c r="I1775" s="200"/>
      <c r="J1775" s="200"/>
      <c r="K1775" s="200">
        <f>SUMIF(AE!C:C,ATB!C:C,AE!F:F)</f>
        <v>0</v>
      </c>
      <c r="L1775" s="200">
        <f t="shared" si="62"/>
        <v>0</v>
      </c>
      <c r="M1775" s="200">
        <f t="shared" si="63"/>
        <v>0</v>
      </c>
    </row>
    <row r="1776" spans="2:13" x14ac:dyDescent="0.35">
      <c r="B1776" s="117"/>
      <c r="C1776" s="117"/>
      <c r="D1776" s="117"/>
      <c r="E1776" s="117"/>
      <c r="F1776" s="200"/>
      <c r="G1776" s="200"/>
      <c r="H1776" s="200"/>
      <c r="I1776" s="200"/>
      <c r="J1776" s="200"/>
      <c r="K1776" s="200">
        <f>SUMIF(AE!C:C,ATB!C:C,AE!F:F)</f>
        <v>0</v>
      </c>
      <c r="L1776" s="200">
        <f t="shared" si="62"/>
        <v>0</v>
      </c>
      <c r="M1776" s="200">
        <f t="shared" si="63"/>
        <v>0</v>
      </c>
    </row>
    <row r="1777" spans="2:13" x14ac:dyDescent="0.35">
      <c r="B1777" s="117"/>
      <c r="C1777" s="117"/>
      <c r="D1777" s="117"/>
      <c r="E1777" s="117"/>
      <c r="F1777" s="200"/>
      <c r="G1777" s="200"/>
      <c r="H1777" s="200"/>
      <c r="I1777" s="200"/>
      <c r="J1777" s="200"/>
      <c r="K1777" s="200">
        <f>SUMIF(AE!C:C,ATB!C:C,AE!F:F)</f>
        <v>0</v>
      </c>
      <c r="L1777" s="200">
        <f t="shared" si="62"/>
        <v>0</v>
      </c>
      <c r="M1777" s="200">
        <f t="shared" si="63"/>
        <v>0</v>
      </c>
    </row>
    <row r="1778" spans="2:13" x14ac:dyDescent="0.35">
      <c r="B1778" s="117"/>
      <c r="C1778" s="117"/>
      <c r="D1778" s="117"/>
      <c r="E1778" s="117"/>
      <c r="F1778" s="200"/>
      <c r="G1778" s="200"/>
      <c r="H1778" s="200"/>
      <c r="I1778" s="200"/>
      <c r="J1778" s="200"/>
      <c r="K1778" s="200">
        <f>SUMIF(AE!C:C,ATB!C:C,AE!F:F)</f>
        <v>0</v>
      </c>
      <c r="L1778" s="200">
        <f t="shared" si="62"/>
        <v>0</v>
      </c>
      <c r="M1778" s="200">
        <f t="shared" si="63"/>
        <v>0</v>
      </c>
    </row>
    <row r="1779" spans="2:13" x14ac:dyDescent="0.35">
      <c r="B1779" s="117"/>
      <c r="C1779" s="117"/>
      <c r="D1779" s="117"/>
      <c r="E1779" s="117"/>
      <c r="F1779" s="200"/>
      <c r="G1779" s="200"/>
      <c r="H1779" s="200"/>
      <c r="I1779" s="200"/>
      <c r="J1779" s="200"/>
      <c r="K1779" s="200">
        <f>SUMIF(AE!C:C,ATB!C:C,AE!F:F)</f>
        <v>0</v>
      </c>
      <c r="L1779" s="200">
        <f t="shared" si="62"/>
        <v>0</v>
      </c>
      <c r="M1779" s="200">
        <f t="shared" si="63"/>
        <v>0</v>
      </c>
    </row>
    <row r="1780" spans="2:13" x14ac:dyDescent="0.35">
      <c r="B1780" s="117"/>
      <c r="C1780" s="117"/>
      <c r="D1780" s="117"/>
      <c r="E1780" s="117"/>
      <c r="F1780" s="200"/>
      <c r="G1780" s="200"/>
      <c r="H1780" s="200"/>
      <c r="I1780" s="200"/>
      <c r="J1780" s="200"/>
      <c r="K1780" s="200">
        <f>SUMIF(AE!C:C,ATB!C:C,AE!F:F)</f>
        <v>0</v>
      </c>
      <c r="L1780" s="200">
        <f t="shared" si="62"/>
        <v>0</v>
      </c>
      <c r="M1780" s="200">
        <f t="shared" si="63"/>
        <v>0</v>
      </c>
    </row>
    <row r="1781" spans="2:13" x14ac:dyDescent="0.35">
      <c r="B1781" s="117"/>
      <c r="C1781" s="117"/>
      <c r="D1781" s="117"/>
      <c r="E1781" s="117"/>
      <c r="F1781" s="200"/>
      <c r="G1781" s="200"/>
      <c r="H1781" s="200"/>
      <c r="I1781" s="200"/>
      <c r="J1781" s="200"/>
      <c r="K1781" s="200">
        <f>SUMIF(AE!C:C,ATB!C:C,AE!F:F)</f>
        <v>0</v>
      </c>
      <c r="L1781" s="200">
        <f t="shared" si="62"/>
        <v>0</v>
      </c>
      <c r="M1781" s="200">
        <f t="shared" si="63"/>
        <v>0</v>
      </c>
    </row>
    <row r="1782" spans="2:13" x14ac:dyDescent="0.35">
      <c r="B1782" s="117"/>
      <c r="C1782" s="117"/>
      <c r="D1782" s="117"/>
      <c r="E1782" s="117"/>
      <c r="F1782" s="200"/>
      <c r="G1782" s="200"/>
      <c r="H1782" s="200"/>
      <c r="I1782" s="200"/>
      <c r="J1782" s="200"/>
      <c r="K1782" s="200">
        <f>SUMIF(AE!C:C,ATB!C:C,AE!F:F)</f>
        <v>0</v>
      </c>
      <c r="L1782" s="200">
        <f t="shared" si="62"/>
        <v>0</v>
      </c>
      <c r="M1782" s="200">
        <f t="shared" si="63"/>
        <v>0</v>
      </c>
    </row>
    <row r="1783" spans="2:13" x14ac:dyDescent="0.35">
      <c r="B1783" s="117"/>
      <c r="C1783" s="117"/>
      <c r="D1783" s="117"/>
      <c r="E1783" s="117"/>
      <c r="F1783" s="200"/>
      <c r="G1783" s="200"/>
      <c r="H1783" s="200"/>
      <c r="I1783" s="200"/>
      <c r="J1783" s="200"/>
      <c r="K1783" s="200">
        <f>SUMIF(AE!C:C,ATB!C:C,AE!F:F)</f>
        <v>0</v>
      </c>
      <c r="L1783" s="200">
        <f t="shared" si="62"/>
        <v>0</v>
      </c>
      <c r="M1783" s="200">
        <f t="shared" si="63"/>
        <v>0</v>
      </c>
    </row>
    <row r="1784" spans="2:13" x14ac:dyDescent="0.35">
      <c r="B1784" s="117"/>
      <c r="C1784" s="117"/>
      <c r="D1784" s="117"/>
      <c r="E1784" s="117"/>
      <c r="F1784" s="200"/>
      <c r="G1784" s="200"/>
      <c r="H1784" s="200"/>
      <c r="I1784" s="200"/>
      <c r="J1784" s="200"/>
      <c r="K1784" s="200">
        <f>SUMIF(AE!C:C,ATB!C:C,AE!F:F)</f>
        <v>0</v>
      </c>
      <c r="L1784" s="200">
        <f t="shared" si="62"/>
        <v>0</v>
      </c>
      <c r="M1784" s="200">
        <f t="shared" si="63"/>
        <v>0</v>
      </c>
    </row>
    <row r="1785" spans="2:13" x14ac:dyDescent="0.35">
      <c r="B1785" s="117"/>
      <c r="C1785" s="117"/>
      <c r="D1785" s="117"/>
      <c r="E1785" s="117"/>
      <c r="F1785" s="200"/>
      <c r="G1785" s="200"/>
      <c r="H1785" s="200"/>
      <c r="I1785" s="200"/>
      <c r="J1785" s="200"/>
      <c r="K1785" s="200">
        <f>SUMIF(AE!C:C,ATB!C:C,AE!F:F)</f>
        <v>0</v>
      </c>
      <c r="L1785" s="200">
        <f t="shared" si="62"/>
        <v>0</v>
      </c>
      <c r="M1785" s="200">
        <f t="shared" si="63"/>
        <v>0</v>
      </c>
    </row>
    <row r="1786" spans="2:13" x14ac:dyDescent="0.35">
      <c r="B1786" s="117"/>
      <c r="C1786" s="117"/>
      <c r="D1786" s="117"/>
      <c r="E1786" s="117"/>
      <c r="F1786" s="200"/>
      <c r="G1786" s="200"/>
      <c r="H1786" s="200"/>
      <c r="I1786" s="200"/>
      <c r="J1786" s="200"/>
      <c r="K1786" s="200">
        <f>SUMIF(AE!C:C,ATB!C:C,AE!F:F)</f>
        <v>0</v>
      </c>
      <c r="L1786" s="200">
        <f t="shared" si="62"/>
        <v>0</v>
      </c>
      <c r="M1786" s="200">
        <f t="shared" si="63"/>
        <v>0</v>
      </c>
    </row>
    <row r="1787" spans="2:13" x14ac:dyDescent="0.35">
      <c r="B1787" s="117"/>
      <c r="C1787" s="117"/>
      <c r="D1787" s="117"/>
      <c r="E1787" s="117"/>
      <c r="F1787" s="200"/>
      <c r="G1787" s="200"/>
      <c r="H1787" s="200"/>
      <c r="I1787" s="200"/>
      <c r="J1787" s="200"/>
      <c r="K1787" s="200">
        <f>SUMIF(AE!C:C,ATB!C:C,AE!F:F)</f>
        <v>0</v>
      </c>
      <c r="L1787" s="200">
        <f t="shared" si="62"/>
        <v>0</v>
      </c>
      <c r="M1787" s="200">
        <f t="shared" si="63"/>
        <v>0</v>
      </c>
    </row>
    <row r="1788" spans="2:13" x14ac:dyDescent="0.35">
      <c r="B1788" s="117"/>
      <c r="C1788" s="117"/>
      <c r="D1788" s="117"/>
      <c r="E1788" s="117"/>
      <c r="F1788" s="200"/>
      <c r="G1788" s="200"/>
      <c r="H1788" s="200"/>
      <c r="I1788" s="200"/>
      <c r="J1788" s="200"/>
      <c r="K1788" s="200">
        <f>SUMIF(AE!C:C,ATB!C:C,AE!F:F)</f>
        <v>0</v>
      </c>
      <c r="L1788" s="200">
        <f t="shared" si="62"/>
        <v>0</v>
      </c>
      <c r="M1788" s="200">
        <f t="shared" si="63"/>
        <v>0</v>
      </c>
    </row>
    <row r="1789" spans="2:13" x14ac:dyDescent="0.35">
      <c r="B1789" s="117"/>
      <c r="C1789" s="117"/>
      <c r="D1789" s="117"/>
      <c r="E1789" s="117"/>
      <c r="F1789" s="200"/>
      <c r="G1789" s="200"/>
      <c r="H1789" s="200"/>
      <c r="I1789" s="200"/>
      <c r="J1789" s="200"/>
      <c r="K1789" s="200">
        <f>SUMIF(AE!C:C,ATB!C:C,AE!F:F)</f>
        <v>0</v>
      </c>
      <c r="L1789" s="200">
        <f t="shared" si="62"/>
        <v>0</v>
      </c>
      <c r="M1789" s="200">
        <f t="shared" si="63"/>
        <v>0</v>
      </c>
    </row>
    <row r="1790" spans="2:13" x14ac:dyDescent="0.35">
      <c r="B1790" s="117"/>
      <c r="C1790" s="117"/>
      <c r="D1790" s="117"/>
      <c r="E1790" s="117"/>
      <c r="F1790" s="200"/>
      <c r="G1790" s="200"/>
      <c r="H1790" s="200"/>
      <c r="I1790" s="200"/>
      <c r="J1790" s="200"/>
      <c r="K1790" s="200">
        <f>SUMIF(AE!C:C,ATB!C:C,AE!F:F)</f>
        <v>0</v>
      </c>
      <c r="L1790" s="200">
        <f t="shared" si="62"/>
        <v>0</v>
      </c>
      <c r="M1790" s="200">
        <f t="shared" si="63"/>
        <v>0</v>
      </c>
    </row>
    <row r="1791" spans="2:13" x14ac:dyDescent="0.35">
      <c r="B1791" s="117"/>
      <c r="C1791" s="117"/>
      <c r="D1791" s="117"/>
      <c r="E1791" s="117"/>
      <c r="F1791" s="200"/>
      <c r="G1791" s="200"/>
      <c r="H1791" s="200"/>
      <c r="I1791" s="200"/>
      <c r="J1791" s="200"/>
      <c r="K1791" s="200">
        <f>SUMIF(AE!C:C,ATB!C:C,AE!F:F)</f>
        <v>0</v>
      </c>
      <c r="L1791" s="200">
        <f t="shared" si="62"/>
        <v>0</v>
      </c>
      <c r="M1791" s="200">
        <f t="shared" si="63"/>
        <v>0</v>
      </c>
    </row>
    <row r="1792" spans="2:13" x14ac:dyDescent="0.35">
      <c r="B1792" s="117"/>
      <c r="C1792" s="117"/>
      <c r="D1792" s="117"/>
      <c r="E1792" s="117"/>
      <c r="F1792" s="200"/>
      <c r="G1792" s="200"/>
      <c r="H1792" s="200"/>
      <c r="I1792" s="200"/>
      <c r="J1792" s="200"/>
      <c r="K1792" s="200">
        <f>SUMIF(AE!C:C,ATB!C:C,AE!F:F)</f>
        <v>0</v>
      </c>
      <c r="L1792" s="200">
        <f t="shared" si="62"/>
        <v>0</v>
      </c>
      <c r="M1792" s="200">
        <f t="shared" si="63"/>
        <v>0</v>
      </c>
    </row>
    <row r="1793" spans="2:13" x14ac:dyDescent="0.35">
      <c r="B1793" s="117"/>
      <c r="C1793" s="117"/>
      <c r="D1793" s="117"/>
      <c r="E1793" s="117"/>
      <c r="F1793" s="200"/>
      <c r="G1793" s="200"/>
      <c r="H1793" s="200"/>
      <c r="I1793" s="200"/>
      <c r="J1793" s="200"/>
      <c r="K1793" s="200">
        <f>SUMIF(AE!C:C,ATB!C:C,AE!F:F)</f>
        <v>0</v>
      </c>
      <c r="L1793" s="200">
        <f t="shared" si="62"/>
        <v>0</v>
      </c>
      <c r="M1793" s="200">
        <f t="shared" si="63"/>
        <v>0</v>
      </c>
    </row>
    <row r="1794" spans="2:13" x14ac:dyDescent="0.35">
      <c r="B1794" s="117"/>
      <c r="C1794" s="117"/>
      <c r="D1794" s="117"/>
      <c r="E1794" s="117"/>
      <c r="F1794" s="200"/>
      <c r="G1794" s="200"/>
      <c r="H1794" s="200"/>
      <c r="I1794" s="200"/>
      <c r="J1794" s="200"/>
      <c r="K1794" s="200">
        <f>SUMIF(AE!C:C,ATB!C:C,AE!F:F)</f>
        <v>0</v>
      </c>
      <c r="L1794" s="200">
        <f t="shared" ref="L1794:L1857" si="64">ROUND(IF(F1794+H1794+J1794-G1794-I1794-K1794&gt;0,F1794+H1794+J1794-G1794-I1794-K1794,0),0)</f>
        <v>0</v>
      </c>
      <c r="M1794" s="200">
        <f t="shared" ref="M1794:M1857" si="65">-ROUND(IF(F1794+H1794+J1794-G1794-I1794-K1794&lt;0,F1794+H1794+J1794-G1794-I1794-K1794,0),0)</f>
        <v>0</v>
      </c>
    </row>
    <row r="1795" spans="2:13" x14ac:dyDescent="0.35">
      <c r="B1795" s="117"/>
      <c r="C1795" s="117"/>
      <c r="D1795" s="117"/>
      <c r="E1795" s="117"/>
      <c r="F1795" s="200"/>
      <c r="G1795" s="200"/>
      <c r="H1795" s="200"/>
      <c r="I1795" s="200"/>
      <c r="J1795" s="200"/>
      <c r="K1795" s="200">
        <f>SUMIF(AE!C:C,ATB!C:C,AE!F:F)</f>
        <v>0</v>
      </c>
      <c r="L1795" s="200">
        <f t="shared" si="64"/>
        <v>0</v>
      </c>
      <c r="M1795" s="200">
        <f t="shared" si="65"/>
        <v>0</v>
      </c>
    </row>
    <row r="1796" spans="2:13" x14ac:dyDescent="0.35">
      <c r="B1796" s="117"/>
      <c r="C1796" s="117"/>
      <c r="D1796" s="117"/>
      <c r="E1796" s="117"/>
      <c r="F1796" s="200"/>
      <c r="G1796" s="200"/>
      <c r="H1796" s="200"/>
      <c r="I1796" s="200"/>
      <c r="J1796" s="200"/>
      <c r="K1796" s="200">
        <f>SUMIF(AE!C:C,ATB!C:C,AE!F:F)</f>
        <v>0</v>
      </c>
      <c r="L1796" s="200">
        <f t="shared" si="64"/>
        <v>0</v>
      </c>
      <c r="M1796" s="200">
        <f t="shared" si="65"/>
        <v>0</v>
      </c>
    </row>
    <row r="1797" spans="2:13" x14ac:dyDescent="0.35">
      <c r="B1797" s="117"/>
      <c r="C1797" s="117"/>
      <c r="D1797" s="117"/>
      <c r="E1797" s="117"/>
      <c r="F1797" s="200"/>
      <c r="G1797" s="200"/>
      <c r="H1797" s="200"/>
      <c r="I1797" s="200"/>
      <c r="J1797" s="200"/>
      <c r="K1797" s="200">
        <f>SUMIF(AE!C:C,ATB!C:C,AE!F:F)</f>
        <v>0</v>
      </c>
      <c r="L1797" s="200">
        <f t="shared" si="64"/>
        <v>0</v>
      </c>
      <c r="M1797" s="200">
        <f t="shared" si="65"/>
        <v>0</v>
      </c>
    </row>
    <row r="1798" spans="2:13" x14ac:dyDescent="0.35">
      <c r="B1798" s="117"/>
      <c r="C1798" s="117"/>
      <c r="D1798" s="117"/>
      <c r="E1798" s="117"/>
      <c r="F1798" s="200"/>
      <c r="G1798" s="200"/>
      <c r="H1798" s="200"/>
      <c r="I1798" s="200"/>
      <c r="J1798" s="200"/>
      <c r="K1798" s="200">
        <f>SUMIF(AE!C:C,ATB!C:C,AE!F:F)</f>
        <v>0</v>
      </c>
      <c r="L1798" s="200">
        <f t="shared" si="64"/>
        <v>0</v>
      </c>
      <c r="M1798" s="200">
        <f t="shared" si="65"/>
        <v>0</v>
      </c>
    </row>
    <row r="1799" spans="2:13" x14ac:dyDescent="0.35">
      <c r="B1799" s="117"/>
      <c r="C1799" s="117"/>
      <c r="D1799" s="117"/>
      <c r="E1799" s="117"/>
      <c r="F1799" s="200"/>
      <c r="G1799" s="200"/>
      <c r="H1799" s="200"/>
      <c r="I1799" s="200"/>
      <c r="J1799" s="200"/>
      <c r="K1799" s="200">
        <f>SUMIF(AE!C:C,ATB!C:C,AE!F:F)</f>
        <v>0</v>
      </c>
      <c r="L1799" s="200">
        <f t="shared" si="64"/>
        <v>0</v>
      </c>
      <c r="M1799" s="200">
        <f t="shared" si="65"/>
        <v>0</v>
      </c>
    </row>
    <row r="1800" spans="2:13" x14ac:dyDescent="0.35">
      <c r="B1800" s="117"/>
      <c r="C1800" s="117"/>
      <c r="D1800" s="117"/>
      <c r="E1800" s="117"/>
      <c r="F1800" s="200"/>
      <c r="G1800" s="200"/>
      <c r="H1800" s="200"/>
      <c r="I1800" s="200"/>
      <c r="J1800" s="200"/>
      <c r="K1800" s="200">
        <f>SUMIF(AE!C:C,ATB!C:C,AE!F:F)</f>
        <v>0</v>
      </c>
      <c r="L1800" s="200">
        <f t="shared" si="64"/>
        <v>0</v>
      </c>
      <c r="M1800" s="200">
        <f t="shared" si="65"/>
        <v>0</v>
      </c>
    </row>
    <row r="1801" spans="2:13" x14ac:dyDescent="0.35">
      <c r="B1801" s="117"/>
      <c r="C1801" s="117"/>
      <c r="D1801" s="117"/>
      <c r="E1801" s="117"/>
      <c r="F1801" s="200"/>
      <c r="G1801" s="200"/>
      <c r="H1801" s="200"/>
      <c r="I1801" s="200"/>
      <c r="J1801" s="200"/>
      <c r="K1801" s="200">
        <f>SUMIF(AE!C:C,ATB!C:C,AE!F:F)</f>
        <v>0</v>
      </c>
      <c r="L1801" s="200">
        <f t="shared" si="64"/>
        <v>0</v>
      </c>
      <c r="M1801" s="200">
        <f t="shared" si="65"/>
        <v>0</v>
      </c>
    </row>
    <row r="1802" spans="2:13" x14ac:dyDescent="0.35">
      <c r="B1802" s="117"/>
      <c r="C1802" s="117"/>
      <c r="D1802" s="117"/>
      <c r="E1802" s="117"/>
      <c r="F1802" s="200"/>
      <c r="G1802" s="200"/>
      <c r="H1802" s="200"/>
      <c r="I1802" s="200"/>
      <c r="J1802" s="200"/>
      <c r="K1802" s="200">
        <f>SUMIF(AE!C:C,ATB!C:C,AE!F:F)</f>
        <v>0</v>
      </c>
      <c r="L1802" s="200">
        <f t="shared" si="64"/>
        <v>0</v>
      </c>
      <c r="M1802" s="200">
        <f t="shared" si="65"/>
        <v>0</v>
      </c>
    </row>
    <row r="1803" spans="2:13" x14ac:dyDescent="0.35">
      <c r="B1803" s="117"/>
      <c r="C1803" s="117"/>
      <c r="D1803" s="117"/>
      <c r="E1803" s="117"/>
      <c r="F1803" s="200"/>
      <c r="G1803" s="200"/>
      <c r="H1803" s="200"/>
      <c r="I1803" s="200"/>
      <c r="J1803" s="200"/>
      <c r="K1803" s="200">
        <f>SUMIF(AE!C:C,ATB!C:C,AE!F:F)</f>
        <v>0</v>
      </c>
      <c r="L1803" s="200">
        <f t="shared" si="64"/>
        <v>0</v>
      </c>
      <c r="M1803" s="200">
        <f t="shared" si="65"/>
        <v>0</v>
      </c>
    </row>
    <row r="1804" spans="2:13" x14ac:dyDescent="0.35">
      <c r="B1804" s="117"/>
      <c r="C1804" s="117"/>
      <c r="D1804" s="117"/>
      <c r="E1804" s="117"/>
      <c r="F1804" s="200"/>
      <c r="G1804" s="200"/>
      <c r="H1804" s="200"/>
      <c r="I1804" s="200"/>
      <c r="J1804" s="200"/>
      <c r="K1804" s="200">
        <f>SUMIF(AE!C:C,ATB!C:C,AE!F:F)</f>
        <v>0</v>
      </c>
      <c r="L1804" s="200">
        <f t="shared" si="64"/>
        <v>0</v>
      </c>
      <c r="M1804" s="200">
        <f t="shared" si="65"/>
        <v>0</v>
      </c>
    </row>
    <row r="1805" spans="2:13" x14ac:dyDescent="0.35">
      <c r="B1805" s="117"/>
      <c r="C1805" s="117"/>
      <c r="D1805" s="117"/>
      <c r="E1805" s="117"/>
      <c r="F1805" s="200"/>
      <c r="G1805" s="200"/>
      <c r="H1805" s="200"/>
      <c r="I1805" s="200"/>
      <c r="J1805" s="200"/>
      <c r="K1805" s="200">
        <f>SUMIF(AE!C:C,ATB!C:C,AE!F:F)</f>
        <v>0</v>
      </c>
      <c r="L1805" s="200">
        <f t="shared" si="64"/>
        <v>0</v>
      </c>
      <c r="M1805" s="200">
        <f t="shared" si="65"/>
        <v>0</v>
      </c>
    </row>
    <row r="1806" spans="2:13" x14ac:dyDescent="0.35">
      <c r="B1806" s="117"/>
      <c r="C1806" s="117"/>
      <c r="D1806" s="117"/>
      <c r="E1806" s="117"/>
      <c r="F1806" s="200"/>
      <c r="G1806" s="200"/>
      <c r="H1806" s="200"/>
      <c r="I1806" s="200"/>
      <c r="J1806" s="200"/>
      <c r="K1806" s="200">
        <f>SUMIF(AE!C:C,ATB!C:C,AE!F:F)</f>
        <v>0</v>
      </c>
      <c r="L1806" s="200">
        <f t="shared" si="64"/>
        <v>0</v>
      </c>
      <c r="M1806" s="200">
        <f t="shared" si="65"/>
        <v>0</v>
      </c>
    </row>
    <row r="1807" spans="2:13" x14ac:dyDescent="0.35">
      <c r="B1807" s="117"/>
      <c r="C1807" s="117"/>
      <c r="D1807" s="117"/>
      <c r="E1807" s="117"/>
      <c r="F1807" s="200"/>
      <c r="G1807" s="200"/>
      <c r="H1807" s="200"/>
      <c r="I1807" s="200"/>
      <c r="J1807" s="200"/>
      <c r="K1807" s="200">
        <f>SUMIF(AE!C:C,ATB!C:C,AE!F:F)</f>
        <v>0</v>
      </c>
      <c r="L1807" s="200">
        <f t="shared" si="64"/>
        <v>0</v>
      </c>
      <c r="M1807" s="200">
        <f t="shared" si="65"/>
        <v>0</v>
      </c>
    </row>
    <row r="1808" spans="2:13" x14ac:dyDescent="0.35">
      <c r="B1808" s="117"/>
      <c r="C1808" s="117"/>
      <c r="D1808" s="117"/>
      <c r="E1808" s="117"/>
      <c r="F1808" s="200"/>
      <c r="G1808" s="200"/>
      <c r="H1808" s="200"/>
      <c r="I1808" s="200"/>
      <c r="J1808" s="200"/>
      <c r="K1808" s="200">
        <f>SUMIF(AE!C:C,ATB!C:C,AE!F:F)</f>
        <v>0</v>
      </c>
      <c r="L1808" s="200">
        <f t="shared" si="64"/>
        <v>0</v>
      </c>
      <c r="M1808" s="200">
        <f t="shared" si="65"/>
        <v>0</v>
      </c>
    </row>
    <row r="1809" spans="2:13" x14ac:dyDescent="0.35">
      <c r="B1809" s="117"/>
      <c r="C1809" s="117"/>
      <c r="D1809" s="117"/>
      <c r="E1809" s="117"/>
      <c r="F1809" s="200"/>
      <c r="G1809" s="200"/>
      <c r="H1809" s="200"/>
      <c r="I1809" s="200"/>
      <c r="J1809" s="200"/>
      <c r="K1809" s="200">
        <f>SUMIF(AE!C:C,ATB!C:C,AE!F:F)</f>
        <v>0</v>
      </c>
      <c r="L1809" s="200">
        <f t="shared" si="64"/>
        <v>0</v>
      </c>
      <c r="M1809" s="200">
        <f t="shared" si="65"/>
        <v>0</v>
      </c>
    </row>
    <row r="1810" spans="2:13" x14ac:dyDescent="0.35">
      <c r="B1810" s="117"/>
      <c r="C1810" s="117"/>
      <c r="D1810" s="117"/>
      <c r="E1810" s="117"/>
      <c r="F1810" s="200"/>
      <c r="G1810" s="200"/>
      <c r="H1810" s="200"/>
      <c r="I1810" s="200"/>
      <c r="J1810" s="200"/>
      <c r="K1810" s="200">
        <f>SUMIF(AE!C:C,ATB!C:C,AE!F:F)</f>
        <v>0</v>
      </c>
      <c r="L1810" s="200">
        <f t="shared" si="64"/>
        <v>0</v>
      </c>
      <c r="M1810" s="200">
        <f t="shared" si="65"/>
        <v>0</v>
      </c>
    </row>
    <row r="1811" spans="2:13" x14ac:dyDescent="0.35">
      <c r="B1811" s="117"/>
      <c r="C1811" s="117"/>
      <c r="D1811" s="117"/>
      <c r="E1811" s="117"/>
      <c r="F1811" s="200"/>
      <c r="G1811" s="200"/>
      <c r="H1811" s="200"/>
      <c r="I1811" s="200"/>
      <c r="J1811" s="200"/>
      <c r="K1811" s="200">
        <f>SUMIF(AE!C:C,ATB!C:C,AE!F:F)</f>
        <v>0</v>
      </c>
      <c r="L1811" s="200">
        <f t="shared" si="64"/>
        <v>0</v>
      </c>
      <c r="M1811" s="200">
        <f t="shared" si="65"/>
        <v>0</v>
      </c>
    </row>
    <row r="1812" spans="2:13" x14ac:dyDescent="0.35">
      <c r="B1812" s="117"/>
      <c r="C1812" s="117"/>
      <c r="D1812" s="117"/>
      <c r="E1812" s="117"/>
      <c r="F1812" s="200"/>
      <c r="G1812" s="200"/>
      <c r="H1812" s="200"/>
      <c r="I1812" s="200"/>
      <c r="J1812" s="200"/>
      <c r="K1812" s="200">
        <f>SUMIF(AE!C:C,ATB!C:C,AE!F:F)</f>
        <v>0</v>
      </c>
      <c r="L1812" s="200">
        <f t="shared" si="64"/>
        <v>0</v>
      </c>
      <c r="M1812" s="200">
        <f t="shared" si="65"/>
        <v>0</v>
      </c>
    </row>
    <row r="1813" spans="2:13" x14ac:dyDescent="0.35">
      <c r="B1813" s="117"/>
      <c r="C1813" s="117"/>
      <c r="D1813" s="117"/>
      <c r="E1813" s="117"/>
      <c r="F1813" s="200"/>
      <c r="G1813" s="200"/>
      <c r="H1813" s="200"/>
      <c r="I1813" s="200"/>
      <c r="J1813" s="200"/>
      <c r="K1813" s="200">
        <f>SUMIF(AE!C:C,ATB!C:C,AE!F:F)</f>
        <v>0</v>
      </c>
      <c r="L1813" s="200">
        <f t="shared" si="64"/>
        <v>0</v>
      </c>
      <c r="M1813" s="200">
        <f t="shared" si="65"/>
        <v>0</v>
      </c>
    </row>
    <row r="1814" spans="2:13" x14ac:dyDescent="0.35">
      <c r="B1814" s="117"/>
      <c r="C1814" s="117"/>
      <c r="D1814" s="117"/>
      <c r="E1814" s="117"/>
      <c r="F1814" s="200"/>
      <c r="G1814" s="200"/>
      <c r="H1814" s="200"/>
      <c r="I1814" s="200"/>
      <c r="J1814" s="200"/>
      <c r="K1814" s="200">
        <f>SUMIF(AE!C:C,ATB!C:C,AE!F:F)</f>
        <v>0</v>
      </c>
      <c r="L1814" s="200">
        <f t="shared" si="64"/>
        <v>0</v>
      </c>
      <c r="M1814" s="200">
        <f t="shared" si="65"/>
        <v>0</v>
      </c>
    </row>
    <row r="1815" spans="2:13" x14ac:dyDescent="0.35">
      <c r="B1815" s="117"/>
      <c r="C1815" s="117"/>
      <c r="D1815" s="117"/>
      <c r="E1815" s="117"/>
      <c r="F1815" s="200"/>
      <c r="G1815" s="200"/>
      <c r="H1815" s="200"/>
      <c r="I1815" s="200"/>
      <c r="J1815" s="200"/>
      <c r="K1815" s="200">
        <f>SUMIF(AE!C:C,ATB!C:C,AE!F:F)</f>
        <v>0</v>
      </c>
      <c r="L1815" s="200">
        <f t="shared" si="64"/>
        <v>0</v>
      </c>
      <c r="M1815" s="200">
        <f t="shared" si="65"/>
        <v>0</v>
      </c>
    </row>
    <row r="1816" spans="2:13" x14ac:dyDescent="0.35">
      <c r="B1816" s="117"/>
      <c r="C1816" s="117"/>
      <c r="D1816" s="117"/>
      <c r="E1816" s="117"/>
      <c r="F1816" s="200"/>
      <c r="G1816" s="200"/>
      <c r="H1816" s="200"/>
      <c r="I1816" s="200"/>
      <c r="J1816" s="200"/>
      <c r="K1816" s="200">
        <f>SUMIF(AE!C:C,ATB!C:C,AE!F:F)</f>
        <v>0</v>
      </c>
      <c r="L1816" s="200">
        <f t="shared" si="64"/>
        <v>0</v>
      </c>
      <c r="M1816" s="200">
        <f t="shared" si="65"/>
        <v>0</v>
      </c>
    </row>
    <row r="1817" spans="2:13" x14ac:dyDescent="0.35">
      <c r="B1817" s="117"/>
      <c r="C1817" s="117"/>
      <c r="D1817" s="117"/>
      <c r="E1817" s="117"/>
      <c r="F1817" s="200"/>
      <c r="G1817" s="200"/>
      <c r="H1817" s="200"/>
      <c r="I1817" s="200"/>
      <c r="J1817" s="200"/>
      <c r="K1817" s="200">
        <f>SUMIF(AE!C:C,ATB!C:C,AE!F:F)</f>
        <v>0</v>
      </c>
      <c r="L1817" s="200">
        <f t="shared" si="64"/>
        <v>0</v>
      </c>
      <c r="M1817" s="200">
        <f t="shared" si="65"/>
        <v>0</v>
      </c>
    </row>
    <row r="1818" spans="2:13" x14ac:dyDescent="0.35">
      <c r="B1818" s="117"/>
      <c r="C1818" s="117"/>
      <c r="D1818" s="117"/>
      <c r="E1818" s="117"/>
      <c r="F1818" s="200"/>
      <c r="G1818" s="200"/>
      <c r="H1818" s="200"/>
      <c r="I1818" s="200"/>
      <c r="J1818" s="200"/>
      <c r="K1818" s="200">
        <f>SUMIF(AE!C:C,ATB!C:C,AE!F:F)</f>
        <v>0</v>
      </c>
      <c r="L1818" s="200">
        <f t="shared" si="64"/>
        <v>0</v>
      </c>
      <c r="M1818" s="200">
        <f t="shared" si="65"/>
        <v>0</v>
      </c>
    </row>
    <row r="1819" spans="2:13" x14ac:dyDescent="0.35">
      <c r="B1819" s="117"/>
      <c r="C1819" s="117"/>
      <c r="D1819" s="117"/>
      <c r="E1819" s="117"/>
      <c r="F1819" s="200"/>
      <c r="G1819" s="200"/>
      <c r="H1819" s="200"/>
      <c r="I1819" s="200"/>
      <c r="J1819" s="200"/>
      <c r="K1819" s="200">
        <f>SUMIF(AE!C:C,ATB!C:C,AE!F:F)</f>
        <v>0</v>
      </c>
      <c r="L1819" s="200">
        <f t="shared" si="64"/>
        <v>0</v>
      </c>
      <c r="M1819" s="200">
        <f t="shared" si="65"/>
        <v>0</v>
      </c>
    </row>
    <row r="1820" spans="2:13" x14ac:dyDescent="0.35">
      <c r="B1820" s="117"/>
      <c r="C1820" s="117"/>
      <c r="D1820" s="117"/>
      <c r="E1820" s="117"/>
      <c r="F1820" s="200"/>
      <c r="G1820" s="200"/>
      <c r="H1820" s="200"/>
      <c r="I1820" s="200"/>
      <c r="J1820" s="200"/>
      <c r="K1820" s="200">
        <f>SUMIF(AE!C:C,ATB!C:C,AE!F:F)</f>
        <v>0</v>
      </c>
      <c r="L1820" s="200">
        <f t="shared" si="64"/>
        <v>0</v>
      </c>
      <c r="M1820" s="200">
        <f t="shared" si="65"/>
        <v>0</v>
      </c>
    </row>
    <row r="1821" spans="2:13" x14ac:dyDescent="0.35">
      <c r="B1821" s="117"/>
      <c r="C1821" s="117"/>
      <c r="D1821" s="117"/>
      <c r="E1821" s="117"/>
      <c r="F1821" s="200"/>
      <c r="G1821" s="200"/>
      <c r="H1821" s="200"/>
      <c r="I1821" s="200"/>
      <c r="J1821" s="200"/>
      <c r="K1821" s="200">
        <f>SUMIF(AE!C:C,ATB!C:C,AE!F:F)</f>
        <v>0</v>
      </c>
      <c r="L1821" s="200">
        <f t="shared" si="64"/>
        <v>0</v>
      </c>
      <c r="M1821" s="200">
        <f t="shared" si="65"/>
        <v>0</v>
      </c>
    </row>
    <row r="1822" spans="2:13" x14ac:dyDescent="0.35">
      <c r="B1822" s="117"/>
      <c r="C1822" s="117"/>
      <c r="D1822" s="117"/>
      <c r="E1822" s="117"/>
      <c r="F1822" s="200"/>
      <c r="G1822" s="200"/>
      <c r="H1822" s="200"/>
      <c r="I1822" s="200"/>
      <c r="J1822" s="200"/>
      <c r="K1822" s="200">
        <f>SUMIF(AE!C:C,ATB!C:C,AE!F:F)</f>
        <v>0</v>
      </c>
      <c r="L1822" s="200">
        <f t="shared" si="64"/>
        <v>0</v>
      </c>
      <c r="M1822" s="200">
        <f t="shared" si="65"/>
        <v>0</v>
      </c>
    </row>
    <row r="1823" spans="2:13" x14ac:dyDescent="0.35">
      <c r="B1823" s="117"/>
      <c r="C1823" s="117"/>
      <c r="D1823" s="117"/>
      <c r="E1823" s="117"/>
      <c r="F1823" s="200"/>
      <c r="G1823" s="200"/>
      <c r="H1823" s="200"/>
      <c r="I1823" s="200"/>
      <c r="J1823" s="200"/>
      <c r="K1823" s="200">
        <f>SUMIF(AE!C:C,ATB!C:C,AE!F:F)</f>
        <v>0</v>
      </c>
      <c r="L1823" s="200">
        <f t="shared" si="64"/>
        <v>0</v>
      </c>
      <c r="M1823" s="200">
        <f t="shared" si="65"/>
        <v>0</v>
      </c>
    </row>
    <row r="1824" spans="2:13" x14ac:dyDescent="0.35">
      <c r="B1824" s="117"/>
      <c r="C1824" s="117"/>
      <c r="D1824" s="117"/>
      <c r="E1824" s="117"/>
      <c r="F1824" s="200"/>
      <c r="G1824" s="200"/>
      <c r="H1824" s="200"/>
      <c r="I1824" s="200"/>
      <c r="J1824" s="200"/>
      <c r="K1824" s="200">
        <f>SUMIF(AE!C:C,ATB!C:C,AE!F:F)</f>
        <v>0</v>
      </c>
      <c r="L1824" s="200">
        <f t="shared" si="64"/>
        <v>0</v>
      </c>
      <c r="M1824" s="200">
        <f t="shared" si="65"/>
        <v>0</v>
      </c>
    </row>
    <row r="1825" spans="2:13" x14ac:dyDescent="0.35">
      <c r="B1825" s="117"/>
      <c r="C1825" s="117"/>
      <c r="D1825" s="117"/>
      <c r="E1825" s="117"/>
      <c r="F1825" s="200"/>
      <c r="G1825" s="200"/>
      <c r="H1825" s="200"/>
      <c r="I1825" s="200"/>
      <c r="J1825" s="200"/>
      <c r="K1825" s="200">
        <f>SUMIF(AE!C:C,ATB!C:C,AE!F:F)</f>
        <v>0</v>
      </c>
      <c r="L1825" s="200">
        <f t="shared" si="64"/>
        <v>0</v>
      </c>
      <c r="M1825" s="200">
        <f t="shared" si="65"/>
        <v>0</v>
      </c>
    </row>
    <row r="1826" spans="2:13" x14ac:dyDescent="0.35">
      <c r="B1826" s="117"/>
      <c r="C1826" s="117"/>
      <c r="D1826" s="117"/>
      <c r="E1826" s="117"/>
      <c r="F1826" s="200"/>
      <c r="G1826" s="200"/>
      <c r="H1826" s="200"/>
      <c r="I1826" s="200"/>
      <c r="J1826" s="200"/>
      <c r="K1826" s="200">
        <f>SUMIF(AE!C:C,ATB!C:C,AE!F:F)</f>
        <v>0</v>
      </c>
      <c r="L1826" s="200">
        <f t="shared" si="64"/>
        <v>0</v>
      </c>
      <c r="M1826" s="200">
        <f t="shared" si="65"/>
        <v>0</v>
      </c>
    </row>
    <row r="1827" spans="2:13" x14ac:dyDescent="0.35">
      <c r="B1827" s="117"/>
      <c r="C1827" s="117"/>
      <c r="D1827" s="117"/>
      <c r="E1827" s="117"/>
      <c r="F1827" s="200"/>
      <c r="G1827" s="200"/>
      <c r="H1827" s="200"/>
      <c r="I1827" s="200"/>
      <c r="J1827" s="200"/>
      <c r="K1827" s="200">
        <f>SUMIF(AE!C:C,ATB!C:C,AE!F:F)</f>
        <v>0</v>
      </c>
      <c r="L1827" s="200">
        <f t="shared" si="64"/>
        <v>0</v>
      </c>
      <c r="M1827" s="200">
        <f t="shared" si="65"/>
        <v>0</v>
      </c>
    </row>
    <row r="1828" spans="2:13" x14ac:dyDescent="0.35">
      <c r="B1828" s="117"/>
      <c r="C1828" s="117"/>
      <c r="D1828" s="117"/>
      <c r="E1828" s="117"/>
      <c r="F1828" s="200"/>
      <c r="G1828" s="200"/>
      <c r="H1828" s="200"/>
      <c r="I1828" s="200"/>
      <c r="J1828" s="200"/>
      <c r="K1828" s="200">
        <f>SUMIF(AE!C:C,ATB!C:C,AE!F:F)</f>
        <v>0</v>
      </c>
      <c r="L1828" s="200">
        <f t="shared" si="64"/>
        <v>0</v>
      </c>
      <c r="M1828" s="200">
        <f t="shared" si="65"/>
        <v>0</v>
      </c>
    </row>
    <row r="1829" spans="2:13" x14ac:dyDescent="0.35">
      <c r="B1829" s="117"/>
      <c r="C1829" s="117"/>
      <c r="D1829" s="117"/>
      <c r="E1829" s="117"/>
      <c r="F1829" s="200"/>
      <c r="G1829" s="200"/>
      <c r="H1829" s="200"/>
      <c r="I1829" s="200"/>
      <c r="J1829" s="200"/>
      <c r="K1829" s="200">
        <f>SUMIF(AE!C:C,ATB!C:C,AE!F:F)</f>
        <v>0</v>
      </c>
      <c r="L1829" s="200">
        <f t="shared" si="64"/>
        <v>0</v>
      </c>
      <c r="M1829" s="200">
        <f t="shared" si="65"/>
        <v>0</v>
      </c>
    </row>
    <row r="1830" spans="2:13" x14ac:dyDescent="0.35">
      <c r="B1830" s="117"/>
      <c r="C1830" s="117"/>
      <c r="D1830" s="117"/>
      <c r="E1830" s="117"/>
      <c r="F1830" s="200"/>
      <c r="G1830" s="200"/>
      <c r="H1830" s="200"/>
      <c r="I1830" s="200"/>
      <c r="J1830" s="200"/>
      <c r="K1830" s="200">
        <f>SUMIF(AE!C:C,ATB!C:C,AE!F:F)</f>
        <v>0</v>
      </c>
      <c r="L1830" s="200">
        <f t="shared" si="64"/>
        <v>0</v>
      </c>
      <c r="M1830" s="200">
        <f t="shared" si="65"/>
        <v>0</v>
      </c>
    </row>
    <row r="1831" spans="2:13" x14ac:dyDescent="0.35">
      <c r="B1831" s="117"/>
      <c r="C1831" s="117"/>
      <c r="D1831" s="117"/>
      <c r="E1831" s="117"/>
      <c r="F1831" s="200"/>
      <c r="G1831" s="200"/>
      <c r="H1831" s="200"/>
      <c r="I1831" s="200"/>
      <c r="J1831" s="200"/>
      <c r="K1831" s="200">
        <f>SUMIF(AE!C:C,ATB!C:C,AE!F:F)</f>
        <v>0</v>
      </c>
      <c r="L1831" s="200">
        <f t="shared" si="64"/>
        <v>0</v>
      </c>
      <c r="M1831" s="200">
        <f t="shared" si="65"/>
        <v>0</v>
      </c>
    </row>
    <row r="1832" spans="2:13" x14ac:dyDescent="0.35">
      <c r="B1832" s="117"/>
      <c r="C1832" s="117"/>
      <c r="D1832" s="117"/>
      <c r="E1832" s="117"/>
      <c r="F1832" s="200"/>
      <c r="G1832" s="200"/>
      <c r="H1832" s="200"/>
      <c r="I1832" s="200"/>
      <c r="J1832" s="200"/>
      <c r="K1832" s="200">
        <f>SUMIF(AE!C:C,ATB!C:C,AE!F:F)</f>
        <v>0</v>
      </c>
      <c r="L1832" s="200">
        <f t="shared" si="64"/>
        <v>0</v>
      </c>
      <c r="M1832" s="200">
        <f t="shared" si="65"/>
        <v>0</v>
      </c>
    </row>
    <row r="1833" spans="2:13" x14ac:dyDescent="0.35">
      <c r="B1833" s="117"/>
      <c r="C1833" s="117"/>
      <c r="D1833" s="117"/>
      <c r="E1833" s="117"/>
      <c r="F1833" s="200"/>
      <c r="G1833" s="200"/>
      <c r="H1833" s="200"/>
      <c r="I1833" s="200"/>
      <c r="J1833" s="200"/>
      <c r="K1833" s="200">
        <f>SUMIF(AE!C:C,ATB!C:C,AE!F:F)</f>
        <v>0</v>
      </c>
      <c r="L1833" s="200">
        <f t="shared" si="64"/>
        <v>0</v>
      </c>
      <c r="M1833" s="200">
        <f t="shared" si="65"/>
        <v>0</v>
      </c>
    </row>
    <row r="1834" spans="2:13" x14ac:dyDescent="0.35">
      <c r="B1834" s="117"/>
      <c r="C1834" s="117"/>
      <c r="D1834" s="117"/>
      <c r="E1834" s="117"/>
      <c r="F1834" s="200"/>
      <c r="G1834" s="200"/>
      <c r="H1834" s="200"/>
      <c r="I1834" s="200"/>
      <c r="J1834" s="200"/>
      <c r="K1834" s="200">
        <f>SUMIF(AE!C:C,ATB!C:C,AE!F:F)</f>
        <v>0</v>
      </c>
      <c r="L1834" s="200">
        <f t="shared" si="64"/>
        <v>0</v>
      </c>
      <c r="M1834" s="200">
        <f t="shared" si="65"/>
        <v>0</v>
      </c>
    </row>
    <row r="1835" spans="2:13" x14ac:dyDescent="0.35">
      <c r="B1835" s="117"/>
      <c r="C1835" s="117"/>
      <c r="D1835" s="117"/>
      <c r="E1835" s="117"/>
      <c r="F1835" s="200"/>
      <c r="G1835" s="200"/>
      <c r="H1835" s="200"/>
      <c r="I1835" s="200"/>
      <c r="J1835" s="200"/>
      <c r="K1835" s="200">
        <f>SUMIF(AE!C:C,ATB!C:C,AE!F:F)</f>
        <v>0</v>
      </c>
      <c r="L1835" s="200">
        <f t="shared" si="64"/>
        <v>0</v>
      </c>
      <c r="M1835" s="200">
        <f t="shared" si="65"/>
        <v>0</v>
      </c>
    </row>
    <row r="1836" spans="2:13" x14ac:dyDescent="0.35">
      <c r="B1836" s="117"/>
      <c r="C1836" s="117"/>
      <c r="D1836" s="117"/>
      <c r="E1836" s="117"/>
      <c r="F1836" s="200"/>
      <c r="G1836" s="200"/>
      <c r="H1836" s="200"/>
      <c r="I1836" s="200"/>
      <c r="J1836" s="200"/>
      <c r="K1836" s="200">
        <f>SUMIF(AE!C:C,ATB!C:C,AE!F:F)</f>
        <v>0</v>
      </c>
      <c r="L1836" s="200">
        <f t="shared" si="64"/>
        <v>0</v>
      </c>
      <c r="M1836" s="200">
        <f t="shared" si="65"/>
        <v>0</v>
      </c>
    </row>
    <row r="1837" spans="2:13" x14ac:dyDescent="0.35">
      <c r="B1837" s="117"/>
      <c r="C1837" s="117"/>
      <c r="D1837" s="117"/>
      <c r="E1837" s="117"/>
      <c r="F1837" s="200"/>
      <c r="G1837" s="200"/>
      <c r="H1837" s="200"/>
      <c r="I1837" s="200"/>
      <c r="J1837" s="200"/>
      <c r="K1837" s="200">
        <f>SUMIF(AE!C:C,ATB!C:C,AE!F:F)</f>
        <v>0</v>
      </c>
      <c r="L1837" s="200">
        <f t="shared" si="64"/>
        <v>0</v>
      </c>
      <c r="M1837" s="200">
        <f t="shared" si="65"/>
        <v>0</v>
      </c>
    </row>
    <row r="1838" spans="2:13" x14ac:dyDescent="0.35">
      <c r="B1838" s="117"/>
      <c r="C1838" s="117"/>
      <c r="D1838" s="117"/>
      <c r="E1838" s="117"/>
      <c r="F1838" s="200"/>
      <c r="G1838" s="200"/>
      <c r="H1838" s="200"/>
      <c r="I1838" s="200"/>
      <c r="J1838" s="200"/>
      <c r="K1838" s="200">
        <f>SUMIF(AE!C:C,ATB!C:C,AE!F:F)</f>
        <v>0</v>
      </c>
      <c r="L1838" s="200">
        <f t="shared" si="64"/>
        <v>0</v>
      </c>
      <c r="M1838" s="200">
        <f t="shared" si="65"/>
        <v>0</v>
      </c>
    </row>
    <row r="1839" spans="2:13" x14ac:dyDescent="0.35">
      <c r="B1839" s="117"/>
      <c r="C1839" s="117"/>
      <c r="D1839" s="117"/>
      <c r="E1839" s="117"/>
      <c r="F1839" s="200"/>
      <c r="G1839" s="200"/>
      <c r="H1839" s="200"/>
      <c r="I1839" s="200"/>
      <c r="J1839" s="200"/>
      <c r="K1839" s="200">
        <f>SUMIF(AE!C:C,ATB!C:C,AE!F:F)</f>
        <v>0</v>
      </c>
      <c r="L1839" s="200">
        <f t="shared" si="64"/>
        <v>0</v>
      </c>
      <c r="M1839" s="200">
        <f t="shared" si="65"/>
        <v>0</v>
      </c>
    </row>
    <row r="1840" spans="2:13" x14ac:dyDescent="0.35">
      <c r="B1840" s="117"/>
      <c r="C1840" s="117"/>
      <c r="D1840" s="117"/>
      <c r="E1840" s="117"/>
      <c r="F1840" s="200"/>
      <c r="G1840" s="200"/>
      <c r="H1840" s="200"/>
      <c r="I1840" s="200"/>
      <c r="J1840" s="200"/>
      <c r="K1840" s="200">
        <f>SUMIF(AE!C:C,ATB!C:C,AE!F:F)</f>
        <v>0</v>
      </c>
      <c r="L1840" s="200">
        <f t="shared" si="64"/>
        <v>0</v>
      </c>
      <c r="M1840" s="200">
        <f t="shared" si="65"/>
        <v>0</v>
      </c>
    </row>
    <row r="1841" spans="2:13" x14ac:dyDescent="0.35">
      <c r="B1841" s="117"/>
      <c r="C1841" s="117"/>
      <c r="D1841" s="117"/>
      <c r="E1841" s="117"/>
      <c r="F1841" s="200"/>
      <c r="G1841" s="200"/>
      <c r="H1841" s="200"/>
      <c r="I1841" s="200"/>
      <c r="J1841" s="200"/>
      <c r="K1841" s="200">
        <f>SUMIF(AE!C:C,ATB!C:C,AE!F:F)</f>
        <v>0</v>
      </c>
      <c r="L1841" s="200">
        <f t="shared" si="64"/>
        <v>0</v>
      </c>
      <c r="M1841" s="200">
        <f t="shared" si="65"/>
        <v>0</v>
      </c>
    </row>
    <row r="1842" spans="2:13" x14ac:dyDescent="0.35">
      <c r="B1842" s="117"/>
      <c r="C1842" s="117"/>
      <c r="D1842" s="117"/>
      <c r="E1842" s="117"/>
      <c r="F1842" s="200"/>
      <c r="G1842" s="200"/>
      <c r="H1842" s="200"/>
      <c r="I1842" s="200"/>
      <c r="J1842" s="200"/>
      <c r="K1842" s="200">
        <f>SUMIF(AE!C:C,ATB!C:C,AE!F:F)</f>
        <v>0</v>
      </c>
      <c r="L1842" s="200">
        <f t="shared" si="64"/>
        <v>0</v>
      </c>
      <c r="M1842" s="200">
        <f t="shared" si="65"/>
        <v>0</v>
      </c>
    </row>
    <row r="1843" spans="2:13" x14ac:dyDescent="0.35">
      <c r="B1843" s="117"/>
      <c r="C1843" s="117"/>
      <c r="D1843" s="117"/>
      <c r="E1843" s="117"/>
      <c r="F1843" s="200"/>
      <c r="G1843" s="200"/>
      <c r="H1843" s="200"/>
      <c r="I1843" s="200"/>
      <c r="J1843" s="200"/>
      <c r="K1843" s="200">
        <f>SUMIF(AE!C:C,ATB!C:C,AE!F:F)</f>
        <v>0</v>
      </c>
      <c r="L1843" s="200">
        <f t="shared" si="64"/>
        <v>0</v>
      </c>
      <c r="M1843" s="200">
        <f t="shared" si="65"/>
        <v>0</v>
      </c>
    </row>
    <row r="1844" spans="2:13" x14ac:dyDescent="0.35">
      <c r="B1844" s="117"/>
      <c r="C1844" s="117"/>
      <c r="D1844" s="117"/>
      <c r="E1844" s="117"/>
      <c r="F1844" s="200"/>
      <c r="G1844" s="200"/>
      <c r="H1844" s="200"/>
      <c r="I1844" s="200"/>
      <c r="J1844" s="200"/>
      <c r="K1844" s="200">
        <f>SUMIF(AE!C:C,ATB!C:C,AE!F:F)</f>
        <v>0</v>
      </c>
      <c r="L1844" s="200">
        <f t="shared" si="64"/>
        <v>0</v>
      </c>
      <c r="M1844" s="200">
        <f t="shared" si="65"/>
        <v>0</v>
      </c>
    </row>
    <row r="1845" spans="2:13" x14ac:dyDescent="0.35">
      <c r="B1845" s="117"/>
      <c r="C1845" s="117"/>
      <c r="D1845" s="117"/>
      <c r="E1845" s="117"/>
      <c r="F1845" s="200"/>
      <c r="G1845" s="200"/>
      <c r="H1845" s="200"/>
      <c r="I1845" s="200"/>
      <c r="J1845" s="200"/>
      <c r="K1845" s="200">
        <f>SUMIF(AE!C:C,ATB!C:C,AE!F:F)</f>
        <v>0</v>
      </c>
      <c r="L1845" s="200">
        <f t="shared" si="64"/>
        <v>0</v>
      </c>
      <c r="M1845" s="200">
        <f t="shared" si="65"/>
        <v>0</v>
      </c>
    </row>
    <row r="1846" spans="2:13" x14ac:dyDescent="0.35">
      <c r="B1846" s="117"/>
      <c r="C1846" s="117"/>
      <c r="D1846" s="117"/>
      <c r="E1846" s="117"/>
      <c r="F1846" s="200"/>
      <c r="G1846" s="200"/>
      <c r="H1846" s="200"/>
      <c r="I1846" s="200"/>
      <c r="J1846" s="200"/>
      <c r="K1846" s="200">
        <f>SUMIF(AE!C:C,ATB!C:C,AE!F:F)</f>
        <v>0</v>
      </c>
      <c r="L1846" s="200">
        <f t="shared" si="64"/>
        <v>0</v>
      </c>
      <c r="M1846" s="200">
        <f t="shared" si="65"/>
        <v>0</v>
      </c>
    </row>
    <row r="1847" spans="2:13" x14ac:dyDescent="0.35">
      <c r="B1847" s="117"/>
      <c r="C1847" s="117"/>
      <c r="D1847" s="117"/>
      <c r="E1847" s="117"/>
      <c r="F1847" s="200"/>
      <c r="G1847" s="200"/>
      <c r="H1847" s="200"/>
      <c r="I1847" s="200"/>
      <c r="J1847" s="200"/>
      <c r="K1847" s="200">
        <f>SUMIF(AE!C:C,ATB!C:C,AE!F:F)</f>
        <v>0</v>
      </c>
      <c r="L1847" s="200">
        <f t="shared" si="64"/>
        <v>0</v>
      </c>
      <c r="M1847" s="200">
        <f t="shared" si="65"/>
        <v>0</v>
      </c>
    </row>
    <row r="1848" spans="2:13" x14ac:dyDescent="0.35">
      <c r="B1848" s="117"/>
      <c r="C1848" s="117"/>
      <c r="D1848" s="117"/>
      <c r="E1848" s="117"/>
      <c r="F1848" s="200"/>
      <c r="G1848" s="200"/>
      <c r="H1848" s="200"/>
      <c r="I1848" s="200"/>
      <c r="J1848" s="200"/>
      <c r="K1848" s="200">
        <f>SUMIF(AE!C:C,ATB!C:C,AE!F:F)</f>
        <v>0</v>
      </c>
      <c r="L1848" s="200">
        <f t="shared" si="64"/>
        <v>0</v>
      </c>
      <c r="M1848" s="200">
        <f t="shared" si="65"/>
        <v>0</v>
      </c>
    </row>
    <row r="1849" spans="2:13" x14ac:dyDescent="0.35">
      <c r="B1849" s="117"/>
      <c r="C1849" s="117"/>
      <c r="D1849" s="117"/>
      <c r="E1849" s="117"/>
      <c r="F1849" s="200"/>
      <c r="G1849" s="200"/>
      <c r="H1849" s="200"/>
      <c r="I1849" s="200"/>
      <c r="J1849" s="200"/>
      <c r="K1849" s="200">
        <f>SUMIF(AE!C:C,ATB!C:C,AE!F:F)</f>
        <v>0</v>
      </c>
      <c r="L1849" s="200">
        <f t="shared" si="64"/>
        <v>0</v>
      </c>
      <c r="M1849" s="200">
        <f t="shared" si="65"/>
        <v>0</v>
      </c>
    </row>
    <row r="1850" spans="2:13" x14ac:dyDescent="0.35">
      <c r="B1850" s="117"/>
      <c r="C1850" s="117"/>
      <c r="D1850" s="117"/>
      <c r="E1850" s="117"/>
      <c r="F1850" s="200"/>
      <c r="G1850" s="200"/>
      <c r="H1850" s="200"/>
      <c r="I1850" s="200"/>
      <c r="J1850" s="200"/>
      <c r="K1850" s="200">
        <f>SUMIF(AE!C:C,ATB!C:C,AE!F:F)</f>
        <v>0</v>
      </c>
      <c r="L1850" s="200">
        <f t="shared" si="64"/>
        <v>0</v>
      </c>
      <c r="M1850" s="200">
        <f t="shared" si="65"/>
        <v>0</v>
      </c>
    </row>
    <row r="1851" spans="2:13" x14ac:dyDescent="0.35">
      <c r="B1851" s="117"/>
      <c r="C1851" s="117"/>
      <c r="D1851" s="117"/>
      <c r="E1851" s="117"/>
      <c r="F1851" s="200"/>
      <c r="G1851" s="200"/>
      <c r="H1851" s="200"/>
      <c r="I1851" s="200"/>
      <c r="J1851" s="200"/>
      <c r="K1851" s="200">
        <f>SUMIF(AE!C:C,ATB!C:C,AE!F:F)</f>
        <v>0</v>
      </c>
      <c r="L1851" s="200">
        <f t="shared" si="64"/>
        <v>0</v>
      </c>
      <c r="M1851" s="200">
        <f t="shared" si="65"/>
        <v>0</v>
      </c>
    </row>
    <row r="1852" spans="2:13" x14ac:dyDescent="0.35">
      <c r="B1852" s="117"/>
      <c r="C1852" s="117"/>
      <c r="D1852" s="117"/>
      <c r="E1852" s="117"/>
      <c r="F1852" s="200"/>
      <c r="G1852" s="200"/>
      <c r="H1852" s="200"/>
      <c r="I1852" s="200"/>
      <c r="J1852" s="200"/>
      <c r="K1852" s="200">
        <f>SUMIF(AE!C:C,ATB!C:C,AE!F:F)</f>
        <v>0</v>
      </c>
      <c r="L1852" s="200">
        <f t="shared" si="64"/>
        <v>0</v>
      </c>
      <c r="M1852" s="200">
        <f t="shared" si="65"/>
        <v>0</v>
      </c>
    </row>
    <row r="1853" spans="2:13" x14ac:dyDescent="0.35">
      <c r="B1853" s="117"/>
      <c r="C1853" s="117"/>
      <c r="D1853" s="117"/>
      <c r="E1853" s="117"/>
      <c r="F1853" s="200"/>
      <c r="G1853" s="200"/>
      <c r="H1853" s="200"/>
      <c r="I1853" s="200"/>
      <c r="J1853" s="200"/>
      <c r="K1853" s="200">
        <f>SUMIF(AE!C:C,ATB!C:C,AE!F:F)</f>
        <v>0</v>
      </c>
      <c r="L1853" s="200">
        <f t="shared" si="64"/>
        <v>0</v>
      </c>
      <c r="M1853" s="200">
        <f t="shared" si="65"/>
        <v>0</v>
      </c>
    </row>
    <row r="1854" spans="2:13" x14ac:dyDescent="0.35">
      <c r="B1854" s="117"/>
      <c r="C1854" s="117"/>
      <c r="D1854" s="117"/>
      <c r="E1854" s="117"/>
      <c r="F1854" s="200"/>
      <c r="G1854" s="200"/>
      <c r="H1854" s="200"/>
      <c r="I1854" s="200"/>
      <c r="J1854" s="200"/>
      <c r="K1854" s="200">
        <f>SUMIF(AE!C:C,ATB!C:C,AE!F:F)</f>
        <v>0</v>
      </c>
      <c r="L1854" s="200">
        <f t="shared" si="64"/>
        <v>0</v>
      </c>
      <c r="M1854" s="200">
        <f t="shared" si="65"/>
        <v>0</v>
      </c>
    </row>
    <row r="1855" spans="2:13" x14ac:dyDescent="0.35">
      <c r="B1855" s="117"/>
      <c r="C1855" s="117"/>
      <c r="D1855" s="117"/>
      <c r="E1855" s="117"/>
      <c r="F1855" s="200"/>
      <c r="G1855" s="200"/>
      <c r="H1855" s="200"/>
      <c r="I1855" s="200"/>
      <c r="J1855" s="200"/>
      <c r="K1855" s="200">
        <f>SUMIF(AE!C:C,ATB!C:C,AE!F:F)</f>
        <v>0</v>
      </c>
      <c r="L1855" s="200">
        <f t="shared" si="64"/>
        <v>0</v>
      </c>
      <c r="M1855" s="200">
        <f t="shared" si="65"/>
        <v>0</v>
      </c>
    </row>
    <row r="1856" spans="2:13" x14ac:dyDescent="0.35">
      <c r="B1856" s="117"/>
      <c r="C1856" s="117"/>
      <c r="D1856" s="117"/>
      <c r="E1856" s="117"/>
      <c r="F1856" s="200"/>
      <c r="G1856" s="200"/>
      <c r="H1856" s="200"/>
      <c r="I1856" s="200"/>
      <c r="J1856" s="200"/>
      <c r="K1856" s="200">
        <f>SUMIF(AE!C:C,ATB!C:C,AE!F:F)</f>
        <v>0</v>
      </c>
      <c r="L1856" s="200">
        <f t="shared" si="64"/>
        <v>0</v>
      </c>
      <c r="M1856" s="200">
        <f t="shared" si="65"/>
        <v>0</v>
      </c>
    </row>
    <row r="1857" spans="2:13" x14ac:dyDescent="0.35">
      <c r="B1857" s="117"/>
      <c r="C1857" s="117"/>
      <c r="D1857" s="117"/>
      <c r="E1857" s="117"/>
      <c r="F1857" s="200"/>
      <c r="G1857" s="200"/>
      <c r="H1857" s="200"/>
      <c r="I1857" s="200"/>
      <c r="J1857" s="200"/>
      <c r="K1857" s="200">
        <f>SUMIF(AE!C:C,ATB!C:C,AE!F:F)</f>
        <v>0</v>
      </c>
      <c r="L1857" s="200">
        <f t="shared" si="64"/>
        <v>0</v>
      </c>
      <c r="M1857" s="200">
        <f t="shared" si="65"/>
        <v>0</v>
      </c>
    </row>
    <row r="1858" spans="2:13" x14ac:dyDescent="0.35">
      <c r="B1858" s="117"/>
      <c r="C1858" s="117"/>
      <c r="D1858" s="117"/>
      <c r="E1858" s="117"/>
      <c r="F1858" s="200"/>
      <c r="G1858" s="200"/>
      <c r="H1858" s="200"/>
      <c r="I1858" s="200"/>
      <c r="J1858" s="200"/>
      <c r="K1858" s="200">
        <f>SUMIF(AE!C:C,ATB!C:C,AE!F:F)</f>
        <v>0</v>
      </c>
      <c r="L1858" s="200">
        <f t="shared" ref="L1858:L1921" si="66">ROUND(IF(F1858+H1858+J1858-G1858-I1858-K1858&gt;0,F1858+H1858+J1858-G1858-I1858-K1858,0),0)</f>
        <v>0</v>
      </c>
      <c r="M1858" s="200">
        <f t="shared" ref="M1858:M1921" si="67">-ROUND(IF(F1858+H1858+J1858-G1858-I1858-K1858&lt;0,F1858+H1858+J1858-G1858-I1858-K1858,0),0)</f>
        <v>0</v>
      </c>
    </row>
    <row r="1859" spans="2:13" x14ac:dyDescent="0.35">
      <c r="B1859" s="117"/>
      <c r="C1859" s="117"/>
      <c r="D1859" s="117"/>
      <c r="E1859" s="117"/>
      <c r="F1859" s="200"/>
      <c r="G1859" s="200"/>
      <c r="H1859" s="200"/>
      <c r="I1859" s="200"/>
      <c r="J1859" s="200"/>
      <c r="K1859" s="200">
        <f>SUMIF(AE!C:C,ATB!C:C,AE!F:F)</f>
        <v>0</v>
      </c>
      <c r="L1859" s="200">
        <f t="shared" si="66"/>
        <v>0</v>
      </c>
      <c r="M1859" s="200">
        <f t="shared" si="67"/>
        <v>0</v>
      </c>
    </row>
    <row r="1860" spans="2:13" x14ac:dyDescent="0.35">
      <c r="B1860" s="117"/>
      <c r="C1860" s="117"/>
      <c r="D1860" s="117"/>
      <c r="E1860" s="117"/>
      <c r="F1860" s="200"/>
      <c r="G1860" s="200"/>
      <c r="H1860" s="200"/>
      <c r="I1860" s="200"/>
      <c r="J1860" s="200"/>
      <c r="K1860" s="200">
        <f>SUMIF(AE!C:C,ATB!C:C,AE!F:F)</f>
        <v>0</v>
      </c>
      <c r="L1860" s="200">
        <f t="shared" si="66"/>
        <v>0</v>
      </c>
      <c r="M1860" s="200">
        <f t="shared" si="67"/>
        <v>0</v>
      </c>
    </row>
    <row r="1861" spans="2:13" x14ac:dyDescent="0.35">
      <c r="B1861" s="117"/>
      <c r="C1861" s="117"/>
      <c r="D1861" s="117"/>
      <c r="E1861" s="117"/>
      <c r="F1861" s="200"/>
      <c r="G1861" s="200"/>
      <c r="H1861" s="200"/>
      <c r="I1861" s="200"/>
      <c r="J1861" s="200"/>
      <c r="K1861" s="200">
        <f>SUMIF(AE!C:C,ATB!C:C,AE!F:F)</f>
        <v>0</v>
      </c>
      <c r="L1861" s="200">
        <f t="shared" si="66"/>
        <v>0</v>
      </c>
      <c r="M1861" s="200">
        <f t="shared" si="67"/>
        <v>0</v>
      </c>
    </row>
    <row r="1862" spans="2:13" x14ac:dyDescent="0.35">
      <c r="B1862" s="117"/>
      <c r="C1862" s="117"/>
      <c r="D1862" s="117"/>
      <c r="E1862" s="117"/>
      <c r="F1862" s="200"/>
      <c r="G1862" s="200"/>
      <c r="H1862" s="200"/>
      <c r="I1862" s="200"/>
      <c r="J1862" s="200"/>
      <c r="K1862" s="200">
        <f>SUMIF(AE!C:C,ATB!C:C,AE!F:F)</f>
        <v>0</v>
      </c>
      <c r="L1862" s="200">
        <f t="shared" si="66"/>
        <v>0</v>
      </c>
      <c r="M1862" s="200">
        <f t="shared" si="67"/>
        <v>0</v>
      </c>
    </row>
    <row r="1863" spans="2:13" x14ac:dyDescent="0.35">
      <c r="B1863" s="117"/>
      <c r="C1863" s="117"/>
      <c r="D1863" s="117"/>
      <c r="E1863" s="117"/>
      <c r="F1863" s="200"/>
      <c r="G1863" s="200"/>
      <c r="H1863" s="200"/>
      <c r="I1863" s="200"/>
      <c r="J1863" s="200"/>
      <c r="K1863" s="200">
        <f>SUMIF(AE!C:C,ATB!C:C,AE!F:F)</f>
        <v>0</v>
      </c>
      <c r="L1863" s="200">
        <f t="shared" si="66"/>
        <v>0</v>
      </c>
      <c r="M1863" s="200">
        <f t="shared" si="67"/>
        <v>0</v>
      </c>
    </row>
    <row r="1864" spans="2:13" x14ac:dyDescent="0.35">
      <c r="B1864" s="117"/>
      <c r="C1864" s="117"/>
      <c r="D1864" s="117"/>
      <c r="E1864" s="117"/>
      <c r="F1864" s="200"/>
      <c r="G1864" s="200"/>
      <c r="H1864" s="200"/>
      <c r="I1864" s="200"/>
      <c r="J1864" s="200"/>
      <c r="K1864" s="200">
        <f>SUMIF(AE!C:C,ATB!C:C,AE!F:F)</f>
        <v>0</v>
      </c>
      <c r="L1864" s="200">
        <f t="shared" si="66"/>
        <v>0</v>
      </c>
      <c r="M1864" s="200">
        <f t="shared" si="67"/>
        <v>0</v>
      </c>
    </row>
    <row r="1865" spans="2:13" x14ac:dyDescent="0.35">
      <c r="B1865" s="117"/>
      <c r="C1865" s="117"/>
      <c r="D1865" s="117"/>
      <c r="E1865" s="117"/>
      <c r="F1865" s="200"/>
      <c r="G1865" s="200"/>
      <c r="H1865" s="200"/>
      <c r="I1865" s="200"/>
      <c r="J1865" s="200"/>
      <c r="K1865" s="200">
        <f>SUMIF(AE!C:C,ATB!C:C,AE!F:F)</f>
        <v>0</v>
      </c>
      <c r="L1865" s="200">
        <f t="shared" si="66"/>
        <v>0</v>
      </c>
      <c r="M1865" s="200">
        <f t="shared" si="67"/>
        <v>0</v>
      </c>
    </row>
    <row r="1866" spans="2:13" x14ac:dyDescent="0.35">
      <c r="B1866" s="117"/>
      <c r="C1866" s="117"/>
      <c r="D1866" s="117"/>
      <c r="E1866" s="117"/>
      <c r="F1866" s="200"/>
      <c r="G1866" s="200"/>
      <c r="H1866" s="200"/>
      <c r="I1866" s="200"/>
      <c r="J1866" s="200"/>
      <c r="K1866" s="200">
        <f>SUMIF(AE!C:C,ATB!C:C,AE!F:F)</f>
        <v>0</v>
      </c>
      <c r="L1866" s="200">
        <f t="shared" si="66"/>
        <v>0</v>
      </c>
      <c r="M1866" s="200">
        <f t="shared" si="67"/>
        <v>0</v>
      </c>
    </row>
    <row r="1867" spans="2:13" x14ac:dyDescent="0.35">
      <c r="B1867" s="117"/>
      <c r="C1867" s="117"/>
      <c r="D1867" s="117"/>
      <c r="E1867" s="117"/>
      <c r="F1867" s="200"/>
      <c r="G1867" s="200"/>
      <c r="H1867" s="200"/>
      <c r="I1867" s="200"/>
      <c r="J1867" s="200"/>
      <c r="K1867" s="200">
        <f>SUMIF(AE!C:C,ATB!C:C,AE!F:F)</f>
        <v>0</v>
      </c>
      <c r="L1867" s="200">
        <f t="shared" si="66"/>
        <v>0</v>
      </c>
      <c r="M1867" s="200">
        <f t="shared" si="67"/>
        <v>0</v>
      </c>
    </row>
    <row r="1868" spans="2:13" x14ac:dyDescent="0.35">
      <c r="B1868" s="117"/>
      <c r="C1868" s="117"/>
      <c r="D1868" s="117"/>
      <c r="E1868" s="117"/>
      <c r="F1868" s="200"/>
      <c r="G1868" s="200"/>
      <c r="H1868" s="200"/>
      <c r="I1868" s="200"/>
      <c r="J1868" s="200"/>
      <c r="K1868" s="200">
        <f>SUMIF(AE!C:C,ATB!C:C,AE!F:F)</f>
        <v>0</v>
      </c>
      <c r="L1868" s="200">
        <f t="shared" si="66"/>
        <v>0</v>
      </c>
      <c r="M1868" s="200">
        <f t="shared" si="67"/>
        <v>0</v>
      </c>
    </row>
    <row r="1869" spans="2:13" x14ac:dyDescent="0.35">
      <c r="B1869" s="117"/>
      <c r="C1869" s="117"/>
      <c r="D1869" s="117"/>
      <c r="E1869" s="117"/>
      <c r="F1869" s="200"/>
      <c r="G1869" s="200"/>
      <c r="H1869" s="200"/>
      <c r="I1869" s="200"/>
      <c r="J1869" s="200"/>
      <c r="K1869" s="200">
        <f>SUMIF(AE!C:C,ATB!C:C,AE!F:F)</f>
        <v>0</v>
      </c>
      <c r="L1869" s="200">
        <f t="shared" si="66"/>
        <v>0</v>
      </c>
      <c r="M1869" s="200">
        <f t="shared" si="67"/>
        <v>0</v>
      </c>
    </row>
    <row r="1870" spans="2:13" x14ac:dyDescent="0.35">
      <c r="B1870" s="117"/>
      <c r="C1870" s="117"/>
      <c r="D1870" s="117"/>
      <c r="E1870" s="117"/>
      <c r="F1870" s="200"/>
      <c r="G1870" s="200"/>
      <c r="H1870" s="200"/>
      <c r="I1870" s="200"/>
      <c r="J1870" s="200"/>
      <c r="K1870" s="200">
        <f>SUMIF(AE!C:C,ATB!C:C,AE!F:F)</f>
        <v>0</v>
      </c>
      <c r="L1870" s="200">
        <f t="shared" si="66"/>
        <v>0</v>
      </c>
      <c r="M1870" s="200">
        <f t="shared" si="67"/>
        <v>0</v>
      </c>
    </row>
    <row r="1871" spans="2:13" x14ac:dyDescent="0.35">
      <c r="B1871" s="117"/>
      <c r="C1871" s="117"/>
      <c r="D1871" s="117"/>
      <c r="E1871" s="117"/>
      <c r="F1871" s="200"/>
      <c r="G1871" s="200"/>
      <c r="H1871" s="200"/>
      <c r="I1871" s="200"/>
      <c r="J1871" s="200"/>
      <c r="K1871" s="200">
        <f>SUMIF(AE!C:C,ATB!C:C,AE!F:F)</f>
        <v>0</v>
      </c>
      <c r="L1871" s="200">
        <f t="shared" si="66"/>
        <v>0</v>
      </c>
      <c r="M1871" s="200">
        <f t="shared" si="67"/>
        <v>0</v>
      </c>
    </row>
    <row r="1872" spans="2:13" x14ac:dyDescent="0.35">
      <c r="B1872" s="117"/>
      <c r="C1872" s="117"/>
      <c r="D1872" s="117"/>
      <c r="E1872" s="117"/>
      <c r="F1872" s="200"/>
      <c r="G1872" s="200"/>
      <c r="H1872" s="200"/>
      <c r="I1872" s="200"/>
      <c r="J1872" s="200"/>
      <c r="K1872" s="200">
        <f>SUMIF(AE!C:C,ATB!C:C,AE!F:F)</f>
        <v>0</v>
      </c>
      <c r="L1872" s="200">
        <f t="shared" si="66"/>
        <v>0</v>
      </c>
      <c r="M1872" s="200">
        <f t="shared" si="67"/>
        <v>0</v>
      </c>
    </row>
    <row r="1873" spans="2:13" x14ac:dyDescent="0.35">
      <c r="B1873" s="117"/>
      <c r="C1873" s="117"/>
      <c r="D1873" s="117"/>
      <c r="E1873" s="117"/>
      <c r="F1873" s="200"/>
      <c r="G1873" s="200"/>
      <c r="H1873" s="200"/>
      <c r="I1873" s="200"/>
      <c r="J1873" s="200"/>
      <c r="K1873" s="200">
        <f>SUMIF(AE!C:C,ATB!C:C,AE!F:F)</f>
        <v>0</v>
      </c>
      <c r="L1873" s="200">
        <f t="shared" si="66"/>
        <v>0</v>
      </c>
      <c r="M1873" s="200">
        <f t="shared" si="67"/>
        <v>0</v>
      </c>
    </row>
    <row r="1874" spans="2:13" x14ac:dyDescent="0.35">
      <c r="B1874" s="117"/>
      <c r="C1874" s="117"/>
      <c r="D1874" s="117"/>
      <c r="E1874" s="117"/>
      <c r="F1874" s="200"/>
      <c r="G1874" s="200"/>
      <c r="H1874" s="200"/>
      <c r="I1874" s="200"/>
      <c r="J1874" s="200"/>
      <c r="K1874" s="200">
        <f>SUMIF(AE!C:C,ATB!C:C,AE!F:F)</f>
        <v>0</v>
      </c>
      <c r="L1874" s="200">
        <f t="shared" si="66"/>
        <v>0</v>
      </c>
      <c r="M1874" s="200">
        <f t="shared" si="67"/>
        <v>0</v>
      </c>
    </row>
    <row r="1875" spans="2:13" x14ac:dyDescent="0.35">
      <c r="B1875" s="117"/>
      <c r="C1875" s="117"/>
      <c r="D1875" s="117"/>
      <c r="E1875" s="117"/>
      <c r="F1875" s="200"/>
      <c r="G1875" s="200"/>
      <c r="H1875" s="200"/>
      <c r="I1875" s="200"/>
      <c r="J1875" s="200"/>
      <c r="K1875" s="200">
        <f>SUMIF(AE!C:C,ATB!C:C,AE!F:F)</f>
        <v>0</v>
      </c>
      <c r="L1875" s="200">
        <f t="shared" si="66"/>
        <v>0</v>
      </c>
      <c r="M1875" s="200">
        <f t="shared" si="67"/>
        <v>0</v>
      </c>
    </row>
    <row r="1876" spans="2:13" x14ac:dyDescent="0.35">
      <c r="B1876" s="117"/>
      <c r="C1876" s="117"/>
      <c r="D1876" s="117"/>
      <c r="E1876" s="117"/>
      <c r="F1876" s="200"/>
      <c r="G1876" s="200"/>
      <c r="H1876" s="200"/>
      <c r="I1876" s="200"/>
      <c r="J1876" s="200"/>
      <c r="K1876" s="200">
        <f>SUMIF(AE!C:C,ATB!C:C,AE!F:F)</f>
        <v>0</v>
      </c>
      <c r="L1876" s="200">
        <f t="shared" si="66"/>
        <v>0</v>
      </c>
      <c r="M1876" s="200">
        <f t="shared" si="67"/>
        <v>0</v>
      </c>
    </row>
    <row r="1877" spans="2:13" x14ac:dyDescent="0.35">
      <c r="B1877" s="117"/>
      <c r="C1877" s="117"/>
      <c r="D1877" s="117"/>
      <c r="E1877" s="117"/>
      <c r="F1877" s="200"/>
      <c r="G1877" s="200"/>
      <c r="H1877" s="200"/>
      <c r="I1877" s="200"/>
      <c r="J1877" s="200"/>
      <c r="K1877" s="200">
        <f>SUMIF(AE!C:C,ATB!C:C,AE!F:F)</f>
        <v>0</v>
      </c>
      <c r="L1877" s="200">
        <f t="shared" si="66"/>
        <v>0</v>
      </c>
      <c r="M1877" s="200">
        <f t="shared" si="67"/>
        <v>0</v>
      </c>
    </row>
    <row r="1878" spans="2:13" x14ac:dyDescent="0.35">
      <c r="B1878" s="117"/>
      <c r="C1878" s="117"/>
      <c r="D1878" s="117"/>
      <c r="E1878" s="117"/>
      <c r="F1878" s="200"/>
      <c r="G1878" s="200"/>
      <c r="H1878" s="200"/>
      <c r="I1878" s="200"/>
      <c r="J1878" s="200"/>
      <c r="K1878" s="200">
        <f>SUMIF(AE!C:C,ATB!C:C,AE!F:F)</f>
        <v>0</v>
      </c>
      <c r="L1878" s="200">
        <f t="shared" si="66"/>
        <v>0</v>
      </c>
      <c r="M1878" s="200">
        <f t="shared" si="67"/>
        <v>0</v>
      </c>
    </row>
    <row r="1879" spans="2:13" x14ac:dyDescent="0.35">
      <c r="B1879" s="117"/>
      <c r="C1879" s="117"/>
      <c r="D1879" s="117"/>
      <c r="E1879" s="117"/>
      <c r="F1879" s="200"/>
      <c r="G1879" s="200"/>
      <c r="H1879" s="200"/>
      <c r="I1879" s="200"/>
      <c r="J1879" s="200"/>
      <c r="K1879" s="200">
        <f>SUMIF(AE!C:C,ATB!C:C,AE!F:F)</f>
        <v>0</v>
      </c>
      <c r="L1879" s="200">
        <f t="shared" si="66"/>
        <v>0</v>
      </c>
      <c r="M1879" s="200">
        <f t="shared" si="67"/>
        <v>0</v>
      </c>
    </row>
    <row r="1880" spans="2:13" x14ac:dyDescent="0.35">
      <c r="B1880" s="117"/>
      <c r="C1880" s="117"/>
      <c r="D1880" s="117"/>
      <c r="E1880" s="117"/>
      <c r="F1880" s="200"/>
      <c r="G1880" s="200"/>
      <c r="H1880" s="200"/>
      <c r="I1880" s="200"/>
      <c r="J1880" s="200"/>
      <c r="K1880" s="200">
        <f>SUMIF(AE!C:C,ATB!C:C,AE!F:F)</f>
        <v>0</v>
      </c>
      <c r="L1880" s="200">
        <f t="shared" si="66"/>
        <v>0</v>
      </c>
      <c r="M1880" s="200">
        <f t="shared" si="67"/>
        <v>0</v>
      </c>
    </row>
    <row r="1881" spans="2:13" x14ac:dyDescent="0.35">
      <c r="B1881" s="117"/>
      <c r="C1881" s="117"/>
      <c r="D1881" s="117"/>
      <c r="E1881" s="117"/>
      <c r="F1881" s="200"/>
      <c r="G1881" s="200"/>
      <c r="H1881" s="200"/>
      <c r="I1881" s="200"/>
      <c r="J1881" s="200"/>
      <c r="K1881" s="200">
        <f>SUMIF(AE!C:C,ATB!C:C,AE!F:F)</f>
        <v>0</v>
      </c>
      <c r="L1881" s="200">
        <f t="shared" si="66"/>
        <v>0</v>
      </c>
      <c r="M1881" s="200">
        <f t="shared" si="67"/>
        <v>0</v>
      </c>
    </row>
    <row r="1882" spans="2:13" x14ac:dyDescent="0.35">
      <c r="B1882" s="117"/>
      <c r="C1882" s="117"/>
      <c r="D1882" s="117"/>
      <c r="E1882" s="117"/>
      <c r="F1882" s="200"/>
      <c r="G1882" s="200"/>
      <c r="H1882" s="200"/>
      <c r="I1882" s="200"/>
      <c r="J1882" s="200"/>
      <c r="K1882" s="200">
        <f>SUMIF(AE!C:C,ATB!C:C,AE!F:F)</f>
        <v>0</v>
      </c>
      <c r="L1882" s="200">
        <f t="shared" si="66"/>
        <v>0</v>
      </c>
      <c r="M1882" s="200">
        <f t="shared" si="67"/>
        <v>0</v>
      </c>
    </row>
    <row r="1883" spans="2:13" x14ac:dyDescent="0.35">
      <c r="B1883" s="117"/>
      <c r="C1883" s="117"/>
      <c r="D1883" s="117"/>
      <c r="E1883" s="117"/>
      <c r="F1883" s="200"/>
      <c r="G1883" s="200"/>
      <c r="H1883" s="200"/>
      <c r="I1883" s="200"/>
      <c r="J1883" s="200"/>
      <c r="K1883" s="200">
        <f>SUMIF(AE!C:C,ATB!C:C,AE!F:F)</f>
        <v>0</v>
      </c>
      <c r="L1883" s="200">
        <f t="shared" si="66"/>
        <v>0</v>
      </c>
      <c r="M1883" s="200">
        <f t="shared" si="67"/>
        <v>0</v>
      </c>
    </row>
    <row r="1884" spans="2:13" x14ac:dyDescent="0.35">
      <c r="B1884" s="117"/>
      <c r="C1884" s="117"/>
      <c r="D1884" s="117"/>
      <c r="E1884" s="117"/>
      <c r="F1884" s="200"/>
      <c r="G1884" s="200"/>
      <c r="H1884" s="200"/>
      <c r="I1884" s="200"/>
      <c r="J1884" s="200"/>
      <c r="K1884" s="200">
        <f>SUMIF(AE!C:C,ATB!C:C,AE!F:F)</f>
        <v>0</v>
      </c>
      <c r="L1884" s="200">
        <f t="shared" si="66"/>
        <v>0</v>
      </c>
      <c r="M1884" s="200">
        <f t="shared" si="67"/>
        <v>0</v>
      </c>
    </row>
    <row r="1885" spans="2:13" x14ac:dyDescent="0.35">
      <c r="B1885" s="117"/>
      <c r="C1885" s="117"/>
      <c r="D1885" s="117"/>
      <c r="E1885" s="117"/>
      <c r="F1885" s="200"/>
      <c r="G1885" s="200"/>
      <c r="H1885" s="200"/>
      <c r="I1885" s="200"/>
      <c r="J1885" s="200"/>
      <c r="K1885" s="200">
        <f>SUMIF(AE!C:C,ATB!C:C,AE!F:F)</f>
        <v>0</v>
      </c>
      <c r="L1885" s="200">
        <f t="shared" si="66"/>
        <v>0</v>
      </c>
      <c r="M1885" s="200">
        <f t="shared" si="67"/>
        <v>0</v>
      </c>
    </row>
    <row r="1886" spans="2:13" x14ac:dyDescent="0.35">
      <c r="B1886" s="117"/>
      <c r="C1886" s="117"/>
      <c r="D1886" s="117"/>
      <c r="E1886" s="117"/>
      <c r="F1886" s="200"/>
      <c r="G1886" s="200"/>
      <c r="H1886" s="200"/>
      <c r="I1886" s="200"/>
      <c r="J1886" s="200"/>
      <c r="K1886" s="200">
        <f>SUMIF(AE!C:C,ATB!C:C,AE!F:F)</f>
        <v>0</v>
      </c>
      <c r="L1886" s="200">
        <f t="shared" si="66"/>
        <v>0</v>
      </c>
      <c r="M1886" s="200">
        <f t="shared" si="67"/>
        <v>0</v>
      </c>
    </row>
    <row r="1887" spans="2:13" x14ac:dyDescent="0.35">
      <c r="B1887" s="117"/>
      <c r="C1887" s="117"/>
      <c r="D1887" s="117"/>
      <c r="E1887" s="117"/>
      <c r="F1887" s="200"/>
      <c r="G1887" s="200"/>
      <c r="H1887" s="200"/>
      <c r="I1887" s="200"/>
      <c r="J1887" s="200"/>
      <c r="K1887" s="200">
        <f>SUMIF(AE!C:C,ATB!C:C,AE!F:F)</f>
        <v>0</v>
      </c>
      <c r="L1887" s="200">
        <f t="shared" si="66"/>
        <v>0</v>
      </c>
      <c r="M1887" s="200">
        <f t="shared" si="67"/>
        <v>0</v>
      </c>
    </row>
    <row r="1888" spans="2:13" x14ac:dyDescent="0.35">
      <c r="B1888" s="117"/>
      <c r="C1888" s="117"/>
      <c r="D1888" s="117"/>
      <c r="E1888" s="117"/>
      <c r="F1888" s="200"/>
      <c r="G1888" s="200"/>
      <c r="H1888" s="200"/>
      <c r="I1888" s="200"/>
      <c r="J1888" s="200"/>
      <c r="K1888" s="200">
        <f>SUMIF(AE!C:C,ATB!C:C,AE!F:F)</f>
        <v>0</v>
      </c>
      <c r="L1888" s="200">
        <f t="shared" si="66"/>
        <v>0</v>
      </c>
      <c r="M1888" s="200">
        <f t="shared" si="67"/>
        <v>0</v>
      </c>
    </row>
    <row r="1889" spans="2:13" x14ac:dyDescent="0.35">
      <c r="B1889" s="117"/>
      <c r="C1889" s="117"/>
      <c r="D1889" s="117"/>
      <c r="E1889" s="117"/>
      <c r="F1889" s="200"/>
      <c r="G1889" s="200"/>
      <c r="H1889" s="200"/>
      <c r="I1889" s="200"/>
      <c r="J1889" s="200"/>
      <c r="K1889" s="200">
        <f>SUMIF(AE!C:C,ATB!C:C,AE!F:F)</f>
        <v>0</v>
      </c>
      <c r="L1889" s="200">
        <f t="shared" si="66"/>
        <v>0</v>
      </c>
      <c r="M1889" s="200">
        <f t="shared" si="67"/>
        <v>0</v>
      </c>
    </row>
    <row r="1890" spans="2:13" x14ac:dyDescent="0.35">
      <c r="B1890" s="117"/>
      <c r="C1890" s="117"/>
      <c r="D1890" s="117"/>
      <c r="E1890" s="117"/>
      <c r="F1890" s="200"/>
      <c r="G1890" s="200"/>
      <c r="H1890" s="200"/>
      <c r="I1890" s="200"/>
      <c r="J1890" s="200"/>
      <c r="K1890" s="200">
        <f>SUMIF(AE!C:C,ATB!C:C,AE!F:F)</f>
        <v>0</v>
      </c>
      <c r="L1890" s="200">
        <f t="shared" si="66"/>
        <v>0</v>
      </c>
      <c r="M1890" s="200">
        <f t="shared" si="67"/>
        <v>0</v>
      </c>
    </row>
    <row r="1891" spans="2:13" x14ac:dyDescent="0.35">
      <c r="B1891" s="117"/>
      <c r="C1891" s="117"/>
      <c r="D1891" s="117"/>
      <c r="E1891" s="117"/>
      <c r="F1891" s="200"/>
      <c r="G1891" s="200"/>
      <c r="H1891" s="200"/>
      <c r="I1891" s="200"/>
      <c r="J1891" s="200"/>
      <c r="K1891" s="200">
        <f>SUMIF(AE!C:C,ATB!C:C,AE!F:F)</f>
        <v>0</v>
      </c>
      <c r="L1891" s="200">
        <f t="shared" si="66"/>
        <v>0</v>
      </c>
      <c r="M1891" s="200">
        <f t="shared" si="67"/>
        <v>0</v>
      </c>
    </row>
    <row r="1892" spans="2:13" x14ac:dyDescent="0.35">
      <c r="B1892" s="117"/>
      <c r="C1892" s="117"/>
      <c r="D1892" s="117"/>
      <c r="E1892" s="117"/>
      <c r="F1892" s="200"/>
      <c r="G1892" s="200"/>
      <c r="H1892" s="200"/>
      <c r="I1892" s="200"/>
      <c r="J1892" s="200"/>
      <c r="K1892" s="200">
        <f>SUMIF(AE!C:C,ATB!C:C,AE!F:F)</f>
        <v>0</v>
      </c>
      <c r="L1892" s="200">
        <f t="shared" si="66"/>
        <v>0</v>
      </c>
      <c r="M1892" s="200">
        <f t="shared" si="67"/>
        <v>0</v>
      </c>
    </row>
    <row r="1893" spans="2:13" x14ac:dyDescent="0.35">
      <c r="B1893" s="117"/>
      <c r="C1893" s="117"/>
      <c r="D1893" s="117"/>
      <c r="E1893" s="117"/>
      <c r="F1893" s="200"/>
      <c r="G1893" s="200"/>
      <c r="H1893" s="200"/>
      <c r="I1893" s="200"/>
      <c r="J1893" s="200"/>
      <c r="K1893" s="200">
        <f>SUMIF(AE!C:C,ATB!C:C,AE!F:F)</f>
        <v>0</v>
      </c>
      <c r="L1893" s="200">
        <f t="shared" si="66"/>
        <v>0</v>
      </c>
      <c r="M1893" s="200">
        <f t="shared" si="67"/>
        <v>0</v>
      </c>
    </row>
    <row r="1894" spans="2:13" x14ac:dyDescent="0.35">
      <c r="B1894" s="117"/>
      <c r="C1894" s="117"/>
      <c r="D1894" s="117"/>
      <c r="E1894" s="117"/>
      <c r="F1894" s="200"/>
      <c r="G1894" s="200"/>
      <c r="H1894" s="200"/>
      <c r="I1894" s="200"/>
      <c r="J1894" s="200"/>
      <c r="K1894" s="200">
        <f>SUMIF(AE!C:C,ATB!C:C,AE!F:F)</f>
        <v>0</v>
      </c>
      <c r="L1894" s="200">
        <f t="shared" si="66"/>
        <v>0</v>
      </c>
      <c r="M1894" s="200">
        <f t="shared" si="67"/>
        <v>0</v>
      </c>
    </row>
    <row r="1895" spans="2:13" x14ac:dyDescent="0.35">
      <c r="B1895" s="117"/>
      <c r="C1895" s="117"/>
      <c r="D1895" s="117"/>
      <c r="E1895" s="117"/>
      <c r="F1895" s="200"/>
      <c r="G1895" s="200"/>
      <c r="H1895" s="200"/>
      <c r="I1895" s="200"/>
      <c r="J1895" s="200"/>
      <c r="K1895" s="200">
        <f>SUMIF(AE!C:C,ATB!C:C,AE!F:F)</f>
        <v>0</v>
      </c>
      <c r="L1895" s="200">
        <f t="shared" si="66"/>
        <v>0</v>
      </c>
      <c r="M1895" s="200">
        <f t="shared" si="67"/>
        <v>0</v>
      </c>
    </row>
    <row r="1896" spans="2:13" x14ac:dyDescent="0.35">
      <c r="B1896" s="117"/>
      <c r="C1896" s="117"/>
      <c r="D1896" s="117"/>
      <c r="E1896" s="117"/>
      <c r="F1896" s="200"/>
      <c r="G1896" s="200"/>
      <c r="H1896" s="200"/>
      <c r="I1896" s="200"/>
      <c r="J1896" s="200"/>
      <c r="K1896" s="200">
        <f>SUMIF(AE!C:C,ATB!C:C,AE!F:F)</f>
        <v>0</v>
      </c>
      <c r="L1896" s="200">
        <f t="shared" si="66"/>
        <v>0</v>
      </c>
      <c r="M1896" s="200">
        <f t="shared" si="67"/>
        <v>0</v>
      </c>
    </row>
    <row r="1897" spans="2:13" x14ac:dyDescent="0.35">
      <c r="B1897" s="117"/>
      <c r="C1897" s="117"/>
      <c r="D1897" s="117"/>
      <c r="E1897" s="117"/>
      <c r="F1897" s="200"/>
      <c r="G1897" s="200"/>
      <c r="H1897" s="200"/>
      <c r="I1897" s="200"/>
      <c r="J1897" s="200"/>
      <c r="K1897" s="200">
        <f>SUMIF(AE!C:C,ATB!C:C,AE!F:F)</f>
        <v>0</v>
      </c>
      <c r="L1897" s="200">
        <f t="shared" si="66"/>
        <v>0</v>
      </c>
      <c r="M1897" s="200">
        <f t="shared" si="67"/>
        <v>0</v>
      </c>
    </row>
    <row r="1898" spans="2:13" x14ac:dyDescent="0.35">
      <c r="B1898" s="117"/>
      <c r="C1898" s="117"/>
      <c r="D1898" s="117"/>
      <c r="E1898" s="117"/>
      <c r="F1898" s="200"/>
      <c r="G1898" s="200"/>
      <c r="H1898" s="200"/>
      <c r="I1898" s="200"/>
      <c r="J1898" s="200"/>
      <c r="K1898" s="200">
        <f>SUMIF(AE!C:C,ATB!C:C,AE!F:F)</f>
        <v>0</v>
      </c>
      <c r="L1898" s="200">
        <f t="shared" si="66"/>
        <v>0</v>
      </c>
      <c r="M1898" s="200">
        <f t="shared" si="67"/>
        <v>0</v>
      </c>
    </row>
    <row r="1899" spans="2:13" x14ac:dyDescent="0.35">
      <c r="B1899" s="117"/>
      <c r="C1899" s="117"/>
      <c r="D1899" s="117"/>
      <c r="E1899" s="117"/>
      <c r="F1899" s="200"/>
      <c r="G1899" s="200"/>
      <c r="H1899" s="200"/>
      <c r="I1899" s="200"/>
      <c r="J1899" s="200"/>
      <c r="K1899" s="200">
        <f>SUMIF(AE!C:C,ATB!C:C,AE!F:F)</f>
        <v>0</v>
      </c>
      <c r="L1899" s="200">
        <f t="shared" si="66"/>
        <v>0</v>
      </c>
      <c r="M1899" s="200">
        <f t="shared" si="67"/>
        <v>0</v>
      </c>
    </row>
    <row r="1900" spans="2:13" x14ac:dyDescent="0.35">
      <c r="B1900" s="117"/>
      <c r="C1900" s="117"/>
      <c r="D1900" s="117"/>
      <c r="E1900" s="117"/>
      <c r="F1900" s="200"/>
      <c r="G1900" s="200"/>
      <c r="H1900" s="200"/>
      <c r="I1900" s="200"/>
      <c r="J1900" s="200"/>
      <c r="K1900" s="200">
        <f>SUMIF(AE!C:C,ATB!C:C,AE!F:F)</f>
        <v>0</v>
      </c>
      <c r="L1900" s="200">
        <f t="shared" si="66"/>
        <v>0</v>
      </c>
      <c r="M1900" s="200">
        <f t="shared" si="67"/>
        <v>0</v>
      </c>
    </row>
    <row r="1901" spans="2:13" x14ac:dyDescent="0.35">
      <c r="B1901" s="117"/>
      <c r="C1901" s="117"/>
      <c r="D1901" s="117"/>
      <c r="E1901" s="117"/>
      <c r="F1901" s="200"/>
      <c r="G1901" s="200"/>
      <c r="H1901" s="200"/>
      <c r="I1901" s="200"/>
      <c r="J1901" s="200"/>
      <c r="K1901" s="200">
        <f>SUMIF(AE!C:C,ATB!C:C,AE!F:F)</f>
        <v>0</v>
      </c>
      <c r="L1901" s="200">
        <f t="shared" si="66"/>
        <v>0</v>
      </c>
      <c r="M1901" s="200">
        <f t="shared" si="67"/>
        <v>0</v>
      </c>
    </row>
    <row r="1902" spans="2:13" x14ac:dyDescent="0.35">
      <c r="B1902" s="117"/>
      <c r="C1902" s="117"/>
      <c r="D1902" s="117"/>
      <c r="E1902" s="117"/>
      <c r="F1902" s="200"/>
      <c r="G1902" s="200"/>
      <c r="H1902" s="200"/>
      <c r="I1902" s="200"/>
      <c r="J1902" s="200"/>
      <c r="K1902" s="200">
        <f>SUMIF(AE!C:C,ATB!C:C,AE!F:F)</f>
        <v>0</v>
      </c>
      <c r="L1902" s="200">
        <f t="shared" si="66"/>
        <v>0</v>
      </c>
      <c r="M1902" s="200">
        <f t="shared" si="67"/>
        <v>0</v>
      </c>
    </row>
    <row r="1903" spans="2:13" x14ac:dyDescent="0.35">
      <c r="B1903" s="117"/>
      <c r="C1903" s="117"/>
      <c r="D1903" s="117"/>
      <c r="E1903" s="117"/>
      <c r="F1903" s="200"/>
      <c r="G1903" s="200"/>
      <c r="H1903" s="200"/>
      <c r="I1903" s="200"/>
      <c r="J1903" s="200"/>
      <c r="K1903" s="200">
        <f>SUMIF(AE!C:C,ATB!C:C,AE!F:F)</f>
        <v>0</v>
      </c>
      <c r="L1903" s="200">
        <f t="shared" si="66"/>
        <v>0</v>
      </c>
      <c r="M1903" s="200">
        <f t="shared" si="67"/>
        <v>0</v>
      </c>
    </row>
    <row r="1904" spans="2:13" x14ac:dyDescent="0.35">
      <c r="B1904" s="117"/>
      <c r="C1904" s="117"/>
      <c r="D1904" s="117"/>
      <c r="E1904" s="117"/>
      <c r="F1904" s="200"/>
      <c r="G1904" s="200"/>
      <c r="H1904" s="200"/>
      <c r="I1904" s="200"/>
      <c r="J1904" s="200"/>
      <c r="K1904" s="200">
        <f>SUMIF(AE!C:C,ATB!C:C,AE!F:F)</f>
        <v>0</v>
      </c>
      <c r="L1904" s="200">
        <f t="shared" si="66"/>
        <v>0</v>
      </c>
      <c r="M1904" s="200">
        <f t="shared" si="67"/>
        <v>0</v>
      </c>
    </row>
    <row r="1905" spans="2:13" x14ac:dyDescent="0.35">
      <c r="B1905" s="117"/>
      <c r="C1905" s="117"/>
      <c r="D1905" s="117"/>
      <c r="E1905" s="117"/>
      <c r="F1905" s="200"/>
      <c r="G1905" s="200"/>
      <c r="H1905" s="200"/>
      <c r="I1905" s="200"/>
      <c r="J1905" s="200"/>
      <c r="K1905" s="200">
        <f>SUMIF(AE!C:C,ATB!C:C,AE!F:F)</f>
        <v>0</v>
      </c>
      <c r="L1905" s="200">
        <f t="shared" si="66"/>
        <v>0</v>
      </c>
      <c r="M1905" s="200">
        <f t="shared" si="67"/>
        <v>0</v>
      </c>
    </row>
    <row r="1906" spans="2:13" x14ac:dyDescent="0.35">
      <c r="B1906" s="117"/>
      <c r="C1906" s="117"/>
      <c r="D1906" s="117"/>
      <c r="E1906" s="117"/>
      <c r="F1906" s="200"/>
      <c r="G1906" s="200"/>
      <c r="H1906" s="200"/>
      <c r="I1906" s="200"/>
      <c r="J1906" s="200"/>
      <c r="K1906" s="200">
        <f>SUMIF(AE!C:C,ATB!C:C,AE!F:F)</f>
        <v>0</v>
      </c>
      <c r="L1906" s="200">
        <f t="shared" si="66"/>
        <v>0</v>
      </c>
      <c r="M1906" s="200">
        <f t="shared" si="67"/>
        <v>0</v>
      </c>
    </row>
    <row r="1907" spans="2:13" x14ac:dyDescent="0.35">
      <c r="B1907" s="117"/>
      <c r="C1907" s="117"/>
      <c r="D1907" s="117"/>
      <c r="E1907" s="117"/>
      <c r="F1907" s="200"/>
      <c r="G1907" s="200"/>
      <c r="H1907" s="200"/>
      <c r="I1907" s="200"/>
      <c r="J1907" s="200"/>
      <c r="K1907" s="200">
        <f>SUMIF(AE!C:C,ATB!C:C,AE!F:F)</f>
        <v>0</v>
      </c>
      <c r="L1907" s="200">
        <f t="shared" si="66"/>
        <v>0</v>
      </c>
      <c r="M1907" s="200">
        <f t="shared" si="67"/>
        <v>0</v>
      </c>
    </row>
    <row r="1908" spans="2:13" x14ac:dyDescent="0.35">
      <c r="B1908" s="117"/>
      <c r="C1908" s="117"/>
      <c r="D1908" s="117"/>
      <c r="E1908" s="117"/>
      <c r="F1908" s="200"/>
      <c r="G1908" s="200"/>
      <c r="H1908" s="200"/>
      <c r="I1908" s="200"/>
      <c r="J1908" s="200"/>
      <c r="K1908" s="200">
        <f>SUMIF(AE!C:C,ATB!C:C,AE!F:F)</f>
        <v>0</v>
      </c>
      <c r="L1908" s="200">
        <f t="shared" si="66"/>
        <v>0</v>
      </c>
      <c r="M1908" s="200">
        <f t="shared" si="67"/>
        <v>0</v>
      </c>
    </row>
    <row r="1909" spans="2:13" x14ac:dyDescent="0.35">
      <c r="B1909" s="117"/>
      <c r="C1909" s="117"/>
      <c r="D1909" s="117"/>
      <c r="E1909" s="117"/>
      <c r="F1909" s="200"/>
      <c r="G1909" s="200"/>
      <c r="H1909" s="200"/>
      <c r="I1909" s="200"/>
      <c r="J1909" s="200"/>
      <c r="K1909" s="200">
        <f>SUMIF(AE!C:C,ATB!C:C,AE!F:F)</f>
        <v>0</v>
      </c>
      <c r="L1909" s="200">
        <f t="shared" si="66"/>
        <v>0</v>
      </c>
      <c r="M1909" s="200">
        <f t="shared" si="67"/>
        <v>0</v>
      </c>
    </row>
    <row r="1910" spans="2:13" x14ac:dyDescent="0.35">
      <c r="B1910" s="117"/>
      <c r="C1910" s="117"/>
      <c r="D1910" s="117"/>
      <c r="E1910" s="117"/>
      <c r="F1910" s="200"/>
      <c r="G1910" s="200"/>
      <c r="H1910" s="200"/>
      <c r="I1910" s="200"/>
      <c r="J1910" s="200"/>
      <c r="K1910" s="200">
        <f>SUMIF(AE!C:C,ATB!C:C,AE!F:F)</f>
        <v>0</v>
      </c>
      <c r="L1910" s="200">
        <f t="shared" si="66"/>
        <v>0</v>
      </c>
      <c r="M1910" s="200">
        <f t="shared" si="67"/>
        <v>0</v>
      </c>
    </row>
    <row r="1911" spans="2:13" x14ac:dyDescent="0.35">
      <c r="B1911" s="117"/>
      <c r="C1911" s="117"/>
      <c r="D1911" s="117"/>
      <c r="E1911" s="117"/>
      <c r="F1911" s="200"/>
      <c r="G1911" s="200"/>
      <c r="H1911" s="200"/>
      <c r="I1911" s="200"/>
      <c r="J1911" s="200"/>
      <c r="K1911" s="200">
        <f>SUMIF(AE!C:C,ATB!C:C,AE!F:F)</f>
        <v>0</v>
      </c>
      <c r="L1911" s="200">
        <f t="shared" si="66"/>
        <v>0</v>
      </c>
      <c r="M1911" s="200">
        <f t="shared" si="67"/>
        <v>0</v>
      </c>
    </row>
    <row r="1912" spans="2:13" x14ac:dyDescent="0.35">
      <c r="B1912" s="117"/>
      <c r="C1912" s="117"/>
      <c r="D1912" s="117"/>
      <c r="E1912" s="117"/>
      <c r="F1912" s="200"/>
      <c r="G1912" s="200"/>
      <c r="H1912" s="200"/>
      <c r="I1912" s="200"/>
      <c r="J1912" s="200"/>
      <c r="K1912" s="200">
        <f>SUMIF(AE!C:C,ATB!C:C,AE!F:F)</f>
        <v>0</v>
      </c>
      <c r="L1912" s="200">
        <f t="shared" si="66"/>
        <v>0</v>
      </c>
      <c r="M1912" s="200">
        <f t="shared" si="67"/>
        <v>0</v>
      </c>
    </row>
    <row r="1913" spans="2:13" x14ac:dyDescent="0.35">
      <c r="B1913" s="117"/>
      <c r="C1913" s="117"/>
      <c r="D1913" s="117"/>
      <c r="E1913" s="117"/>
      <c r="F1913" s="200"/>
      <c r="G1913" s="200"/>
      <c r="H1913" s="200"/>
      <c r="I1913" s="200"/>
      <c r="J1913" s="200"/>
      <c r="K1913" s="200">
        <f>SUMIF(AE!C:C,ATB!C:C,AE!F:F)</f>
        <v>0</v>
      </c>
      <c r="L1913" s="200">
        <f t="shared" si="66"/>
        <v>0</v>
      </c>
      <c r="M1913" s="200">
        <f t="shared" si="67"/>
        <v>0</v>
      </c>
    </row>
    <row r="1914" spans="2:13" x14ac:dyDescent="0.35">
      <c r="B1914" s="117"/>
      <c r="C1914" s="117"/>
      <c r="D1914" s="117"/>
      <c r="E1914" s="117"/>
      <c r="F1914" s="200"/>
      <c r="G1914" s="200"/>
      <c r="H1914" s="200"/>
      <c r="I1914" s="200"/>
      <c r="J1914" s="200"/>
      <c r="K1914" s="200">
        <f>SUMIF(AE!C:C,ATB!C:C,AE!F:F)</f>
        <v>0</v>
      </c>
      <c r="L1914" s="200">
        <f t="shared" si="66"/>
        <v>0</v>
      </c>
      <c r="M1914" s="200">
        <f t="shared" si="67"/>
        <v>0</v>
      </c>
    </row>
    <row r="1915" spans="2:13" x14ac:dyDescent="0.35">
      <c r="B1915" s="117"/>
      <c r="C1915" s="117"/>
      <c r="D1915" s="117"/>
      <c r="E1915" s="117"/>
      <c r="F1915" s="200"/>
      <c r="G1915" s="200"/>
      <c r="H1915" s="200"/>
      <c r="I1915" s="200"/>
      <c r="J1915" s="200"/>
      <c r="K1915" s="200">
        <f>SUMIF(AE!C:C,ATB!C:C,AE!F:F)</f>
        <v>0</v>
      </c>
      <c r="L1915" s="200">
        <f t="shared" si="66"/>
        <v>0</v>
      </c>
      <c r="M1915" s="200">
        <f t="shared" si="67"/>
        <v>0</v>
      </c>
    </row>
    <row r="1916" spans="2:13" x14ac:dyDescent="0.35">
      <c r="B1916" s="117"/>
      <c r="C1916" s="117"/>
      <c r="D1916" s="117"/>
      <c r="E1916" s="117"/>
      <c r="F1916" s="200"/>
      <c r="G1916" s="200"/>
      <c r="H1916" s="200"/>
      <c r="I1916" s="200"/>
      <c r="J1916" s="200"/>
      <c r="K1916" s="200">
        <f>SUMIF(AE!C:C,ATB!C:C,AE!F:F)</f>
        <v>0</v>
      </c>
      <c r="L1916" s="200">
        <f t="shared" si="66"/>
        <v>0</v>
      </c>
      <c r="M1916" s="200">
        <f t="shared" si="67"/>
        <v>0</v>
      </c>
    </row>
    <row r="1917" spans="2:13" x14ac:dyDescent="0.35">
      <c r="B1917" s="117"/>
      <c r="C1917" s="117"/>
      <c r="D1917" s="117"/>
      <c r="E1917" s="117"/>
      <c r="F1917" s="200"/>
      <c r="G1917" s="200"/>
      <c r="H1917" s="200"/>
      <c r="I1917" s="200"/>
      <c r="J1917" s="200"/>
      <c r="K1917" s="200">
        <f>SUMIF(AE!C:C,ATB!C:C,AE!F:F)</f>
        <v>0</v>
      </c>
      <c r="L1917" s="200">
        <f t="shared" si="66"/>
        <v>0</v>
      </c>
      <c r="M1917" s="200">
        <f t="shared" si="67"/>
        <v>0</v>
      </c>
    </row>
    <row r="1918" spans="2:13" x14ac:dyDescent="0.35">
      <c r="B1918" s="117"/>
      <c r="C1918" s="117"/>
      <c r="D1918" s="117"/>
      <c r="E1918" s="117"/>
      <c r="F1918" s="200"/>
      <c r="G1918" s="200"/>
      <c r="H1918" s="200"/>
      <c r="I1918" s="200"/>
      <c r="J1918" s="200"/>
      <c r="K1918" s="200">
        <f>SUMIF(AE!C:C,ATB!C:C,AE!F:F)</f>
        <v>0</v>
      </c>
      <c r="L1918" s="200">
        <f t="shared" si="66"/>
        <v>0</v>
      </c>
      <c r="M1918" s="200">
        <f t="shared" si="67"/>
        <v>0</v>
      </c>
    </row>
    <row r="1919" spans="2:13" x14ac:dyDescent="0.35">
      <c r="B1919" s="117"/>
      <c r="C1919" s="117"/>
      <c r="D1919" s="117"/>
      <c r="E1919" s="117"/>
      <c r="F1919" s="200"/>
      <c r="G1919" s="200"/>
      <c r="H1919" s="200"/>
      <c r="I1919" s="200"/>
      <c r="J1919" s="200"/>
      <c r="K1919" s="200">
        <f>SUMIF(AE!C:C,ATB!C:C,AE!F:F)</f>
        <v>0</v>
      </c>
      <c r="L1919" s="200">
        <f t="shared" si="66"/>
        <v>0</v>
      </c>
      <c r="M1919" s="200">
        <f t="shared" si="67"/>
        <v>0</v>
      </c>
    </row>
    <row r="1920" spans="2:13" x14ac:dyDescent="0.35">
      <c r="B1920" s="117"/>
      <c r="C1920" s="117"/>
      <c r="D1920" s="117"/>
      <c r="E1920" s="117"/>
      <c r="F1920" s="200"/>
      <c r="G1920" s="200"/>
      <c r="H1920" s="200"/>
      <c r="I1920" s="200"/>
      <c r="J1920" s="200"/>
      <c r="K1920" s="200">
        <f>SUMIF(AE!C:C,ATB!C:C,AE!F:F)</f>
        <v>0</v>
      </c>
      <c r="L1920" s="200">
        <f t="shared" si="66"/>
        <v>0</v>
      </c>
      <c r="M1920" s="200">
        <f t="shared" si="67"/>
        <v>0</v>
      </c>
    </row>
    <row r="1921" spans="2:13" x14ac:dyDescent="0.35">
      <c r="B1921" s="117"/>
      <c r="C1921" s="117"/>
      <c r="D1921" s="117"/>
      <c r="E1921" s="117"/>
      <c r="F1921" s="200"/>
      <c r="G1921" s="200"/>
      <c r="H1921" s="200"/>
      <c r="I1921" s="200"/>
      <c r="J1921" s="200"/>
      <c r="K1921" s="200">
        <f>SUMIF(AE!C:C,ATB!C:C,AE!F:F)</f>
        <v>0</v>
      </c>
      <c r="L1921" s="200">
        <f t="shared" si="66"/>
        <v>0</v>
      </c>
      <c r="M1921" s="200">
        <f t="shared" si="67"/>
        <v>0</v>
      </c>
    </row>
    <row r="1922" spans="2:13" x14ac:dyDescent="0.35">
      <c r="B1922" s="117"/>
      <c r="C1922" s="117"/>
      <c r="D1922" s="117"/>
      <c r="E1922" s="117"/>
      <c r="F1922" s="200"/>
      <c r="G1922" s="200"/>
      <c r="H1922" s="200"/>
      <c r="I1922" s="200"/>
      <c r="J1922" s="200"/>
      <c r="K1922" s="200">
        <f>SUMIF(AE!C:C,ATB!C:C,AE!F:F)</f>
        <v>0</v>
      </c>
      <c r="L1922" s="200">
        <f t="shared" ref="L1922:L1985" si="68">ROUND(IF(F1922+H1922+J1922-G1922-I1922-K1922&gt;0,F1922+H1922+J1922-G1922-I1922-K1922,0),0)</f>
        <v>0</v>
      </c>
      <c r="M1922" s="200">
        <f t="shared" ref="M1922:M1985" si="69">-ROUND(IF(F1922+H1922+J1922-G1922-I1922-K1922&lt;0,F1922+H1922+J1922-G1922-I1922-K1922,0),0)</f>
        <v>0</v>
      </c>
    </row>
    <row r="1923" spans="2:13" x14ac:dyDescent="0.35">
      <c r="B1923" s="117"/>
      <c r="C1923" s="117"/>
      <c r="D1923" s="117"/>
      <c r="E1923" s="117"/>
      <c r="F1923" s="200"/>
      <c r="G1923" s="200"/>
      <c r="H1923" s="200"/>
      <c r="I1923" s="200"/>
      <c r="J1923" s="200"/>
      <c r="K1923" s="200">
        <f>SUMIF(AE!C:C,ATB!C:C,AE!F:F)</f>
        <v>0</v>
      </c>
      <c r="L1923" s="200">
        <f t="shared" si="68"/>
        <v>0</v>
      </c>
      <c r="M1923" s="200">
        <f t="shared" si="69"/>
        <v>0</v>
      </c>
    </row>
    <row r="1924" spans="2:13" x14ac:dyDescent="0.35">
      <c r="B1924" s="117"/>
      <c r="C1924" s="117"/>
      <c r="D1924" s="117"/>
      <c r="E1924" s="117"/>
      <c r="F1924" s="200"/>
      <c r="G1924" s="200"/>
      <c r="H1924" s="200"/>
      <c r="I1924" s="200"/>
      <c r="J1924" s="200"/>
      <c r="K1924" s="200">
        <f>SUMIF(AE!C:C,ATB!C:C,AE!F:F)</f>
        <v>0</v>
      </c>
      <c r="L1924" s="200">
        <f t="shared" si="68"/>
        <v>0</v>
      </c>
      <c r="M1924" s="200">
        <f t="shared" si="69"/>
        <v>0</v>
      </c>
    </row>
    <row r="1925" spans="2:13" x14ac:dyDescent="0.35">
      <c r="B1925" s="117"/>
      <c r="C1925" s="117"/>
      <c r="D1925" s="117"/>
      <c r="E1925" s="117"/>
      <c r="F1925" s="200"/>
      <c r="G1925" s="200"/>
      <c r="H1925" s="200"/>
      <c r="I1925" s="200"/>
      <c r="J1925" s="200"/>
      <c r="K1925" s="200">
        <f>SUMIF(AE!C:C,ATB!C:C,AE!F:F)</f>
        <v>0</v>
      </c>
      <c r="L1925" s="200">
        <f t="shared" si="68"/>
        <v>0</v>
      </c>
      <c r="M1925" s="200">
        <f t="shared" si="69"/>
        <v>0</v>
      </c>
    </row>
    <row r="1926" spans="2:13" x14ac:dyDescent="0.35">
      <c r="B1926" s="117"/>
      <c r="C1926" s="117"/>
      <c r="D1926" s="117"/>
      <c r="E1926" s="117"/>
      <c r="F1926" s="200"/>
      <c r="G1926" s="200"/>
      <c r="H1926" s="200"/>
      <c r="I1926" s="200"/>
      <c r="J1926" s="200"/>
      <c r="K1926" s="200">
        <f>SUMIF(AE!C:C,ATB!C:C,AE!F:F)</f>
        <v>0</v>
      </c>
      <c r="L1926" s="200">
        <f t="shared" si="68"/>
        <v>0</v>
      </c>
      <c r="M1926" s="200">
        <f t="shared" si="69"/>
        <v>0</v>
      </c>
    </row>
    <row r="1927" spans="2:13" x14ac:dyDescent="0.35">
      <c r="B1927" s="117"/>
      <c r="C1927" s="117"/>
      <c r="D1927" s="117"/>
      <c r="E1927" s="117"/>
      <c r="F1927" s="200"/>
      <c r="G1927" s="200"/>
      <c r="H1927" s="200"/>
      <c r="I1927" s="200"/>
      <c r="J1927" s="200"/>
      <c r="K1927" s="200">
        <f>SUMIF(AE!C:C,ATB!C:C,AE!F:F)</f>
        <v>0</v>
      </c>
      <c r="L1927" s="200">
        <f t="shared" si="68"/>
        <v>0</v>
      </c>
      <c r="M1927" s="200">
        <f t="shared" si="69"/>
        <v>0</v>
      </c>
    </row>
    <row r="1928" spans="2:13" x14ac:dyDescent="0.35">
      <c r="B1928" s="117"/>
      <c r="C1928" s="117"/>
      <c r="D1928" s="117"/>
      <c r="E1928" s="117"/>
      <c r="F1928" s="200"/>
      <c r="G1928" s="200"/>
      <c r="H1928" s="200"/>
      <c r="I1928" s="200"/>
      <c r="J1928" s="200"/>
      <c r="K1928" s="200">
        <f>SUMIF(AE!C:C,ATB!C:C,AE!F:F)</f>
        <v>0</v>
      </c>
      <c r="L1928" s="200">
        <f t="shared" si="68"/>
        <v>0</v>
      </c>
      <c r="M1928" s="200">
        <f t="shared" si="69"/>
        <v>0</v>
      </c>
    </row>
    <row r="1929" spans="2:13" x14ac:dyDescent="0.35">
      <c r="B1929" s="117"/>
      <c r="C1929" s="117"/>
      <c r="D1929" s="117"/>
      <c r="E1929" s="117"/>
      <c r="F1929" s="200"/>
      <c r="G1929" s="200"/>
      <c r="H1929" s="200"/>
      <c r="I1929" s="200"/>
      <c r="J1929" s="200"/>
      <c r="K1929" s="200">
        <f>SUMIF(AE!C:C,ATB!C:C,AE!F:F)</f>
        <v>0</v>
      </c>
      <c r="L1929" s="200">
        <f t="shared" si="68"/>
        <v>0</v>
      </c>
      <c r="M1929" s="200">
        <f t="shared" si="69"/>
        <v>0</v>
      </c>
    </row>
    <row r="1930" spans="2:13" x14ac:dyDescent="0.35">
      <c r="B1930" s="117"/>
      <c r="C1930" s="117"/>
      <c r="D1930" s="117"/>
      <c r="E1930" s="117"/>
      <c r="F1930" s="200"/>
      <c r="G1930" s="200"/>
      <c r="H1930" s="200"/>
      <c r="I1930" s="200"/>
      <c r="J1930" s="200"/>
      <c r="K1930" s="200">
        <f>SUMIF(AE!C:C,ATB!C:C,AE!F:F)</f>
        <v>0</v>
      </c>
      <c r="L1930" s="200">
        <f t="shared" si="68"/>
        <v>0</v>
      </c>
      <c r="M1930" s="200">
        <f t="shared" si="69"/>
        <v>0</v>
      </c>
    </row>
    <row r="1931" spans="2:13" x14ac:dyDescent="0.35">
      <c r="B1931" s="117"/>
      <c r="C1931" s="117"/>
      <c r="D1931" s="117"/>
      <c r="E1931" s="117"/>
      <c r="F1931" s="200"/>
      <c r="G1931" s="200"/>
      <c r="H1931" s="200"/>
      <c r="I1931" s="200"/>
      <c r="J1931" s="200"/>
      <c r="K1931" s="200">
        <f>SUMIF(AE!C:C,ATB!C:C,AE!F:F)</f>
        <v>0</v>
      </c>
      <c r="L1931" s="200">
        <f t="shared" si="68"/>
        <v>0</v>
      </c>
      <c r="M1931" s="200">
        <f t="shared" si="69"/>
        <v>0</v>
      </c>
    </row>
    <row r="1932" spans="2:13" x14ac:dyDescent="0.35">
      <c r="B1932" s="117"/>
      <c r="C1932" s="117"/>
      <c r="D1932" s="117"/>
      <c r="E1932" s="117"/>
      <c r="F1932" s="200"/>
      <c r="G1932" s="200"/>
      <c r="H1932" s="200"/>
      <c r="I1932" s="200"/>
      <c r="J1932" s="200"/>
      <c r="K1932" s="200">
        <f>SUMIF(AE!C:C,ATB!C:C,AE!F:F)</f>
        <v>0</v>
      </c>
      <c r="L1932" s="200">
        <f t="shared" si="68"/>
        <v>0</v>
      </c>
      <c r="M1932" s="200">
        <f t="shared" si="69"/>
        <v>0</v>
      </c>
    </row>
    <row r="1933" spans="2:13" x14ac:dyDescent="0.35">
      <c r="B1933" s="117"/>
      <c r="C1933" s="117"/>
      <c r="D1933" s="117"/>
      <c r="E1933" s="117"/>
      <c r="F1933" s="200"/>
      <c r="G1933" s="200"/>
      <c r="H1933" s="200"/>
      <c r="I1933" s="200"/>
      <c r="J1933" s="200"/>
      <c r="K1933" s="200">
        <f>SUMIF(AE!C:C,ATB!C:C,AE!F:F)</f>
        <v>0</v>
      </c>
      <c r="L1933" s="200">
        <f t="shared" si="68"/>
        <v>0</v>
      </c>
      <c r="M1933" s="200">
        <f t="shared" si="69"/>
        <v>0</v>
      </c>
    </row>
    <row r="1934" spans="2:13" x14ac:dyDescent="0.35">
      <c r="B1934" s="117"/>
      <c r="C1934" s="117"/>
      <c r="D1934" s="117"/>
      <c r="E1934" s="117"/>
      <c r="F1934" s="200"/>
      <c r="G1934" s="200"/>
      <c r="H1934" s="200"/>
      <c r="I1934" s="200"/>
      <c r="J1934" s="200"/>
      <c r="K1934" s="200">
        <f>SUMIF(AE!C:C,ATB!C:C,AE!F:F)</f>
        <v>0</v>
      </c>
      <c r="L1934" s="200">
        <f t="shared" si="68"/>
        <v>0</v>
      </c>
      <c r="M1934" s="200">
        <f t="shared" si="69"/>
        <v>0</v>
      </c>
    </row>
    <row r="1935" spans="2:13" x14ac:dyDescent="0.35">
      <c r="B1935" s="117"/>
      <c r="C1935" s="117"/>
      <c r="D1935" s="117"/>
      <c r="E1935" s="117"/>
      <c r="F1935" s="200"/>
      <c r="G1935" s="200"/>
      <c r="H1935" s="200"/>
      <c r="I1935" s="200"/>
      <c r="J1935" s="200"/>
      <c r="K1935" s="200">
        <f>SUMIF(AE!C:C,ATB!C:C,AE!F:F)</f>
        <v>0</v>
      </c>
      <c r="L1935" s="200">
        <f t="shared" si="68"/>
        <v>0</v>
      </c>
      <c r="M1935" s="200">
        <f t="shared" si="69"/>
        <v>0</v>
      </c>
    </row>
    <row r="1936" spans="2:13" x14ac:dyDescent="0.35">
      <c r="B1936" s="117"/>
      <c r="C1936" s="117"/>
      <c r="D1936" s="117"/>
      <c r="E1936" s="117"/>
      <c r="F1936" s="200"/>
      <c r="G1936" s="200"/>
      <c r="H1936" s="200"/>
      <c r="I1936" s="200"/>
      <c r="J1936" s="200"/>
      <c r="K1936" s="200">
        <f>SUMIF(AE!C:C,ATB!C:C,AE!F:F)</f>
        <v>0</v>
      </c>
      <c r="L1936" s="200">
        <f t="shared" si="68"/>
        <v>0</v>
      </c>
      <c r="M1936" s="200">
        <f t="shared" si="69"/>
        <v>0</v>
      </c>
    </row>
    <row r="1937" spans="2:13" x14ac:dyDescent="0.35">
      <c r="B1937" s="117"/>
      <c r="C1937" s="117"/>
      <c r="D1937" s="117"/>
      <c r="E1937" s="117"/>
      <c r="F1937" s="200"/>
      <c r="G1937" s="200"/>
      <c r="H1937" s="200"/>
      <c r="I1937" s="200"/>
      <c r="J1937" s="200"/>
      <c r="K1937" s="200">
        <f>SUMIF(AE!C:C,ATB!C:C,AE!F:F)</f>
        <v>0</v>
      </c>
      <c r="L1937" s="200">
        <f t="shared" si="68"/>
        <v>0</v>
      </c>
      <c r="M1937" s="200">
        <f t="shared" si="69"/>
        <v>0</v>
      </c>
    </row>
    <row r="1938" spans="2:13" x14ac:dyDescent="0.35">
      <c r="B1938" s="117"/>
      <c r="C1938" s="117"/>
      <c r="D1938" s="117"/>
      <c r="E1938" s="117"/>
      <c r="F1938" s="200"/>
      <c r="G1938" s="200"/>
      <c r="H1938" s="200"/>
      <c r="I1938" s="200"/>
      <c r="J1938" s="200"/>
      <c r="K1938" s="200">
        <f>SUMIF(AE!C:C,ATB!C:C,AE!F:F)</f>
        <v>0</v>
      </c>
      <c r="L1938" s="200">
        <f t="shared" si="68"/>
        <v>0</v>
      </c>
      <c r="M1938" s="200">
        <f t="shared" si="69"/>
        <v>0</v>
      </c>
    </row>
    <row r="1939" spans="2:13" x14ac:dyDescent="0.35">
      <c r="B1939" s="117"/>
      <c r="C1939" s="117"/>
      <c r="D1939" s="117"/>
      <c r="E1939" s="117"/>
      <c r="F1939" s="200"/>
      <c r="G1939" s="200"/>
      <c r="H1939" s="200"/>
      <c r="I1939" s="200"/>
      <c r="J1939" s="200"/>
      <c r="K1939" s="200">
        <f>SUMIF(AE!C:C,ATB!C:C,AE!F:F)</f>
        <v>0</v>
      </c>
      <c r="L1939" s="200">
        <f t="shared" si="68"/>
        <v>0</v>
      </c>
      <c r="M1939" s="200">
        <f t="shared" si="69"/>
        <v>0</v>
      </c>
    </row>
    <row r="1940" spans="2:13" x14ac:dyDescent="0.35">
      <c r="B1940" s="117"/>
      <c r="C1940" s="117"/>
      <c r="D1940" s="117"/>
      <c r="E1940" s="117"/>
      <c r="F1940" s="200"/>
      <c r="G1940" s="200"/>
      <c r="H1940" s="200"/>
      <c r="I1940" s="200"/>
      <c r="J1940" s="200"/>
      <c r="K1940" s="200">
        <f>SUMIF(AE!C:C,ATB!C:C,AE!F:F)</f>
        <v>0</v>
      </c>
      <c r="L1940" s="200">
        <f t="shared" si="68"/>
        <v>0</v>
      </c>
      <c r="M1940" s="200">
        <f t="shared" si="69"/>
        <v>0</v>
      </c>
    </row>
    <row r="1941" spans="2:13" x14ac:dyDescent="0.35">
      <c r="B1941" s="117"/>
      <c r="C1941" s="117"/>
      <c r="D1941" s="117"/>
      <c r="E1941" s="117"/>
      <c r="F1941" s="200"/>
      <c r="G1941" s="200"/>
      <c r="H1941" s="200"/>
      <c r="I1941" s="200"/>
      <c r="J1941" s="200"/>
      <c r="K1941" s="200">
        <f>SUMIF(AE!C:C,ATB!C:C,AE!F:F)</f>
        <v>0</v>
      </c>
      <c r="L1941" s="200">
        <f t="shared" si="68"/>
        <v>0</v>
      </c>
      <c r="M1941" s="200">
        <f t="shared" si="69"/>
        <v>0</v>
      </c>
    </row>
    <row r="1942" spans="2:13" x14ac:dyDescent="0.35">
      <c r="B1942" s="117"/>
      <c r="C1942" s="117"/>
      <c r="D1942" s="117"/>
      <c r="E1942" s="117"/>
      <c r="F1942" s="200"/>
      <c r="G1942" s="200"/>
      <c r="H1942" s="200"/>
      <c r="I1942" s="200"/>
      <c r="J1942" s="200"/>
      <c r="K1942" s="200">
        <f>SUMIF(AE!C:C,ATB!C:C,AE!F:F)</f>
        <v>0</v>
      </c>
      <c r="L1942" s="200">
        <f t="shared" si="68"/>
        <v>0</v>
      </c>
      <c r="M1942" s="200">
        <f t="shared" si="69"/>
        <v>0</v>
      </c>
    </row>
    <row r="1943" spans="2:13" x14ac:dyDescent="0.35">
      <c r="B1943" s="117"/>
      <c r="C1943" s="117"/>
      <c r="D1943" s="117"/>
      <c r="E1943" s="117"/>
      <c r="F1943" s="200"/>
      <c r="G1943" s="200"/>
      <c r="H1943" s="200"/>
      <c r="I1943" s="200"/>
      <c r="J1943" s="200"/>
      <c r="K1943" s="200">
        <f>SUMIF(AE!C:C,ATB!C:C,AE!F:F)</f>
        <v>0</v>
      </c>
      <c r="L1943" s="200">
        <f t="shared" si="68"/>
        <v>0</v>
      </c>
      <c r="M1943" s="200">
        <f t="shared" si="69"/>
        <v>0</v>
      </c>
    </row>
    <row r="1944" spans="2:13" x14ac:dyDescent="0.35">
      <c r="B1944" s="117"/>
      <c r="C1944" s="117"/>
      <c r="D1944" s="117"/>
      <c r="E1944" s="117"/>
      <c r="F1944" s="200"/>
      <c r="G1944" s="200"/>
      <c r="H1944" s="200"/>
      <c r="I1944" s="200"/>
      <c r="J1944" s="200"/>
      <c r="K1944" s="200">
        <f>SUMIF(AE!C:C,ATB!C:C,AE!F:F)</f>
        <v>0</v>
      </c>
      <c r="L1944" s="200">
        <f t="shared" si="68"/>
        <v>0</v>
      </c>
      <c r="M1944" s="200">
        <f t="shared" si="69"/>
        <v>0</v>
      </c>
    </row>
    <row r="1945" spans="2:13" x14ac:dyDescent="0.35">
      <c r="B1945" s="117"/>
      <c r="C1945" s="117"/>
      <c r="D1945" s="117"/>
      <c r="E1945" s="117"/>
      <c r="F1945" s="200"/>
      <c r="G1945" s="200"/>
      <c r="H1945" s="200"/>
      <c r="I1945" s="200"/>
      <c r="J1945" s="200"/>
      <c r="K1945" s="200">
        <f>SUMIF(AE!C:C,ATB!C:C,AE!F:F)</f>
        <v>0</v>
      </c>
      <c r="L1945" s="200">
        <f t="shared" si="68"/>
        <v>0</v>
      </c>
      <c r="M1945" s="200">
        <f t="shared" si="69"/>
        <v>0</v>
      </c>
    </row>
    <row r="1946" spans="2:13" x14ac:dyDescent="0.35">
      <c r="B1946" s="117"/>
      <c r="C1946" s="117"/>
      <c r="D1946" s="117"/>
      <c r="E1946" s="117"/>
      <c r="F1946" s="200"/>
      <c r="G1946" s="200"/>
      <c r="H1946" s="200"/>
      <c r="I1946" s="200"/>
      <c r="J1946" s="200"/>
      <c r="K1946" s="200">
        <f>SUMIF(AE!C:C,ATB!C:C,AE!F:F)</f>
        <v>0</v>
      </c>
      <c r="L1946" s="200">
        <f t="shared" si="68"/>
        <v>0</v>
      </c>
      <c r="M1946" s="200">
        <f t="shared" si="69"/>
        <v>0</v>
      </c>
    </row>
    <row r="1947" spans="2:13" x14ac:dyDescent="0.35">
      <c r="B1947" s="117"/>
      <c r="C1947" s="117"/>
      <c r="D1947" s="117"/>
      <c r="E1947" s="117"/>
      <c r="F1947" s="200"/>
      <c r="G1947" s="200"/>
      <c r="H1947" s="200"/>
      <c r="I1947" s="200"/>
      <c r="J1947" s="200"/>
      <c r="K1947" s="200">
        <f>SUMIF(AE!C:C,ATB!C:C,AE!F:F)</f>
        <v>0</v>
      </c>
      <c r="L1947" s="200">
        <f t="shared" si="68"/>
        <v>0</v>
      </c>
      <c r="M1947" s="200">
        <f t="shared" si="69"/>
        <v>0</v>
      </c>
    </row>
    <row r="1948" spans="2:13" x14ac:dyDescent="0.35">
      <c r="B1948" s="117"/>
      <c r="C1948" s="117"/>
      <c r="D1948" s="117"/>
      <c r="E1948" s="117"/>
      <c r="F1948" s="200"/>
      <c r="G1948" s="200"/>
      <c r="H1948" s="200"/>
      <c r="I1948" s="200"/>
      <c r="J1948" s="200"/>
      <c r="K1948" s="200">
        <f>SUMIF(AE!C:C,ATB!C:C,AE!F:F)</f>
        <v>0</v>
      </c>
      <c r="L1948" s="200">
        <f t="shared" si="68"/>
        <v>0</v>
      </c>
      <c r="M1948" s="200">
        <f t="shared" si="69"/>
        <v>0</v>
      </c>
    </row>
    <row r="1949" spans="2:13" x14ac:dyDescent="0.35">
      <c r="B1949" s="117"/>
      <c r="C1949" s="117"/>
      <c r="D1949" s="117"/>
      <c r="E1949" s="117"/>
      <c r="F1949" s="200"/>
      <c r="G1949" s="200"/>
      <c r="H1949" s="200"/>
      <c r="I1949" s="200"/>
      <c r="J1949" s="200"/>
      <c r="K1949" s="200">
        <f>SUMIF(AE!C:C,ATB!C:C,AE!F:F)</f>
        <v>0</v>
      </c>
      <c r="L1949" s="200">
        <f t="shared" si="68"/>
        <v>0</v>
      </c>
      <c r="M1949" s="200">
        <f t="shared" si="69"/>
        <v>0</v>
      </c>
    </row>
    <row r="1950" spans="2:13" x14ac:dyDescent="0.35">
      <c r="B1950" s="117"/>
      <c r="C1950" s="117"/>
      <c r="D1950" s="117"/>
      <c r="E1950" s="117"/>
      <c r="F1950" s="200"/>
      <c r="G1950" s="200"/>
      <c r="H1950" s="200"/>
      <c r="I1950" s="200"/>
      <c r="J1950" s="200"/>
      <c r="K1950" s="200">
        <f>SUMIF(AE!C:C,ATB!C:C,AE!F:F)</f>
        <v>0</v>
      </c>
      <c r="L1950" s="200">
        <f t="shared" si="68"/>
        <v>0</v>
      </c>
      <c r="M1950" s="200">
        <f t="shared" si="69"/>
        <v>0</v>
      </c>
    </row>
    <row r="1951" spans="2:13" x14ac:dyDescent="0.35">
      <c r="B1951" s="117"/>
      <c r="C1951" s="117"/>
      <c r="D1951" s="117"/>
      <c r="E1951" s="117"/>
      <c r="F1951" s="200"/>
      <c r="G1951" s="200"/>
      <c r="H1951" s="200"/>
      <c r="I1951" s="200"/>
      <c r="J1951" s="200"/>
      <c r="K1951" s="200">
        <f>SUMIF(AE!C:C,ATB!C:C,AE!F:F)</f>
        <v>0</v>
      </c>
      <c r="L1951" s="200">
        <f t="shared" si="68"/>
        <v>0</v>
      </c>
      <c r="M1951" s="200">
        <f t="shared" si="69"/>
        <v>0</v>
      </c>
    </row>
    <row r="1952" spans="2:13" x14ac:dyDescent="0.35">
      <c r="B1952" s="117"/>
      <c r="C1952" s="117"/>
      <c r="D1952" s="117"/>
      <c r="E1952" s="117"/>
      <c r="F1952" s="200"/>
      <c r="G1952" s="200"/>
      <c r="H1952" s="200"/>
      <c r="I1952" s="200"/>
      <c r="J1952" s="200"/>
      <c r="K1952" s="200">
        <f>SUMIF(AE!C:C,ATB!C:C,AE!F:F)</f>
        <v>0</v>
      </c>
      <c r="L1952" s="200">
        <f t="shared" si="68"/>
        <v>0</v>
      </c>
      <c r="M1952" s="200">
        <f t="shared" si="69"/>
        <v>0</v>
      </c>
    </row>
    <row r="1953" spans="2:13" x14ac:dyDescent="0.35">
      <c r="B1953" s="117"/>
      <c r="C1953" s="117"/>
      <c r="D1953" s="117"/>
      <c r="E1953" s="117"/>
      <c r="F1953" s="200"/>
      <c r="G1953" s="200"/>
      <c r="H1953" s="200"/>
      <c r="I1953" s="200"/>
      <c r="J1953" s="200"/>
      <c r="K1953" s="200">
        <f>SUMIF(AE!C:C,ATB!C:C,AE!F:F)</f>
        <v>0</v>
      </c>
      <c r="L1953" s="200">
        <f t="shared" si="68"/>
        <v>0</v>
      </c>
      <c r="M1953" s="200">
        <f t="shared" si="69"/>
        <v>0</v>
      </c>
    </row>
    <row r="1954" spans="2:13" x14ac:dyDescent="0.35">
      <c r="B1954" s="117"/>
      <c r="C1954" s="117"/>
      <c r="D1954" s="117"/>
      <c r="E1954" s="117"/>
      <c r="F1954" s="200"/>
      <c r="G1954" s="200"/>
      <c r="H1954" s="200"/>
      <c r="I1954" s="200"/>
      <c r="J1954" s="200"/>
      <c r="K1954" s="200">
        <f>SUMIF(AE!C:C,ATB!C:C,AE!F:F)</f>
        <v>0</v>
      </c>
      <c r="L1954" s="200">
        <f t="shared" si="68"/>
        <v>0</v>
      </c>
      <c r="M1954" s="200">
        <f t="shared" si="69"/>
        <v>0</v>
      </c>
    </row>
    <row r="1955" spans="2:13" x14ac:dyDescent="0.35">
      <c r="B1955" s="117"/>
      <c r="C1955" s="117"/>
      <c r="D1955" s="117"/>
      <c r="E1955" s="117"/>
      <c r="F1955" s="200"/>
      <c r="G1955" s="200"/>
      <c r="H1955" s="200"/>
      <c r="I1955" s="200"/>
      <c r="J1955" s="200"/>
      <c r="K1955" s="200">
        <f>SUMIF(AE!C:C,ATB!C:C,AE!F:F)</f>
        <v>0</v>
      </c>
      <c r="L1955" s="200">
        <f t="shared" si="68"/>
        <v>0</v>
      </c>
      <c r="M1955" s="200">
        <f t="shared" si="69"/>
        <v>0</v>
      </c>
    </row>
    <row r="1956" spans="2:13" x14ac:dyDescent="0.35">
      <c r="B1956" s="117"/>
      <c r="C1956" s="117"/>
      <c r="D1956" s="117"/>
      <c r="E1956" s="117"/>
      <c r="F1956" s="200"/>
      <c r="G1956" s="200"/>
      <c r="H1956" s="200"/>
      <c r="I1956" s="200"/>
      <c r="J1956" s="200"/>
      <c r="K1956" s="200">
        <f>SUMIF(AE!C:C,ATB!C:C,AE!F:F)</f>
        <v>0</v>
      </c>
      <c r="L1956" s="200">
        <f t="shared" si="68"/>
        <v>0</v>
      </c>
      <c r="M1956" s="200">
        <f t="shared" si="69"/>
        <v>0</v>
      </c>
    </row>
    <row r="1957" spans="2:13" x14ac:dyDescent="0.35">
      <c r="B1957" s="117"/>
      <c r="C1957" s="117"/>
      <c r="D1957" s="117"/>
      <c r="E1957" s="117"/>
      <c r="F1957" s="200"/>
      <c r="G1957" s="200"/>
      <c r="H1957" s="200"/>
      <c r="I1957" s="200"/>
      <c r="J1957" s="200"/>
      <c r="K1957" s="200">
        <f>SUMIF(AE!C:C,ATB!C:C,AE!F:F)</f>
        <v>0</v>
      </c>
      <c r="L1957" s="200">
        <f t="shared" si="68"/>
        <v>0</v>
      </c>
      <c r="M1957" s="200">
        <f t="shared" si="69"/>
        <v>0</v>
      </c>
    </row>
    <row r="1958" spans="2:13" x14ac:dyDescent="0.35">
      <c r="B1958" s="117"/>
      <c r="C1958" s="117"/>
      <c r="D1958" s="117"/>
      <c r="E1958" s="117"/>
      <c r="F1958" s="200"/>
      <c r="G1958" s="200"/>
      <c r="H1958" s="200"/>
      <c r="I1958" s="200"/>
      <c r="J1958" s="200"/>
      <c r="K1958" s="200">
        <f>SUMIF(AE!C:C,ATB!C:C,AE!F:F)</f>
        <v>0</v>
      </c>
      <c r="L1958" s="200">
        <f t="shared" si="68"/>
        <v>0</v>
      </c>
      <c r="M1958" s="200">
        <f t="shared" si="69"/>
        <v>0</v>
      </c>
    </row>
    <row r="1959" spans="2:13" x14ac:dyDescent="0.35">
      <c r="B1959" s="117"/>
      <c r="C1959" s="117"/>
      <c r="D1959" s="117"/>
      <c r="E1959" s="117"/>
      <c r="F1959" s="200"/>
      <c r="G1959" s="200"/>
      <c r="H1959" s="200"/>
      <c r="I1959" s="200"/>
      <c r="J1959" s="200"/>
      <c r="K1959" s="200">
        <f>SUMIF(AE!C:C,ATB!C:C,AE!F:F)</f>
        <v>0</v>
      </c>
      <c r="L1959" s="200">
        <f t="shared" si="68"/>
        <v>0</v>
      </c>
      <c r="M1959" s="200">
        <f t="shared" si="69"/>
        <v>0</v>
      </c>
    </row>
    <row r="1960" spans="2:13" x14ac:dyDescent="0.35">
      <c r="B1960" s="117"/>
      <c r="C1960" s="117"/>
      <c r="D1960" s="117"/>
      <c r="E1960" s="117"/>
      <c r="F1960" s="200"/>
      <c r="G1960" s="200"/>
      <c r="H1960" s="200"/>
      <c r="I1960" s="200"/>
      <c r="J1960" s="200"/>
      <c r="K1960" s="200">
        <f>SUMIF(AE!C:C,ATB!C:C,AE!F:F)</f>
        <v>0</v>
      </c>
      <c r="L1960" s="200">
        <f t="shared" si="68"/>
        <v>0</v>
      </c>
      <c r="M1960" s="200">
        <f t="shared" si="69"/>
        <v>0</v>
      </c>
    </row>
    <row r="1961" spans="2:13" x14ac:dyDescent="0.35">
      <c r="B1961" s="117"/>
      <c r="C1961" s="117"/>
      <c r="D1961" s="117"/>
      <c r="E1961" s="117"/>
      <c r="F1961" s="200"/>
      <c r="G1961" s="200"/>
      <c r="H1961" s="200"/>
      <c r="I1961" s="200"/>
      <c r="J1961" s="200"/>
      <c r="K1961" s="200">
        <f>SUMIF(AE!C:C,ATB!C:C,AE!F:F)</f>
        <v>0</v>
      </c>
      <c r="L1961" s="200">
        <f t="shared" si="68"/>
        <v>0</v>
      </c>
      <c r="M1961" s="200">
        <f t="shared" si="69"/>
        <v>0</v>
      </c>
    </row>
    <row r="1962" spans="2:13" x14ac:dyDescent="0.35">
      <c r="B1962" s="117"/>
      <c r="C1962" s="117"/>
      <c r="D1962" s="117"/>
      <c r="E1962" s="117"/>
      <c r="F1962" s="200"/>
      <c r="G1962" s="200"/>
      <c r="H1962" s="200"/>
      <c r="I1962" s="200"/>
      <c r="J1962" s="200"/>
      <c r="K1962" s="200">
        <f>SUMIF(AE!C:C,ATB!C:C,AE!F:F)</f>
        <v>0</v>
      </c>
      <c r="L1962" s="200">
        <f t="shared" si="68"/>
        <v>0</v>
      </c>
      <c r="M1962" s="200">
        <f t="shared" si="69"/>
        <v>0</v>
      </c>
    </row>
    <row r="1963" spans="2:13" x14ac:dyDescent="0.35">
      <c r="B1963" s="117"/>
      <c r="C1963" s="117"/>
      <c r="D1963" s="117"/>
      <c r="E1963" s="117"/>
      <c r="F1963" s="200"/>
      <c r="G1963" s="200"/>
      <c r="H1963" s="200"/>
      <c r="I1963" s="200"/>
      <c r="J1963" s="200"/>
      <c r="K1963" s="200">
        <f>SUMIF(AE!C:C,ATB!C:C,AE!F:F)</f>
        <v>0</v>
      </c>
      <c r="L1963" s="200">
        <f t="shared" si="68"/>
        <v>0</v>
      </c>
      <c r="M1963" s="200">
        <f t="shared" si="69"/>
        <v>0</v>
      </c>
    </row>
    <row r="1964" spans="2:13" x14ac:dyDescent="0.35">
      <c r="B1964" s="117"/>
      <c r="C1964" s="117"/>
      <c r="D1964" s="117"/>
      <c r="E1964" s="117"/>
      <c r="F1964" s="200"/>
      <c r="G1964" s="200"/>
      <c r="H1964" s="200"/>
      <c r="I1964" s="200"/>
      <c r="J1964" s="200"/>
      <c r="K1964" s="200">
        <f>SUMIF(AE!C:C,ATB!C:C,AE!F:F)</f>
        <v>0</v>
      </c>
      <c r="L1964" s="200">
        <f t="shared" si="68"/>
        <v>0</v>
      </c>
      <c r="M1964" s="200">
        <f t="shared" si="69"/>
        <v>0</v>
      </c>
    </row>
    <row r="1965" spans="2:13" x14ac:dyDescent="0.35">
      <c r="B1965" s="117"/>
      <c r="C1965" s="117"/>
      <c r="D1965" s="117"/>
      <c r="E1965" s="117"/>
      <c r="F1965" s="200"/>
      <c r="G1965" s="200"/>
      <c r="H1965" s="200"/>
      <c r="I1965" s="200"/>
      <c r="J1965" s="200"/>
      <c r="K1965" s="200">
        <f>SUMIF(AE!C:C,ATB!C:C,AE!F:F)</f>
        <v>0</v>
      </c>
      <c r="L1965" s="200">
        <f t="shared" si="68"/>
        <v>0</v>
      </c>
      <c r="M1965" s="200">
        <f t="shared" si="69"/>
        <v>0</v>
      </c>
    </row>
    <row r="1966" spans="2:13" x14ac:dyDescent="0.35">
      <c r="B1966" s="117"/>
      <c r="C1966" s="117"/>
      <c r="D1966" s="117"/>
      <c r="E1966" s="117"/>
      <c r="F1966" s="200"/>
      <c r="G1966" s="200"/>
      <c r="H1966" s="200"/>
      <c r="I1966" s="200"/>
      <c r="J1966" s="200"/>
      <c r="K1966" s="200">
        <f>SUMIF(AE!C:C,ATB!C:C,AE!F:F)</f>
        <v>0</v>
      </c>
      <c r="L1966" s="200">
        <f t="shared" si="68"/>
        <v>0</v>
      </c>
      <c r="M1966" s="200">
        <f t="shared" si="69"/>
        <v>0</v>
      </c>
    </row>
    <row r="1967" spans="2:13" x14ac:dyDescent="0.35">
      <c r="B1967" s="117"/>
      <c r="C1967" s="117"/>
      <c r="D1967" s="117"/>
      <c r="E1967" s="117"/>
      <c r="F1967" s="200"/>
      <c r="G1967" s="200"/>
      <c r="H1967" s="200"/>
      <c r="I1967" s="200"/>
      <c r="J1967" s="200"/>
      <c r="K1967" s="200">
        <f>SUMIF(AE!C:C,ATB!C:C,AE!F:F)</f>
        <v>0</v>
      </c>
      <c r="L1967" s="200">
        <f t="shared" si="68"/>
        <v>0</v>
      </c>
      <c r="M1967" s="200">
        <f t="shared" si="69"/>
        <v>0</v>
      </c>
    </row>
    <row r="1968" spans="2:13" x14ac:dyDescent="0.35">
      <c r="B1968" s="117"/>
      <c r="C1968" s="117"/>
      <c r="D1968" s="117"/>
      <c r="E1968" s="117"/>
      <c r="F1968" s="200"/>
      <c r="G1968" s="200"/>
      <c r="H1968" s="200"/>
      <c r="I1968" s="200"/>
      <c r="J1968" s="200"/>
      <c r="K1968" s="200">
        <f>SUMIF(AE!C:C,ATB!C:C,AE!F:F)</f>
        <v>0</v>
      </c>
      <c r="L1968" s="200">
        <f t="shared" si="68"/>
        <v>0</v>
      </c>
      <c r="M1968" s="200">
        <f t="shared" si="69"/>
        <v>0</v>
      </c>
    </row>
    <row r="1969" spans="2:13" x14ac:dyDescent="0.35">
      <c r="B1969" s="117"/>
      <c r="C1969" s="117"/>
      <c r="D1969" s="117"/>
      <c r="E1969" s="117"/>
      <c r="F1969" s="200"/>
      <c r="G1969" s="200"/>
      <c r="H1969" s="200"/>
      <c r="I1969" s="200"/>
      <c r="J1969" s="200"/>
      <c r="K1969" s="200">
        <f>SUMIF(AE!C:C,ATB!C:C,AE!F:F)</f>
        <v>0</v>
      </c>
      <c r="L1969" s="200">
        <f t="shared" si="68"/>
        <v>0</v>
      </c>
      <c r="M1969" s="200">
        <f t="shared" si="69"/>
        <v>0</v>
      </c>
    </row>
    <row r="1970" spans="2:13" x14ac:dyDescent="0.35">
      <c r="B1970" s="117"/>
      <c r="C1970" s="117"/>
      <c r="D1970" s="117"/>
      <c r="E1970" s="117"/>
      <c r="F1970" s="200"/>
      <c r="G1970" s="200"/>
      <c r="H1970" s="200"/>
      <c r="I1970" s="200"/>
      <c r="J1970" s="200"/>
      <c r="K1970" s="200">
        <f>SUMIF(AE!C:C,ATB!C:C,AE!F:F)</f>
        <v>0</v>
      </c>
      <c r="L1970" s="200">
        <f t="shared" si="68"/>
        <v>0</v>
      </c>
      <c r="M1970" s="200">
        <f t="shared" si="69"/>
        <v>0</v>
      </c>
    </row>
    <row r="1971" spans="2:13" x14ac:dyDescent="0.35">
      <c r="B1971" s="117"/>
      <c r="C1971" s="117"/>
      <c r="D1971" s="117"/>
      <c r="E1971" s="117"/>
      <c r="F1971" s="200"/>
      <c r="G1971" s="200"/>
      <c r="H1971" s="200"/>
      <c r="I1971" s="200"/>
      <c r="J1971" s="200"/>
      <c r="K1971" s="200">
        <f>SUMIF(AE!C:C,ATB!C:C,AE!F:F)</f>
        <v>0</v>
      </c>
      <c r="L1971" s="200">
        <f t="shared" si="68"/>
        <v>0</v>
      </c>
      <c r="M1971" s="200">
        <f t="shared" si="69"/>
        <v>0</v>
      </c>
    </row>
    <row r="1972" spans="2:13" x14ac:dyDescent="0.35">
      <c r="B1972" s="117"/>
      <c r="C1972" s="117"/>
      <c r="D1972" s="117"/>
      <c r="E1972" s="117"/>
      <c r="F1972" s="200"/>
      <c r="G1972" s="200"/>
      <c r="H1972" s="200"/>
      <c r="I1972" s="200"/>
      <c r="J1972" s="200"/>
      <c r="K1972" s="200">
        <f>SUMIF(AE!C:C,ATB!C:C,AE!F:F)</f>
        <v>0</v>
      </c>
      <c r="L1972" s="200">
        <f t="shared" si="68"/>
        <v>0</v>
      </c>
      <c r="M1972" s="200">
        <f t="shared" si="69"/>
        <v>0</v>
      </c>
    </row>
    <row r="1973" spans="2:13" x14ac:dyDescent="0.35">
      <c r="B1973" s="117"/>
      <c r="C1973" s="117"/>
      <c r="D1973" s="117"/>
      <c r="E1973" s="117"/>
      <c r="F1973" s="200"/>
      <c r="G1973" s="200"/>
      <c r="H1973" s="200"/>
      <c r="I1973" s="200"/>
      <c r="J1973" s="200"/>
      <c r="K1973" s="200">
        <f>SUMIF(AE!C:C,ATB!C:C,AE!F:F)</f>
        <v>0</v>
      </c>
      <c r="L1973" s="200">
        <f t="shared" si="68"/>
        <v>0</v>
      </c>
      <c r="M1973" s="200">
        <f t="shared" si="69"/>
        <v>0</v>
      </c>
    </row>
    <row r="1974" spans="2:13" x14ac:dyDescent="0.35">
      <c r="B1974" s="117"/>
      <c r="C1974" s="117"/>
      <c r="D1974" s="117"/>
      <c r="E1974" s="117"/>
      <c r="F1974" s="200"/>
      <c r="G1974" s="200"/>
      <c r="H1974" s="200"/>
      <c r="I1974" s="200"/>
      <c r="J1974" s="200"/>
      <c r="K1974" s="200">
        <f>SUMIF(AE!C:C,ATB!C:C,AE!F:F)</f>
        <v>0</v>
      </c>
      <c r="L1974" s="200">
        <f t="shared" si="68"/>
        <v>0</v>
      </c>
      <c r="M1974" s="200">
        <f t="shared" si="69"/>
        <v>0</v>
      </c>
    </row>
    <row r="1975" spans="2:13" x14ac:dyDescent="0.35">
      <c r="B1975" s="117"/>
      <c r="C1975" s="117"/>
      <c r="D1975" s="117"/>
      <c r="E1975" s="117"/>
      <c r="F1975" s="200"/>
      <c r="G1975" s="200"/>
      <c r="H1975" s="200"/>
      <c r="I1975" s="200"/>
      <c r="J1975" s="200"/>
      <c r="K1975" s="200">
        <f>SUMIF(AE!C:C,ATB!C:C,AE!F:F)</f>
        <v>0</v>
      </c>
      <c r="L1975" s="200">
        <f t="shared" si="68"/>
        <v>0</v>
      </c>
      <c r="M1975" s="200">
        <f t="shared" si="69"/>
        <v>0</v>
      </c>
    </row>
    <row r="1976" spans="2:13" x14ac:dyDescent="0.35">
      <c r="B1976" s="117"/>
      <c r="C1976" s="117"/>
      <c r="D1976" s="117"/>
      <c r="E1976" s="117"/>
      <c r="F1976" s="200"/>
      <c r="G1976" s="200"/>
      <c r="H1976" s="200"/>
      <c r="I1976" s="200"/>
      <c r="J1976" s="200"/>
      <c r="K1976" s="200">
        <f>SUMIF(AE!C:C,ATB!C:C,AE!F:F)</f>
        <v>0</v>
      </c>
      <c r="L1976" s="200">
        <f t="shared" si="68"/>
        <v>0</v>
      </c>
      <c r="M1976" s="200">
        <f t="shared" si="69"/>
        <v>0</v>
      </c>
    </row>
    <row r="1977" spans="2:13" x14ac:dyDescent="0.35">
      <c r="B1977" s="117"/>
      <c r="C1977" s="117"/>
      <c r="D1977" s="117"/>
      <c r="E1977" s="117"/>
      <c r="F1977" s="200"/>
      <c r="G1977" s="200"/>
      <c r="H1977" s="200"/>
      <c r="I1977" s="200"/>
      <c r="J1977" s="200"/>
      <c r="K1977" s="200">
        <f>SUMIF(AE!C:C,ATB!C:C,AE!F:F)</f>
        <v>0</v>
      </c>
      <c r="L1977" s="200">
        <f t="shared" si="68"/>
        <v>0</v>
      </c>
      <c r="M1977" s="200">
        <f t="shared" si="69"/>
        <v>0</v>
      </c>
    </row>
    <row r="1978" spans="2:13" x14ac:dyDescent="0.35">
      <c r="B1978" s="117"/>
      <c r="C1978" s="117"/>
      <c r="D1978" s="117"/>
      <c r="E1978" s="117"/>
      <c r="F1978" s="200"/>
      <c r="G1978" s="200"/>
      <c r="H1978" s="200"/>
      <c r="I1978" s="200"/>
      <c r="J1978" s="200"/>
      <c r="K1978" s="200">
        <f>SUMIF(AE!C:C,ATB!C:C,AE!F:F)</f>
        <v>0</v>
      </c>
      <c r="L1978" s="200">
        <f t="shared" si="68"/>
        <v>0</v>
      </c>
      <c r="M1978" s="200">
        <f t="shared" si="69"/>
        <v>0</v>
      </c>
    </row>
    <row r="1979" spans="2:13" x14ac:dyDescent="0.35">
      <c r="B1979" s="117"/>
      <c r="C1979" s="117"/>
      <c r="D1979" s="117"/>
      <c r="E1979" s="117"/>
      <c r="F1979" s="200"/>
      <c r="G1979" s="200"/>
      <c r="H1979" s="200"/>
      <c r="I1979" s="200"/>
      <c r="J1979" s="200"/>
      <c r="K1979" s="200">
        <f>SUMIF(AE!C:C,ATB!C:C,AE!F:F)</f>
        <v>0</v>
      </c>
      <c r="L1979" s="200">
        <f t="shared" si="68"/>
        <v>0</v>
      </c>
      <c r="M1979" s="200">
        <f t="shared" si="69"/>
        <v>0</v>
      </c>
    </row>
    <row r="1980" spans="2:13" x14ac:dyDescent="0.35">
      <c r="B1980" s="117"/>
      <c r="C1980" s="117"/>
      <c r="D1980" s="117"/>
      <c r="E1980" s="117"/>
      <c r="F1980" s="200"/>
      <c r="G1980" s="200"/>
      <c r="H1980" s="200"/>
      <c r="I1980" s="200"/>
      <c r="J1980" s="200"/>
      <c r="K1980" s="200">
        <f>SUMIF(AE!C:C,ATB!C:C,AE!F:F)</f>
        <v>0</v>
      </c>
      <c r="L1980" s="200">
        <f t="shared" si="68"/>
        <v>0</v>
      </c>
      <c r="M1980" s="200">
        <f t="shared" si="69"/>
        <v>0</v>
      </c>
    </row>
    <row r="1981" spans="2:13" x14ac:dyDescent="0.35">
      <c r="B1981" s="117"/>
      <c r="C1981" s="117"/>
      <c r="D1981" s="117"/>
      <c r="E1981" s="117"/>
      <c r="F1981" s="200"/>
      <c r="G1981" s="200"/>
      <c r="H1981" s="200"/>
      <c r="I1981" s="200"/>
      <c r="J1981" s="200"/>
      <c r="K1981" s="200">
        <f>SUMIF(AE!C:C,ATB!C:C,AE!F:F)</f>
        <v>0</v>
      </c>
      <c r="L1981" s="200">
        <f t="shared" si="68"/>
        <v>0</v>
      </c>
      <c r="M1981" s="200">
        <f t="shared" si="69"/>
        <v>0</v>
      </c>
    </row>
    <row r="1982" spans="2:13" x14ac:dyDescent="0.35">
      <c r="B1982" s="117"/>
      <c r="C1982" s="117"/>
      <c r="D1982" s="117"/>
      <c r="E1982" s="117"/>
      <c r="F1982" s="200"/>
      <c r="G1982" s="200"/>
      <c r="H1982" s="200"/>
      <c r="I1982" s="200"/>
      <c r="J1982" s="200"/>
      <c r="K1982" s="200">
        <f>SUMIF(AE!C:C,ATB!C:C,AE!F:F)</f>
        <v>0</v>
      </c>
      <c r="L1982" s="200">
        <f t="shared" si="68"/>
        <v>0</v>
      </c>
      <c r="M1982" s="200">
        <f t="shared" si="69"/>
        <v>0</v>
      </c>
    </row>
    <row r="1983" spans="2:13" x14ac:dyDescent="0.35">
      <c r="B1983" s="117"/>
      <c r="C1983" s="117"/>
      <c r="D1983" s="117"/>
      <c r="E1983" s="117"/>
      <c r="F1983" s="200"/>
      <c r="G1983" s="200"/>
      <c r="H1983" s="200"/>
      <c r="I1983" s="200"/>
      <c r="J1983" s="200"/>
      <c r="K1983" s="200">
        <f>SUMIF(AE!C:C,ATB!C:C,AE!F:F)</f>
        <v>0</v>
      </c>
      <c r="L1983" s="200">
        <f t="shared" si="68"/>
        <v>0</v>
      </c>
      <c r="M1983" s="200">
        <f t="shared" si="69"/>
        <v>0</v>
      </c>
    </row>
    <row r="1984" spans="2:13" x14ac:dyDescent="0.35">
      <c r="B1984" s="117"/>
      <c r="C1984" s="117"/>
      <c r="D1984" s="117"/>
      <c r="E1984" s="117"/>
      <c r="F1984" s="200"/>
      <c r="G1984" s="200"/>
      <c r="H1984" s="200"/>
      <c r="I1984" s="200"/>
      <c r="J1984" s="200"/>
      <c r="K1984" s="200">
        <f>SUMIF(AE!C:C,ATB!C:C,AE!F:F)</f>
        <v>0</v>
      </c>
      <c r="L1984" s="200">
        <f t="shared" si="68"/>
        <v>0</v>
      </c>
      <c r="M1984" s="200">
        <f t="shared" si="69"/>
        <v>0</v>
      </c>
    </row>
    <row r="1985" spans="2:13" x14ac:dyDescent="0.35">
      <c r="B1985" s="117"/>
      <c r="C1985" s="117"/>
      <c r="D1985" s="117"/>
      <c r="E1985" s="117"/>
      <c r="F1985" s="200"/>
      <c r="G1985" s="200"/>
      <c r="H1985" s="200"/>
      <c r="I1985" s="200"/>
      <c r="J1985" s="200"/>
      <c r="K1985" s="200">
        <f>SUMIF(AE!C:C,ATB!C:C,AE!F:F)</f>
        <v>0</v>
      </c>
      <c r="L1985" s="200">
        <f t="shared" si="68"/>
        <v>0</v>
      </c>
      <c r="M1985" s="200">
        <f t="shared" si="69"/>
        <v>0</v>
      </c>
    </row>
    <row r="1986" spans="2:13" x14ac:dyDescent="0.35">
      <c r="B1986" s="117"/>
      <c r="C1986" s="117"/>
      <c r="D1986" s="117"/>
      <c r="E1986" s="117"/>
      <c r="F1986" s="200"/>
      <c r="G1986" s="200"/>
      <c r="H1986" s="200"/>
      <c r="I1986" s="200"/>
      <c r="J1986" s="200"/>
      <c r="K1986" s="200">
        <f>SUMIF(AE!C:C,ATB!C:C,AE!F:F)</f>
        <v>0</v>
      </c>
      <c r="L1986" s="200">
        <f t="shared" ref="L1986:L1991" si="70">ROUND(IF(F1986+H1986+J1986-G1986-I1986-K1986&gt;0,F1986+H1986+J1986-G1986-I1986-K1986,0),0)</f>
        <v>0</v>
      </c>
      <c r="M1986" s="200">
        <f t="shared" ref="M1986:M1991" si="71">-ROUND(IF(F1986+H1986+J1986-G1986-I1986-K1986&lt;0,F1986+H1986+J1986-G1986-I1986-K1986,0),0)</f>
        <v>0</v>
      </c>
    </row>
    <row r="1987" spans="2:13" x14ac:dyDescent="0.35">
      <c r="B1987" s="117"/>
      <c r="C1987" s="117"/>
      <c r="D1987" s="117"/>
      <c r="E1987" s="117"/>
      <c r="F1987" s="200"/>
      <c r="G1987" s="200"/>
      <c r="H1987" s="200"/>
      <c r="I1987" s="200"/>
      <c r="J1987" s="200"/>
      <c r="K1987" s="200">
        <f>SUMIF(AE!C:C,ATB!C:C,AE!F:F)</f>
        <v>0</v>
      </c>
      <c r="L1987" s="200">
        <f t="shared" si="70"/>
        <v>0</v>
      </c>
      <c r="M1987" s="200">
        <f t="shared" si="71"/>
        <v>0</v>
      </c>
    </row>
    <row r="1988" spans="2:13" x14ac:dyDescent="0.35">
      <c r="B1988" s="117"/>
      <c r="C1988" s="117"/>
      <c r="D1988" s="117"/>
      <c r="E1988" s="117"/>
      <c r="F1988" s="200"/>
      <c r="G1988" s="200"/>
      <c r="H1988" s="200"/>
      <c r="I1988" s="200"/>
      <c r="J1988" s="200"/>
      <c r="K1988" s="200">
        <f>SUMIF(AE!C:C,ATB!C:C,AE!F:F)</f>
        <v>0</v>
      </c>
      <c r="L1988" s="200">
        <f t="shared" si="70"/>
        <v>0</v>
      </c>
      <c r="M1988" s="200">
        <f t="shared" si="71"/>
        <v>0</v>
      </c>
    </row>
    <row r="1989" spans="2:13" x14ac:dyDescent="0.35">
      <c r="B1989" s="117"/>
      <c r="C1989" s="117"/>
      <c r="D1989" s="117"/>
      <c r="E1989" s="117"/>
      <c r="F1989" s="200"/>
      <c r="G1989" s="200"/>
      <c r="H1989" s="200"/>
      <c r="I1989" s="200"/>
      <c r="J1989" s="200"/>
      <c r="K1989" s="200">
        <f>SUMIF(AE!C:C,ATB!C:C,AE!F:F)</f>
        <v>0</v>
      </c>
      <c r="L1989" s="200">
        <f t="shared" si="70"/>
        <v>0</v>
      </c>
      <c r="M1989" s="200">
        <f t="shared" si="71"/>
        <v>0</v>
      </c>
    </row>
    <row r="1990" spans="2:13" x14ac:dyDescent="0.35">
      <c r="B1990" s="117"/>
      <c r="C1990" s="117"/>
      <c r="D1990" s="117"/>
      <c r="E1990" s="117"/>
      <c r="F1990" s="200"/>
      <c r="G1990" s="200"/>
      <c r="H1990" s="200"/>
      <c r="I1990" s="200"/>
      <c r="J1990" s="200"/>
      <c r="K1990" s="200">
        <f>SUMIF(AE!C:C,ATB!C:C,AE!F:F)</f>
        <v>0</v>
      </c>
      <c r="L1990" s="200">
        <f t="shared" si="70"/>
        <v>0</v>
      </c>
      <c r="M1990" s="200">
        <f t="shared" si="71"/>
        <v>0</v>
      </c>
    </row>
    <row r="1991" spans="2:13" x14ac:dyDescent="0.35">
      <c r="B1991" s="117"/>
      <c r="C1991" s="117"/>
      <c r="D1991" s="117"/>
      <c r="E1991" s="117"/>
      <c r="F1991" s="200"/>
      <c r="G1991" s="200"/>
      <c r="H1991" s="200"/>
      <c r="I1991" s="200"/>
      <c r="J1991" s="200"/>
      <c r="K1991" s="200">
        <f>SUMIF(AE!C:C,ATB!C:C,AE!F:F)</f>
        <v>0</v>
      </c>
      <c r="L1991" s="200">
        <f t="shared" si="70"/>
        <v>0</v>
      </c>
      <c r="M1991" s="200">
        <f t="shared" si="71"/>
        <v>0</v>
      </c>
    </row>
    <row r="1992" spans="2:13" x14ac:dyDescent="0.35">
      <c r="B1992" s="117"/>
      <c r="C1992" s="117"/>
      <c r="D1992" s="117"/>
      <c r="E1992" s="117"/>
      <c r="F1992" s="200"/>
      <c r="G1992" s="200"/>
      <c r="H1992" s="200"/>
      <c r="I1992" s="200"/>
      <c r="J1992" s="200"/>
      <c r="K1992" s="200"/>
      <c r="L1992" s="200"/>
      <c r="M1992" s="200"/>
    </row>
    <row r="1993" spans="2:13" x14ac:dyDescent="0.35">
      <c r="B1993" s="117"/>
      <c r="C1993" s="117"/>
      <c r="D1993" s="117"/>
      <c r="E1993" s="117"/>
      <c r="F1993" s="200">
        <f t="shared" ref="F1993:M1993" si="72">SUM(F9:F1992)</f>
        <v>0</v>
      </c>
      <c r="G1993" s="200">
        <f t="shared" si="72"/>
        <v>0</v>
      </c>
      <c r="H1993" s="200">
        <f t="shared" si="72"/>
        <v>0</v>
      </c>
      <c r="I1993" s="200">
        <f t="shared" si="72"/>
        <v>0</v>
      </c>
      <c r="J1993" s="200">
        <f t="shared" si="72"/>
        <v>0</v>
      </c>
      <c r="K1993" s="200">
        <f t="shared" si="72"/>
        <v>0</v>
      </c>
      <c r="L1993" s="200">
        <f t="shared" si="72"/>
        <v>0</v>
      </c>
      <c r="M1993" s="200">
        <f t="shared" si="72"/>
        <v>0</v>
      </c>
    </row>
    <row r="1994" spans="2:13" x14ac:dyDescent="0.35">
      <c r="G1994" s="201">
        <f>F1993-G1993</f>
        <v>0</v>
      </c>
      <c r="I1994" s="201">
        <f>H1993-I1993</f>
        <v>0</v>
      </c>
      <c r="K1994" s="201">
        <f>J1993-K1993</f>
        <v>0</v>
      </c>
      <c r="M1994" s="201">
        <f>L1993-M1993</f>
        <v>0</v>
      </c>
    </row>
    <row r="1995" spans="2:13" x14ac:dyDescent="0.35"/>
    <row r="1996" spans="2:13" x14ac:dyDescent="0.35"/>
    <row r="1997" spans="2:13" x14ac:dyDescent="0.35"/>
    <row r="1998" spans="2:13" x14ac:dyDescent="0.35"/>
    <row r="1999" spans="2:13" x14ac:dyDescent="0.35"/>
    <row r="2000" spans="2:13" x14ac:dyDescent="0.35"/>
    <row r="2001" x14ac:dyDescent="0.35"/>
    <row r="2002" x14ac:dyDescent="0.35"/>
    <row r="2003" x14ac:dyDescent="0.35"/>
    <row r="2004" x14ac:dyDescent="0.35"/>
    <row r="2005" x14ac:dyDescent="0.35"/>
    <row r="2006" x14ac:dyDescent="0.35"/>
    <row r="2007" x14ac:dyDescent="0.35"/>
    <row r="2008" x14ac:dyDescent="0.35"/>
    <row r="2009" x14ac:dyDescent="0.35"/>
    <row r="2010" x14ac:dyDescent="0.35"/>
    <row r="2011" x14ac:dyDescent="0.35"/>
    <row r="2012" x14ac:dyDescent="0.35"/>
    <row r="2013" x14ac:dyDescent="0.35"/>
    <row r="2014" x14ac:dyDescent="0.35"/>
  </sheetData>
  <mergeCells count="7">
    <mergeCell ref="F7:G7"/>
    <mergeCell ref="H7:I7"/>
    <mergeCell ref="J7:K7"/>
    <mergeCell ref="L7:M7"/>
    <mergeCell ref="B7:B8"/>
    <mergeCell ref="C7:C8"/>
    <mergeCell ref="D7:D8"/>
  </mergeCells>
  <conditionalFormatting sqref="C38:C42">
    <cfRule type="duplicateValues" dxfId="4" priority="5"/>
  </conditionalFormatting>
  <conditionalFormatting sqref="C43:C47">
    <cfRule type="duplicateValues" dxfId="3" priority="40"/>
  </conditionalFormatting>
  <conditionalFormatting sqref="C50:C55">
    <cfRule type="duplicateValues" dxfId="2" priority="3"/>
  </conditionalFormatting>
  <conditionalFormatting sqref="C64:C67">
    <cfRule type="duplicateValues" dxfId="1" priority="2"/>
  </conditionalFormatting>
  <conditionalFormatting sqref="C70:C71">
    <cfRule type="duplicateValues" dxfId="0" priority="42"/>
  </conditionalFormatting>
  <pageMargins left="0.7" right="0.7" top="0.75" bottom="0.75" header="0.3" footer="0.3"/>
  <pageSetup orientation="portrait" r:id="rId1"/>
  <cellWatches>
    <cellWatch r="F1993"/>
    <cellWatch r="G1993"/>
    <cellWatch r="H1993"/>
    <cellWatch r="I1993"/>
    <cellWatch r="J1993"/>
    <cellWatch r="K1993"/>
    <cellWatch r="L1993"/>
    <cellWatch r="M1993"/>
    <cellWatch r="F1994"/>
    <cellWatch r="G1994"/>
    <cellWatch r="H1994"/>
    <cellWatch r="I1994"/>
    <cellWatch r="J1994"/>
    <cellWatch r="K1994"/>
    <cellWatch r="L1994"/>
    <cellWatch r="M1994"/>
  </cellWatche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CS!$B:$B</xm:f>
          </x14:formula1>
          <xm:sqref>D9:D1993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000"/>
  <sheetViews>
    <sheetView zoomScaleNormal="100" zoomScaleSheetLayoutView="100" workbookViewId="0">
      <selection activeCell="D1" sqref="A1:XFD3"/>
    </sheetView>
  </sheetViews>
  <sheetFormatPr defaultColWidth="9.1796875" defaultRowHeight="14" x14ac:dyDescent="0.3"/>
  <cols>
    <col min="1" max="1" width="9.1796875" style="28"/>
    <col min="2" max="2" width="15" style="28" bestFit="1" customWidth="1"/>
    <col min="3" max="3" width="44.7265625" style="6" customWidth="1"/>
    <col min="4" max="4" width="0.7265625" style="6" customWidth="1"/>
    <col min="5" max="6" width="16.1796875" style="201" customWidth="1"/>
    <col min="7" max="7" width="1.453125" style="28" customWidth="1"/>
    <col min="8" max="16384" width="9.1796875" style="28"/>
  </cols>
  <sheetData>
    <row r="1" spans="1:6" s="369" customFormat="1" ht="15" x14ac:dyDescent="0.3">
      <c r="A1" s="363" t="str">
        <f>Cover!C1</f>
        <v>ABC LIMITED</v>
      </c>
      <c r="B1" s="363"/>
      <c r="C1" s="360"/>
      <c r="D1" s="360"/>
      <c r="E1" s="368"/>
      <c r="F1" s="368"/>
    </row>
    <row r="2" spans="1:6" s="369" customFormat="1" ht="15" x14ac:dyDescent="0.3">
      <c r="A2" s="363" t="s">
        <v>9</v>
      </c>
      <c r="B2" s="363"/>
      <c r="C2" s="360"/>
      <c r="D2" s="360"/>
      <c r="E2" s="368"/>
      <c r="F2" s="368"/>
    </row>
    <row r="3" spans="1:6" s="389" customFormat="1" ht="15.5" thickBot="1" x14ac:dyDescent="0.35">
      <c r="A3" s="383" t="str">
        <f>Cover!C3</f>
        <v>FOR THE YEAR ENDED JUNE 30, 2023</v>
      </c>
      <c r="B3" s="383"/>
      <c r="C3" s="380"/>
      <c r="D3" s="380"/>
      <c r="E3" s="388"/>
      <c r="F3" s="388"/>
    </row>
    <row r="4" spans="1:6" ht="14.5" thickTop="1" x14ac:dyDescent="0.3"/>
    <row r="5" spans="1:6" x14ac:dyDescent="0.3">
      <c r="A5" s="194" t="s">
        <v>296</v>
      </c>
      <c r="B5" s="194" t="s">
        <v>379</v>
      </c>
      <c r="C5" s="194" t="s">
        <v>297</v>
      </c>
      <c r="D5" s="195"/>
      <c r="E5" s="196" t="s">
        <v>275</v>
      </c>
      <c r="F5" s="197"/>
    </row>
    <row r="6" spans="1:6" x14ac:dyDescent="0.3">
      <c r="A6" s="198"/>
      <c r="B6" s="198"/>
      <c r="C6" s="198"/>
      <c r="D6" s="195"/>
      <c r="E6" s="199" t="s">
        <v>291</v>
      </c>
      <c r="F6" s="199" t="s">
        <v>292</v>
      </c>
    </row>
    <row r="7" spans="1:6" x14ac:dyDescent="0.3">
      <c r="A7" s="117"/>
      <c r="B7" s="117"/>
      <c r="C7" s="117"/>
      <c r="D7" s="117"/>
      <c r="E7" s="200"/>
      <c r="F7" s="200"/>
    </row>
    <row r="8" spans="1:6" x14ac:dyDescent="0.3">
      <c r="A8" s="117"/>
      <c r="B8" s="117"/>
      <c r="C8" s="117"/>
      <c r="D8" s="117"/>
      <c r="E8" s="200"/>
      <c r="F8" s="200"/>
    </row>
    <row r="9" spans="1:6" x14ac:dyDescent="0.3">
      <c r="A9" s="117"/>
      <c r="B9" s="117"/>
      <c r="C9" s="117"/>
      <c r="D9" s="117"/>
      <c r="E9" s="200"/>
      <c r="F9" s="200"/>
    </row>
    <row r="10" spans="1:6" x14ac:dyDescent="0.3">
      <c r="A10" s="117"/>
      <c r="B10" s="117"/>
      <c r="C10" s="117"/>
      <c r="D10" s="117"/>
      <c r="E10" s="200"/>
      <c r="F10" s="200"/>
    </row>
    <row r="11" spans="1:6" x14ac:dyDescent="0.3">
      <c r="A11" s="117"/>
      <c r="B11" s="117"/>
      <c r="C11" s="117"/>
      <c r="D11" s="117"/>
      <c r="E11" s="200"/>
      <c r="F11" s="200"/>
    </row>
    <row r="12" spans="1:6" x14ac:dyDescent="0.3">
      <c r="A12" s="117"/>
      <c r="B12" s="117"/>
      <c r="C12" s="117"/>
      <c r="D12" s="117"/>
      <c r="E12" s="200"/>
      <c r="F12" s="200"/>
    </row>
    <row r="13" spans="1:6" x14ac:dyDescent="0.3">
      <c r="A13" s="117"/>
      <c r="B13" s="117"/>
      <c r="C13" s="117"/>
      <c r="D13" s="117"/>
      <c r="E13" s="200"/>
      <c r="F13" s="200"/>
    </row>
    <row r="14" spans="1:6" x14ac:dyDescent="0.3">
      <c r="A14" s="117"/>
      <c r="B14" s="117"/>
      <c r="C14" s="117"/>
      <c r="D14" s="117"/>
      <c r="E14" s="200"/>
      <c r="F14" s="200"/>
    </row>
    <row r="15" spans="1:6" x14ac:dyDescent="0.3">
      <c r="A15" s="117"/>
      <c r="B15" s="117"/>
      <c r="C15" s="117"/>
      <c r="D15" s="117"/>
      <c r="E15" s="200"/>
      <c r="F15" s="200"/>
    </row>
    <row r="16" spans="1:6" x14ac:dyDescent="0.3">
      <c r="A16" s="117"/>
      <c r="B16" s="117"/>
      <c r="C16" s="117"/>
      <c r="D16" s="117"/>
      <c r="E16" s="200"/>
      <c r="F16" s="200"/>
    </row>
    <row r="17" spans="1:6" x14ac:dyDescent="0.3">
      <c r="A17" s="117"/>
      <c r="B17" s="117"/>
      <c r="C17" s="117"/>
      <c r="D17" s="117"/>
      <c r="E17" s="200"/>
      <c r="F17" s="200"/>
    </row>
    <row r="18" spans="1:6" x14ac:dyDescent="0.3">
      <c r="A18" s="117"/>
      <c r="B18" s="117"/>
      <c r="C18" s="117"/>
      <c r="D18" s="117"/>
      <c r="E18" s="200"/>
      <c r="F18" s="200"/>
    </row>
    <row r="19" spans="1:6" x14ac:dyDescent="0.3">
      <c r="A19" s="117"/>
      <c r="B19" s="117"/>
      <c r="C19" s="117"/>
      <c r="D19" s="117"/>
      <c r="E19" s="200"/>
      <c r="F19" s="200"/>
    </row>
    <row r="20" spans="1:6" x14ac:dyDescent="0.3">
      <c r="A20" s="117"/>
      <c r="B20" s="117"/>
      <c r="C20" s="117"/>
      <c r="D20" s="117"/>
      <c r="E20" s="200"/>
      <c r="F20" s="200"/>
    </row>
    <row r="21" spans="1:6" x14ac:dyDescent="0.3">
      <c r="A21" s="117"/>
      <c r="B21" s="117"/>
      <c r="C21" s="117"/>
      <c r="D21" s="117"/>
      <c r="E21" s="200"/>
      <c r="F21" s="200"/>
    </row>
    <row r="22" spans="1:6" x14ac:dyDescent="0.3">
      <c r="A22" s="117"/>
      <c r="B22" s="117"/>
      <c r="C22" s="117"/>
      <c r="D22" s="117"/>
      <c r="E22" s="200"/>
      <c r="F22" s="200"/>
    </row>
    <row r="23" spans="1:6" x14ac:dyDescent="0.3">
      <c r="A23" s="117"/>
      <c r="B23" s="117"/>
      <c r="C23" s="117"/>
      <c r="D23" s="117"/>
      <c r="E23" s="200"/>
      <c r="F23" s="200"/>
    </row>
    <row r="24" spans="1:6" x14ac:dyDescent="0.3">
      <c r="A24" s="117"/>
      <c r="B24" s="117"/>
      <c r="C24" s="117"/>
      <c r="D24" s="117"/>
      <c r="E24" s="200"/>
      <c r="F24" s="200"/>
    </row>
    <row r="25" spans="1:6" x14ac:dyDescent="0.3">
      <c r="A25" s="117"/>
      <c r="B25" s="117"/>
      <c r="C25" s="117"/>
      <c r="D25" s="117"/>
      <c r="E25" s="200"/>
      <c r="F25" s="200"/>
    </row>
    <row r="26" spans="1:6" x14ac:dyDescent="0.3">
      <c r="A26" s="117"/>
      <c r="B26" s="117"/>
      <c r="C26" s="117"/>
      <c r="D26" s="117"/>
      <c r="E26" s="200"/>
      <c r="F26" s="200"/>
    </row>
    <row r="27" spans="1:6" x14ac:dyDescent="0.3">
      <c r="A27" s="117"/>
      <c r="B27" s="117"/>
      <c r="C27" s="117"/>
      <c r="D27" s="117"/>
      <c r="E27" s="200"/>
      <c r="F27" s="200"/>
    </row>
    <row r="28" spans="1:6" x14ac:dyDescent="0.3">
      <c r="A28" s="117"/>
      <c r="B28" s="117"/>
      <c r="C28" s="117"/>
      <c r="D28" s="117"/>
      <c r="E28" s="200"/>
      <c r="F28" s="200"/>
    </row>
    <row r="29" spans="1:6" x14ac:dyDescent="0.3">
      <c r="A29" s="117"/>
      <c r="B29" s="117"/>
      <c r="C29" s="117"/>
      <c r="D29" s="117"/>
      <c r="E29" s="200"/>
      <c r="F29" s="200"/>
    </row>
    <row r="30" spans="1:6" x14ac:dyDescent="0.3">
      <c r="A30" s="117"/>
      <c r="B30" s="117"/>
      <c r="C30" s="117"/>
      <c r="D30" s="117"/>
      <c r="E30" s="200"/>
      <c r="F30" s="200"/>
    </row>
    <row r="31" spans="1:6" x14ac:dyDescent="0.3">
      <c r="A31" s="117"/>
      <c r="B31" s="117"/>
      <c r="C31" s="117"/>
      <c r="D31" s="117"/>
      <c r="E31" s="200"/>
      <c r="F31" s="200"/>
    </row>
    <row r="32" spans="1:6" x14ac:dyDescent="0.3">
      <c r="A32" s="117"/>
      <c r="B32" s="117"/>
      <c r="C32" s="117"/>
      <c r="D32" s="117"/>
      <c r="E32" s="200"/>
      <c r="F32" s="200"/>
    </row>
    <row r="33" spans="1:6" x14ac:dyDescent="0.3">
      <c r="A33" s="117"/>
      <c r="B33" s="117"/>
      <c r="C33" s="117"/>
      <c r="D33" s="117"/>
      <c r="E33" s="200"/>
      <c r="F33" s="200"/>
    </row>
    <row r="34" spans="1:6" x14ac:dyDescent="0.3">
      <c r="A34" s="117"/>
      <c r="B34" s="117"/>
      <c r="C34" s="117"/>
      <c r="D34" s="117"/>
      <c r="E34" s="200"/>
      <c r="F34" s="200"/>
    </row>
    <row r="35" spans="1:6" x14ac:dyDescent="0.3">
      <c r="A35" s="117"/>
      <c r="B35" s="117"/>
      <c r="C35" s="117"/>
      <c r="D35" s="117"/>
      <c r="E35" s="200"/>
      <c r="F35" s="200"/>
    </row>
    <row r="36" spans="1:6" x14ac:dyDescent="0.3">
      <c r="A36" s="117"/>
      <c r="B36" s="117"/>
      <c r="C36" s="117"/>
      <c r="D36" s="117"/>
      <c r="E36" s="200"/>
      <c r="F36" s="200"/>
    </row>
    <row r="37" spans="1:6" x14ac:dyDescent="0.3">
      <c r="A37" s="117"/>
      <c r="B37" s="117"/>
      <c r="C37" s="117"/>
      <c r="D37" s="117"/>
      <c r="E37" s="200"/>
      <c r="F37" s="200"/>
    </row>
    <row r="38" spans="1:6" x14ac:dyDescent="0.3">
      <c r="A38" s="117"/>
      <c r="B38" s="117"/>
      <c r="C38" s="117"/>
      <c r="D38" s="117"/>
      <c r="E38" s="200"/>
      <c r="F38" s="200"/>
    </row>
    <row r="39" spans="1:6" x14ac:dyDescent="0.3">
      <c r="A39" s="117"/>
      <c r="B39" s="117"/>
      <c r="C39" s="117"/>
      <c r="D39" s="117"/>
      <c r="E39" s="200"/>
      <c r="F39" s="200"/>
    </row>
    <row r="40" spans="1:6" x14ac:dyDescent="0.3">
      <c r="A40" s="117"/>
      <c r="B40" s="117"/>
      <c r="C40" s="117"/>
      <c r="D40" s="117"/>
      <c r="E40" s="200"/>
      <c r="F40" s="200"/>
    </row>
    <row r="41" spans="1:6" x14ac:dyDescent="0.3">
      <c r="A41" s="117"/>
      <c r="B41" s="117"/>
      <c r="C41" s="117"/>
      <c r="D41" s="117"/>
      <c r="E41" s="200"/>
      <c r="F41" s="200"/>
    </row>
    <row r="42" spans="1:6" x14ac:dyDescent="0.3">
      <c r="A42" s="117"/>
      <c r="B42" s="117"/>
      <c r="C42" s="117"/>
      <c r="D42" s="117"/>
      <c r="E42" s="200"/>
      <c r="F42" s="200"/>
    </row>
    <row r="43" spans="1:6" x14ac:dyDescent="0.3">
      <c r="A43" s="117"/>
      <c r="B43" s="117"/>
      <c r="C43" s="117"/>
      <c r="D43" s="117"/>
      <c r="E43" s="200"/>
      <c r="F43" s="200"/>
    </row>
    <row r="44" spans="1:6" x14ac:dyDescent="0.3">
      <c r="A44" s="117"/>
      <c r="B44" s="117"/>
      <c r="C44" s="117"/>
      <c r="D44" s="117"/>
      <c r="E44" s="200"/>
      <c r="F44" s="200"/>
    </row>
    <row r="45" spans="1:6" x14ac:dyDescent="0.3">
      <c r="A45" s="117"/>
      <c r="B45" s="117"/>
      <c r="C45" s="117"/>
      <c r="D45" s="117"/>
      <c r="E45" s="200"/>
      <c r="F45" s="200"/>
    </row>
    <row r="46" spans="1:6" x14ac:dyDescent="0.3">
      <c r="A46" s="117"/>
      <c r="B46" s="117"/>
      <c r="C46" s="117"/>
      <c r="D46" s="117"/>
      <c r="E46" s="200"/>
      <c r="F46" s="200"/>
    </row>
    <row r="47" spans="1:6" x14ac:dyDescent="0.3">
      <c r="A47" s="117"/>
      <c r="B47" s="117"/>
      <c r="C47" s="117"/>
      <c r="D47" s="117"/>
      <c r="E47" s="200"/>
      <c r="F47" s="200"/>
    </row>
    <row r="48" spans="1:6" x14ac:dyDescent="0.3">
      <c r="A48" s="117"/>
      <c r="B48" s="117"/>
      <c r="C48" s="117"/>
      <c r="D48" s="117"/>
      <c r="E48" s="200"/>
      <c r="F48" s="200"/>
    </row>
    <row r="49" spans="1:6" x14ac:dyDescent="0.3">
      <c r="A49" s="117"/>
      <c r="B49" s="117"/>
      <c r="C49" s="117"/>
      <c r="D49" s="117"/>
      <c r="E49" s="200"/>
      <c r="F49" s="200"/>
    </row>
    <row r="50" spans="1:6" x14ac:dyDescent="0.3">
      <c r="A50" s="117"/>
      <c r="B50" s="117"/>
      <c r="C50" s="117"/>
      <c r="D50" s="117"/>
      <c r="E50" s="200"/>
      <c r="F50" s="200"/>
    </row>
    <row r="51" spans="1:6" x14ac:dyDescent="0.3">
      <c r="A51" s="117"/>
      <c r="B51" s="117"/>
      <c r="C51" s="117"/>
      <c r="D51" s="117"/>
      <c r="E51" s="200"/>
      <c r="F51" s="200"/>
    </row>
    <row r="52" spans="1:6" x14ac:dyDescent="0.3">
      <c r="A52" s="117"/>
      <c r="B52" s="117"/>
      <c r="C52" s="117"/>
      <c r="D52" s="117"/>
      <c r="E52" s="200"/>
      <c r="F52" s="200"/>
    </row>
    <row r="53" spans="1:6" x14ac:dyDescent="0.3">
      <c r="A53" s="117"/>
      <c r="B53" s="117"/>
      <c r="C53" s="117"/>
      <c r="D53" s="117"/>
      <c r="E53" s="200"/>
      <c r="F53" s="200"/>
    </row>
    <row r="54" spans="1:6" x14ac:dyDescent="0.3">
      <c r="A54" s="117"/>
      <c r="B54" s="117"/>
      <c r="C54" s="117"/>
      <c r="D54" s="117"/>
      <c r="E54" s="200"/>
      <c r="F54" s="200"/>
    </row>
    <row r="55" spans="1:6" x14ac:dyDescent="0.3">
      <c r="A55" s="117"/>
      <c r="B55" s="117"/>
      <c r="C55" s="117"/>
      <c r="D55" s="117"/>
      <c r="E55" s="200"/>
      <c r="F55" s="200"/>
    </row>
    <row r="56" spans="1:6" x14ac:dyDescent="0.3">
      <c r="A56" s="117"/>
      <c r="B56" s="117"/>
      <c r="C56" s="117"/>
      <c r="D56" s="117"/>
      <c r="E56" s="200"/>
      <c r="F56" s="200"/>
    </row>
    <row r="57" spans="1:6" x14ac:dyDescent="0.3">
      <c r="A57" s="117"/>
      <c r="B57" s="117"/>
      <c r="C57" s="117"/>
      <c r="D57" s="117"/>
      <c r="E57" s="200"/>
      <c r="F57" s="200"/>
    </row>
    <row r="58" spans="1:6" x14ac:dyDescent="0.3">
      <c r="A58" s="117"/>
      <c r="B58" s="117"/>
      <c r="C58" s="117"/>
      <c r="D58" s="117"/>
      <c r="E58" s="200"/>
      <c r="F58" s="200"/>
    </row>
    <row r="59" spans="1:6" x14ac:dyDescent="0.3">
      <c r="A59" s="117"/>
      <c r="B59" s="117"/>
      <c r="C59" s="117"/>
      <c r="D59" s="117"/>
      <c r="E59" s="200"/>
      <c r="F59" s="200"/>
    </row>
    <row r="60" spans="1:6" x14ac:dyDescent="0.3">
      <c r="A60" s="117"/>
      <c r="B60" s="117"/>
      <c r="C60" s="117"/>
      <c r="D60" s="117"/>
      <c r="E60" s="200"/>
      <c r="F60" s="200"/>
    </row>
    <row r="61" spans="1:6" x14ac:dyDescent="0.3">
      <c r="A61" s="117"/>
      <c r="B61" s="117"/>
      <c r="C61" s="117"/>
      <c r="D61" s="117"/>
      <c r="E61" s="200"/>
      <c r="F61" s="200"/>
    </row>
    <row r="62" spans="1:6" x14ac:dyDescent="0.3">
      <c r="A62" s="117"/>
      <c r="B62" s="117"/>
      <c r="C62" s="117"/>
      <c r="D62" s="117"/>
      <c r="E62" s="200"/>
      <c r="F62" s="200"/>
    </row>
    <row r="63" spans="1:6" x14ac:dyDescent="0.3">
      <c r="A63" s="117"/>
      <c r="B63" s="117"/>
      <c r="C63" s="117"/>
      <c r="D63" s="117"/>
      <c r="E63" s="200"/>
      <c r="F63" s="200"/>
    </row>
    <row r="64" spans="1:6" x14ac:dyDescent="0.3">
      <c r="A64" s="117"/>
      <c r="B64" s="117"/>
      <c r="C64" s="117"/>
      <c r="D64" s="117"/>
      <c r="E64" s="200"/>
      <c r="F64" s="200"/>
    </row>
    <row r="65" spans="1:6" x14ac:dyDescent="0.3">
      <c r="A65" s="117"/>
      <c r="B65" s="117"/>
      <c r="C65" s="117"/>
      <c r="D65" s="117"/>
      <c r="E65" s="200"/>
      <c r="F65" s="200"/>
    </row>
    <row r="66" spans="1:6" x14ac:dyDescent="0.3">
      <c r="A66" s="117"/>
      <c r="B66" s="117"/>
      <c r="C66" s="117"/>
      <c r="D66" s="117"/>
      <c r="E66" s="200"/>
      <c r="F66" s="200"/>
    </row>
    <row r="67" spans="1:6" x14ac:dyDescent="0.3">
      <c r="A67" s="117"/>
      <c r="B67" s="117"/>
      <c r="C67" s="117"/>
      <c r="D67" s="117"/>
      <c r="E67" s="200"/>
      <c r="F67" s="200"/>
    </row>
    <row r="68" spans="1:6" x14ac:dyDescent="0.3">
      <c r="A68" s="117"/>
      <c r="B68" s="117"/>
      <c r="C68" s="117"/>
      <c r="D68" s="117"/>
      <c r="E68" s="200"/>
      <c r="F68" s="200"/>
    </row>
    <row r="69" spans="1:6" x14ac:dyDescent="0.3">
      <c r="A69" s="117"/>
      <c r="B69" s="117"/>
      <c r="C69" s="117"/>
      <c r="D69" s="117"/>
      <c r="E69" s="200"/>
      <c r="F69" s="200"/>
    </row>
    <row r="70" spans="1:6" x14ac:dyDescent="0.3">
      <c r="A70" s="117"/>
      <c r="B70" s="117"/>
      <c r="C70" s="117"/>
      <c r="D70" s="117"/>
      <c r="E70" s="200"/>
      <c r="F70" s="200"/>
    </row>
    <row r="71" spans="1:6" x14ac:dyDescent="0.3">
      <c r="A71" s="117"/>
      <c r="B71" s="117"/>
      <c r="C71" s="117"/>
      <c r="D71" s="117"/>
      <c r="E71" s="200"/>
      <c r="F71" s="200"/>
    </row>
    <row r="72" spans="1:6" x14ac:dyDescent="0.3">
      <c r="A72" s="117"/>
      <c r="B72" s="117"/>
      <c r="C72" s="117"/>
      <c r="D72" s="117"/>
      <c r="E72" s="200"/>
      <c r="F72" s="200"/>
    </row>
    <row r="73" spans="1:6" x14ac:dyDescent="0.3">
      <c r="A73" s="117"/>
      <c r="B73" s="117"/>
      <c r="C73" s="117"/>
      <c r="D73" s="117"/>
      <c r="E73" s="200"/>
      <c r="F73" s="200"/>
    </row>
    <row r="74" spans="1:6" x14ac:dyDescent="0.3">
      <c r="A74" s="117"/>
      <c r="B74" s="117"/>
      <c r="C74" s="117"/>
      <c r="D74" s="117"/>
      <c r="E74" s="200"/>
      <c r="F74" s="200"/>
    </row>
    <row r="75" spans="1:6" x14ac:dyDescent="0.3">
      <c r="A75" s="117"/>
      <c r="B75" s="117"/>
      <c r="C75" s="117"/>
      <c r="D75" s="117"/>
      <c r="E75" s="200"/>
      <c r="F75" s="200"/>
    </row>
    <row r="76" spans="1:6" x14ac:dyDescent="0.3">
      <c r="A76" s="117"/>
      <c r="B76" s="117"/>
      <c r="C76" s="117"/>
      <c r="D76" s="117"/>
      <c r="E76" s="200"/>
      <c r="F76" s="200"/>
    </row>
    <row r="77" spans="1:6" x14ac:dyDescent="0.3">
      <c r="A77" s="117"/>
      <c r="B77" s="117"/>
      <c r="C77" s="117"/>
      <c r="D77" s="117"/>
      <c r="E77" s="200"/>
      <c r="F77" s="200"/>
    </row>
    <row r="78" spans="1:6" x14ac:dyDescent="0.3">
      <c r="A78" s="117"/>
      <c r="B78" s="117"/>
      <c r="C78" s="117"/>
      <c r="D78" s="117"/>
      <c r="E78" s="200"/>
      <c r="F78" s="200"/>
    </row>
    <row r="79" spans="1:6" x14ac:dyDescent="0.3">
      <c r="A79" s="117"/>
      <c r="B79" s="117"/>
      <c r="C79" s="117"/>
      <c r="D79" s="117"/>
      <c r="E79" s="200"/>
      <c r="F79" s="200"/>
    </row>
    <row r="80" spans="1:6" x14ac:dyDescent="0.3">
      <c r="A80" s="117"/>
      <c r="B80" s="117"/>
      <c r="C80" s="117"/>
      <c r="D80" s="117"/>
      <c r="E80" s="200"/>
      <c r="F80" s="200"/>
    </row>
    <row r="81" spans="1:6" x14ac:dyDescent="0.3">
      <c r="A81" s="117"/>
      <c r="B81" s="117"/>
      <c r="C81" s="117"/>
      <c r="D81" s="117"/>
      <c r="E81" s="200"/>
      <c r="F81" s="200"/>
    </row>
    <row r="82" spans="1:6" x14ac:dyDescent="0.3">
      <c r="A82" s="117"/>
      <c r="B82" s="117"/>
      <c r="C82" s="117"/>
      <c r="D82" s="117"/>
      <c r="E82" s="200"/>
      <c r="F82" s="200"/>
    </row>
    <row r="83" spans="1:6" x14ac:dyDescent="0.3">
      <c r="A83" s="117"/>
      <c r="B83" s="117"/>
      <c r="C83" s="117"/>
      <c r="D83" s="117"/>
      <c r="E83" s="200"/>
      <c r="F83" s="200"/>
    </row>
    <row r="84" spans="1:6" x14ac:dyDescent="0.3">
      <c r="A84" s="117"/>
      <c r="B84" s="117"/>
      <c r="C84" s="117"/>
      <c r="D84" s="117"/>
      <c r="E84" s="200"/>
      <c r="F84" s="200"/>
    </row>
    <row r="85" spans="1:6" x14ac:dyDescent="0.3">
      <c r="A85" s="117"/>
      <c r="B85" s="117"/>
      <c r="C85" s="117"/>
      <c r="D85" s="117"/>
      <c r="E85" s="200"/>
      <c r="F85" s="200"/>
    </row>
    <row r="86" spans="1:6" x14ac:dyDescent="0.3">
      <c r="A86" s="117"/>
      <c r="B86" s="117"/>
      <c r="C86" s="117"/>
      <c r="D86" s="117"/>
      <c r="E86" s="200"/>
      <c r="F86" s="200"/>
    </row>
    <row r="87" spans="1:6" x14ac:dyDescent="0.3">
      <c r="A87" s="117"/>
      <c r="B87" s="117"/>
      <c r="C87" s="117"/>
      <c r="D87" s="117"/>
      <c r="E87" s="200"/>
      <c r="F87" s="200"/>
    </row>
    <row r="88" spans="1:6" x14ac:dyDescent="0.3">
      <c r="A88" s="117"/>
      <c r="B88" s="117"/>
      <c r="C88" s="117"/>
      <c r="D88" s="117"/>
      <c r="E88" s="200"/>
      <c r="F88" s="200"/>
    </row>
    <row r="89" spans="1:6" x14ac:dyDescent="0.3">
      <c r="A89" s="117"/>
      <c r="B89" s="117"/>
      <c r="C89" s="117"/>
      <c r="D89" s="117"/>
      <c r="E89" s="200"/>
      <c r="F89" s="200"/>
    </row>
    <row r="90" spans="1:6" x14ac:dyDescent="0.3">
      <c r="A90" s="117"/>
      <c r="B90" s="117"/>
      <c r="C90" s="117"/>
      <c r="D90" s="117"/>
      <c r="E90" s="200"/>
      <c r="F90" s="200"/>
    </row>
    <row r="91" spans="1:6" x14ac:dyDescent="0.3">
      <c r="A91" s="117"/>
      <c r="B91" s="117"/>
      <c r="C91" s="117"/>
      <c r="D91" s="117"/>
      <c r="E91" s="200"/>
      <c r="F91" s="200"/>
    </row>
    <row r="92" spans="1:6" x14ac:dyDescent="0.3">
      <c r="A92" s="117"/>
      <c r="B92" s="117"/>
      <c r="C92" s="117"/>
      <c r="D92" s="117"/>
      <c r="E92" s="200"/>
      <c r="F92" s="200"/>
    </row>
    <row r="93" spans="1:6" x14ac:dyDescent="0.3">
      <c r="A93" s="117"/>
      <c r="B93" s="117"/>
      <c r="C93" s="117"/>
      <c r="D93" s="117"/>
      <c r="E93" s="200"/>
      <c r="F93" s="200"/>
    </row>
    <row r="94" spans="1:6" x14ac:dyDescent="0.3">
      <c r="A94" s="117"/>
      <c r="B94" s="117"/>
      <c r="C94" s="117"/>
      <c r="D94" s="117"/>
      <c r="E94" s="200"/>
      <c r="F94" s="200"/>
    </row>
    <row r="95" spans="1:6" x14ac:dyDescent="0.3">
      <c r="A95" s="117"/>
      <c r="B95" s="117"/>
      <c r="C95" s="117"/>
      <c r="D95" s="117"/>
      <c r="E95" s="200"/>
      <c r="F95" s="200"/>
    </row>
    <row r="96" spans="1:6" x14ac:dyDescent="0.3">
      <c r="A96" s="117"/>
      <c r="B96" s="117"/>
      <c r="C96" s="117"/>
      <c r="D96" s="117"/>
      <c r="E96" s="200"/>
      <c r="F96" s="200"/>
    </row>
    <row r="97" spans="1:6" x14ac:dyDescent="0.3">
      <c r="A97" s="117"/>
      <c r="B97" s="117"/>
      <c r="C97" s="117"/>
      <c r="D97" s="117"/>
      <c r="E97" s="200"/>
      <c r="F97" s="200"/>
    </row>
    <row r="98" spans="1:6" x14ac:dyDescent="0.3">
      <c r="A98" s="117"/>
      <c r="B98" s="117"/>
      <c r="C98" s="117"/>
      <c r="D98" s="117"/>
      <c r="E98" s="200"/>
      <c r="F98" s="200"/>
    </row>
    <row r="99" spans="1:6" x14ac:dyDescent="0.3">
      <c r="A99" s="117"/>
      <c r="B99" s="117"/>
      <c r="C99" s="117"/>
      <c r="D99" s="117"/>
      <c r="E99" s="200"/>
      <c r="F99" s="200"/>
    </row>
    <row r="100" spans="1:6" x14ac:dyDescent="0.3">
      <c r="A100" s="117"/>
      <c r="B100" s="117"/>
      <c r="C100" s="117"/>
      <c r="D100" s="117"/>
      <c r="E100" s="200"/>
      <c r="F100" s="200"/>
    </row>
    <row r="101" spans="1:6" x14ac:dyDescent="0.3">
      <c r="A101" s="117"/>
      <c r="B101" s="117"/>
      <c r="C101" s="117"/>
      <c r="D101" s="117"/>
      <c r="E101" s="200"/>
      <c r="F101" s="200"/>
    </row>
    <row r="102" spans="1:6" x14ac:dyDescent="0.3">
      <c r="A102" s="117"/>
      <c r="B102" s="117"/>
      <c r="C102" s="117"/>
      <c r="D102" s="117"/>
      <c r="E102" s="200"/>
      <c r="F102" s="200"/>
    </row>
    <row r="103" spans="1:6" x14ac:dyDescent="0.3">
      <c r="A103" s="117"/>
      <c r="B103" s="117"/>
      <c r="C103" s="117"/>
      <c r="D103" s="117"/>
      <c r="E103" s="200"/>
      <c r="F103" s="200"/>
    </row>
    <row r="104" spans="1:6" x14ac:dyDescent="0.3">
      <c r="A104" s="117"/>
      <c r="B104" s="117"/>
      <c r="C104" s="117"/>
      <c r="D104" s="117"/>
      <c r="E104" s="200"/>
      <c r="F104" s="200"/>
    </row>
    <row r="105" spans="1:6" x14ac:dyDescent="0.3">
      <c r="A105" s="117"/>
      <c r="B105" s="117"/>
      <c r="C105" s="117"/>
      <c r="D105" s="117"/>
      <c r="E105" s="200"/>
      <c r="F105" s="200"/>
    </row>
    <row r="106" spans="1:6" x14ac:dyDescent="0.3">
      <c r="A106" s="117"/>
      <c r="B106" s="117"/>
      <c r="C106" s="117"/>
      <c r="D106" s="117"/>
      <c r="E106" s="200"/>
      <c r="F106" s="200"/>
    </row>
    <row r="107" spans="1:6" x14ac:dyDescent="0.3">
      <c r="A107" s="117"/>
      <c r="B107" s="117"/>
      <c r="C107" s="117"/>
      <c r="D107" s="117"/>
      <c r="E107" s="200"/>
      <c r="F107" s="200"/>
    </row>
    <row r="108" spans="1:6" x14ac:dyDescent="0.3">
      <c r="A108" s="117"/>
      <c r="B108" s="117"/>
      <c r="C108" s="117"/>
      <c r="D108" s="117"/>
      <c r="E108" s="200"/>
      <c r="F108" s="200"/>
    </row>
    <row r="109" spans="1:6" x14ac:dyDescent="0.3">
      <c r="A109" s="117"/>
      <c r="B109" s="117"/>
      <c r="C109" s="117"/>
      <c r="D109" s="117"/>
      <c r="E109" s="200"/>
      <c r="F109" s="200"/>
    </row>
    <row r="110" spans="1:6" x14ac:dyDescent="0.3">
      <c r="A110" s="117"/>
      <c r="B110" s="117"/>
      <c r="C110" s="117"/>
      <c r="D110" s="117"/>
      <c r="E110" s="200"/>
      <c r="F110" s="200"/>
    </row>
    <row r="111" spans="1:6" x14ac:dyDescent="0.3">
      <c r="A111" s="117"/>
      <c r="B111" s="117"/>
      <c r="C111" s="117"/>
      <c r="D111" s="117"/>
      <c r="E111" s="200"/>
      <c r="F111" s="200"/>
    </row>
    <row r="112" spans="1:6" x14ac:dyDescent="0.3">
      <c r="A112" s="117"/>
      <c r="B112" s="117"/>
      <c r="C112" s="117"/>
      <c r="D112" s="117"/>
      <c r="E112" s="200"/>
      <c r="F112" s="200"/>
    </row>
    <row r="113" spans="1:6" x14ac:dyDescent="0.3">
      <c r="A113" s="117"/>
      <c r="B113" s="117"/>
      <c r="C113" s="117"/>
      <c r="D113" s="117"/>
      <c r="E113" s="200"/>
      <c r="F113" s="200"/>
    </row>
    <row r="114" spans="1:6" x14ac:dyDescent="0.3">
      <c r="A114" s="117"/>
      <c r="B114" s="117"/>
      <c r="C114" s="117"/>
      <c r="D114" s="117"/>
      <c r="E114" s="200"/>
      <c r="F114" s="200"/>
    </row>
    <row r="115" spans="1:6" x14ac:dyDescent="0.3">
      <c r="A115" s="117"/>
      <c r="B115" s="117"/>
      <c r="C115" s="117"/>
      <c r="D115" s="117"/>
      <c r="E115" s="200"/>
      <c r="F115" s="200"/>
    </row>
    <row r="116" spans="1:6" x14ac:dyDescent="0.3">
      <c r="A116" s="117"/>
      <c r="B116" s="117"/>
      <c r="C116" s="117"/>
      <c r="D116" s="117"/>
      <c r="E116" s="200"/>
      <c r="F116" s="200"/>
    </row>
    <row r="117" spans="1:6" x14ac:dyDescent="0.3">
      <c r="A117" s="117"/>
      <c r="B117" s="117"/>
      <c r="C117" s="117"/>
      <c r="D117" s="117"/>
      <c r="E117" s="200"/>
      <c r="F117" s="200"/>
    </row>
    <row r="118" spans="1:6" x14ac:dyDescent="0.3">
      <c r="A118" s="117"/>
      <c r="B118" s="117"/>
      <c r="C118" s="117"/>
      <c r="D118" s="117"/>
      <c r="E118" s="200"/>
      <c r="F118" s="200"/>
    </row>
    <row r="119" spans="1:6" x14ac:dyDescent="0.3">
      <c r="A119" s="117"/>
      <c r="B119" s="117"/>
      <c r="C119" s="117"/>
      <c r="D119" s="117"/>
      <c r="E119" s="200"/>
      <c r="F119" s="200"/>
    </row>
    <row r="120" spans="1:6" x14ac:dyDescent="0.3">
      <c r="A120" s="117"/>
      <c r="B120" s="117"/>
      <c r="C120" s="117"/>
      <c r="D120" s="117"/>
      <c r="E120" s="200"/>
      <c r="F120" s="200"/>
    </row>
    <row r="121" spans="1:6" x14ac:dyDescent="0.3">
      <c r="A121" s="117"/>
      <c r="B121" s="117"/>
      <c r="C121" s="117"/>
      <c r="D121" s="117"/>
      <c r="E121" s="200"/>
      <c r="F121" s="200"/>
    </row>
    <row r="122" spans="1:6" x14ac:dyDescent="0.3">
      <c r="A122" s="117"/>
      <c r="B122" s="117"/>
      <c r="C122" s="117"/>
      <c r="D122" s="117"/>
      <c r="E122" s="200"/>
      <c r="F122" s="200"/>
    </row>
    <row r="123" spans="1:6" x14ac:dyDescent="0.3">
      <c r="A123" s="117"/>
      <c r="B123" s="117"/>
      <c r="C123" s="117"/>
      <c r="D123" s="117"/>
      <c r="E123" s="200"/>
      <c r="F123" s="200"/>
    </row>
    <row r="124" spans="1:6" x14ac:dyDescent="0.3">
      <c r="A124" s="117"/>
      <c r="B124" s="117"/>
      <c r="C124" s="117"/>
      <c r="D124" s="117"/>
      <c r="E124" s="200"/>
      <c r="F124" s="200"/>
    </row>
    <row r="125" spans="1:6" x14ac:dyDescent="0.3">
      <c r="A125" s="117"/>
      <c r="B125" s="117"/>
      <c r="C125" s="117"/>
      <c r="D125" s="117"/>
      <c r="E125" s="200"/>
      <c r="F125" s="200"/>
    </row>
    <row r="126" spans="1:6" x14ac:dyDescent="0.3">
      <c r="A126" s="117"/>
      <c r="B126" s="117"/>
      <c r="C126" s="117"/>
      <c r="D126" s="117"/>
      <c r="E126" s="200"/>
      <c r="F126" s="200"/>
    </row>
    <row r="127" spans="1:6" x14ac:dyDescent="0.3">
      <c r="A127" s="117"/>
      <c r="B127" s="117"/>
      <c r="C127" s="117"/>
      <c r="D127" s="117"/>
      <c r="E127" s="200"/>
      <c r="F127" s="200"/>
    </row>
    <row r="128" spans="1:6" x14ac:dyDescent="0.3">
      <c r="A128" s="117"/>
      <c r="B128" s="117"/>
      <c r="C128" s="117"/>
      <c r="D128" s="117"/>
      <c r="E128" s="200"/>
      <c r="F128" s="200"/>
    </row>
    <row r="129" spans="1:6" x14ac:dyDescent="0.3">
      <c r="A129" s="117"/>
      <c r="B129" s="117"/>
      <c r="C129" s="117"/>
      <c r="D129" s="117"/>
      <c r="E129" s="200"/>
      <c r="F129" s="200"/>
    </row>
    <row r="130" spans="1:6" x14ac:dyDescent="0.3">
      <c r="A130" s="117"/>
      <c r="B130" s="117"/>
      <c r="C130" s="117"/>
      <c r="D130" s="117"/>
      <c r="E130" s="200"/>
      <c r="F130" s="200"/>
    </row>
    <row r="131" spans="1:6" x14ac:dyDescent="0.3">
      <c r="A131" s="117"/>
      <c r="B131" s="117"/>
      <c r="C131" s="117"/>
      <c r="D131" s="117"/>
      <c r="E131" s="200"/>
      <c r="F131" s="200"/>
    </row>
    <row r="132" spans="1:6" x14ac:dyDescent="0.3">
      <c r="A132" s="117"/>
      <c r="B132" s="117"/>
      <c r="C132" s="117"/>
      <c r="D132" s="117"/>
      <c r="E132" s="200"/>
      <c r="F132" s="200"/>
    </row>
    <row r="133" spans="1:6" x14ac:dyDescent="0.3">
      <c r="A133" s="117"/>
      <c r="B133" s="117"/>
      <c r="C133" s="117"/>
      <c r="D133" s="117"/>
      <c r="E133" s="200"/>
      <c r="F133" s="200"/>
    </row>
    <row r="134" spans="1:6" x14ac:dyDescent="0.3">
      <c r="A134" s="117"/>
      <c r="B134" s="117"/>
      <c r="C134" s="117"/>
      <c r="D134" s="117"/>
      <c r="E134" s="200"/>
      <c r="F134" s="200"/>
    </row>
    <row r="135" spans="1:6" x14ac:dyDescent="0.3">
      <c r="A135" s="117"/>
      <c r="B135" s="117"/>
      <c r="C135" s="117"/>
      <c r="D135" s="117"/>
      <c r="E135" s="200"/>
      <c r="F135" s="200"/>
    </row>
    <row r="136" spans="1:6" x14ac:dyDescent="0.3">
      <c r="A136" s="117"/>
      <c r="B136" s="117"/>
      <c r="C136" s="117"/>
      <c r="D136" s="117"/>
      <c r="E136" s="200"/>
      <c r="F136" s="200"/>
    </row>
    <row r="137" spans="1:6" x14ac:dyDescent="0.3">
      <c r="A137" s="117"/>
      <c r="B137" s="117"/>
      <c r="C137" s="117"/>
      <c r="D137" s="117"/>
      <c r="E137" s="200"/>
      <c r="F137" s="200"/>
    </row>
    <row r="138" spans="1:6" x14ac:dyDescent="0.3">
      <c r="A138" s="117"/>
      <c r="B138" s="117"/>
      <c r="C138" s="117"/>
      <c r="D138" s="117"/>
      <c r="E138" s="200"/>
      <c r="F138" s="200"/>
    </row>
    <row r="139" spans="1:6" x14ac:dyDescent="0.3">
      <c r="A139" s="117"/>
      <c r="B139" s="117"/>
      <c r="C139" s="117"/>
      <c r="D139" s="117"/>
      <c r="E139" s="200"/>
      <c r="F139" s="200"/>
    </row>
    <row r="140" spans="1:6" x14ac:dyDescent="0.3">
      <c r="A140" s="117"/>
      <c r="B140" s="117"/>
      <c r="C140" s="117"/>
      <c r="D140" s="117"/>
      <c r="E140" s="200"/>
      <c r="F140" s="200"/>
    </row>
    <row r="141" spans="1:6" x14ac:dyDescent="0.3">
      <c r="A141" s="117"/>
      <c r="B141" s="117"/>
      <c r="C141" s="117"/>
      <c r="D141" s="117"/>
      <c r="E141" s="200"/>
      <c r="F141" s="200"/>
    </row>
    <row r="142" spans="1:6" x14ac:dyDescent="0.3">
      <c r="A142" s="117"/>
      <c r="B142" s="117"/>
      <c r="C142" s="117"/>
      <c r="D142" s="117"/>
      <c r="E142" s="200"/>
      <c r="F142" s="200"/>
    </row>
    <row r="143" spans="1:6" x14ac:dyDescent="0.3">
      <c r="A143" s="117"/>
      <c r="B143" s="117"/>
      <c r="C143" s="117"/>
      <c r="D143" s="117"/>
      <c r="E143" s="200"/>
      <c r="F143" s="200"/>
    </row>
    <row r="144" spans="1:6" x14ac:dyDescent="0.3">
      <c r="A144" s="117"/>
      <c r="B144" s="117"/>
      <c r="C144" s="117"/>
      <c r="D144" s="117"/>
      <c r="E144" s="200"/>
      <c r="F144" s="200"/>
    </row>
    <row r="145" spans="1:6" x14ac:dyDescent="0.3">
      <c r="A145" s="117"/>
      <c r="B145" s="117"/>
      <c r="C145" s="117"/>
      <c r="D145" s="117"/>
      <c r="E145" s="200"/>
      <c r="F145" s="200"/>
    </row>
    <row r="146" spans="1:6" x14ac:dyDescent="0.3">
      <c r="A146" s="117"/>
      <c r="B146" s="117"/>
      <c r="C146" s="117"/>
      <c r="D146" s="117"/>
      <c r="E146" s="200"/>
      <c r="F146" s="200"/>
    </row>
    <row r="147" spans="1:6" x14ac:dyDescent="0.3">
      <c r="A147" s="117"/>
      <c r="B147" s="117"/>
      <c r="C147" s="117"/>
      <c r="D147" s="117"/>
      <c r="E147" s="200"/>
      <c r="F147" s="200"/>
    </row>
    <row r="148" spans="1:6" x14ac:dyDescent="0.3">
      <c r="A148" s="117"/>
      <c r="B148" s="117"/>
      <c r="C148" s="117"/>
      <c r="D148" s="117"/>
      <c r="E148" s="200"/>
      <c r="F148" s="200"/>
    </row>
    <row r="149" spans="1:6" x14ac:dyDescent="0.3">
      <c r="A149" s="117"/>
      <c r="B149" s="117"/>
      <c r="C149" s="117"/>
      <c r="D149" s="117"/>
      <c r="E149" s="200"/>
      <c r="F149" s="200"/>
    </row>
    <row r="150" spans="1:6" x14ac:dyDescent="0.3">
      <c r="A150" s="117"/>
      <c r="B150" s="117"/>
      <c r="C150" s="117"/>
      <c r="D150" s="117"/>
      <c r="E150" s="200"/>
      <c r="F150" s="200"/>
    </row>
    <row r="151" spans="1:6" x14ac:dyDescent="0.3">
      <c r="A151" s="117"/>
      <c r="B151" s="117"/>
      <c r="C151" s="117"/>
      <c r="D151" s="117"/>
      <c r="E151" s="200"/>
      <c r="F151" s="200"/>
    </row>
    <row r="152" spans="1:6" x14ac:dyDescent="0.3">
      <c r="A152" s="117"/>
      <c r="B152" s="117"/>
      <c r="C152" s="117"/>
      <c r="D152" s="117"/>
      <c r="E152" s="200"/>
      <c r="F152" s="200"/>
    </row>
    <row r="153" spans="1:6" x14ac:dyDescent="0.3">
      <c r="A153" s="117"/>
      <c r="B153" s="117"/>
      <c r="C153" s="117"/>
      <c r="D153" s="117"/>
      <c r="E153" s="200"/>
      <c r="F153" s="200"/>
    </row>
    <row r="154" spans="1:6" x14ac:dyDescent="0.3">
      <c r="A154" s="117"/>
      <c r="B154" s="117"/>
      <c r="C154" s="117"/>
      <c r="D154" s="117"/>
      <c r="E154" s="200"/>
      <c r="F154" s="200"/>
    </row>
    <row r="155" spans="1:6" x14ac:dyDescent="0.3">
      <c r="A155" s="117"/>
      <c r="B155" s="117"/>
      <c r="C155" s="117"/>
      <c r="D155" s="117"/>
      <c r="E155" s="200"/>
      <c r="F155" s="200"/>
    </row>
    <row r="156" spans="1:6" x14ac:dyDescent="0.3">
      <c r="A156" s="117"/>
      <c r="B156" s="117"/>
      <c r="C156" s="117"/>
      <c r="D156" s="117"/>
      <c r="E156" s="200"/>
      <c r="F156" s="200"/>
    </row>
    <row r="157" spans="1:6" x14ac:dyDescent="0.3">
      <c r="A157" s="117"/>
      <c r="B157" s="117"/>
      <c r="C157" s="117"/>
      <c r="D157" s="117"/>
      <c r="E157" s="200"/>
      <c r="F157" s="200"/>
    </row>
    <row r="158" spans="1:6" x14ac:dyDescent="0.3">
      <c r="A158" s="117"/>
      <c r="B158" s="117"/>
      <c r="C158" s="117"/>
      <c r="D158" s="117"/>
      <c r="E158" s="200"/>
      <c r="F158" s="200"/>
    </row>
    <row r="159" spans="1:6" x14ac:dyDescent="0.3">
      <c r="A159" s="117"/>
      <c r="B159" s="117"/>
      <c r="C159" s="117"/>
      <c r="D159" s="117"/>
      <c r="E159" s="200"/>
      <c r="F159" s="200"/>
    </row>
    <row r="160" spans="1:6" x14ac:dyDescent="0.3">
      <c r="A160" s="117"/>
      <c r="B160" s="117"/>
      <c r="C160" s="117"/>
      <c r="D160" s="117"/>
      <c r="E160" s="200"/>
      <c r="F160" s="200"/>
    </row>
    <row r="161" spans="1:6" x14ac:dyDescent="0.3">
      <c r="A161" s="117"/>
      <c r="B161" s="117"/>
      <c r="C161" s="117"/>
      <c r="D161" s="117"/>
      <c r="E161" s="200"/>
      <c r="F161" s="200"/>
    </row>
    <row r="162" spans="1:6" x14ac:dyDescent="0.3">
      <c r="A162" s="117"/>
      <c r="B162" s="117"/>
      <c r="C162" s="117"/>
      <c r="D162" s="117"/>
      <c r="E162" s="200"/>
      <c r="F162" s="200"/>
    </row>
    <row r="163" spans="1:6" x14ac:dyDescent="0.3">
      <c r="A163" s="117"/>
      <c r="B163" s="117"/>
      <c r="C163" s="117"/>
      <c r="D163" s="117"/>
      <c r="E163" s="200"/>
      <c r="F163" s="200"/>
    </row>
    <row r="164" spans="1:6" x14ac:dyDescent="0.3">
      <c r="A164" s="117"/>
      <c r="B164" s="117"/>
      <c r="C164" s="117"/>
      <c r="D164" s="117"/>
      <c r="E164" s="200"/>
      <c r="F164" s="200"/>
    </row>
    <row r="165" spans="1:6" x14ac:dyDescent="0.3">
      <c r="A165" s="117"/>
      <c r="B165" s="117"/>
      <c r="C165" s="117"/>
      <c r="D165" s="117"/>
      <c r="E165" s="200"/>
      <c r="F165" s="200"/>
    </row>
    <row r="166" spans="1:6" x14ac:dyDescent="0.3">
      <c r="A166" s="117"/>
      <c r="B166" s="117"/>
      <c r="C166" s="117"/>
      <c r="D166" s="117"/>
      <c r="E166" s="200"/>
      <c r="F166" s="200"/>
    </row>
    <row r="167" spans="1:6" x14ac:dyDescent="0.3">
      <c r="A167" s="117"/>
      <c r="B167" s="117"/>
      <c r="C167" s="117"/>
      <c r="D167" s="117"/>
      <c r="E167" s="200"/>
      <c r="F167" s="200"/>
    </row>
    <row r="168" spans="1:6" x14ac:dyDescent="0.3">
      <c r="A168" s="117"/>
      <c r="B168" s="117"/>
      <c r="C168" s="117"/>
      <c r="D168" s="117"/>
      <c r="E168" s="200"/>
      <c r="F168" s="200"/>
    </row>
    <row r="169" spans="1:6" x14ac:dyDescent="0.3">
      <c r="A169" s="117"/>
      <c r="B169" s="117"/>
      <c r="C169" s="117"/>
      <c r="D169" s="117"/>
      <c r="E169" s="200"/>
      <c r="F169" s="200"/>
    </row>
    <row r="170" spans="1:6" x14ac:dyDescent="0.3">
      <c r="A170" s="117"/>
      <c r="B170" s="117"/>
      <c r="C170" s="117"/>
      <c r="D170" s="117"/>
      <c r="E170" s="200"/>
      <c r="F170" s="200"/>
    </row>
    <row r="171" spans="1:6" x14ac:dyDescent="0.3">
      <c r="A171" s="117"/>
      <c r="B171" s="117"/>
      <c r="C171" s="117"/>
      <c r="D171" s="117"/>
      <c r="E171" s="200"/>
      <c r="F171" s="200"/>
    </row>
    <row r="172" spans="1:6" x14ac:dyDescent="0.3">
      <c r="A172" s="117"/>
      <c r="B172" s="117"/>
      <c r="C172" s="117"/>
      <c r="D172" s="117"/>
      <c r="E172" s="200"/>
      <c r="F172" s="200"/>
    </row>
    <row r="173" spans="1:6" x14ac:dyDescent="0.3">
      <c r="A173" s="117"/>
      <c r="B173" s="117"/>
      <c r="C173" s="117"/>
      <c r="D173" s="117"/>
      <c r="E173" s="200"/>
      <c r="F173" s="200"/>
    </row>
    <row r="174" spans="1:6" x14ac:dyDescent="0.3">
      <c r="A174" s="117"/>
      <c r="B174" s="117"/>
      <c r="C174" s="117"/>
      <c r="D174" s="117"/>
      <c r="E174" s="200"/>
      <c r="F174" s="200"/>
    </row>
    <row r="175" spans="1:6" x14ac:dyDescent="0.3">
      <c r="A175" s="117"/>
      <c r="B175" s="117"/>
      <c r="C175" s="117"/>
      <c r="D175" s="117"/>
      <c r="E175" s="200"/>
      <c r="F175" s="200"/>
    </row>
    <row r="176" spans="1:6" x14ac:dyDescent="0.3">
      <c r="A176" s="117"/>
      <c r="B176" s="117"/>
      <c r="C176" s="117"/>
      <c r="D176" s="117"/>
      <c r="E176" s="200"/>
      <c r="F176" s="200"/>
    </row>
    <row r="177" spans="1:6" x14ac:dyDescent="0.3">
      <c r="A177" s="117"/>
      <c r="B177" s="117"/>
      <c r="C177" s="117"/>
      <c r="D177" s="117"/>
      <c r="E177" s="200"/>
      <c r="F177" s="200"/>
    </row>
    <row r="178" spans="1:6" x14ac:dyDescent="0.3">
      <c r="A178" s="117"/>
      <c r="B178" s="117"/>
      <c r="C178" s="117"/>
      <c r="D178" s="117"/>
      <c r="E178" s="200"/>
      <c r="F178" s="200"/>
    </row>
    <row r="179" spans="1:6" x14ac:dyDescent="0.3">
      <c r="A179" s="117"/>
      <c r="B179" s="117"/>
      <c r="C179" s="117"/>
      <c r="D179" s="117"/>
      <c r="E179" s="200"/>
      <c r="F179" s="200"/>
    </row>
    <row r="180" spans="1:6" x14ac:dyDescent="0.3">
      <c r="A180" s="117"/>
      <c r="B180" s="117"/>
      <c r="C180" s="117"/>
      <c r="D180" s="117"/>
      <c r="E180" s="200"/>
      <c r="F180" s="200"/>
    </row>
    <row r="181" spans="1:6" x14ac:dyDescent="0.3">
      <c r="A181" s="117"/>
      <c r="B181" s="117"/>
      <c r="C181" s="117"/>
      <c r="D181" s="117"/>
      <c r="E181" s="200"/>
      <c r="F181" s="200"/>
    </row>
    <row r="182" spans="1:6" x14ac:dyDescent="0.3">
      <c r="A182" s="117"/>
      <c r="B182" s="117"/>
      <c r="C182" s="117"/>
      <c r="D182" s="117"/>
      <c r="E182" s="200"/>
      <c r="F182" s="200"/>
    </row>
    <row r="183" spans="1:6" x14ac:dyDescent="0.3">
      <c r="A183" s="117"/>
      <c r="B183" s="117"/>
      <c r="C183" s="117"/>
      <c r="D183" s="117"/>
      <c r="E183" s="200"/>
      <c r="F183" s="200"/>
    </row>
    <row r="184" spans="1:6" x14ac:dyDescent="0.3">
      <c r="A184" s="117"/>
      <c r="B184" s="117"/>
      <c r="C184" s="117"/>
      <c r="D184" s="117"/>
      <c r="E184" s="200"/>
      <c r="F184" s="200"/>
    </row>
    <row r="185" spans="1:6" x14ac:dyDescent="0.3">
      <c r="A185" s="117"/>
      <c r="B185" s="117"/>
      <c r="C185" s="117"/>
      <c r="D185" s="117"/>
      <c r="E185" s="200"/>
      <c r="F185" s="200"/>
    </row>
    <row r="186" spans="1:6" x14ac:dyDescent="0.3">
      <c r="A186" s="117"/>
      <c r="B186" s="117"/>
      <c r="C186" s="117"/>
      <c r="D186" s="117"/>
      <c r="E186" s="200"/>
      <c r="F186" s="200"/>
    </row>
    <row r="187" spans="1:6" x14ac:dyDescent="0.3">
      <c r="A187" s="117"/>
      <c r="B187" s="117"/>
      <c r="C187" s="117"/>
      <c r="D187" s="117"/>
      <c r="E187" s="200"/>
      <c r="F187" s="200"/>
    </row>
    <row r="188" spans="1:6" x14ac:dyDescent="0.3">
      <c r="A188" s="117"/>
      <c r="B188" s="117"/>
      <c r="C188" s="117"/>
      <c r="D188" s="117"/>
      <c r="E188" s="200"/>
      <c r="F188" s="200"/>
    </row>
    <row r="189" spans="1:6" x14ac:dyDescent="0.3">
      <c r="A189" s="117"/>
      <c r="B189" s="117"/>
      <c r="C189" s="117"/>
      <c r="D189" s="117"/>
      <c r="E189" s="200"/>
      <c r="F189" s="200"/>
    </row>
    <row r="190" spans="1:6" x14ac:dyDescent="0.3">
      <c r="A190" s="117"/>
      <c r="B190" s="117"/>
      <c r="C190" s="117"/>
      <c r="D190" s="117"/>
      <c r="E190" s="200"/>
      <c r="F190" s="200"/>
    </row>
    <row r="191" spans="1:6" x14ac:dyDescent="0.3">
      <c r="A191" s="117"/>
      <c r="B191" s="117"/>
      <c r="C191" s="117"/>
      <c r="D191" s="117"/>
      <c r="E191" s="200"/>
      <c r="F191" s="200"/>
    </row>
    <row r="192" spans="1:6" x14ac:dyDescent="0.3">
      <c r="A192" s="117"/>
      <c r="B192" s="117"/>
      <c r="C192" s="117"/>
      <c r="D192" s="117"/>
      <c r="E192" s="200"/>
      <c r="F192" s="200"/>
    </row>
    <row r="193" spans="1:6" x14ac:dyDescent="0.3">
      <c r="A193" s="117"/>
      <c r="B193" s="117"/>
      <c r="C193" s="117"/>
      <c r="D193" s="117"/>
      <c r="E193" s="200"/>
      <c r="F193" s="200"/>
    </row>
    <row r="194" spans="1:6" x14ac:dyDescent="0.3">
      <c r="A194" s="117"/>
      <c r="B194" s="117"/>
      <c r="C194" s="117"/>
      <c r="D194" s="117"/>
      <c r="E194" s="200"/>
      <c r="F194" s="200"/>
    </row>
    <row r="195" spans="1:6" x14ac:dyDescent="0.3">
      <c r="A195" s="117"/>
      <c r="B195" s="117"/>
      <c r="C195" s="117"/>
      <c r="D195" s="117"/>
      <c r="E195" s="200"/>
      <c r="F195" s="200"/>
    </row>
    <row r="196" spans="1:6" x14ac:dyDescent="0.3">
      <c r="A196" s="117"/>
      <c r="B196" s="117"/>
      <c r="C196" s="117"/>
      <c r="D196" s="117"/>
      <c r="E196" s="200"/>
      <c r="F196" s="200"/>
    </row>
    <row r="197" spans="1:6" x14ac:dyDescent="0.3">
      <c r="A197" s="117"/>
      <c r="B197" s="117"/>
      <c r="C197" s="117"/>
      <c r="D197" s="117"/>
      <c r="E197" s="200"/>
      <c r="F197" s="200"/>
    </row>
    <row r="198" spans="1:6" x14ac:dyDescent="0.3">
      <c r="A198" s="117"/>
      <c r="B198" s="117"/>
      <c r="C198" s="117"/>
      <c r="D198" s="117"/>
      <c r="E198" s="200"/>
      <c r="F198" s="200"/>
    </row>
    <row r="199" spans="1:6" x14ac:dyDescent="0.3">
      <c r="A199" s="117"/>
      <c r="B199" s="117"/>
      <c r="C199" s="117"/>
      <c r="D199" s="117"/>
      <c r="E199" s="200"/>
      <c r="F199" s="200"/>
    </row>
    <row r="200" spans="1:6" x14ac:dyDescent="0.3">
      <c r="A200" s="117"/>
      <c r="B200" s="117"/>
      <c r="C200" s="117"/>
      <c r="D200" s="117"/>
      <c r="E200" s="200"/>
      <c r="F200" s="200"/>
    </row>
    <row r="201" spans="1:6" x14ac:dyDescent="0.3">
      <c r="A201" s="117"/>
      <c r="B201" s="117"/>
      <c r="C201" s="117"/>
      <c r="D201" s="117"/>
      <c r="E201" s="200"/>
      <c r="F201" s="200"/>
    </row>
    <row r="202" spans="1:6" x14ac:dyDescent="0.3">
      <c r="A202" s="117"/>
      <c r="B202" s="117"/>
      <c r="C202" s="117"/>
      <c r="D202" s="117"/>
      <c r="E202" s="200"/>
      <c r="F202" s="200"/>
    </row>
    <row r="203" spans="1:6" x14ac:dyDescent="0.3">
      <c r="A203" s="117"/>
      <c r="B203" s="117"/>
      <c r="C203" s="117"/>
      <c r="D203" s="117"/>
      <c r="E203" s="200"/>
      <c r="F203" s="200"/>
    </row>
    <row r="204" spans="1:6" x14ac:dyDescent="0.3">
      <c r="A204" s="117"/>
      <c r="B204" s="117"/>
      <c r="C204" s="117"/>
      <c r="D204" s="117"/>
      <c r="E204" s="200"/>
      <c r="F204" s="200"/>
    </row>
    <row r="205" spans="1:6" x14ac:dyDescent="0.3">
      <c r="A205" s="117"/>
      <c r="B205" s="117"/>
      <c r="C205" s="117"/>
      <c r="D205" s="117"/>
      <c r="E205" s="200"/>
      <c r="F205" s="200"/>
    </row>
    <row r="206" spans="1:6" x14ac:dyDescent="0.3">
      <c r="A206" s="117"/>
      <c r="B206" s="117"/>
      <c r="C206" s="117"/>
      <c r="D206" s="117"/>
      <c r="E206" s="200"/>
      <c r="F206" s="200"/>
    </row>
    <row r="207" spans="1:6" x14ac:dyDescent="0.3">
      <c r="A207" s="117"/>
      <c r="B207" s="117"/>
      <c r="C207" s="117"/>
      <c r="D207" s="117"/>
      <c r="E207" s="200"/>
      <c r="F207" s="200"/>
    </row>
    <row r="208" spans="1:6" x14ac:dyDescent="0.3">
      <c r="A208" s="117"/>
      <c r="B208" s="117"/>
      <c r="C208" s="117"/>
      <c r="D208" s="117"/>
      <c r="E208" s="200"/>
      <c r="F208" s="200"/>
    </row>
    <row r="209" spans="1:6" x14ac:dyDescent="0.3">
      <c r="A209" s="117"/>
      <c r="B209" s="117"/>
      <c r="C209" s="117"/>
      <c r="D209" s="117"/>
      <c r="E209" s="200"/>
      <c r="F209" s="200"/>
    </row>
    <row r="210" spans="1:6" x14ac:dyDescent="0.3">
      <c r="A210" s="117"/>
      <c r="B210" s="117"/>
      <c r="C210" s="117"/>
      <c r="D210" s="117"/>
      <c r="E210" s="200"/>
      <c r="F210" s="200"/>
    </row>
    <row r="211" spans="1:6" x14ac:dyDescent="0.3">
      <c r="A211" s="117"/>
      <c r="B211" s="117"/>
      <c r="C211" s="117"/>
      <c r="D211" s="117"/>
      <c r="E211" s="200"/>
      <c r="F211" s="200"/>
    </row>
    <row r="212" spans="1:6" x14ac:dyDescent="0.3">
      <c r="A212" s="117"/>
      <c r="B212" s="117"/>
      <c r="C212" s="117"/>
      <c r="D212" s="117"/>
      <c r="E212" s="200"/>
      <c r="F212" s="200"/>
    </row>
    <row r="213" spans="1:6" x14ac:dyDescent="0.3">
      <c r="A213" s="117"/>
      <c r="B213" s="117"/>
      <c r="C213" s="117"/>
      <c r="D213" s="117"/>
      <c r="E213" s="200"/>
      <c r="F213" s="200"/>
    </row>
    <row r="214" spans="1:6" x14ac:dyDescent="0.3">
      <c r="A214" s="117"/>
      <c r="B214" s="117"/>
      <c r="C214" s="117"/>
      <c r="D214" s="117"/>
      <c r="E214" s="200"/>
      <c r="F214" s="200"/>
    </row>
    <row r="215" spans="1:6" x14ac:dyDescent="0.3">
      <c r="A215" s="117"/>
      <c r="B215" s="117"/>
      <c r="C215" s="117"/>
      <c r="D215" s="117"/>
      <c r="E215" s="200"/>
      <c r="F215" s="200"/>
    </row>
    <row r="216" spans="1:6" x14ac:dyDescent="0.3">
      <c r="A216" s="117"/>
      <c r="B216" s="117"/>
      <c r="C216" s="117"/>
      <c r="D216" s="117"/>
      <c r="E216" s="200"/>
      <c r="F216" s="200"/>
    </row>
    <row r="217" spans="1:6" x14ac:dyDescent="0.3">
      <c r="A217" s="117"/>
      <c r="B217" s="117"/>
      <c r="C217" s="117"/>
      <c r="D217" s="117"/>
      <c r="E217" s="200"/>
      <c r="F217" s="200"/>
    </row>
    <row r="218" spans="1:6" x14ac:dyDescent="0.3">
      <c r="A218" s="117"/>
      <c r="B218" s="117"/>
      <c r="C218" s="117"/>
      <c r="D218" s="117"/>
      <c r="E218" s="200"/>
      <c r="F218" s="200"/>
    </row>
    <row r="219" spans="1:6" x14ac:dyDescent="0.3">
      <c r="A219" s="117"/>
      <c r="B219" s="117"/>
      <c r="C219" s="117"/>
      <c r="D219" s="117"/>
      <c r="E219" s="200"/>
      <c r="F219" s="200"/>
    </row>
    <row r="220" spans="1:6" x14ac:dyDescent="0.3">
      <c r="A220" s="117"/>
      <c r="B220" s="117"/>
      <c r="C220" s="117"/>
      <c r="D220" s="117"/>
      <c r="E220" s="200"/>
      <c r="F220" s="200"/>
    </row>
    <row r="221" spans="1:6" x14ac:dyDescent="0.3">
      <c r="A221" s="117"/>
      <c r="B221" s="117"/>
      <c r="C221" s="117"/>
      <c r="D221" s="117"/>
      <c r="E221" s="200"/>
      <c r="F221" s="200"/>
    </row>
    <row r="222" spans="1:6" x14ac:dyDescent="0.3">
      <c r="A222" s="117"/>
      <c r="B222" s="117"/>
      <c r="C222" s="117"/>
      <c r="D222" s="117"/>
      <c r="E222" s="200"/>
      <c r="F222" s="200"/>
    </row>
    <row r="223" spans="1:6" x14ac:dyDescent="0.3">
      <c r="A223" s="117"/>
      <c r="B223" s="117"/>
      <c r="C223" s="117"/>
      <c r="D223" s="117"/>
      <c r="E223" s="200"/>
      <c r="F223" s="200"/>
    </row>
    <row r="224" spans="1:6" x14ac:dyDescent="0.3">
      <c r="A224" s="117"/>
      <c r="B224" s="117"/>
      <c r="C224" s="117"/>
      <c r="D224" s="117"/>
      <c r="E224" s="200"/>
      <c r="F224" s="200"/>
    </row>
    <row r="225" spans="1:6" x14ac:dyDescent="0.3">
      <c r="A225" s="117"/>
      <c r="B225" s="117"/>
      <c r="C225" s="117"/>
      <c r="D225" s="117"/>
      <c r="E225" s="200"/>
      <c r="F225" s="200"/>
    </row>
    <row r="226" spans="1:6" x14ac:dyDescent="0.3">
      <c r="A226" s="117"/>
      <c r="B226" s="117"/>
      <c r="C226" s="117"/>
      <c r="D226" s="117"/>
      <c r="E226" s="200"/>
      <c r="F226" s="200"/>
    </row>
    <row r="227" spans="1:6" x14ac:dyDescent="0.3">
      <c r="A227" s="117"/>
      <c r="B227" s="117"/>
      <c r="C227" s="117"/>
      <c r="D227" s="117"/>
      <c r="E227" s="200"/>
      <c r="F227" s="200"/>
    </row>
    <row r="228" spans="1:6" x14ac:dyDescent="0.3">
      <c r="A228" s="117"/>
      <c r="B228" s="117"/>
      <c r="C228" s="117"/>
      <c r="D228" s="117"/>
      <c r="E228" s="200"/>
      <c r="F228" s="200"/>
    </row>
    <row r="229" spans="1:6" x14ac:dyDescent="0.3">
      <c r="A229" s="117"/>
      <c r="B229" s="117"/>
      <c r="C229" s="117"/>
      <c r="D229" s="117"/>
      <c r="E229" s="200"/>
      <c r="F229" s="200"/>
    </row>
    <row r="230" spans="1:6" x14ac:dyDescent="0.3">
      <c r="A230" s="117"/>
      <c r="B230" s="117"/>
      <c r="C230" s="117"/>
      <c r="D230" s="117"/>
      <c r="E230" s="200"/>
      <c r="F230" s="200"/>
    </row>
    <row r="231" spans="1:6" x14ac:dyDescent="0.3">
      <c r="A231" s="117"/>
      <c r="B231" s="117"/>
      <c r="C231" s="117"/>
      <c r="D231" s="117"/>
      <c r="E231" s="200"/>
      <c r="F231" s="200"/>
    </row>
    <row r="232" spans="1:6" x14ac:dyDescent="0.3">
      <c r="A232" s="117"/>
      <c r="B232" s="117"/>
      <c r="C232" s="117"/>
      <c r="D232" s="117"/>
      <c r="E232" s="200"/>
      <c r="F232" s="200"/>
    </row>
    <row r="233" spans="1:6" x14ac:dyDescent="0.3">
      <c r="A233" s="117"/>
      <c r="B233" s="117"/>
      <c r="C233" s="117"/>
      <c r="D233" s="117"/>
      <c r="E233" s="200"/>
      <c r="F233" s="200"/>
    </row>
    <row r="234" spans="1:6" x14ac:dyDescent="0.3">
      <c r="A234" s="117"/>
      <c r="B234" s="117"/>
      <c r="C234" s="117"/>
      <c r="D234" s="117"/>
      <c r="E234" s="200"/>
      <c r="F234" s="200"/>
    </row>
    <row r="235" spans="1:6" x14ac:dyDescent="0.3">
      <c r="A235" s="117"/>
      <c r="B235" s="117"/>
      <c r="C235" s="117"/>
      <c r="D235" s="117"/>
      <c r="E235" s="200"/>
      <c r="F235" s="200"/>
    </row>
    <row r="236" spans="1:6" x14ac:dyDescent="0.3">
      <c r="A236" s="117"/>
      <c r="B236" s="117"/>
      <c r="C236" s="117"/>
      <c r="D236" s="117"/>
      <c r="E236" s="200"/>
      <c r="F236" s="200"/>
    </row>
    <row r="237" spans="1:6" x14ac:dyDescent="0.3">
      <c r="A237" s="117"/>
      <c r="B237" s="117"/>
      <c r="C237" s="117"/>
      <c r="D237" s="117"/>
      <c r="E237" s="200"/>
      <c r="F237" s="200"/>
    </row>
    <row r="238" spans="1:6" x14ac:dyDescent="0.3">
      <c r="A238" s="117"/>
      <c r="B238" s="117"/>
      <c r="C238" s="117"/>
      <c r="D238" s="117"/>
      <c r="E238" s="200"/>
      <c r="F238" s="200"/>
    </row>
    <row r="239" spans="1:6" x14ac:dyDescent="0.3">
      <c r="A239" s="117"/>
      <c r="B239" s="117"/>
      <c r="C239" s="117"/>
      <c r="D239" s="117"/>
      <c r="E239" s="200"/>
      <c r="F239" s="200"/>
    </row>
    <row r="240" spans="1:6" x14ac:dyDescent="0.3">
      <c r="A240" s="117"/>
      <c r="B240" s="117"/>
      <c r="C240" s="117"/>
      <c r="D240" s="117"/>
      <c r="E240" s="200"/>
      <c r="F240" s="200"/>
    </row>
    <row r="241" spans="1:6" x14ac:dyDescent="0.3">
      <c r="A241" s="117"/>
      <c r="B241" s="117"/>
      <c r="C241" s="117"/>
      <c r="D241" s="117"/>
      <c r="E241" s="200"/>
      <c r="F241" s="200"/>
    </row>
    <row r="242" spans="1:6" x14ac:dyDescent="0.3">
      <c r="A242" s="117"/>
      <c r="B242" s="117"/>
      <c r="C242" s="117"/>
      <c r="D242" s="117"/>
      <c r="E242" s="200"/>
      <c r="F242" s="200"/>
    </row>
    <row r="243" spans="1:6" x14ac:dyDescent="0.3">
      <c r="A243" s="117"/>
      <c r="B243" s="117"/>
      <c r="C243" s="117"/>
      <c r="D243" s="117"/>
      <c r="E243" s="200"/>
      <c r="F243" s="200"/>
    </row>
    <row r="244" spans="1:6" x14ac:dyDescent="0.3">
      <c r="A244" s="117"/>
      <c r="B244" s="117"/>
      <c r="C244" s="117"/>
      <c r="D244" s="117"/>
      <c r="E244" s="200"/>
      <c r="F244" s="200"/>
    </row>
    <row r="245" spans="1:6" x14ac:dyDescent="0.3">
      <c r="A245" s="117"/>
      <c r="B245" s="117"/>
      <c r="C245" s="117"/>
      <c r="D245" s="117"/>
      <c r="E245" s="200"/>
      <c r="F245" s="200"/>
    </row>
    <row r="246" spans="1:6" x14ac:dyDescent="0.3">
      <c r="A246" s="117"/>
      <c r="B246" s="117"/>
      <c r="C246" s="117"/>
      <c r="D246" s="117"/>
      <c r="E246" s="200"/>
      <c r="F246" s="200"/>
    </row>
    <row r="247" spans="1:6" x14ac:dyDescent="0.3">
      <c r="A247" s="117"/>
      <c r="B247" s="117"/>
      <c r="C247" s="117"/>
      <c r="D247" s="117"/>
      <c r="E247" s="200"/>
      <c r="F247" s="200"/>
    </row>
    <row r="248" spans="1:6" x14ac:dyDescent="0.3">
      <c r="A248" s="117"/>
      <c r="B248" s="117"/>
      <c r="C248" s="117"/>
      <c r="D248" s="117"/>
      <c r="E248" s="200"/>
      <c r="F248" s="200"/>
    </row>
    <row r="249" spans="1:6" x14ac:dyDescent="0.3">
      <c r="A249" s="117"/>
      <c r="B249" s="117"/>
      <c r="C249" s="117"/>
      <c r="D249" s="117"/>
      <c r="E249" s="200"/>
      <c r="F249" s="200"/>
    </row>
    <row r="250" spans="1:6" x14ac:dyDescent="0.3">
      <c r="A250" s="117"/>
      <c r="B250" s="117"/>
      <c r="C250" s="117"/>
      <c r="D250" s="117"/>
      <c r="E250" s="200"/>
      <c r="F250" s="200"/>
    </row>
    <row r="251" spans="1:6" x14ac:dyDescent="0.3">
      <c r="A251" s="117"/>
      <c r="B251" s="117"/>
      <c r="C251" s="117"/>
      <c r="D251" s="117"/>
      <c r="E251" s="200"/>
      <c r="F251" s="200"/>
    </row>
    <row r="252" spans="1:6" x14ac:dyDescent="0.3">
      <c r="A252" s="117"/>
      <c r="B252" s="117"/>
      <c r="C252" s="117"/>
      <c r="D252" s="117"/>
      <c r="E252" s="200"/>
      <c r="F252" s="200"/>
    </row>
    <row r="253" spans="1:6" x14ac:dyDescent="0.3">
      <c r="A253" s="117"/>
      <c r="B253" s="117"/>
      <c r="C253" s="117"/>
      <c r="D253" s="117"/>
      <c r="E253" s="200"/>
      <c r="F253" s="200"/>
    </row>
    <row r="254" spans="1:6" x14ac:dyDescent="0.3">
      <c r="A254" s="117"/>
      <c r="B254" s="117"/>
      <c r="C254" s="117"/>
      <c r="D254" s="117"/>
      <c r="E254" s="200"/>
      <c r="F254" s="200"/>
    </row>
    <row r="255" spans="1:6" x14ac:dyDescent="0.3">
      <c r="A255" s="117"/>
      <c r="B255" s="117"/>
      <c r="C255" s="117"/>
      <c r="D255" s="117"/>
      <c r="E255" s="200"/>
      <c r="F255" s="200"/>
    </row>
    <row r="256" spans="1:6" x14ac:dyDescent="0.3">
      <c r="A256" s="117"/>
      <c r="B256" s="117"/>
      <c r="C256" s="117"/>
      <c r="D256" s="117"/>
      <c r="E256" s="200"/>
      <c r="F256" s="200"/>
    </row>
    <row r="257" spans="1:6" x14ac:dyDescent="0.3">
      <c r="A257" s="117"/>
      <c r="B257" s="117"/>
      <c r="C257" s="117"/>
      <c r="D257" s="117"/>
      <c r="E257" s="200"/>
      <c r="F257" s="200"/>
    </row>
    <row r="258" spans="1:6" x14ac:dyDescent="0.3">
      <c r="A258" s="117"/>
      <c r="B258" s="117"/>
      <c r="C258" s="117"/>
      <c r="D258" s="117"/>
      <c r="E258" s="200"/>
      <c r="F258" s="200"/>
    </row>
    <row r="259" spans="1:6" x14ac:dyDescent="0.3">
      <c r="A259" s="117"/>
      <c r="B259" s="117"/>
      <c r="C259" s="117"/>
      <c r="D259" s="117"/>
      <c r="E259" s="200"/>
      <c r="F259" s="200"/>
    </row>
    <row r="260" spans="1:6" x14ac:dyDescent="0.3">
      <c r="A260" s="117"/>
      <c r="B260" s="117"/>
      <c r="C260" s="117"/>
      <c r="D260" s="117"/>
      <c r="E260" s="200"/>
      <c r="F260" s="200"/>
    </row>
    <row r="261" spans="1:6" x14ac:dyDescent="0.3">
      <c r="A261" s="117"/>
      <c r="B261" s="117"/>
      <c r="C261" s="117"/>
      <c r="D261" s="117"/>
      <c r="E261" s="200"/>
      <c r="F261" s="200"/>
    </row>
    <row r="262" spans="1:6" x14ac:dyDescent="0.3">
      <c r="A262" s="117"/>
      <c r="B262" s="117"/>
      <c r="C262" s="117"/>
      <c r="D262" s="117"/>
      <c r="E262" s="200"/>
      <c r="F262" s="200"/>
    </row>
    <row r="263" spans="1:6" x14ac:dyDescent="0.3">
      <c r="A263" s="117"/>
      <c r="B263" s="117"/>
      <c r="C263" s="117"/>
      <c r="D263" s="117"/>
      <c r="E263" s="200"/>
      <c r="F263" s="200"/>
    </row>
    <row r="264" spans="1:6" x14ac:dyDescent="0.3">
      <c r="A264" s="117"/>
      <c r="B264" s="117"/>
      <c r="C264" s="117"/>
      <c r="D264" s="117"/>
      <c r="E264" s="200"/>
      <c r="F264" s="200"/>
    </row>
    <row r="265" spans="1:6" x14ac:dyDescent="0.3">
      <c r="A265" s="117"/>
      <c r="B265" s="117"/>
      <c r="C265" s="117"/>
      <c r="D265" s="117"/>
      <c r="E265" s="200"/>
      <c r="F265" s="200"/>
    </row>
    <row r="266" spans="1:6" x14ac:dyDescent="0.3">
      <c r="A266" s="117"/>
      <c r="B266" s="117"/>
      <c r="C266" s="117"/>
      <c r="D266" s="117"/>
      <c r="E266" s="200"/>
      <c r="F266" s="200"/>
    </row>
    <row r="267" spans="1:6" x14ac:dyDescent="0.3">
      <c r="A267" s="117"/>
      <c r="B267" s="117"/>
      <c r="C267" s="117"/>
      <c r="D267" s="117"/>
      <c r="E267" s="200"/>
      <c r="F267" s="200"/>
    </row>
    <row r="268" spans="1:6" x14ac:dyDescent="0.3">
      <c r="A268" s="117"/>
      <c r="B268" s="117"/>
      <c r="C268" s="117"/>
      <c r="D268" s="117"/>
      <c r="E268" s="200"/>
      <c r="F268" s="200"/>
    </row>
    <row r="269" spans="1:6" x14ac:dyDescent="0.3">
      <c r="A269" s="117"/>
      <c r="B269" s="117"/>
      <c r="C269" s="117"/>
      <c r="D269" s="117"/>
      <c r="E269" s="200"/>
      <c r="F269" s="200"/>
    </row>
    <row r="270" spans="1:6" x14ac:dyDescent="0.3">
      <c r="A270" s="117"/>
      <c r="B270" s="117"/>
      <c r="C270" s="117"/>
      <c r="D270" s="117"/>
      <c r="E270" s="200"/>
      <c r="F270" s="200"/>
    </row>
    <row r="271" spans="1:6" x14ac:dyDescent="0.3">
      <c r="A271" s="117"/>
      <c r="B271" s="117"/>
      <c r="C271" s="117"/>
      <c r="D271" s="117"/>
      <c r="E271" s="200"/>
      <c r="F271" s="200"/>
    </row>
    <row r="272" spans="1:6" x14ac:dyDescent="0.3">
      <c r="A272" s="117"/>
      <c r="B272" s="117"/>
      <c r="C272" s="117"/>
      <c r="D272" s="117"/>
      <c r="E272" s="200"/>
      <c r="F272" s="200"/>
    </row>
    <row r="273" spans="1:6" x14ac:dyDescent="0.3">
      <c r="A273" s="117"/>
      <c r="B273" s="117"/>
      <c r="C273" s="117"/>
      <c r="D273" s="117"/>
      <c r="E273" s="200"/>
      <c r="F273" s="200"/>
    </row>
    <row r="274" spans="1:6" x14ac:dyDescent="0.3">
      <c r="A274" s="117"/>
      <c r="B274" s="117"/>
      <c r="C274" s="117"/>
      <c r="D274" s="117"/>
      <c r="E274" s="200"/>
      <c r="F274" s="200"/>
    </row>
    <row r="275" spans="1:6" x14ac:dyDescent="0.3">
      <c r="A275" s="117"/>
      <c r="B275" s="117"/>
      <c r="C275" s="117"/>
      <c r="D275" s="117"/>
      <c r="E275" s="200"/>
      <c r="F275" s="200"/>
    </row>
    <row r="276" spans="1:6" x14ac:dyDescent="0.3">
      <c r="A276" s="117"/>
      <c r="B276" s="117"/>
      <c r="C276" s="117"/>
      <c r="D276" s="117"/>
      <c r="E276" s="200"/>
      <c r="F276" s="200"/>
    </row>
    <row r="277" spans="1:6" x14ac:dyDescent="0.3">
      <c r="A277" s="117"/>
      <c r="B277" s="117"/>
      <c r="C277" s="117"/>
      <c r="D277" s="117"/>
      <c r="E277" s="200"/>
      <c r="F277" s="200"/>
    </row>
    <row r="278" spans="1:6" x14ac:dyDescent="0.3">
      <c r="A278" s="117"/>
      <c r="B278" s="117"/>
      <c r="C278" s="117"/>
      <c r="D278" s="117"/>
      <c r="E278" s="200"/>
      <c r="F278" s="200"/>
    </row>
    <row r="279" spans="1:6" x14ac:dyDescent="0.3">
      <c r="A279" s="117"/>
      <c r="B279" s="117"/>
      <c r="C279" s="117"/>
      <c r="D279" s="117"/>
      <c r="E279" s="200"/>
      <c r="F279" s="200"/>
    </row>
    <row r="280" spans="1:6" x14ac:dyDescent="0.3">
      <c r="A280" s="117"/>
      <c r="B280" s="117"/>
      <c r="C280" s="117"/>
      <c r="D280" s="117"/>
      <c r="E280" s="200"/>
      <c r="F280" s="200"/>
    </row>
    <row r="281" spans="1:6" x14ac:dyDescent="0.3">
      <c r="A281" s="117"/>
      <c r="B281" s="117"/>
      <c r="C281" s="117"/>
      <c r="D281" s="117"/>
      <c r="E281" s="200"/>
      <c r="F281" s="200"/>
    </row>
    <row r="282" spans="1:6" x14ac:dyDescent="0.3">
      <c r="A282" s="117"/>
      <c r="B282" s="117"/>
      <c r="C282" s="117"/>
      <c r="D282" s="117"/>
      <c r="E282" s="200"/>
      <c r="F282" s="200"/>
    </row>
    <row r="283" spans="1:6" x14ac:dyDescent="0.3">
      <c r="A283" s="117"/>
      <c r="B283" s="117"/>
      <c r="C283" s="117"/>
      <c r="D283" s="117"/>
      <c r="E283" s="200"/>
      <c r="F283" s="200"/>
    </row>
    <row r="284" spans="1:6" x14ac:dyDescent="0.3">
      <c r="A284" s="117"/>
      <c r="B284" s="117"/>
      <c r="C284" s="117"/>
      <c r="D284" s="117"/>
      <c r="E284" s="200"/>
      <c r="F284" s="200"/>
    </row>
    <row r="285" spans="1:6" x14ac:dyDescent="0.3">
      <c r="A285" s="117"/>
      <c r="B285" s="117"/>
      <c r="C285" s="117"/>
      <c r="D285" s="117"/>
      <c r="E285" s="200"/>
      <c r="F285" s="200"/>
    </row>
    <row r="286" spans="1:6" x14ac:dyDescent="0.3">
      <c r="A286" s="117"/>
      <c r="B286" s="117"/>
      <c r="C286" s="117"/>
      <c r="D286" s="117"/>
      <c r="E286" s="200"/>
      <c r="F286" s="200"/>
    </row>
    <row r="287" spans="1:6" x14ac:dyDescent="0.3">
      <c r="A287" s="117"/>
      <c r="B287" s="117"/>
      <c r="C287" s="117"/>
      <c r="D287" s="117"/>
      <c r="E287" s="200"/>
      <c r="F287" s="200"/>
    </row>
    <row r="288" spans="1:6" x14ac:dyDescent="0.3">
      <c r="A288" s="117"/>
      <c r="B288" s="117"/>
      <c r="C288" s="117"/>
      <c r="D288" s="117"/>
      <c r="E288" s="200"/>
      <c r="F288" s="200"/>
    </row>
    <row r="289" spans="1:6" x14ac:dyDescent="0.3">
      <c r="A289" s="117"/>
      <c r="B289" s="117"/>
      <c r="C289" s="117"/>
      <c r="D289" s="117"/>
      <c r="E289" s="200"/>
      <c r="F289" s="200"/>
    </row>
    <row r="290" spans="1:6" x14ac:dyDescent="0.3">
      <c r="A290" s="117"/>
      <c r="B290" s="117"/>
      <c r="C290" s="117"/>
      <c r="D290" s="117"/>
      <c r="E290" s="200"/>
      <c r="F290" s="200"/>
    </row>
    <row r="291" spans="1:6" x14ac:dyDescent="0.3">
      <c r="A291" s="117"/>
      <c r="B291" s="117"/>
      <c r="C291" s="117"/>
      <c r="D291" s="117"/>
      <c r="E291" s="200"/>
      <c r="F291" s="200"/>
    </row>
    <row r="292" spans="1:6" x14ac:dyDescent="0.3">
      <c r="A292" s="117"/>
      <c r="B292" s="117"/>
      <c r="C292" s="117"/>
      <c r="D292" s="117"/>
      <c r="E292" s="200"/>
      <c r="F292" s="200"/>
    </row>
    <row r="293" spans="1:6" x14ac:dyDescent="0.3">
      <c r="A293" s="117"/>
      <c r="B293" s="117"/>
      <c r="C293" s="117"/>
      <c r="D293" s="117"/>
      <c r="E293" s="200"/>
      <c r="F293" s="200"/>
    </row>
    <row r="294" spans="1:6" x14ac:dyDescent="0.3">
      <c r="A294" s="117"/>
      <c r="B294" s="117"/>
      <c r="C294" s="117"/>
      <c r="D294" s="117"/>
      <c r="E294" s="200"/>
      <c r="F294" s="200"/>
    </row>
    <row r="295" spans="1:6" x14ac:dyDescent="0.3">
      <c r="A295" s="117"/>
      <c r="B295" s="117"/>
      <c r="C295" s="117"/>
      <c r="D295" s="117"/>
      <c r="E295" s="200"/>
      <c r="F295" s="200"/>
    </row>
    <row r="296" spans="1:6" x14ac:dyDescent="0.3">
      <c r="A296" s="117"/>
      <c r="B296" s="117"/>
      <c r="C296" s="117"/>
      <c r="D296" s="117"/>
      <c r="E296" s="200"/>
      <c r="F296" s="200"/>
    </row>
    <row r="297" spans="1:6" x14ac:dyDescent="0.3">
      <c r="A297" s="117"/>
      <c r="B297" s="117"/>
      <c r="C297" s="117"/>
      <c r="D297" s="117"/>
      <c r="E297" s="200"/>
      <c r="F297" s="200"/>
    </row>
    <row r="298" spans="1:6" x14ac:dyDescent="0.3">
      <c r="A298" s="117"/>
      <c r="B298" s="117"/>
      <c r="C298" s="117"/>
      <c r="D298" s="117"/>
      <c r="E298" s="200"/>
      <c r="F298" s="200"/>
    </row>
    <row r="299" spans="1:6" x14ac:dyDescent="0.3">
      <c r="A299" s="117"/>
      <c r="B299" s="117"/>
      <c r="C299" s="117"/>
      <c r="D299" s="117"/>
      <c r="E299" s="200"/>
      <c r="F299" s="200"/>
    </row>
    <row r="300" spans="1:6" x14ac:dyDescent="0.3">
      <c r="A300" s="117"/>
      <c r="B300" s="117"/>
      <c r="C300" s="117"/>
      <c r="D300" s="117"/>
      <c r="E300" s="200"/>
      <c r="F300" s="200"/>
    </row>
    <row r="301" spans="1:6" x14ac:dyDescent="0.3">
      <c r="A301" s="117"/>
      <c r="B301" s="117"/>
      <c r="C301" s="117"/>
      <c r="D301" s="117"/>
      <c r="E301" s="200"/>
      <c r="F301" s="200"/>
    </row>
    <row r="302" spans="1:6" x14ac:dyDescent="0.3">
      <c r="A302" s="117"/>
      <c r="B302" s="117"/>
      <c r="C302" s="117"/>
      <c r="D302" s="117"/>
      <c r="E302" s="200"/>
      <c r="F302" s="200"/>
    </row>
    <row r="303" spans="1:6" x14ac:dyDescent="0.3">
      <c r="A303" s="117"/>
      <c r="B303" s="117"/>
      <c r="C303" s="117"/>
      <c r="D303" s="117"/>
      <c r="E303" s="200"/>
      <c r="F303" s="200"/>
    </row>
    <row r="304" spans="1:6" x14ac:dyDescent="0.3">
      <c r="A304" s="117"/>
      <c r="B304" s="117"/>
      <c r="C304" s="117"/>
      <c r="D304" s="117"/>
      <c r="E304" s="200"/>
      <c r="F304" s="200"/>
    </row>
    <row r="305" spans="1:6" x14ac:dyDescent="0.3">
      <c r="A305" s="117"/>
      <c r="B305" s="117"/>
      <c r="C305" s="117"/>
      <c r="D305" s="117"/>
      <c r="E305" s="200"/>
      <c r="F305" s="200"/>
    </row>
    <row r="306" spans="1:6" x14ac:dyDescent="0.3">
      <c r="A306" s="117"/>
      <c r="B306" s="117"/>
      <c r="C306" s="117"/>
      <c r="D306" s="117"/>
      <c r="E306" s="200"/>
      <c r="F306" s="200"/>
    </row>
    <row r="307" spans="1:6" x14ac:dyDescent="0.3">
      <c r="A307" s="117"/>
      <c r="B307" s="117"/>
      <c r="C307" s="117"/>
      <c r="D307" s="117"/>
      <c r="E307" s="200"/>
      <c r="F307" s="200"/>
    </row>
    <row r="308" spans="1:6" x14ac:dyDescent="0.3">
      <c r="A308" s="117"/>
      <c r="B308" s="117"/>
      <c r="C308" s="117"/>
      <c r="D308" s="117"/>
      <c r="E308" s="200"/>
      <c r="F308" s="200"/>
    </row>
    <row r="309" spans="1:6" x14ac:dyDescent="0.3">
      <c r="A309" s="117"/>
      <c r="B309" s="117"/>
      <c r="C309" s="117"/>
      <c r="D309" s="117"/>
      <c r="E309" s="200"/>
      <c r="F309" s="200"/>
    </row>
    <row r="310" spans="1:6" x14ac:dyDescent="0.3">
      <c r="A310" s="117"/>
      <c r="B310" s="117"/>
      <c r="C310" s="117"/>
      <c r="D310" s="117"/>
      <c r="E310" s="200"/>
      <c r="F310" s="200"/>
    </row>
    <row r="311" spans="1:6" x14ac:dyDescent="0.3">
      <c r="A311" s="117"/>
      <c r="B311" s="117"/>
      <c r="C311" s="117"/>
      <c r="D311" s="117"/>
      <c r="E311" s="200"/>
      <c r="F311" s="200"/>
    </row>
    <row r="312" spans="1:6" x14ac:dyDescent="0.3">
      <c r="A312" s="117"/>
      <c r="B312" s="117"/>
      <c r="C312" s="117"/>
      <c r="D312" s="117"/>
      <c r="E312" s="200"/>
      <c r="F312" s="200"/>
    </row>
    <row r="313" spans="1:6" x14ac:dyDescent="0.3">
      <c r="A313" s="117"/>
      <c r="B313" s="117"/>
      <c r="C313" s="117"/>
      <c r="D313" s="117"/>
      <c r="E313" s="200"/>
      <c r="F313" s="200"/>
    </row>
    <row r="314" spans="1:6" x14ac:dyDescent="0.3">
      <c r="A314" s="117"/>
      <c r="B314" s="117"/>
      <c r="C314" s="117"/>
      <c r="D314" s="117"/>
      <c r="E314" s="200"/>
      <c r="F314" s="200"/>
    </row>
    <row r="315" spans="1:6" x14ac:dyDescent="0.3">
      <c r="A315" s="117"/>
      <c r="B315" s="117"/>
      <c r="C315" s="117"/>
      <c r="D315" s="117"/>
      <c r="E315" s="200"/>
      <c r="F315" s="200"/>
    </row>
    <row r="316" spans="1:6" x14ac:dyDescent="0.3">
      <c r="A316" s="117"/>
      <c r="B316" s="117"/>
      <c r="C316" s="117"/>
      <c r="D316" s="117"/>
      <c r="E316" s="200"/>
      <c r="F316" s="200"/>
    </row>
    <row r="317" spans="1:6" x14ac:dyDescent="0.3">
      <c r="A317" s="117"/>
      <c r="B317" s="117"/>
      <c r="C317" s="117"/>
      <c r="D317" s="117"/>
      <c r="E317" s="200"/>
      <c r="F317" s="200"/>
    </row>
    <row r="318" spans="1:6" x14ac:dyDescent="0.3">
      <c r="A318" s="117"/>
      <c r="B318" s="117"/>
      <c r="C318" s="117"/>
      <c r="D318" s="117"/>
      <c r="E318" s="200"/>
      <c r="F318" s="200"/>
    </row>
    <row r="319" spans="1:6" x14ac:dyDescent="0.3">
      <c r="A319" s="117"/>
      <c r="B319" s="117"/>
      <c r="C319" s="117"/>
      <c r="D319" s="117"/>
      <c r="E319" s="200"/>
      <c r="F319" s="200"/>
    </row>
    <row r="320" spans="1:6" x14ac:dyDescent="0.3">
      <c r="A320" s="117"/>
      <c r="B320" s="117"/>
      <c r="C320" s="117"/>
      <c r="D320" s="117"/>
      <c r="E320" s="200"/>
      <c r="F320" s="200"/>
    </row>
    <row r="321" spans="1:6" x14ac:dyDescent="0.3">
      <c r="A321" s="117"/>
      <c r="B321" s="117"/>
      <c r="C321" s="117"/>
      <c r="D321" s="117"/>
      <c r="E321" s="200"/>
      <c r="F321" s="200"/>
    </row>
    <row r="322" spans="1:6" x14ac:dyDescent="0.3">
      <c r="A322" s="117"/>
      <c r="B322" s="117"/>
      <c r="C322" s="117"/>
      <c r="D322" s="117"/>
      <c r="E322" s="200"/>
      <c r="F322" s="200"/>
    </row>
    <row r="323" spans="1:6" x14ac:dyDescent="0.3">
      <c r="A323" s="117"/>
      <c r="B323" s="117"/>
      <c r="C323" s="117"/>
      <c r="D323" s="117"/>
      <c r="E323" s="200"/>
      <c r="F323" s="200"/>
    </row>
    <row r="324" spans="1:6" x14ac:dyDescent="0.3">
      <c r="A324" s="117"/>
      <c r="B324" s="117"/>
      <c r="C324" s="117"/>
      <c r="D324" s="117"/>
      <c r="E324" s="200"/>
      <c r="F324" s="200"/>
    </row>
    <row r="325" spans="1:6" x14ac:dyDescent="0.3">
      <c r="A325" s="117"/>
      <c r="B325" s="117"/>
      <c r="C325" s="117"/>
      <c r="D325" s="117"/>
      <c r="E325" s="200"/>
      <c r="F325" s="200"/>
    </row>
    <row r="326" spans="1:6" x14ac:dyDescent="0.3">
      <c r="A326" s="117"/>
      <c r="B326" s="117"/>
      <c r="C326" s="117"/>
      <c r="D326" s="117"/>
      <c r="E326" s="200"/>
      <c r="F326" s="200"/>
    </row>
    <row r="327" spans="1:6" x14ac:dyDescent="0.3">
      <c r="A327" s="117"/>
      <c r="B327" s="117"/>
      <c r="C327" s="117"/>
      <c r="D327" s="117"/>
      <c r="E327" s="200"/>
      <c r="F327" s="200"/>
    </row>
    <row r="328" spans="1:6" x14ac:dyDescent="0.3">
      <c r="A328" s="117"/>
      <c r="B328" s="117"/>
      <c r="C328" s="117"/>
      <c r="D328" s="117"/>
      <c r="E328" s="200"/>
      <c r="F328" s="200"/>
    </row>
    <row r="329" spans="1:6" x14ac:dyDescent="0.3">
      <c r="A329" s="117"/>
      <c r="B329" s="117"/>
      <c r="C329" s="117"/>
      <c r="D329" s="117"/>
      <c r="E329" s="200"/>
      <c r="F329" s="200"/>
    </row>
    <row r="330" spans="1:6" x14ac:dyDescent="0.3">
      <c r="A330" s="117"/>
      <c r="B330" s="117"/>
      <c r="C330" s="117"/>
      <c r="D330" s="117"/>
      <c r="E330" s="200"/>
      <c r="F330" s="200"/>
    </row>
    <row r="331" spans="1:6" x14ac:dyDescent="0.3">
      <c r="A331" s="117"/>
      <c r="B331" s="117"/>
      <c r="C331" s="117"/>
      <c r="D331" s="117"/>
      <c r="E331" s="200"/>
      <c r="F331" s="200"/>
    </row>
    <row r="332" spans="1:6" x14ac:dyDescent="0.3">
      <c r="A332" s="117"/>
      <c r="B332" s="117"/>
      <c r="C332" s="117"/>
      <c r="D332" s="117"/>
      <c r="E332" s="200"/>
      <c r="F332" s="200"/>
    </row>
    <row r="333" spans="1:6" x14ac:dyDescent="0.3">
      <c r="A333" s="117"/>
      <c r="B333" s="117"/>
      <c r="C333" s="117"/>
      <c r="D333" s="117"/>
      <c r="E333" s="200"/>
      <c r="F333" s="200"/>
    </row>
    <row r="334" spans="1:6" x14ac:dyDescent="0.3">
      <c r="A334" s="117"/>
      <c r="B334" s="117"/>
      <c r="C334" s="117"/>
      <c r="D334" s="117"/>
      <c r="E334" s="200"/>
      <c r="F334" s="200"/>
    </row>
    <row r="335" spans="1:6" x14ac:dyDescent="0.3">
      <c r="A335" s="117"/>
      <c r="B335" s="117"/>
      <c r="C335" s="117"/>
      <c r="D335" s="117"/>
      <c r="E335" s="200"/>
      <c r="F335" s="200"/>
    </row>
    <row r="336" spans="1:6" x14ac:dyDescent="0.3">
      <c r="A336" s="117"/>
      <c r="B336" s="117"/>
      <c r="C336" s="117"/>
      <c r="D336" s="117"/>
      <c r="E336" s="200"/>
      <c r="F336" s="200"/>
    </row>
    <row r="337" spans="1:6" x14ac:dyDescent="0.3">
      <c r="A337" s="117"/>
      <c r="B337" s="117"/>
      <c r="C337" s="117"/>
      <c r="D337" s="117"/>
      <c r="E337" s="200"/>
      <c r="F337" s="200"/>
    </row>
    <row r="338" spans="1:6" x14ac:dyDescent="0.3">
      <c r="A338" s="117"/>
      <c r="B338" s="117"/>
      <c r="C338" s="117"/>
      <c r="D338" s="117"/>
      <c r="E338" s="200"/>
      <c r="F338" s="200"/>
    </row>
    <row r="339" spans="1:6" x14ac:dyDescent="0.3">
      <c r="A339" s="117"/>
      <c r="B339" s="117"/>
      <c r="C339" s="117"/>
      <c r="D339" s="117"/>
      <c r="E339" s="200"/>
      <c r="F339" s="200"/>
    </row>
    <row r="340" spans="1:6" x14ac:dyDescent="0.3">
      <c r="A340" s="117"/>
      <c r="B340" s="117"/>
      <c r="C340" s="117"/>
      <c r="D340" s="117"/>
      <c r="E340" s="200"/>
      <c r="F340" s="200"/>
    </row>
    <row r="341" spans="1:6" x14ac:dyDescent="0.3">
      <c r="A341" s="117"/>
      <c r="B341" s="117"/>
      <c r="C341" s="117"/>
      <c r="D341" s="117"/>
      <c r="E341" s="200"/>
      <c r="F341" s="200"/>
    </row>
    <row r="342" spans="1:6" x14ac:dyDescent="0.3">
      <c r="A342" s="117"/>
      <c r="B342" s="117"/>
      <c r="C342" s="117"/>
      <c r="D342" s="117"/>
      <c r="E342" s="200"/>
      <c r="F342" s="200"/>
    </row>
    <row r="343" spans="1:6" x14ac:dyDescent="0.3">
      <c r="A343" s="117"/>
      <c r="B343" s="117"/>
      <c r="C343" s="117"/>
      <c r="D343" s="117"/>
      <c r="E343" s="200"/>
      <c r="F343" s="200"/>
    </row>
    <row r="344" spans="1:6" x14ac:dyDescent="0.3">
      <c r="A344" s="117"/>
      <c r="B344" s="117"/>
      <c r="C344" s="117"/>
      <c r="D344" s="117"/>
      <c r="E344" s="200"/>
      <c r="F344" s="200"/>
    </row>
    <row r="345" spans="1:6" x14ac:dyDescent="0.3">
      <c r="A345" s="117"/>
      <c r="B345" s="117"/>
      <c r="C345" s="117"/>
      <c r="D345" s="117"/>
      <c r="E345" s="200"/>
      <c r="F345" s="200"/>
    </row>
    <row r="346" spans="1:6" x14ac:dyDescent="0.3">
      <c r="A346" s="117"/>
      <c r="B346" s="117"/>
      <c r="C346" s="117"/>
      <c r="D346" s="117"/>
      <c r="E346" s="200"/>
      <c r="F346" s="200"/>
    </row>
    <row r="347" spans="1:6" x14ac:dyDescent="0.3">
      <c r="A347" s="117"/>
      <c r="B347" s="117"/>
      <c r="C347" s="117"/>
      <c r="D347" s="117"/>
      <c r="E347" s="200"/>
      <c r="F347" s="200"/>
    </row>
    <row r="348" spans="1:6" x14ac:dyDescent="0.3">
      <c r="A348" s="117"/>
      <c r="B348" s="117"/>
      <c r="C348" s="117"/>
      <c r="D348" s="117"/>
      <c r="E348" s="200"/>
      <c r="F348" s="200"/>
    </row>
    <row r="349" spans="1:6" x14ac:dyDescent="0.3">
      <c r="A349" s="117"/>
      <c r="B349" s="117"/>
      <c r="C349" s="117"/>
      <c r="D349" s="117"/>
      <c r="E349" s="200"/>
      <c r="F349" s="200"/>
    </row>
    <row r="350" spans="1:6" x14ac:dyDescent="0.3">
      <c r="A350" s="117"/>
      <c r="B350" s="117"/>
      <c r="C350" s="117"/>
      <c r="D350" s="117"/>
      <c r="E350" s="200"/>
      <c r="F350" s="200"/>
    </row>
    <row r="351" spans="1:6" x14ac:dyDescent="0.3">
      <c r="A351" s="117"/>
      <c r="B351" s="117"/>
      <c r="C351" s="117"/>
      <c r="D351" s="117"/>
      <c r="E351" s="200"/>
      <c r="F351" s="200"/>
    </row>
    <row r="352" spans="1:6" x14ac:dyDescent="0.3">
      <c r="A352" s="117"/>
      <c r="B352" s="117"/>
      <c r="C352" s="117"/>
      <c r="D352" s="117"/>
      <c r="E352" s="200"/>
      <c r="F352" s="200"/>
    </row>
    <row r="353" spans="1:6" x14ac:dyDescent="0.3">
      <c r="A353" s="117"/>
      <c r="B353" s="117"/>
      <c r="C353" s="117"/>
      <c r="D353" s="117"/>
      <c r="E353" s="200"/>
      <c r="F353" s="200"/>
    </row>
    <row r="354" spans="1:6" x14ac:dyDescent="0.3">
      <c r="A354" s="117"/>
      <c r="B354" s="117"/>
      <c r="C354" s="117"/>
      <c r="D354" s="117"/>
      <c r="E354" s="200"/>
      <c r="F354" s="200"/>
    </row>
    <row r="355" spans="1:6" x14ac:dyDescent="0.3">
      <c r="A355" s="117"/>
      <c r="B355" s="117"/>
      <c r="C355" s="117"/>
      <c r="D355" s="117"/>
      <c r="E355" s="200"/>
      <c r="F355" s="200"/>
    </row>
    <row r="356" spans="1:6" x14ac:dyDescent="0.3">
      <c r="A356" s="117"/>
      <c r="B356" s="117"/>
      <c r="C356" s="117"/>
      <c r="D356" s="117"/>
      <c r="E356" s="200"/>
      <c r="F356" s="200"/>
    </row>
    <row r="357" spans="1:6" x14ac:dyDescent="0.3">
      <c r="A357" s="117"/>
      <c r="B357" s="117"/>
      <c r="C357" s="117"/>
      <c r="D357" s="117"/>
      <c r="E357" s="200"/>
      <c r="F357" s="200"/>
    </row>
    <row r="358" spans="1:6" x14ac:dyDescent="0.3">
      <c r="A358" s="117"/>
      <c r="B358" s="117"/>
      <c r="C358" s="117"/>
      <c r="D358" s="117"/>
      <c r="E358" s="200"/>
      <c r="F358" s="200"/>
    </row>
    <row r="359" spans="1:6" x14ac:dyDescent="0.3">
      <c r="A359" s="117"/>
      <c r="B359" s="117"/>
      <c r="C359" s="117"/>
      <c r="D359" s="117"/>
      <c r="E359" s="200"/>
      <c r="F359" s="200"/>
    </row>
    <row r="360" spans="1:6" x14ac:dyDescent="0.3">
      <c r="A360" s="117"/>
      <c r="B360" s="117"/>
      <c r="C360" s="117"/>
      <c r="D360" s="117"/>
      <c r="E360" s="200"/>
      <c r="F360" s="200"/>
    </row>
    <row r="361" spans="1:6" x14ac:dyDescent="0.3">
      <c r="A361" s="117"/>
      <c r="B361" s="117"/>
      <c r="C361" s="117"/>
      <c r="D361" s="117"/>
      <c r="E361" s="200"/>
      <c r="F361" s="200"/>
    </row>
    <row r="362" spans="1:6" x14ac:dyDescent="0.3">
      <c r="A362" s="117"/>
      <c r="B362" s="117"/>
      <c r="C362" s="117"/>
      <c r="D362" s="117"/>
      <c r="E362" s="200"/>
      <c r="F362" s="200"/>
    </row>
    <row r="363" spans="1:6" x14ac:dyDescent="0.3">
      <c r="A363" s="117"/>
      <c r="B363" s="117"/>
      <c r="C363" s="117"/>
      <c r="D363" s="117"/>
      <c r="E363" s="200"/>
      <c r="F363" s="200"/>
    </row>
    <row r="364" spans="1:6" x14ac:dyDescent="0.3">
      <c r="A364" s="117"/>
      <c r="B364" s="117"/>
      <c r="C364" s="117"/>
      <c r="D364" s="117"/>
      <c r="E364" s="200"/>
      <c r="F364" s="200"/>
    </row>
    <row r="365" spans="1:6" x14ac:dyDescent="0.3">
      <c r="A365" s="117"/>
      <c r="B365" s="117"/>
      <c r="C365" s="117"/>
      <c r="D365" s="117"/>
      <c r="E365" s="200"/>
      <c r="F365" s="200"/>
    </row>
    <row r="366" spans="1:6" x14ac:dyDescent="0.3">
      <c r="A366" s="117"/>
      <c r="B366" s="117"/>
      <c r="C366" s="117"/>
      <c r="D366" s="117"/>
      <c r="E366" s="200"/>
      <c r="F366" s="200"/>
    </row>
    <row r="367" spans="1:6" x14ac:dyDescent="0.3">
      <c r="A367" s="117"/>
      <c r="B367" s="117"/>
      <c r="C367" s="117"/>
      <c r="D367" s="117"/>
      <c r="E367" s="200"/>
      <c r="F367" s="200"/>
    </row>
    <row r="368" spans="1:6" x14ac:dyDescent="0.3">
      <c r="A368" s="117"/>
      <c r="B368" s="117"/>
      <c r="C368" s="117"/>
      <c r="D368" s="117"/>
      <c r="E368" s="200"/>
      <c r="F368" s="200"/>
    </row>
    <row r="369" spans="1:6" x14ac:dyDescent="0.3">
      <c r="A369" s="117"/>
      <c r="B369" s="117"/>
      <c r="C369" s="117"/>
      <c r="D369" s="117"/>
      <c r="E369" s="200"/>
      <c r="F369" s="200"/>
    </row>
    <row r="370" spans="1:6" x14ac:dyDescent="0.3">
      <c r="A370" s="117"/>
      <c r="B370" s="117"/>
      <c r="C370" s="117"/>
      <c r="D370" s="117"/>
      <c r="E370" s="200"/>
      <c r="F370" s="200"/>
    </row>
    <row r="371" spans="1:6" x14ac:dyDescent="0.3">
      <c r="A371" s="117"/>
      <c r="B371" s="117"/>
      <c r="C371" s="117"/>
      <c r="D371" s="117"/>
      <c r="E371" s="200"/>
      <c r="F371" s="200"/>
    </row>
    <row r="372" spans="1:6" x14ac:dyDescent="0.3">
      <c r="A372" s="117"/>
      <c r="B372" s="117"/>
      <c r="C372" s="117"/>
      <c r="D372" s="117"/>
      <c r="E372" s="200"/>
      <c r="F372" s="200"/>
    </row>
    <row r="373" spans="1:6" x14ac:dyDescent="0.3">
      <c r="A373" s="117"/>
      <c r="B373" s="117"/>
      <c r="C373" s="117"/>
      <c r="D373" s="117"/>
      <c r="E373" s="200"/>
      <c r="F373" s="200"/>
    </row>
    <row r="374" spans="1:6" x14ac:dyDescent="0.3">
      <c r="A374" s="117"/>
      <c r="B374" s="117"/>
      <c r="C374" s="117"/>
      <c r="D374" s="117"/>
      <c r="E374" s="200"/>
      <c r="F374" s="200"/>
    </row>
    <row r="375" spans="1:6" x14ac:dyDescent="0.3">
      <c r="A375" s="117"/>
      <c r="B375" s="117"/>
      <c r="C375" s="117"/>
      <c r="D375" s="117"/>
      <c r="E375" s="200"/>
      <c r="F375" s="200"/>
    </row>
    <row r="376" spans="1:6" x14ac:dyDescent="0.3">
      <c r="A376" s="117"/>
      <c r="B376" s="117"/>
      <c r="C376" s="117"/>
      <c r="D376" s="117"/>
      <c r="E376" s="200"/>
      <c r="F376" s="200"/>
    </row>
    <row r="377" spans="1:6" x14ac:dyDescent="0.3">
      <c r="A377" s="117"/>
      <c r="B377" s="117"/>
      <c r="C377" s="117"/>
      <c r="D377" s="117"/>
      <c r="E377" s="200"/>
      <c r="F377" s="200"/>
    </row>
    <row r="378" spans="1:6" x14ac:dyDescent="0.3">
      <c r="A378" s="117"/>
      <c r="B378" s="117"/>
      <c r="C378" s="117"/>
      <c r="D378" s="117"/>
      <c r="E378" s="200"/>
      <c r="F378" s="200"/>
    </row>
    <row r="379" spans="1:6" x14ac:dyDescent="0.3">
      <c r="A379" s="117"/>
      <c r="B379" s="117"/>
      <c r="C379" s="117"/>
      <c r="D379" s="117"/>
      <c r="E379" s="200"/>
      <c r="F379" s="200"/>
    </row>
    <row r="380" spans="1:6" x14ac:dyDescent="0.3">
      <c r="A380" s="117"/>
      <c r="B380" s="117"/>
      <c r="C380" s="117"/>
      <c r="D380" s="117"/>
      <c r="E380" s="200"/>
      <c r="F380" s="200"/>
    </row>
    <row r="381" spans="1:6" x14ac:dyDescent="0.3">
      <c r="A381" s="117"/>
      <c r="B381" s="117"/>
      <c r="C381" s="117"/>
      <c r="D381" s="117"/>
      <c r="E381" s="200"/>
      <c r="F381" s="200"/>
    </row>
    <row r="382" spans="1:6" x14ac:dyDescent="0.3">
      <c r="A382" s="117"/>
      <c r="B382" s="117"/>
      <c r="C382" s="117"/>
      <c r="D382" s="117"/>
      <c r="E382" s="200"/>
      <c r="F382" s="200"/>
    </row>
    <row r="383" spans="1:6" x14ac:dyDescent="0.3">
      <c r="A383" s="117"/>
      <c r="B383" s="117"/>
      <c r="C383" s="117"/>
      <c r="D383" s="117"/>
      <c r="E383" s="200"/>
      <c r="F383" s="200"/>
    </row>
    <row r="384" spans="1:6" x14ac:dyDescent="0.3">
      <c r="A384" s="117"/>
      <c r="B384" s="117"/>
      <c r="C384" s="117"/>
      <c r="D384" s="117"/>
      <c r="E384" s="200"/>
      <c r="F384" s="200"/>
    </row>
    <row r="385" spans="1:6" x14ac:dyDescent="0.3">
      <c r="A385" s="117"/>
      <c r="B385" s="117"/>
      <c r="C385" s="117"/>
      <c r="D385" s="117"/>
      <c r="E385" s="200"/>
      <c r="F385" s="200"/>
    </row>
    <row r="386" spans="1:6" x14ac:dyDescent="0.3">
      <c r="A386" s="117"/>
      <c r="B386" s="117"/>
      <c r="C386" s="117"/>
      <c r="D386" s="117"/>
      <c r="E386" s="200"/>
      <c r="F386" s="200"/>
    </row>
    <row r="387" spans="1:6" x14ac:dyDescent="0.3">
      <c r="A387" s="117"/>
      <c r="B387" s="117"/>
      <c r="C387" s="117"/>
      <c r="D387" s="117"/>
      <c r="E387" s="200"/>
      <c r="F387" s="200"/>
    </row>
    <row r="388" spans="1:6" x14ac:dyDescent="0.3">
      <c r="A388" s="117"/>
      <c r="B388" s="117"/>
      <c r="C388" s="117"/>
      <c r="D388" s="117"/>
      <c r="E388" s="200"/>
      <c r="F388" s="200"/>
    </row>
    <row r="389" spans="1:6" x14ac:dyDescent="0.3">
      <c r="A389" s="117"/>
      <c r="B389" s="117"/>
      <c r="C389" s="117"/>
      <c r="D389" s="117"/>
      <c r="E389" s="200"/>
      <c r="F389" s="200"/>
    </row>
    <row r="390" spans="1:6" x14ac:dyDescent="0.3">
      <c r="A390" s="117"/>
      <c r="B390" s="117"/>
      <c r="C390" s="117"/>
      <c r="D390" s="117"/>
      <c r="E390" s="200"/>
      <c r="F390" s="200"/>
    </row>
    <row r="391" spans="1:6" x14ac:dyDescent="0.3">
      <c r="A391" s="117"/>
      <c r="B391" s="117"/>
      <c r="C391" s="117"/>
      <c r="D391" s="117"/>
      <c r="E391" s="200"/>
      <c r="F391" s="200"/>
    </row>
    <row r="392" spans="1:6" x14ac:dyDescent="0.3">
      <c r="A392" s="117"/>
      <c r="B392" s="117"/>
      <c r="C392" s="117"/>
      <c r="D392" s="117"/>
      <c r="E392" s="200"/>
      <c r="F392" s="200"/>
    </row>
    <row r="393" spans="1:6" x14ac:dyDescent="0.3">
      <c r="A393" s="117"/>
      <c r="B393" s="117"/>
      <c r="C393" s="117"/>
      <c r="D393" s="117"/>
      <c r="E393" s="200"/>
      <c r="F393" s="200"/>
    </row>
    <row r="394" spans="1:6" x14ac:dyDescent="0.3">
      <c r="A394" s="117"/>
      <c r="B394" s="117"/>
      <c r="C394" s="117"/>
      <c r="D394" s="117"/>
      <c r="E394" s="200"/>
      <c r="F394" s="200"/>
    </row>
    <row r="395" spans="1:6" x14ac:dyDescent="0.3">
      <c r="A395" s="117"/>
      <c r="B395" s="117"/>
      <c r="C395" s="117"/>
      <c r="D395" s="117"/>
      <c r="E395" s="200"/>
      <c r="F395" s="200"/>
    </row>
    <row r="396" spans="1:6" x14ac:dyDescent="0.3">
      <c r="A396" s="117"/>
      <c r="B396" s="117"/>
      <c r="C396" s="117"/>
      <c r="D396" s="117"/>
      <c r="E396" s="200"/>
      <c r="F396" s="200"/>
    </row>
    <row r="397" spans="1:6" x14ac:dyDescent="0.3">
      <c r="A397" s="117"/>
      <c r="B397" s="117"/>
      <c r="C397" s="117"/>
      <c r="D397" s="117"/>
      <c r="E397" s="200"/>
      <c r="F397" s="200"/>
    </row>
    <row r="398" spans="1:6" x14ac:dyDescent="0.3">
      <c r="A398" s="117"/>
      <c r="B398" s="117"/>
      <c r="C398" s="117"/>
      <c r="D398" s="117"/>
      <c r="E398" s="200"/>
      <c r="F398" s="200"/>
    </row>
    <row r="399" spans="1:6" x14ac:dyDescent="0.3">
      <c r="A399" s="117"/>
      <c r="B399" s="117"/>
      <c r="C399" s="117"/>
      <c r="D399" s="117"/>
      <c r="E399" s="200"/>
      <c r="F399" s="200"/>
    </row>
    <row r="400" spans="1:6" x14ac:dyDescent="0.3">
      <c r="A400" s="117"/>
      <c r="B400" s="117"/>
      <c r="C400" s="117"/>
      <c r="D400" s="117"/>
      <c r="E400" s="200"/>
      <c r="F400" s="200"/>
    </row>
    <row r="401" spans="1:6" x14ac:dyDescent="0.3">
      <c r="A401" s="117"/>
      <c r="B401" s="117"/>
      <c r="C401" s="117"/>
      <c r="D401" s="117"/>
      <c r="E401" s="200"/>
      <c r="F401" s="200"/>
    </row>
    <row r="402" spans="1:6" x14ac:dyDescent="0.3">
      <c r="A402" s="117"/>
      <c r="B402" s="117"/>
      <c r="C402" s="117"/>
      <c r="D402" s="117"/>
      <c r="E402" s="200"/>
      <c r="F402" s="200"/>
    </row>
    <row r="403" spans="1:6" x14ac:dyDescent="0.3">
      <c r="A403" s="117"/>
      <c r="B403" s="117"/>
      <c r="C403" s="117"/>
      <c r="D403" s="117"/>
      <c r="E403" s="200"/>
      <c r="F403" s="200"/>
    </row>
    <row r="404" spans="1:6" x14ac:dyDescent="0.3">
      <c r="A404" s="117"/>
      <c r="B404" s="117"/>
      <c r="C404" s="117"/>
      <c r="D404" s="117"/>
      <c r="E404" s="200"/>
      <c r="F404" s="200"/>
    </row>
    <row r="405" spans="1:6" x14ac:dyDescent="0.3">
      <c r="A405" s="117"/>
      <c r="B405" s="117"/>
      <c r="C405" s="117"/>
      <c r="D405" s="117"/>
      <c r="E405" s="200"/>
      <c r="F405" s="200"/>
    </row>
    <row r="406" spans="1:6" x14ac:dyDescent="0.3">
      <c r="A406" s="117"/>
      <c r="B406" s="117"/>
      <c r="C406" s="117"/>
      <c r="D406" s="117"/>
      <c r="E406" s="200"/>
      <c r="F406" s="200"/>
    </row>
    <row r="407" spans="1:6" x14ac:dyDescent="0.3">
      <c r="A407" s="117"/>
      <c r="B407" s="117"/>
      <c r="C407" s="117"/>
      <c r="D407" s="117"/>
      <c r="E407" s="200"/>
      <c r="F407" s="200"/>
    </row>
    <row r="408" spans="1:6" x14ac:dyDescent="0.3">
      <c r="A408" s="117"/>
      <c r="B408" s="117"/>
      <c r="C408" s="117"/>
      <c r="D408" s="117"/>
      <c r="E408" s="200"/>
      <c r="F408" s="200"/>
    </row>
    <row r="409" spans="1:6" x14ac:dyDescent="0.3">
      <c r="A409" s="117"/>
      <c r="B409" s="117"/>
      <c r="C409" s="117"/>
      <c r="D409" s="117"/>
      <c r="E409" s="200"/>
      <c r="F409" s="200"/>
    </row>
    <row r="410" spans="1:6" x14ac:dyDescent="0.3">
      <c r="A410" s="117"/>
      <c r="B410" s="117"/>
      <c r="C410" s="117"/>
      <c r="D410" s="117"/>
      <c r="E410" s="200"/>
      <c r="F410" s="200"/>
    </row>
    <row r="411" spans="1:6" x14ac:dyDescent="0.3">
      <c r="A411" s="117"/>
      <c r="B411" s="117"/>
      <c r="C411" s="117"/>
      <c r="D411" s="117"/>
      <c r="E411" s="200"/>
      <c r="F411" s="200"/>
    </row>
    <row r="412" spans="1:6" x14ac:dyDescent="0.3">
      <c r="A412" s="117"/>
      <c r="B412" s="117"/>
      <c r="C412" s="117"/>
      <c r="D412" s="117"/>
      <c r="E412" s="200"/>
      <c r="F412" s="200"/>
    </row>
    <row r="413" spans="1:6" x14ac:dyDescent="0.3">
      <c r="A413" s="117"/>
      <c r="B413" s="117"/>
      <c r="C413" s="117"/>
      <c r="D413" s="117"/>
      <c r="E413" s="200"/>
      <c r="F413" s="200"/>
    </row>
    <row r="414" spans="1:6" x14ac:dyDescent="0.3">
      <c r="A414" s="117"/>
      <c r="B414" s="117"/>
      <c r="C414" s="117"/>
      <c r="D414" s="117"/>
      <c r="E414" s="200"/>
      <c r="F414" s="200"/>
    </row>
    <row r="415" spans="1:6" x14ac:dyDescent="0.3">
      <c r="A415" s="117"/>
      <c r="B415" s="117"/>
      <c r="C415" s="117"/>
      <c r="D415" s="117"/>
      <c r="E415" s="200"/>
      <c r="F415" s="200"/>
    </row>
    <row r="416" spans="1:6" x14ac:dyDescent="0.3">
      <c r="A416" s="117"/>
      <c r="B416" s="117"/>
      <c r="C416" s="117"/>
      <c r="D416" s="117"/>
      <c r="E416" s="200"/>
      <c r="F416" s="200"/>
    </row>
    <row r="417" spans="1:6" x14ac:dyDescent="0.3">
      <c r="A417" s="117"/>
      <c r="B417" s="117"/>
      <c r="C417" s="117"/>
      <c r="D417" s="117"/>
      <c r="E417" s="200"/>
      <c r="F417" s="200"/>
    </row>
    <row r="418" spans="1:6" x14ac:dyDescent="0.3">
      <c r="A418" s="117"/>
      <c r="B418" s="117"/>
      <c r="C418" s="117"/>
      <c r="D418" s="117"/>
      <c r="E418" s="200"/>
      <c r="F418" s="200"/>
    </row>
    <row r="419" spans="1:6" x14ac:dyDescent="0.3">
      <c r="A419" s="117"/>
      <c r="B419" s="117"/>
      <c r="C419" s="117"/>
      <c r="D419" s="117"/>
      <c r="E419" s="200"/>
      <c r="F419" s="200"/>
    </row>
    <row r="420" spans="1:6" x14ac:dyDescent="0.3">
      <c r="A420" s="117"/>
      <c r="B420" s="117"/>
      <c r="C420" s="117"/>
      <c r="D420" s="117"/>
      <c r="E420" s="200"/>
      <c r="F420" s="200"/>
    </row>
    <row r="421" spans="1:6" x14ac:dyDescent="0.3">
      <c r="A421" s="117"/>
      <c r="B421" s="117"/>
      <c r="C421" s="117"/>
      <c r="D421" s="117"/>
      <c r="E421" s="200"/>
      <c r="F421" s="200"/>
    </row>
    <row r="422" spans="1:6" x14ac:dyDescent="0.3">
      <c r="A422" s="117"/>
      <c r="B422" s="117"/>
      <c r="C422" s="117"/>
      <c r="D422" s="117"/>
      <c r="E422" s="200"/>
      <c r="F422" s="200"/>
    </row>
    <row r="423" spans="1:6" x14ac:dyDescent="0.3">
      <c r="A423" s="117"/>
      <c r="B423" s="117"/>
      <c r="C423" s="117"/>
      <c r="D423" s="117"/>
      <c r="E423" s="200"/>
      <c r="F423" s="200"/>
    </row>
    <row r="424" spans="1:6" x14ac:dyDescent="0.3">
      <c r="A424" s="117"/>
      <c r="B424" s="117"/>
      <c r="C424" s="117"/>
      <c r="D424" s="117"/>
      <c r="E424" s="200"/>
      <c r="F424" s="200"/>
    </row>
    <row r="425" spans="1:6" x14ac:dyDescent="0.3">
      <c r="A425" s="117"/>
      <c r="B425" s="117"/>
      <c r="C425" s="117"/>
      <c r="D425" s="117"/>
      <c r="E425" s="200"/>
      <c r="F425" s="200"/>
    </row>
    <row r="426" spans="1:6" x14ac:dyDescent="0.3">
      <c r="A426" s="117"/>
      <c r="B426" s="117"/>
      <c r="C426" s="117"/>
      <c r="D426" s="117"/>
      <c r="E426" s="200"/>
      <c r="F426" s="200"/>
    </row>
    <row r="427" spans="1:6" x14ac:dyDescent="0.3">
      <c r="A427" s="117"/>
      <c r="B427" s="117"/>
      <c r="C427" s="117"/>
      <c r="D427" s="117"/>
      <c r="E427" s="200"/>
      <c r="F427" s="200"/>
    </row>
    <row r="428" spans="1:6" x14ac:dyDescent="0.3">
      <c r="A428" s="117"/>
      <c r="B428" s="117"/>
      <c r="C428" s="117"/>
      <c r="D428" s="117"/>
      <c r="E428" s="200"/>
      <c r="F428" s="200"/>
    </row>
    <row r="429" spans="1:6" x14ac:dyDescent="0.3">
      <c r="A429" s="117"/>
      <c r="B429" s="117"/>
      <c r="C429" s="117"/>
      <c r="D429" s="117"/>
      <c r="E429" s="200"/>
      <c r="F429" s="200"/>
    </row>
    <row r="430" spans="1:6" x14ac:dyDescent="0.3">
      <c r="A430" s="117"/>
      <c r="B430" s="117"/>
      <c r="C430" s="117"/>
      <c r="D430" s="117"/>
      <c r="E430" s="200"/>
      <c r="F430" s="200"/>
    </row>
    <row r="431" spans="1:6" x14ac:dyDescent="0.3">
      <c r="A431" s="117"/>
      <c r="B431" s="117"/>
      <c r="C431" s="117"/>
      <c r="D431" s="117"/>
      <c r="E431" s="200"/>
      <c r="F431" s="200"/>
    </row>
    <row r="432" spans="1:6" x14ac:dyDescent="0.3">
      <c r="A432" s="117"/>
      <c r="B432" s="117"/>
      <c r="C432" s="117"/>
      <c r="D432" s="117"/>
      <c r="E432" s="200"/>
      <c r="F432" s="200"/>
    </row>
    <row r="433" spans="1:6" x14ac:dyDescent="0.3">
      <c r="A433" s="117"/>
      <c r="B433" s="117"/>
      <c r="C433" s="117"/>
      <c r="D433" s="117"/>
      <c r="E433" s="200"/>
      <c r="F433" s="200"/>
    </row>
    <row r="434" spans="1:6" x14ac:dyDescent="0.3">
      <c r="A434" s="117"/>
      <c r="B434" s="117"/>
      <c r="C434" s="117"/>
      <c r="D434" s="117"/>
      <c r="E434" s="200"/>
      <c r="F434" s="200"/>
    </row>
    <row r="435" spans="1:6" x14ac:dyDescent="0.3">
      <c r="A435" s="117"/>
      <c r="B435" s="117"/>
      <c r="C435" s="117"/>
      <c r="D435" s="117"/>
      <c r="E435" s="200"/>
      <c r="F435" s="200"/>
    </row>
    <row r="436" spans="1:6" x14ac:dyDescent="0.3">
      <c r="A436" s="117"/>
      <c r="B436" s="117"/>
      <c r="C436" s="117"/>
      <c r="D436" s="117"/>
      <c r="E436" s="200"/>
      <c r="F436" s="200"/>
    </row>
    <row r="437" spans="1:6" x14ac:dyDescent="0.3">
      <c r="A437" s="117"/>
      <c r="B437" s="117"/>
      <c r="C437" s="117"/>
      <c r="D437" s="117"/>
      <c r="E437" s="200"/>
      <c r="F437" s="200"/>
    </row>
    <row r="438" spans="1:6" x14ac:dyDescent="0.3">
      <c r="A438" s="117"/>
      <c r="B438" s="117"/>
      <c r="C438" s="117"/>
      <c r="D438" s="117"/>
      <c r="E438" s="200"/>
      <c r="F438" s="200"/>
    </row>
    <row r="439" spans="1:6" x14ac:dyDescent="0.3">
      <c r="A439" s="117"/>
      <c r="B439" s="117"/>
      <c r="C439" s="117"/>
      <c r="D439" s="117"/>
      <c r="E439" s="200"/>
      <c r="F439" s="200"/>
    </row>
    <row r="440" spans="1:6" x14ac:dyDescent="0.3">
      <c r="A440" s="117"/>
      <c r="B440" s="117"/>
      <c r="C440" s="117"/>
      <c r="D440" s="117"/>
      <c r="E440" s="200"/>
      <c r="F440" s="200"/>
    </row>
    <row r="441" spans="1:6" x14ac:dyDescent="0.3">
      <c r="A441" s="117"/>
      <c r="B441" s="117"/>
      <c r="C441" s="117"/>
      <c r="D441" s="117"/>
      <c r="E441" s="200"/>
      <c r="F441" s="200"/>
    </row>
    <row r="442" spans="1:6" x14ac:dyDescent="0.3">
      <c r="A442" s="117"/>
      <c r="B442" s="117"/>
      <c r="C442" s="117"/>
      <c r="D442" s="117"/>
      <c r="E442" s="200"/>
      <c r="F442" s="200"/>
    </row>
    <row r="443" spans="1:6" x14ac:dyDescent="0.3">
      <c r="A443" s="117"/>
      <c r="B443" s="117"/>
      <c r="C443" s="117"/>
      <c r="D443" s="117"/>
      <c r="E443" s="200"/>
      <c r="F443" s="200"/>
    </row>
    <row r="444" spans="1:6" x14ac:dyDescent="0.3">
      <c r="A444" s="117"/>
      <c r="B444" s="117"/>
      <c r="C444" s="117"/>
      <c r="D444" s="117"/>
      <c r="E444" s="200"/>
      <c r="F444" s="200"/>
    </row>
    <row r="445" spans="1:6" x14ac:dyDescent="0.3">
      <c r="A445" s="117"/>
      <c r="B445" s="117"/>
      <c r="C445" s="117"/>
      <c r="D445" s="117"/>
      <c r="E445" s="200"/>
      <c r="F445" s="200"/>
    </row>
    <row r="446" spans="1:6" x14ac:dyDescent="0.3">
      <c r="A446" s="117"/>
      <c r="B446" s="117"/>
      <c r="C446" s="117"/>
      <c r="D446" s="117"/>
      <c r="E446" s="200"/>
      <c r="F446" s="200"/>
    </row>
    <row r="447" spans="1:6" x14ac:dyDescent="0.3">
      <c r="A447" s="117"/>
      <c r="B447" s="117"/>
      <c r="C447" s="117"/>
      <c r="D447" s="117"/>
      <c r="E447" s="200"/>
      <c r="F447" s="200"/>
    </row>
    <row r="448" spans="1:6" x14ac:dyDescent="0.3">
      <c r="A448" s="117"/>
      <c r="B448" s="117"/>
      <c r="C448" s="117"/>
      <c r="D448" s="117"/>
      <c r="E448" s="200"/>
      <c r="F448" s="200"/>
    </row>
    <row r="449" spans="1:6" x14ac:dyDescent="0.3">
      <c r="A449" s="117"/>
      <c r="B449" s="117"/>
      <c r="C449" s="117"/>
      <c r="D449" s="117"/>
      <c r="E449" s="200"/>
      <c r="F449" s="200"/>
    </row>
    <row r="450" spans="1:6" x14ac:dyDescent="0.3">
      <c r="A450" s="117"/>
      <c r="B450" s="117"/>
      <c r="C450" s="117"/>
      <c r="D450" s="117"/>
      <c r="E450" s="200"/>
      <c r="F450" s="200"/>
    </row>
    <row r="451" spans="1:6" x14ac:dyDescent="0.3">
      <c r="A451" s="117"/>
      <c r="B451" s="117"/>
      <c r="C451" s="117"/>
      <c r="D451" s="117"/>
      <c r="E451" s="200"/>
      <c r="F451" s="200"/>
    </row>
    <row r="452" spans="1:6" x14ac:dyDescent="0.3">
      <c r="A452" s="117"/>
      <c r="B452" s="117"/>
      <c r="C452" s="117"/>
      <c r="D452" s="117"/>
      <c r="E452" s="200"/>
      <c r="F452" s="200"/>
    </row>
    <row r="453" spans="1:6" x14ac:dyDescent="0.3">
      <c r="A453" s="117"/>
      <c r="B453" s="117"/>
      <c r="C453" s="117"/>
      <c r="D453" s="117"/>
      <c r="E453" s="200"/>
      <c r="F453" s="200"/>
    </row>
    <row r="454" spans="1:6" x14ac:dyDescent="0.3">
      <c r="A454" s="117"/>
      <c r="B454" s="117"/>
      <c r="C454" s="117"/>
      <c r="D454" s="117"/>
      <c r="E454" s="200"/>
      <c r="F454" s="200"/>
    </row>
    <row r="455" spans="1:6" x14ac:dyDescent="0.3">
      <c r="A455" s="117"/>
      <c r="B455" s="117"/>
      <c r="C455" s="117"/>
      <c r="D455" s="117"/>
      <c r="E455" s="200"/>
      <c r="F455" s="200"/>
    </row>
    <row r="456" spans="1:6" x14ac:dyDescent="0.3">
      <c r="A456" s="117"/>
      <c r="B456" s="117"/>
      <c r="C456" s="117"/>
      <c r="D456" s="117"/>
      <c r="E456" s="200"/>
      <c r="F456" s="200"/>
    </row>
    <row r="457" spans="1:6" x14ac:dyDescent="0.3">
      <c r="A457" s="117"/>
      <c r="B457" s="117"/>
      <c r="C457" s="117"/>
      <c r="D457" s="117"/>
      <c r="E457" s="200"/>
      <c r="F457" s="200"/>
    </row>
    <row r="458" spans="1:6" x14ac:dyDescent="0.3">
      <c r="A458" s="117"/>
      <c r="B458" s="117"/>
      <c r="C458" s="117"/>
      <c r="D458" s="117"/>
      <c r="E458" s="200"/>
      <c r="F458" s="200"/>
    </row>
    <row r="459" spans="1:6" x14ac:dyDescent="0.3">
      <c r="A459" s="117"/>
      <c r="B459" s="117"/>
      <c r="C459" s="117"/>
      <c r="D459" s="117"/>
      <c r="E459" s="200"/>
      <c r="F459" s="200"/>
    </row>
    <row r="460" spans="1:6" x14ac:dyDescent="0.3">
      <c r="A460" s="117"/>
      <c r="B460" s="117"/>
      <c r="C460" s="117"/>
      <c r="D460" s="117"/>
      <c r="E460" s="200"/>
      <c r="F460" s="200"/>
    </row>
    <row r="461" spans="1:6" x14ac:dyDescent="0.3">
      <c r="A461" s="117"/>
      <c r="B461" s="117"/>
      <c r="C461" s="117"/>
      <c r="D461" s="117"/>
      <c r="E461" s="200"/>
      <c r="F461" s="200"/>
    </row>
    <row r="462" spans="1:6" x14ac:dyDescent="0.3">
      <c r="A462" s="117"/>
      <c r="B462" s="117"/>
      <c r="C462" s="117"/>
      <c r="D462" s="117"/>
      <c r="E462" s="200"/>
      <c r="F462" s="200"/>
    </row>
    <row r="463" spans="1:6" x14ac:dyDescent="0.3">
      <c r="A463" s="117"/>
      <c r="B463" s="117"/>
      <c r="C463" s="117"/>
      <c r="D463" s="117"/>
      <c r="E463" s="200"/>
      <c r="F463" s="200"/>
    </row>
    <row r="464" spans="1:6" x14ac:dyDescent="0.3">
      <c r="A464" s="117"/>
      <c r="B464" s="117"/>
      <c r="C464" s="117"/>
      <c r="D464" s="117"/>
      <c r="E464" s="200"/>
      <c r="F464" s="200"/>
    </row>
    <row r="465" spans="1:6" x14ac:dyDescent="0.3">
      <c r="A465" s="117"/>
      <c r="B465" s="117"/>
      <c r="C465" s="117"/>
      <c r="D465" s="117"/>
      <c r="E465" s="200"/>
      <c r="F465" s="200"/>
    </row>
    <row r="466" spans="1:6" x14ac:dyDescent="0.3">
      <c r="A466" s="117"/>
      <c r="B466" s="117"/>
      <c r="C466" s="117"/>
      <c r="D466" s="117"/>
      <c r="E466" s="200"/>
      <c r="F466" s="200"/>
    </row>
    <row r="467" spans="1:6" x14ac:dyDescent="0.3">
      <c r="A467" s="117"/>
      <c r="B467" s="117"/>
      <c r="C467" s="117"/>
      <c r="D467" s="117"/>
      <c r="E467" s="200"/>
      <c r="F467" s="200"/>
    </row>
    <row r="468" spans="1:6" x14ac:dyDescent="0.3">
      <c r="A468" s="117"/>
      <c r="B468" s="117"/>
      <c r="C468" s="117"/>
      <c r="D468" s="117"/>
      <c r="E468" s="200"/>
      <c r="F468" s="200"/>
    </row>
    <row r="469" spans="1:6" x14ac:dyDescent="0.3">
      <c r="A469" s="117"/>
      <c r="B469" s="117"/>
      <c r="C469" s="117"/>
      <c r="D469" s="117"/>
      <c r="E469" s="200"/>
      <c r="F469" s="200"/>
    </row>
    <row r="470" spans="1:6" x14ac:dyDescent="0.3">
      <c r="A470" s="117"/>
      <c r="B470" s="117"/>
      <c r="C470" s="117"/>
      <c r="D470" s="117"/>
      <c r="E470" s="200"/>
      <c r="F470" s="200"/>
    </row>
    <row r="471" spans="1:6" x14ac:dyDescent="0.3">
      <c r="A471" s="117"/>
      <c r="B471" s="117"/>
      <c r="C471" s="117"/>
      <c r="D471" s="117"/>
      <c r="E471" s="200"/>
      <c r="F471" s="200"/>
    </row>
    <row r="472" spans="1:6" x14ac:dyDescent="0.3">
      <c r="A472" s="117"/>
      <c r="B472" s="117"/>
      <c r="C472" s="117"/>
      <c r="D472" s="117"/>
      <c r="E472" s="200"/>
      <c r="F472" s="200"/>
    </row>
    <row r="473" spans="1:6" x14ac:dyDescent="0.3">
      <c r="A473" s="117"/>
      <c r="B473" s="117"/>
      <c r="C473" s="117"/>
      <c r="D473" s="117"/>
      <c r="E473" s="200"/>
      <c r="F473" s="200"/>
    </row>
    <row r="474" spans="1:6" x14ac:dyDescent="0.3">
      <c r="A474" s="117"/>
      <c r="B474" s="117"/>
      <c r="C474" s="117"/>
      <c r="D474" s="117"/>
      <c r="E474" s="200"/>
      <c r="F474" s="200"/>
    </row>
    <row r="475" spans="1:6" x14ac:dyDescent="0.3">
      <c r="A475" s="117"/>
      <c r="B475" s="117"/>
      <c r="C475" s="117"/>
      <c r="D475" s="117"/>
      <c r="E475" s="200"/>
      <c r="F475" s="200"/>
    </row>
    <row r="476" spans="1:6" x14ac:dyDescent="0.3">
      <c r="A476" s="117"/>
      <c r="B476" s="117"/>
      <c r="C476" s="117"/>
      <c r="D476" s="117"/>
      <c r="E476" s="200"/>
      <c r="F476" s="200"/>
    </row>
    <row r="477" spans="1:6" x14ac:dyDescent="0.3">
      <c r="A477" s="117"/>
      <c r="B477" s="117"/>
      <c r="C477" s="117"/>
      <c r="D477" s="117"/>
      <c r="E477" s="200"/>
      <c r="F477" s="200"/>
    </row>
    <row r="478" spans="1:6" x14ac:dyDescent="0.3">
      <c r="A478" s="117"/>
      <c r="B478" s="117"/>
      <c r="C478" s="117"/>
      <c r="D478" s="117"/>
      <c r="E478" s="200"/>
      <c r="F478" s="200"/>
    </row>
    <row r="479" spans="1:6" x14ac:dyDescent="0.3">
      <c r="A479" s="117"/>
      <c r="B479" s="117"/>
      <c r="C479" s="117"/>
      <c r="D479" s="117"/>
      <c r="E479" s="200"/>
      <c r="F479" s="200"/>
    </row>
    <row r="480" spans="1:6" x14ac:dyDescent="0.3">
      <c r="A480" s="117"/>
      <c r="B480" s="117"/>
      <c r="C480" s="117"/>
      <c r="D480" s="117"/>
      <c r="E480" s="200"/>
      <c r="F480" s="200"/>
    </row>
    <row r="481" spans="1:6" x14ac:dyDescent="0.3">
      <c r="A481" s="117"/>
      <c r="B481" s="117"/>
      <c r="C481" s="117"/>
      <c r="D481" s="117"/>
      <c r="E481" s="200"/>
      <c r="F481" s="200"/>
    </row>
    <row r="482" spans="1:6" x14ac:dyDescent="0.3">
      <c r="A482" s="117"/>
      <c r="B482" s="117"/>
      <c r="C482" s="117"/>
      <c r="D482" s="117"/>
      <c r="E482" s="200"/>
      <c r="F482" s="200"/>
    </row>
    <row r="483" spans="1:6" x14ac:dyDescent="0.3">
      <c r="A483" s="117"/>
      <c r="B483" s="117"/>
      <c r="C483" s="117"/>
      <c r="D483" s="117"/>
      <c r="E483" s="200"/>
      <c r="F483" s="200"/>
    </row>
    <row r="484" spans="1:6" x14ac:dyDescent="0.3">
      <c r="A484" s="117"/>
      <c r="B484" s="117"/>
      <c r="C484" s="117"/>
      <c r="D484" s="117"/>
      <c r="E484" s="200"/>
      <c r="F484" s="200"/>
    </row>
    <row r="485" spans="1:6" x14ac:dyDescent="0.3">
      <c r="A485" s="117"/>
      <c r="B485" s="117"/>
      <c r="C485" s="117"/>
      <c r="D485" s="117"/>
      <c r="E485" s="200"/>
      <c r="F485" s="200"/>
    </row>
    <row r="486" spans="1:6" x14ac:dyDescent="0.3">
      <c r="A486" s="117"/>
      <c r="B486" s="117"/>
      <c r="C486" s="117"/>
      <c r="D486" s="117"/>
      <c r="E486" s="200"/>
      <c r="F486" s="200"/>
    </row>
    <row r="487" spans="1:6" x14ac:dyDescent="0.3">
      <c r="A487" s="117"/>
      <c r="B487" s="117"/>
      <c r="C487" s="117"/>
      <c r="D487" s="117"/>
      <c r="E487" s="200"/>
      <c r="F487" s="200"/>
    </row>
    <row r="488" spans="1:6" x14ac:dyDescent="0.3">
      <c r="A488" s="117"/>
      <c r="B488" s="117"/>
      <c r="C488" s="117"/>
      <c r="D488" s="117"/>
      <c r="E488" s="200"/>
      <c r="F488" s="200"/>
    </row>
    <row r="489" spans="1:6" x14ac:dyDescent="0.3">
      <c r="A489" s="117"/>
      <c r="B489" s="117"/>
      <c r="C489" s="117"/>
      <c r="D489" s="117"/>
      <c r="E489" s="200"/>
      <c r="F489" s="200"/>
    </row>
    <row r="490" spans="1:6" x14ac:dyDescent="0.3">
      <c r="A490" s="117"/>
      <c r="B490" s="117"/>
      <c r="C490" s="117"/>
      <c r="D490" s="117"/>
      <c r="E490" s="200"/>
      <c r="F490" s="200"/>
    </row>
    <row r="491" spans="1:6" x14ac:dyDescent="0.3">
      <c r="A491" s="117"/>
      <c r="B491" s="117"/>
      <c r="C491" s="117"/>
      <c r="D491" s="117"/>
      <c r="E491" s="200"/>
      <c r="F491" s="200"/>
    </row>
    <row r="492" spans="1:6" x14ac:dyDescent="0.3">
      <c r="A492" s="117"/>
      <c r="B492" s="117"/>
      <c r="C492" s="117"/>
      <c r="D492" s="117"/>
      <c r="E492" s="200"/>
      <c r="F492" s="200"/>
    </row>
    <row r="493" spans="1:6" x14ac:dyDescent="0.3">
      <c r="A493" s="117"/>
      <c r="B493" s="117"/>
      <c r="C493" s="117"/>
      <c r="D493" s="117"/>
      <c r="E493" s="200"/>
      <c r="F493" s="200"/>
    </row>
    <row r="494" spans="1:6" x14ac:dyDescent="0.3">
      <c r="A494" s="117"/>
      <c r="B494" s="117"/>
      <c r="C494" s="117"/>
      <c r="D494" s="117"/>
      <c r="E494" s="200"/>
      <c r="F494" s="200"/>
    </row>
    <row r="495" spans="1:6" x14ac:dyDescent="0.3">
      <c r="A495" s="117"/>
      <c r="B495" s="117"/>
      <c r="C495" s="117"/>
      <c r="D495" s="117"/>
      <c r="E495" s="200"/>
      <c r="F495" s="200"/>
    </row>
    <row r="496" spans="1:6" x14ac:dyDescent="0.3">
      <c r="A496" s="117"/>
      <c r="B496" s="117"/>
      <c r="C496" s="117"/>
      <c r="D496" s="117"/>
      <c r="E496" s="200"/>
      <c r="F496" s="200"/>
    </row>
    <row r="497" spans="1:6" x14ac:dyDescent="0.3">
      <c r="A497" s="117"/>
      <c r="B497" s="117"/>
      <c r="C497" s="117"/>
      <c r="D497" s="117"/>
      <c r="E497" s="200"/>
      <c r="F497" s="200"/>
    </row>
    <row r="498" spans="1:6" x14ac:dyDescent="0.3">
      <c r="A498" s="117"/>
      <c r="B498" s="117"/>
      <c r="C498" s="117"/>
      <c r="D498" s="117"/>
      <c r="E498" s="200"/>
      <c r="F498" s="200"/>
    </row>
    <row r="499" spans="1:6" x14ac:dyDescent="0.3">
      <c r="A499" s="117"/>
      <c r="B499" s="117"/>
      <c r="C499" s="117"/>
      <c r="D499" s="117"/>
      <c r="E499" s="200"/>
      <c r="F499" s="200"/>
    </row>
    <row r="500" spans="1:6" x14ac:dyDescent="0.3">
      <c r="A500" s="117"/>
      <c r="B500" s="117"/>
      <c r="C500" s="117"/>
      <c r="D500" s="117"/>
      <c r="E500" s="200"/>
      <c r="F500" s="200"/>
    </row>
    <row r="501" spans="1:6" x14ac:dyDescent="0.3">
      <c r="A501" s="117"/>
      <c r="B501" s="117"/>
      <c r="C501" s="117"/>
      <c r="D501" s="117"/>
      <c r="E501" s="200"/>
      <c r="F501" s="200"/>
    </row>
    <row r="502" spans="1:6" x14ac:dyDescent="0.3">
      <c r="A502" s="117"/>
      <c r="B502" s="117"/>
      <c r="C502" s="117"/>
      <c r="D502" s="117"/>
      <c r="E502" s="200"/>
      <c r="F502" s="200"/>
    </row>
    <row r="503" spans="1:6" x14ac:dyDescent="0.3">
      <c r="A503" s="117"/>
      <c r="B503" s="117"/>
      <c r="C503" s="117"/>
      <c r="D503" s="117"/>
      <c r="E503" s="200"/>
      <c r="F503" s="200"/>
    </row>
    <row r="504" spans="1:6" x14ac:dyDescent="0.3">
      <c r="A504" s="117"/>
      <c r="B504" s="117"/>
      <c r="C504" s="117"/>
      <c r="D504" s="117"/>
      <c r="E504" s="200"/>
      <c r="F504" s="200"/>
    </row>
    <row r="505" spans="1:6" x14ac:dyDescent="0.3">
      <c r="A505" s="117"/>
      <c r="B505" s="117"/>
      <c r="C505" s="117"/>
      <c r="D505" s="117"/>
      <c r="E505" s="200"/>
      <c r="F505" s="200"/>
    </row>
    <row r="506" spans="1:6" x14ac:dyDescent="0.3">
      <c r="A506" s="117"/>
      <c r="B506" s="117"/>
      <c r="C506" s="117"/>
      <c r="D506" s="117"/>
      <c r="E506" s="200"/>
      <c r="F506" s="200"/>
    </row>
    <row r="507" spans="1:6" x14ac:dyDescent="0.3">
      <c r="A507" s="117"/>
      <c r="B507" s="117"/>
      <c r="C507" s="117"/>
      <c r="D507" s="117"/>
      <c r="E507" s="200"/>
      <c r="F507" s="200"/>
    </row>
    <row r="508" spans="1:6" x14ac:dyDescent="0.3">
      <c r="A508" s="117"/>
      <c r="B508" s="117"/>
      <c r="C508" s="117"/>
      <c r="D508" s="117"/>
      <c r="E508" s="200"/>
      <c r="F508" s="200"/>
    </row>
    <row r="509" spans="1:6" x14ac:dyDescent="0.3">
      <c r="A509" s="117"/>
      <c r="B509" s="117"/>
      <c r="C509" s="117"/>
      <c r="D509" s="117"/>
      <c r="E509" s="200"/>
      <c r="F509" s="200"/>
    </row>
    <row r="510" spans="1:6" x14ac:dyDescent="0.3">
      <c r="A510" s="117"/>
      <c r="B510" s="117"/>
      <c r="C510" s="117"/>
      <c r="D510" s="117"/>
      <c r="E510" s="200"/>
      <c r="F510" s="200"/>
    </row>
    <row r="511" spans="1:6" x14ac:dyDescent="0.3">
      <c r="A511" s="117"/>
      <c r="B511" s="117"/>
      <c r="C511" s="117"/>
      <c r="D511" s="117"/>
      <c r="E511" s="200"/>
      <c r="F511" s="200"/>
    </row>
    <row r="512" spans="1:6" x14ac:dyDescent="0.3">
      <c r="A512" s="117"/>
      <c r="B512" s="117"/>
      <c r="C512" s="117"/>
      <c r="D512" s="117"/>
      <c r="E512" s="200"/>
      <c r="F512" s="200"/>
    </row>
    <row r="513" spans="1:6" x14ac:dyDescent="0.3">
      <c r="A513" s="117"/>
      <c r="B513" s="117"/>
      <c r="C513" s="117"/>
      <c r="D513" s="117"/>
      <c r="E513" s="200"/>
      <c r="F513" s="200"/>
    </row>
    <row r="514" spans="1:6" x14ac:dyDescent="0.3">
      <c r="A514" s="117"/>
      <c r="B514" s="117"/>
      <c r="C514" s="117"/>
      <c r="D514" s="117"/>
      <c r="E514" s="200"/>
      <c r="F514" s="200"/>
    </row>
    <row r="515" spans="1:6" x14ac:dyDescent="0.3">
      <c r="A515" s="117"/>
      <c r="B515" s="117"/>
      <c r="C515" s="117"/>
      <c r="D515" s="117"/>
      <c r="E515" s="200"/>
      <c r="F515" s="200"/>
    </row>
    <row r="516" spans="1:6" x14ac:dyDescent="0.3">
      <c r="A516" s="117"/>
      <c r="B516" s="117"/>
      <c r="C516" s="117"/>
      <c r="D516" s="117"/>
      <c r="E516" s="200"/>
      <c r="F516" s="200"/>
    </row>
    <row r="517" spans="1:6" x14ac:dyDescent="0.3">
      <c r="A517" s="117"/>
      <c r="B517" s="117"/>
      <c r="C517" s="117"/>
      <c r="D517" s="117"/>
      <c r="E517" s="200"/>
      <c r="F517" s="200"/>
    </row>
    <row r="518" spans="1:6" x14ac:dyDescent="0.3">
      <c r="A518" s="117"/>
      <c r="B518" s="117"/>
      <c r="C518" s="117"/>
      <c r="D518" s="117"/>
      <c r="E518" s="200"/>
      <c r="F518" s="200"/>
    </row>
    <row r="519" spans="1:6" x14ac:dyDescent="0.3">
      <c r="A519" s="117"/>
      <c r="B519" s="117"/>
      <c r="C519" s="117"/>
      <c r="D519" s="117"/>
      <c r="E519" s="200"/>
      <c r="F519" s="200"/>
    </row>
    <row r="520" spans="1:6" x14ac:dyDescent="0.3">
      <c r="A520" s="117"/>
      <c r="B520" s="117"/>
      <c r="C520" s="117"/>
      <c r="D520" s="117"/>
      <c r="E520" s="200"/>
      <c r="F520" s="200"/>
    </row>
    <row r="521" spans="1:6" x14ac:dyDescent="0.3">
      <c r="A521" s="117"/>
      <c r="B521" s="117"/>
      <c r="C521" s="117"/>
      <c r="D521" s="117"/>
      <c r="E521" s="200"/>
      <c r="F521" s="200"/>
    </row>
    <row r="522" spans="1:6" x14ac:dyDescent="0.3">
      <c r="A522" s="117"/>
      <c r="B522" s="117"/>
      <c r="C522" s="117"/>
      <c r="D522" s="117"/>
      <c r="E522" s="200"/>
      <c r="F522" s="200"/>
    </row>
    <row r="523" spans="1:6" x14ac:dyDescent="0.3">
      <c r="A523" s="117"/>
      <c r="B523" s="117"/>
      <c r="C523" s="117"/>
      <c r="D523" s="117"/>
      <c r="E523" s="200"/>
      <c r="F523" s="200"/>
    </row>
    <row r="524" spans="1:6" x14ac:dyDescent="0.3">
      <c r="A524" s="117"/>
      <c r="B524" s="117"/>
      <c r="C524" s="117"/>
      <c r="D524" s="117"/>
      <c r="E524" s="200"/>
      <c r="F524" s="200"/>
    </row>
    <row r="525" spans="1:6" x14ac:dyDescent="0.3">
      <c r="A525" s="117"/>
      <c r="B525" s="117"/>
      <c r="C525" s="117"/>
      <c r="D525" s="117"/>
      <c r="E525" s="200"/>
      <c r="F525" s="200"/>
    </row>
    <row r="526" spans="1:6" x14ac:dyDescent="0.3">
      <c r="A526" s="117"/>
      <c r="B526" s="117"/>
      <c r="C526" s="117"/>
      <c r="D526" s="117"/>
      <c r="E526" s="200"/>
      <c r="F526" s="200"/>
    </row>
    <row r="527" spans="1:6" x14ac:dyDescent="0.3">
      <c r="A527" s="117"/>
      <c r="B527" s="117"/>
      <c r="C527" s="117"/>
      <c r="D527" s="117"/>
      <c r="E527" s="200"/>
      <c r="F527" s="200"/>
    </row>
    <row r="528" spans="1:6" x14ac:dyDescent="0.3">
      <c r="A528" s="117"/>
      <c r="B528" s="117"/>
      <c r="C528" s="117"/>
      <c r="D528" s="117"/>
      <c r="E528" s="200"/>
      <c r="F528" s="200"/>
    </row>
    <row r="529" spans="1:6" x14ac:dyDescent="0.3">
      <c r="A529" s="117"/>
      <c r="B529" s="117"/>
      <c r="C529" s="117"/>
      <c r="D529" s="117"/>
      <c r="E529" s="200"/>
      <c r="F529" s="200"/>
    </row>
    <row r="530" spans="1:6" x14ac:dyDescent="0.3">
      <c r="A530" s="117"/>
      <c r="B530" s="117"/>
      <c r="C530" s="117"/>
      <c r="D530" s="117"/>
      <c r="E530" s="200"/>
      <c r="F530" s="200"/>
    </row>
    <row r="531" spans="1:6" x14ac:dyDescent="0.3">
      <c r="A531" s="117"/>
      <c r="B531" s="117"/>
      <c r="C531" s="117"/>
      <c r="D531" s="117"/>
      <c r="E531" s="200"/>
      <c r="F531" s="200"/>
    </row>
    <row r="532" spans="1:6" x14ac:dyDescent="0.3">
      <c r="A532" s="117"/>
      <c r="B532" s="117"/>
      <c r="C532" s="117"/>
      <c r="D532" s="117"/>
      <c r="E532" s="200"/>
      <c r="F532" s="200"/>
    </row>
    <row r="533" spans="1:6" x14ac:dyDescent="0.3">
      <c r="A533" s="117"/>
      <c r="B533" s="117"/>
      <c r="C533" s="117"/>
      <c r="D533" s="117"/>
      <c r="E533" s="200"/>
      <c r="F533" s="200"/>
    </row>
    <row r="534" spans="1:6" x14ac:dyDescent="0.3">
      <c r="A534" s="117"/>
      <c r="B534" s="117"/>
      <c r="C534" s="117"/>
      <c r="D534" s="117"/>
      <c r="E534" s="200"/>
      <c r="F534" s="200"/>
    </row>
    <row r="535" spans="1:6" x14ac:dyDescent="0.3">
      <c r="A535" s="117"/>
      <c r="B535" s="117"/>
      <c r="C535" s="117"/>
      <c r="D535" s="117"/>
      <c r="E535" s="200"/>
      <c r="F535" s="200"/>
    </row>
    <row r="536" spans="1:6" x14ac:dyDescent="0.3">
      <c r="A536" s="117"/>
      <c r="B536" s="117"/>
      <c r="C536" s="117"/>
      <c r="D536" s="117"/>
      <c r="E536" s="200"/>
      <c r="F536" s="200"/>
    </row>
    <row r="537" spans="1:6" x14ac:dyDescent="0.3">
      <c r="A537" s="117"/>
      <c r="B537" s="117"/>
      <c r="C537" s="117"/>
      <c r="D537" s="117"/>
      <c r="E537" s="200"/>
      <c r="F537" s="200"/>
    </row>
    <row r="538" spans="1:6" x14ac:dyDescent="0.3">
      <c r="A538" s="117"/>
      <c r="B538" s="117"/>
      <c r="C538" s="117"/>
      <c r="D538" s="117"/>
      <c r="E538" s="200"/>
      <c r="F538" s="200"/>
    </row>
    <row r="539" spans="1:6" x14ac:dyDescent="0.3">
      <c r="A539" s="117"/>
      <c r="B539" s="117"/>
      <c r="C539" s="117"/>
      <c r="D539" s="117"/>
      <c r="E539" s="200"/>
      <c r="F539" s="200"/>
    </row>
    <row r="540" spans="1:6" x14ac:dyDescent="0.3">
      <c r="A540" s="117"/>
      <c r="B540" s="117"/>
      <c r="C540" s="117"/>
      <c r="D540" s="117"/>
      <c r="E540" s="200"/>
      <c r="F540" s="200"/>
    </row>
    <row r="541" spans="1:6" x14ac:dyDescent="0.3">
      <c r="A541" s="117"/>
      <c r="B541" s="117"/>
      <c r="C541" s="117"/>
      <c r="D541" s="117"/>
      <c r="E541" s="200"/>
      <c r="F541" s="200"/>
    </row>
    <row r="542" spans="1:6" x14ac:dyDescent="0.3">
      <c r="A542" s="117"/>
      <c r="B542" s="117"/>
      <c r="C542" s="117"/>
      <c r="D542" s="117"/>
      <c r="E542" s="200"/>
      <c r="F542" s="200"/>
    </row>
    <row r="543" spans="1:6" x14ac:dyDescent="0.3">
      <c r="A543" s="117"/>
      <c r="B543" s="117"/>
      <c r="C543" s="117"/>
      <c r="D543" s="117"/>
      <c r="E543" s="200"/>
      <c r="F543" s="200"/>
    </row>
    <row r="544" spans="1:6" x14ac:dyDescent="0.3">
      <c r="A544" s="117"/>
      <c r="B544" s="117"/>
      <c r="C544" s="117"/>
      <c r="D544" s="117"/>
      <c r="E544" s="200"/>
      <c r="F544" s="200"/>
    </row>
    <row r="545" spans="1:6" x14ac:dyDescent="0.3">
      <c r="A545" s="117"/>
      <c r="B545" s="117"/>
      <c r="C545" s="117"/>
      <c r="D545" s="117"/>
      <c r="E545" s="200"/>
      <c r="F545" s="200"/>
    </row>
    <row r="546" spans="1:6" x14ac:dyDescent="0.3">
      <c r="A546" s="117"/>
      <c r="B546" s="117"/>
      <c r="C546" s="117"/>
      <c r="D546" s="117"/>
      <c r="E546" s="200"/>
      <c r="F546" s="200"/>
    </row>
    <row r="547" spans="1:6" x14ac:dyDescent="0.3">
      <c r="A547" s="117"/>
      <c r="B547" s="117"/>
      <c r="C547" s="117"/>
      <c r="D547" s="117"/>
      <c r="E547" s="200"/>
      <c r="F547" s="200"/>
    </row>
    <row r="548" spans="1:6" x14ac:dyDescent="0.3">
      <c r="A548" s="117"/>
      <c r="B548" s="117"/>
      <c r="C548" s="117"/>
      <c r="D548" s="117"/>
      <c r="E548" s="200"/>
      <c r="F548" s="200"/>
    </row>
    <row r="549" spans="1:6" x14ac:dyDescent="0.3">
      <c r="A549" s="117"/>
      <c r="B549" s="117"/>
      <c r="C549" s="117"/>
      <c r="D549" s="117"/>
      <c r="E549" s="200"/>
      <c r="F549" s="200"/>
    </row>
    <row r="550" spans="1:6" x14ac:dyDescent="0.3">
      <c r="A550" s="117"/>
      <c r="B550" s="117"/>
      <c r="C550" s="117"/>
      <c r="D550" s="117"/>
      <c r="E550" s="200"/>
      <c r="F550" s="200"/>
    </row>
    <row r="551" spans="1:6" x14ac:dyDescent="0.3">
      <c r="A551" s="117"/>
      <c r="B551" s="117"/>
      <c r="C551" s="117"/>
      <c r="D551" s="117"/>
      <c r="E551" s="200"/>
      <c r="F551" s="200"/>
    </row>
    <row r="552" spans="1:6" x14ac:dyDescent="0.3">
      <c r="A552" s="117"/>
      <c r="B552" s="117"/>
      <c r="C552" s="117"/>
      <c r="D552" s="117"/>
      <c r="E552" s="200"/>
      <c r="F552" s="200"/>
    </row>
    <row r="553" spans="1:6" x14ac:dyDescent="0.3">
      <c r="A553" s="117"/>
      <c r="B553" s="117"/>
      <c r="C553" s="117"/>
      <c r="D553" s="117"/>
      <c r="E553" s="200"/>
      <c r="F553" s="200"/>
    </row>
    <row r="554" spans="1:6" x14ac:dyDescent="0.3">
      <c r="A554" s="117"/>
      <c r="B554" s="117"/>
      <c r="C554" s="117"/>
      <c r="D554" s="117"/>
      <c r="E554" s="200"/>
      <c r="F554" s="200"/>
    </row>
    <row r="555" spans="1:6" x14ac:dyDescent="0.3">
      <c r="A555" s="117"/>
      <c r="B555" s="117"/>
      <c r="C555" s="117"/>
      <c r="D555" s="117"/>
      <c r="E555" s="200"/>
      <c r="F555" s="200"/>
    </row>
    <row r="556" spans="1:6" x14ac:dyDescent="0.3">
      <c r="A556" s="117"/>
      <c r="B556" s="117"/>
      <c r="C556" s="117"/>
      <c r="D556" s="117"/>
      <c r="E556" s="200"/>
      <c r="F556" s="200"/>
    </row>
    <row r="557" spans="1:6" x14ac:dyDescent="0.3">
      <c r="A557" s="117"/>
      <c r="B557" s="117"/>
      <c r="C557" s="117"/>
      <c r="D557" s="117"/>
      <c r="E557" s="200"/>
      <c r="F557" s="200"/>
    </row>
    <row r="558" spans="1:6" x14ac:dyDescent="0.3">
      <c r="A558" s="117"/>
      <c r="B558" s="117"/>
      <c r="C558" s="117"/>
      <c r="D558" s="117"/>
      <c r="E558" s="200"/>
      <c r="F558" s="200"/>
    </row>
    <row r="559" spans="1:6" x14ac:dyDescent="0.3">
      <c r="A559" s="117"/>
      <c r="B559" s="117"/>
      <c r="C559" s="117"/>
      <c r="D559" s="117"/>
      <c r="E559" s="200"/>
      <c r="F559" s="200"/>
    </row>
    <row r="560" spans="1:6" x14ac:dyDescent="0.3">
      <c r="A560" s="117"/>
      <c r="B560" s="117"/>
      <c r="C560" s="117"/>
      <c r="D560" s="117"/>
      <c r="E560" s="200"/>
      <c r="F560" s="200"/>
    </row>
    <row r="561" spans="1:6" x14ac:dyDescent="0.3">
      <c r="A561" s="117"/>
      <c r="B561" s="117"/>
      <c r="C561" s="117"/>
      <c r="D561" s="117"/>
      <c r="E561" s="200"/>
      <c r="F561" s="200"/>
    </row>
    <row r="562" spans="1:6" x14ac:dyDescent="0.3">
      <c r="A562" s="117"/>
      <c r="B562" s="117"/>
      <c r="C562" s="117"/>
      <c r="D562" s="117"/>
      <c r="E562" s="200"/>
      <c r="F562" s="200"/>
    </row>
    <row r="563" spans="1:6" x14ac:dyDescent="0.3">
      <c r="A563" s="117"/>
      <c r="B563" s="117"/>
      <c r="C563" s="117"/>
      <c r="D563" s="117"/>
      <c r="E563" s="200"/>
      <c r="F563" s="200"/>
    </row>
    <row r="564" spans="1:6" x14ac:dyDescent="0.3">
      <c r="A564" s="117"/>
      <c r="B564" s="117"/>
      <c r="C564" s="117"/>
      <c r="D564" s="117"/>
      <c r="E564" s="200"/>
      <c r="F564" s="200"/>
    </row>
    <row r="565" spans="1:6" x14ac:dyDescent="0.3">
      <c r="A565" s="117"/>
      <c r="B565" s="117"/>
      <c r="C565" s="117"/>
      <c r="D565" s="117"/>
      <c r="E565" s="200"/>
      <c r="F565" s="200"/>
    </row>
    <row r="566" spans="1:6" x14ac:dyDescent="0.3">
      <c r="A566" s="117"/>
      <c r="B566" s="117"/>
      <c r="C566" s="117"/>
      <c r="D566" s="117"/>
      <c r="E566" s="200"/>
      <c r="F566" s="200"/>
    </row>
    <row r="567" spans="1:6" x14ac:dyDescent="0.3">
      <c r="A567" s="117"/>
      <c r="B567" s="117"/>
      <c r="C567" s="117"/>
      <c r="D567" s="117"/>
      <c r="E567" s="200"/>
      <c r="F567" s="200"/>
    </row>
    <row r="568" spans="1:6" x14ac:dyDescent="0.3">
      <c r="A568" s="117"/>
      <c r="B568" s="117"/>
      <c r="C568" s="117"/>
      <c r="D568" s="117"/>
      <c r="E568" s="200"/>
      <c r="F568" s="200"/>
    </row>
    <row r="569" spans="1:6" x14ac:dyDescent="0.3">
      <c r="A569" s="117"/>
      <c r="B569" s="117"/>
      <c r="C569" s="117"/>
      <c r="D569" s="117"/>
      <c r="E569" s="200"/>
      <c r="F569" s="200"/>
    </row>
    <row r="570" spans="1:6" x14ac:dyDescent="0.3">
      <c r="A570" s="117"/>
      <c r="B570" s="117"/>
      <c r="C570" s="117"/>
      <c r="D570" s="117"/>
      <c r="E570" s="200"/>
      <c r="F570" s="200"/>
    </row>
    <row r="571" spans="1:6" x14ac:dyDescent="0.3">
      <c r="A571" s="117"/>
      <c r="B571" s="117"/>
      <c r="C571" s="117"/>
      <c r="D571" s="117"/>
      <c r="E571" s="200"/>
      <c r="F571" s="200"/>
    </row>
    <row r="572" spans="1:6" x14ac:dyDescent="0.3">
      <c r="A572" s="117"/>
      <c r="B572" s="117"/>
      <c r="C572" s="117"/>
      <c r="D572" s="117"/>
      <c r="E572" s="200"/>
      <c r="F572" s="200"/>
    </row>
    <row r="573" spans="1:6" x14ac:dyDescent="0.3">
      <c r="A573" s="117"/>
      <c r="B573" s="117"/>
      <c r="C573" s="117"/>
      <c r="D573" s="117"/>
      <c r="E573" s="200"/>
      <c r="F573" s="200"/>
    </row>
    <row r="574" spans="1:6" x14ac:dyDescent="0.3">
      <c r="A574" s="117"/>
      <c r="B574" s="117"/>
      <c r="C574" s="117"/>
      <c r="D574" s="117"/>
      <c r="E574" s="200"/>
      <c r="F574" s="200"/>
    </row>
    <row r="575" spans="1:6" x14ac:dyDescent="0.3">
      <c r="A575" s="117"/>
      <c r="B575" s="117"/>
      <c r="C575" s="117"/>
      <c r="D575" s="117"/>
      <c r="E575" s="200"/>
      <c r="F575" s="200"/>
    </row>
    <row r="576" spans="1:6" x14ac:dyDescent="0.3">
      <c r="A576" s="117"/>
      <c r="B576" s="117"/>
      <c r="C576" s="117"/>
      <c r="D576" s="117"/>
      <c r="E576" s="200"/>
      <c r="F576" s="200"/>
    </row>
    <row r="577" spans="1:6" x14ac:dyDescent="0.3">
      <c r="A577" s="117"/>
      <c r="B577" s="117"/>
      <c r="C577" s="117"/>
      <c r="D577" s="117"/>
      <c r="E577" s="200"/>
      <c r="F577" s="200"/>
    </row>
    <row r="578" spans="1:6" x14ac:dyDescent="0.3">
      <c r="A578" s="117"/>
      <c r="B578" s="117"/>
      <c r="C578" s="117"/>
      <c r="D578" s="117"/>
      <c r="E578" s="200"/>
      <c r="F578" s="200"/>
    </row>
    <row r="579" spans="1:6" x14ac:dyDescent="0.3">
      <c r="A579" s="117"/>
      <c r="B579" s="117"/>
      <c r="C579" s="117"/>
      <c r="D579" s="117"/>
      <c r="E579" s="200"/>
      <c r="F579" s="200"/>
    </row>
    <row r="580" spans="1:6" x14ac:dyDescent="0.3">
      <c r="A580" s="117"/>
      <c r="B580" s="117"/>
      <c r="C580" s="117"/>
      <c r="D580" s="117"/>
      <c r="E580" s="200"/>
      <c r="F580" s="200"/>
    </row>
    <row r="581" spans="1:6" x14ac:dyDescent="0.3">
      <c r="A581" s="117"/>
      <c r="B581" s="117"/>
      <c r="C581" s="117"/>
      <c r="D581" s="117"/>
      <c r="E581" s="200"/>
      <c r="F581" s="200"/>
    </row>
    <row r="582" spans="1:6" x14ac:dyDescent="0.3">
      <c r="A582" s="117"/>
      <c r="B582" s="117"/>
      <c r="C582" s="117"/>
      <c r="D582" s="117"/>
      <c r="E582" s="200"/>
      <c r="F582" s="200"/>
    </row>
    <row r="583" spans="1:6" x14ac:dyDescent="0.3">
      <c r="A583" s="117"/>
      <c r="B583" s="117"/>
      <c r="C583" s="117"/>
      <c r="D583" s="117"/>
      <c r="E583" s="200"/>
      <c r="F583" s="200"/>
    </row>
    <row r="584" spans="1:6" x14ac:dyDescent="0.3">
      <c r="A584" s="117"/>
      <c r="B584" s="117"/>
      <c r="C584" s="117"/>
      <c r="D584" s="117"/>
      <c r="E584" s="200"/>
      <c r="F584" s="200"/>
    </row>
    <row r="585" spans="1:6" x14ac:dyDescent="0.3">
      <c r="A585" s="117"/>
      <c r="B585" s="117"/>
      <c r="C585" s="117"/>
      <c r="D585" s="117"/>
      <c r="E585" s="200"/>
      <c r="F585" s="200"/>
    </row>
    <row r="586" spans="1:6" x14ac:dyDescent="0.3">
      <c r="A586" s="117"/>
      <c r="B586" s="117"/>
      <c r="C586" s="117"/>
      <c r="D586" s="117"/>
      <c r="E586" s="200"/>
      <c r="F586" s="200"/>
    </row>
    <row r="587" spans="1:6" x14ac:dyDescent="0.3">
      <c r="A587" s="117"/>
      <c r="B587" s="117"/>
      <c r="C587" s="117"/>
      <c r="D587" s="117"/>
      <c r="E587" s="200"/>
      <c r="F587" s="200"/>
    </row>
    <row r="588" spans="1:6" x14ac:dyDescent="0.3">
      <c r="A588" s="117"/>
      <c r="B588" s="117"/>
      <c r="C588" s="117"/>
      <c r="D588" s="117"/>
      <c r="E588" s="200"/>
      <c r="F588" s="200"/>
    </row>
    <row r="589" spans="1:6" x14ac:dyDescent="0.3">
      <c r="A589" s="117"/>
      <c r="B589" s="117"/>
      <c r="C589" s="117"/>
      <c r="D589" s="117"/>
      <c r="E589" s="200"/>
      <c r="F589" s="200"/>
    </row>
    <row r="590" spans="1:6" x14ac:dyDescent="0.3">
      <c r="A590" s="117"/>
      <c r="B590" s="117"/>
      <c r="C590" s="117"/>
      <c r="D590" s="117"/>
      <c r="E590" s="200"/>
      <c r="F590" s="200"/>
    </row>
    <row r="591" spans="1:6" x14ac:dyDescent="0.3">
      <c r="A591" s="117"/>
      <c r="B591" s="117"/>
      <c r="C591" s="117"/>
      <c r="D591" s="117"/>
      <c r="E591" s="200"/>
      <c r="F591" s="200"/>
    </row>
    <row r="592" spans="1:6" x14ac:dyDescent="0.3">
      <c r="A592" s="117"/>
      <c r="B592" s="117"/>
      <c r="C592" s="117"/>
      <c r="D592" s="117"/>
      <c r="E592" s="200"/>
      <c r="F592" s="200"/>
    </row>
    <row r="593" spans="1:6" x14ac:dyDescent="0.3">
      <c r="A593" s="117"/>
      <c r="B593" s="117"/>
      <c r="C593" s="117"/>
      <c r="D593" s="117"/>
      <c r="E593" s="200"/>
      <c r="F593" s="200"/>
    </row>
    <row r="594" spans="1:6" x14ac:dyDescent="0.3">
      <c r="A594" s="117"/>
      <c r="B594" s="117"/>
      <c r="C594" s="117"/>
      <c r="D594" s="117"/>
      <c r="E594" s="200"/>
      <c r="F594" s="200"/>
    </row>
    <row r="595" spans="1:6" x14ac:dyDescent="0.3">
      <c r="A595" s="117"/>
      <c r="B595" s="117"/>
      <c r="C595" s="117"/>
      <c r="D595" s="117"/>
      <c r="E595" s="200"/>
      <c r="F595" s="200"/>
    </row>
    <row r="596" spans="1:6" x14ac:dyDescent="0.3">
      <c r="A596" s="117"/>
      <c r="B596" s="117"/>
      <c r="C596" s="117"/>
      <c r="D596" s="117"/>
      <c r="E596" s="200"/>
      <c r="F596" s="200"/>
    </row>
    <row r="597" spans="1:6" x14ac:dyDescent="0.3">
      <c r="A597" s="117"/>
      <c r="B597" s="117"/>
      <c r="C597" s="117"/>
      <c r="D597" s="117"/>
      <c r="E597" s="200"/>
      <c r="F597" s="200"/>
    </row>
    <row r="598" spans="1:6" x14ac:dyDescent="0.3">
      <c r="A598" s="117"/>
      <c r="B598" s="117"/>
      <c r="C598" s="117"/>
      <c r="D598" s="117"/>
      <c r="E598" s="200"/>
      <c r="F598" s="200"/>
    </row>
    <row r="599" spans="1:6" x14ac:dyDescent="0.3">
      <c r="A599" s="117"/>
      <c r="B599" s="117"/>
      <c r="C599" s="117"/>
      <c r="D599" s="117"/>
      <c r="E599" s="200"/>
      <c r="F599" s="200"/>
    </row>
    <row r="600" spans="1:6" x14ac:dyDescent="0.3">
      <c r="A600" s="117"/>
      <c r="B600" s="117"/>
      <c r="C600" s="117"/>
      <c r="D600" s="117"/>
      <c r="E600" s="200"/>
      <c r="F600" s="200"/>
    </row>
    <row r="601" spans="1:6" x14ac:dyDescent="0.3">
      <c r="A601" s="117"/>
      <c r="B601" s="117"/>
      <c r="C601" s="117"/>
      <c r="D601" s="117"/>
      <c r="E601" s="200"/>
      <c r="F601" s="200"/>
    </row>
    <row r="602" spans="1:6" x14ac:dyDescent="0.3">
      <c r="A602" s="117"/>
      <c r="B602" s="117"/>
      <c r="C602" s="117"/>
      <c r="D602" s="117"/>
      <c r="E602" s="200"/>
      <c r="F602" s="200"/>
    </row>
    <row r="603" spans="1:6" x14ac:dyDescent="0.3">
      <c r="A603" s="117"/>
      <c r="B603" s="117"/>
      <c r="C603" s="117"/>
      <c r="D603" s="117"/>
      <c r="E603" s="200"/>
      <c r="F603" s="200"/>
    </row>
    <row r="604" spans="1:6" x14ac:dyDescent="0.3">
      <c r="A604" s="117"/>
      <c r="B604" s="117"/>
      <c r="C604" s="117"/>
      <c r="D604" s="117"/>
      <c r="E604" s="200"/>
      <c r="F604" s="200"/>
    </row>
    <row r="605" spans="1:6" x14ac:dyDescent="0.3">
      <c r="A605" s="117"/>
      <c r="B605" s="117"/>
      <c r="C605" s="117"/>
      <c r="D605" s="117"/>
      <c r="E605" s="200"/>
      <c r="F605" s="200"/>
    </row>
    <row r="606" spans="1:6" x14ac:dyDescent="0.3">
      <c r="A606" s="117"/>
      <c r="B606" s="117"/>
      <c r="C606" s="117"/>
      <c r="D606" s="117"/>
      <c r="E606" s="200"/>
      <c r="F606" s="200"/>
    </row>
    <row r="607" spans="1:6" x14ac:dyDescent="0.3">
      <c r="A607" s="117"/>
      <c r="B607" s="117"/>
      <c r="C607" s="117"/>
      <c r="D607" s="117"/>
      <c r="E607" s="200"/>
      <c r="F607" s="200"/>
    </row>
    <row r="608" spans="1:6" x14ac:dyDescent="0.3">
      <c r="A608" s="117"/>
      <c r="B608" s="117"/>
      <c r="C608" s="117"/>
      <c r="D608" s="117"/>
      <c r="E608" s="200"/>
      <c r="F608" s="200"/>
    </row>
    <row r="609" spans="1:6" x14ac:dyDescent="0.3">
      <c r="A609" s="117"/>
      <c r="B609" s="117"/>
      <c r="C609" s="117"/>
      <c r="D609" s="117"/>
      <c r="E609" s="200"/>
      <c r="F609" s="200"/>
    </row>
    <row r="610" spans="1:6" x14ac:dyDescent="0.3">
      <c r="A610" s="117"/>
      <c r="B610" s="117"/>
      <c r="C610" s="117"/>
      <c r="D610" s="117"/>
      <c r="E610" s="200"/>
      <c r="F610" s="200"/>
    </row>
    <row r="611" spans="1:6" x14ac:dyDescent="0.3">
      <c r="A611" s="117"/>
      <c r="B611" s="117"/>
      <c r="C611" s="117"/>
      <c r="D611" s="117"/>
      <c r="E611" s="200"/>
      <c r="F611" s="200"/>
    </row>
    <row r="612" spans="1:6" x14ac:dyDescent="0.3">
      <c r="A612" s="117"/>
      <c r="B612" s="117"/>
      <c r="C612" s="117"/>
      <c r="D612" s="117"/>
      <c r="E612" s="200"/>
      <c r="F612" s="200"/>
    </row>
    <row r="613" spans="1:6" x14ac:dyDescent="0.3">
      <c r="A613" s="117"/>
      <c r="B613" s="117"/>
      <c r="C613" s="117"/>
      <c r="D613" s="117"/>
      <c r="E613" s="200"/>
      <c r="F613" s="200"/>
    </row>
    <row r="614" spans="1:6" x14ac:dyDescent="0.3">
      <c r="A614" s="117"/>
      <c r="B614" s="117"/>
      <c r="C614" s="117"/>
      <c r="D614" s="117"/>
      <c r="E614" s="200"/>
      <c r="F614" s="200"/>
    </row>
    <row r="615" spans="1:6" x14ac:dyDescent="0.3">
      <c r="A615" s="117"/>
      <c r="B615" s="117"/>
      <c r="C615" s="117"/>
      <c r="D615" s="117"/>
      <c r="E615" s="200"/>
      <c r="F615" s="200"/>
    </row>
    <row r="616" spans="1:6" x14ac:dyDescent="0.3">
      <c r="A616" s="117"/>
      <c r="B616" s="117"/>
      <c r="C616" s="117"/>
      <c r="D616" s="117"/>
      <c r="E616" s="200"/>
      <c r="F616" s="200"/>
    </row>
    <row r="617" spans="1:6" x14ac:dyDescent="0.3">
      <c r="A617" s="117"/>
      <c r="B617" s="117"/>
      <c r="C617" s="117"/>
      <c r="D617" s="117"/>
      <c r="E617" s="200"/>
      <c r="F617" s="200"/>
    </row>
    <row r="618" spans="1:6" x14ac:dyDescent="0.3">
      <c r="A618" s="117"/>
      <c r="B618" s="117"/>
      <c r="C618" s="117"/>
      <c r="D618" s="117"/>
      <c r="E618" s="200"/>
      <c r="F618" s="200"/>
    </row>
    <row r="619" spans="1:6" x14ac:dyDescent="0.3">
      <c r="A619" s="117"/>
      <c r="B619" s="117"/>
      <c r="C619" s="117"/>
      <c r="D619" s="117"/>
      <c r="E619" s="200"/>
      <c r="F619" s="200"/>
    </row>
    <row r="620" spans="1:6" x14ac:dyDescent="0.3">
      <c r="A620" s="117"/>
      <c r="B620" s="117"/>
      <c r="C620" s="117"/>
      <c r="D620" s="117"/>
      <c r="E620" s="200"/>
      <c r="F620" s="200"/>
    </row>
    <row r="621" spans="1:6" x14ac:dyDescent="0.3">
      <c r="A621" s="117"/>
      <c r="B621" s="117"/>
      <c r="C621" s="117"/>
      <c r="D621" s="117"/>
      <c r="E621" s="200"/>
      <c r="F621" s="200"/>
    </row>
    <row r="622" spans="1:6" x14ac:dyDescent="0.3">
      <c r="A622" s="117"/>
      <c r="B622" s="117"/>
      <c r="C622" s="117"/>
      <c r="D622" s="117"/>
      <c r="E622" s="200"/>
      <c r="F622" s="200"/>
    </row>
    <row r="623" spans="1:6" x14ac:dyDescent="0.3">
      <c r="A623" s="117"/>
      <c r="B623" s="117"/>
      <c r="C623" s="117"/>
      <c r="D623" s="117"/>
      <c r="E623" s="200"/>
      <c r="F623" s="200"/>
    </row>
    <row r="624" spans="1:6" x14ac:dyDescent="0.3">
      <c r="A624" s="117"/>
      <c r="B624" s="117"/>
      <c r="C624" s="117"/>
      <c r="D624" s="117"/>
      <c r="E624" s="200"/>
      <c r="F624" s="200"/>
    </row>
    <row r="625" spans="1:6" x14ac:dyDescent="0.3">
      <c r="A625" s="117"/>
      <c r="B625" s="117"/>
      <c r="C625" s="117"/>
      <c r="D625" s="117"/>
      <c r="E625" s="200"/>
      <c r="F625" s="200"/>
    </row>
    <row r="626" spans="1:6" x14ac:dyDescent="0.3">
      <c r="A626" s="117"/>
      <c r="B626" s="117"/>
      <c r="C626" s="117"/>
      <c r="D626" s="117"/>
      <c r="E626" s="200"/>
      <c r="F626" s="200"/>
    </row>
    <row r="627" spans="1:6" x14ac:dyDescent="0.3">
      <c r="A627" s="117"/>
      <c r="B627" s="117"/>
      <c r="C627" s="117"/>
      <c r="D627" s="117"/>
      <c r="E627" s="200"/>
      <c r="F627" s="200"/>
    </row>
    <row r="628" spans="1:6" x14ac:dyDescent="0.3">
      <c r="A628" s="117"/>
      <c r="B628" s="117"/>
      <c r="C628" s="117"/>
      <c r="D628" s="117"/>
      <c r="E628" s="200"/>
      <c r="F628" s="200"/>
    </row>
    <row r="629" spans="1:6" x14ac:dyDescent="0.3">
      <c r="A629" s="117"/>
      <c r="B629" s="117"/>
      <c r="C629" s="117"/>
      <c r="D629" s="117"/>
      <c r="E629" s="200"/>
      <c r="F629" s="200"/>
    </row>
    <row r="630" spans="1:6" x14ac:dyDescent="0.3">
      <c r="A630" s="117"/>
      <c r="B630" s="117"/>
      <c r="C630" s="117"/>
      <c r="D630" s="117"/>
      <c r="E630" s="200"/>
      <c r="F630" s="200"/>
    </row>
    <row r="631" spans="1:6" x14ac:dyDescent="0.3">
      <c r="A631" s="117"/>
      <c r="B631" s="117"/>
      <c r="C631" s="117"/>
      <c r="D631" s="117"/>
      <c r="E631" s="200"/>
      <c r="F631" s="200"/>
    </row>
    <row r="632" spans="1:6" x14ac:dyDescent="0.3">
      <c r="A632" s="117"/>
      <c r="B632" s="117"/>
      <c r="C632" s="117"/>
      <c r="D632" s="117"/>
      <c r="E632" s="200"/>
      <c r="F632" s="200"/>
    </row>
    <row r="633" spans="1:6" x14ac:dyDescent="0.3">
      <c r="A633" s="117"/>
      <c r="B633" s="117"/>
      <c r="C633" s="117"/>
      <c r="D633" s="117"/>
      <c r="E633" s="200"/>
      <c r="F633" s="200"/>
    </row>
    <row r="634" spans="1:6" x14ac:dyDescent="0.3">
      <c r="A634" s="117"/>
      <c r="B634" s="117"/>
      <c r="C634" s="117"/>
      <c r="D634" s="117"/>
      <c r="E634" s="200"/>
      <c r="F634" s="200"/>
    </row>
    <row r="635" spans="1:6" x14ac:dyDescent="0.3">
      <c r="A635" s="117"/>
      <c r="B635" s="117"/>
      <c r="C635" s="117"/>
      <c r="D635" s="117"/>
      <c r="E635" s="200"/>
      <c r="F635" s="200"/>
    </row>
    <row r="636" spans="1:6" x14ac:dyDescent="0.3">
      <c r="A636" s="117"/>
      <c r="B636" s="117"/>
      <c r="C636" s="117"/>
      <c r="D636" s="117"/>
      <c r="E636" s="200"/>
      <c r="F636" s="200"/>
    </row>
    <row r="637" spans="1:6" x14ac:dyDescent="0.3">
      <c r="A637" s="117"/>
      <c r="B637" s="117"/>
      <c r="C637" s="117"/>
      <c r="D637" s="117"/>
      <c r="E637" s="200"/>
      <c r="F637" s="200"/>
    </row>
    <row r="638" spans="1:6" x14ac:dyDescent="0.3">
      <c r="A638" s="117"/>
      <c r="B638" s="117"/>
      <c r="C638" s="117"/>
      <c r="D638" s="117"/>
      <c r="E638" s="200"/>
      <c r="F638" s="200"/>
    </row>
    <row r="639" spans="1:6" x14ac:dyDescent="0.3">
      <c r="A639" s="117"/>
      <c r="B639" s="117"/>
      <c r="C639" s="117"/>
      <c r="D639" s="117"/>
      <c r="E639" s="200"/>
      <c r="F639" s="200"/>
    </row>
    <row r="640" spans="1:6" x14ac:dyDescent="0.3">
      <c r="A640" s="117"/>
      <c r="B640" s="117"/>
      <c r="C640" s="117"/>
      <c r="D640" s="117"/>
      <c r="E640" s="200"/>
      <c r="F640" s="200"/>
    </row>
    <row r="641" spans="1:6" x14ac:dyDescent="0.3">
      <c r="A641" s="117"/>
      <c r="B641" s="117"/>
      <c r="C641" s="117"/>
      <c r="D641" s="117"/>
      <c r="E641" s="200"/>
      <c r="F641" s="200"/>
    </row>
    <row r="642" spans="1:6" x14ac:dyDescent="0.3">
      <c r="A642" s="117"/>
      <c r="B642" s="117"/>
      <c r="C642" s="117"/>
      <c r="D642" s="117"/>
      <c r="E642" s="200"/>
      <c r="F642" s="200"/>
    </row>
    <row r="643" spans="1:6" x14ac:dyDescent="0.3">
      <c r="A643" s="117"/>
      <c r="B643" s="117"/>
      <c r="C643" s="117"/>
      <c r="D643" s="117"/>
      <c r="E643" s="200"/>
      <c r="F643" s="200"/>
    </row>
    <row r="644" spans="1:6" x14ac:dyDescent="0.3">
      <c r="A644" s="117"/>
      <c r="B644" s="117"/>
      <c r="C644" s="117"/>
      <c r="D644" s="117"/>
      <c r="E644" s="200"/>
      <c r="F644" s="200"/>
    </row>
    <row r="645" spans="1:6" x14ac:dyDescent="0.3">
      <c r="A645" s="117"/>
      <c r="B645" s="117"/>
      <c r="C645" s="117"/>
      <c r="D645" s="117"/>
      <c r="E645" s="200"/>
      <c r="F645" s="200"/>
    </row>
    <row r="646" spans="1:6" x14ac:dyDescent="0.3">
      <c r="A646" s="117"/>
      <c r="B646" s="117"/>
      <c r="C646" s="117"/>
      <c r="D646" s="117"/>
      <c r="E646" s="200"/>
      <c r="F646" s="200"/>
    </row>
    <row r="647" spans="1:6" x14ac:dyDescent="0.3">
      <c r="A647" s="117"/>
      <c r="B647" s="117"/>
      <c r="C647" s="117"/>
      <c r="D647" s="117"/>
      <c r="E647" s="200"/>
      <c r="F647" s="200"/>
    </row>
    <row r="648" spans="1:6" x14ac:dyDescent="0.3">
      <c r="A648" s="117"/>
      <c r="B648" s="117"/>
      <c r="C648" s="117"/>
      <c r="D648" s="117"/>
      <c r="E648" s="200"/>
      <c r="F648" s="200"/>
    </row>
    <row r="649" spans="1:6" x14ac:dyDescent="0.3">
      <c r="A649" s="117"/>
      <c r="B649" s="117"/>
      <c r="C649" s="117"/>
      <c r="D649" s="117"/>
      <c r="E649" s="200"/>
      <c r="F649" s="200"/>
    </row>
    <row r="650" spans="1:6" x14ac:dyDescent="0.3">
      <c r="A650" s="117"/>
      <c r="B650" s="117"/>
      <c r="C650" s="117"/>
      <c r="D650" s="117"/>
      <c r="E650" s="200"/>
      <c r="F650" s="200"/>
    </row>
    <row r="651" spans="1:6" x14ac:dyDescent="0.3">
      <c r="A651" s="117"/>
      <c r="B651" s="117"/>
      <c r="C651" s="117"/>
      <c r="D651" s="117"/>
      <c r="E651" s="200"/>
      <c r="F651" s="200"/>
    </row>
    <row r="652" spans="1:6" x14ac:dyDescent="0.3">
      <c r="A652" s="117"/>
      <c r="B652" s="117"/>
      <c r="C652" s="117"/>
      <c r="D652" s="117"/>
      <c r="E652" s="200"/>
      <c r="F652" s="200"/>
    </row>
    <row r="653" spans="1:6" x14ac:dyDescent="0.3">
      <c r="A653" s="117"/>
      <c r="B653" s="117"/>
      <c r="C653" s="117"/>
      <c r="D653" s="117"/>
      <c r="E653" s="200"/>
      <c r="F653" s="200"/>
    </row>
    <row r="654" spans="1:6" x14ac:dyDescent="0.3">
      <c r="A654" s="117"/>
      <c r="B654" s="117"/>
      <c r="C654" s="117"/>
      <c r="D654" s="117"/>
      <c r="E654" s="200"/>
      <c r="F654" s="200"/>
    </row>
    <row r="655" spans="1:6" x14ac:dyDescent="0.3">
      <c r="A655" s="117"/>
      <c r="B655" s="117"/>
      <c r="C655" s="117"/>
      <c r="D655" s="117"/>
      <c r="E655" s="200"/>
      <c r="F655" s="200"/>
    </row>
    <row r="656" spans="1:6" x14ac:dyDescent="0.3">
      <c r="A656" s="117"/>
      <c r="B656" s="117"/>
      <c r="C656" s="117"/>
      <c r="D656" s="117"/>
      <c r="E656" s="200"/>
      <c r="F656" s="200"/>
    </row>
    <row r="657" spans="1:6" x14ac:dyDescent="0.3">
      <c r="A657" s="117"/>
      <c r="B657" s="117"/>
      <c r="C657" s="117"/>
      <c r="D657" s="117"/>
      <c r="E657" s="200"/>
      <c r="F657" s="200"/>
    </row>
    <row r="658" spans="1:6" x14ac:dyDescent="0.3">
      <c r="A658" s="117"/>
      <c r="B658" s="117"/>
      <c r="C658" s="117"/>
      <c r="D658" s="117"/>
      <c r="E658" s="200"/>
      <c r="F658" s="200"/>
    </row>
    <row r="659" spans="1:6" x14ac:dyDescent="0.3">
      <c r="A659" s="117"/>
      <c r="B659" s="117"/>
      <c r="C659" s="117"/>
      <c r="D659" s="117"/>
      <c r="E659" s="200"/>
      <c r="F659" s="200"/>
    </row>
    <row r="660" spans="1:6" x14ac:dyDescent="0.3">
      <c r="A660" s="117"/>
      <c r="B660" s="117"/>
      <c r="C660" s="117"/>
      <c r="D660" s="117"/>
      <c r="E660" s="200"/>
      <c r="F660" s="200"/>
    </row>
    <row r="661" spans="1:6" x14ac:dyDescent="0.3">
      <c r="A661" s="117"/>
      <c r="B661" s="117"/>
      <c r="C661" s="117"/>
      <c r="D661" s="117"/>
      <c r="E661" s="200"/>
      <c r="F661" s="200"/>
    </row>
    <row r="662" spans="1:6" x14ac:dyDescent="0.3">
      <c r="A662" s="117"/>
      <c r="B662" s="117"/>
      <c r="C662" s="117"/>
      <c r="D662" s="117"/>
      <c r="E662" s="200"/>
      <c r="F662" s="200"/>
    </row>
    <row r="663" spans="1:6" x14ac:dyDescent="0.3">
      <c r="A663" s="117"/>
      <c r="B663" s="117"/>
      <c r="C663" s="117"/>
      <c r="D663" s="117"/>
      <c r="E663" s="200"/>
      <c r="F663" s="200"/>
    </row>
    <row r="664" spans="1:6" x14ac:dyDescent="0.3">
      <c r="A664" s="117"/>
      <c r="B664" s="117"/>
      <c r="C664" s="117"/>
      <c r="D664" s="117"/>
      <c r="E664" s="200"/>
      <c r="F664" s="200"/>
    </row>
    <row r="665" spans="1:6" x14ac:dyDescent="0.3">
      <c r="A665" s="117"/>
      <c r="B665" s="117"/>
      <c r="C665" s="117"/>
      <c r="D665" s="117"/>
      <c r="E665" s="200"/>
      <c r="F665" s="200"/>
    </row>
    <row r="666" spans="1:6" x14ac:dyDescent="0.3">
      <c r="A666" s="117"/>
      <c r="B666" s="117"/>
      <c r="C666" s="117"/>
      <c r="D666" s="117"/>
      <c r="E666" s="200"/>
      <c r="F666" s="200"/>
    </row>
    <row r="667" spans="1:6" x14ac:dyDescent="0.3">
      <c r="A667" s="117"/>
      <c r="B667" s="117"/>
      <c r="C667" s="117"/>
      <c r="D667" s="117"/>
      <c r="E667" s="200"/>
      <c r="F667" s="200"/>
    </row>
    <row r="668" spans="1:6" x14ac:dyDescent="0.3">
      <c r="A668" s="117"/>
      <c r="B668" s="117"/>
      <c r="C668" s="117"/>
      <c r="D668" s="117"/>
      <c r="E668" s="200"/>
      <c r="F668" s="200"/>
    </row>
    <row r="669" spans="1:6" x14ac:dyDescent="0.3">
      <c r="A669" s="117"/>
      <c r="B669" s="117"/>
      <c r="C669" s="117"/>
      <c r="D669" s="117"/>
      <c r="E669" s="200"/>
      <c r="F669" s="200"/>
    </row>
    <row r="670" spans="1:6" x14ac:dyDescent="0.3">
      <c r="A670" s="117"/>
      <c r="B670" s="117"/>
      <c r="C670" s="117"/>
      <c r="D670" s="117"/>
      <c r="E670" s="200"/>
      <c r="F670" s="200"/>
    </row>
    <row r="671" spans="1:6" x14ac:dyDescent="0.3">
      <c r="A671" s="117"/>
      <c r="B671" s="117"/>
      <c r="C671" s="117"/>
      <c r="D671" s="117"/>
      <c r="E671" s="200"/>
      <c r="F671" s="200"/>
    </row>
    <row r="672" spans="1:6" x14ac:dyDescent="0.3">
      <c r="A672" s="117"/>
      <c r="B672" s="117"/>
      <c r="C672" s="117"/>
      <c r="D672" s="117"/>
      <c r="E672" s="200"/>
      <c r="F672" s="200"/>
    </row>
    <row r="673" spans="1:6" x14ac:dyDescent="0.3">
      <c r="A673" s="117"/>
      <c r="B673" s="117"/>
      <c r="C673" s="117"/>
      <c r="D673" s="117"/>
      <c r="E673" s="200"/>
      <c r="F673" s="200"/>
    </row>
    <row r="674" spans="1:6" x14ac:dyDescent="0.3">
      <c r="A674" s="117"/>
      <c r="B674" s="117"/>
      <c r="C674" s="117"/>
      <c r="D674" s="117"/>
      <c r="E674" s="200"/>
      <c r="F674" s="200"/>
    </row>
    <row r="675" spans="1:6" x14ac:dyDescent="0.3">
      <c r="A675" s="117"/>
      <c r="B675" s="117"/>
      <c r="C675" s="117"/>
      <c r="D675" s="117"/>
      <c r="E675" s="200"/>
      <c r="F675" s="200"/>
    </row>
    <row r="676" spans="1:6" x14ac:dyDescent="0.3">
      <c r="A676" s="117"/>
      <c r="B676" s="117"/>
      <c r="C676" s="117"/>
      <c r="D676" s="117"/>
      <c r="E676" s="200"/>
      <c r="F676" s="200"/>
    </row>
    <row r="677" spans="1:6" x14ac:dyDescent="0.3">
      <c r="A677" s="117"/>
      <c r="B677" s="117"/>
      <c r="C677" s="117"/>
      <c r="D677" s="117"/>
      <c r="E677" s="200"/>
      <c r="F677" s="200"/>
    </row>
    <row r="678" spans="1:6" x14ac:dyDescent="0.3">
      <c r="A678" s="117"/>
      <c r="B678" s="117"/>
      <c r="C678" s="117"/>
      <c r="D678" s="117"/>
      <c r="E678" s="200"/>
      <c r="F678" s="200"/>
    </row>
    <row r="679" spans="1:6" x14ac:dyDescent="0.3">
      <c r="A679" s="117"/>
      <c r="B679" s="117"/>
      <c r="C679" s="117"/>
      <c r="D679" s="117"/>
      <c r="E679" s="200"/>
      <c r="F679" s="200"/>
    </row>
    <row r="680" spans="1:6" x14ac:dyDescent="0.3">
      <c r="A680" s="117"/>
      <c r="B680" s="117"/>
      <c r="C680" s="117"/>
      <c r="D680" s="117"/>
      <c r="E680" s="200"/>
      <c r="F680" s="200"/>
    </row>
    <row r="681" spans="1:6" x14ac:dyDescent="0.3">
      <c r="A681" s="117"/>
      <c r="B681" s="117"/>
      <c r="C681" s="117"/>
      <c r="D681" s="117"/>
      <c r="E681" s="200"/>
      <c r="F681" s="200"/>
    </row>
    <row r="682" spans="1:6" x14ac:dyDescent="0.3">
      <c r="A682" s="117"/>
      <c r="B682" s="117"/>
      <c r="C682" s="117"/>
      <c r="D682" s="117"/>
      <c r="E682" s="200"/>
      <c r="F682" s="200"/>
    </row>
    <row r="683" spans="1:6" x14ac:dyDescent="0.3">
      <c r="A683" s="117"/>
      <c r="B683" s="117"/>
      <c r="C683" s="117"/>
      <c r="D683" s="117"/>
      <c r="E683" s="200"/>
      <c r="F683" s="200"/>
    </row>
    <row r="684" spans="1:6" x14ac:dyDescent="0.3">
      <c r="A684" s="117"/>
      <c r="B684" s="117"/>
      <c r="C684" s="117"/>
      <c r="D684" s="117"/>
      <c r="E684" s="200"/>
      <c r="F684" s="200"/>
    </row>
    <row r="685" spans="1:6" x14ac:dyDescent="0.3">
      <c r="A685" s="117"/>
      <c r="B685" s="117"/>
      <c r="C685" s="117"/>
      <c r="D685" s="117"/>
      <c r="E685" s="200"/>
      <c r="F685" s="200"/>
    </row>
    <row r="686" spans="1:6" x14ac:dyDescent="0.3">
      <c r="A686" s="117"/>
      <c r="B686" s="117"/>
      <c r="C686" s="117"/>
      <c r="D686" s="117"/>
      <c r="E686" s="200"/>
      <c r="F686" s="200"/>
    </row>
    <row r="687" spans="1:6" x14ac:dyDescent="0.3">
      <c r="A687" s="117"/>
      <c r="B687" s="117"/>
      <c r="C687" s="117"/>
      <c r="D687" s="117"/>
      <c r="E687" s="200"/>
      <c r="F687" s="200"/>
    </row>
    <row r="688" spans="1:6" x14ac:dyDescent="0.3">
      <c r="A688" s="117"/>
      <c r="B688" s="117"/>
      <c r="C688" s="117"/>
      <c r="D688" s="117"/>
      <c r="E688" s="200"/>
      <c r="F688" s="200"/>
    </row>
    <row r="689" spans="1:6" x14ac:dyDescent="0.3">
      <c r="A689" s="117"/>
      <c r="B689" s="117"/>
      <c r="C689" s="117"/>
      <c r="D689" s="117"/>
      <c r="E689" s="200"/>
      <c r="F689" s="200"/>
    </row>
    <row r="690" spans="1:6" x14ac:dyDescent="0.3">
      <c r="A690" s="117"/>
      <c r="B690" s="117"/>
      <c r="C690" s="117"/>
      <c r="D690" s="117"/>
      <c r="E690" s="200"/>
      <c r="F690" s="200"/>
    </row>
    <row r="691" spans="1:6" x14ac:dyDescent="0.3">
      <c r="A691" s="117"/>
      <c r="B691" s="117"/>
      <c r="C691" s="117"/>
      <c r="D691" s="117"/>
      <c r="E691" s="200"/>
      <c r="F691" s="200"/>
    </row>
    <row r="692" spans="1:6" x14ac:dyDescent="0.3">
      <c r="A692" s="117"/>
      <c r="B692" s="117"/>
      <c r="C692" s="117"/>
      <c r="D692" s="117"/>
      <c r="E692" s="200"/>
      <c r="F692" s="200"/>
    </row>
    <row r="693" spans="1:6" x14ac:dyDescent="0.3">
      <c r="A693" s="117"/>
      <c r="B693" s="117"/>
      <c r="C693" s="117"/>
      <c r="D693" s="117"/>
      <c r="E693" s="200"/>
      <c r="F693" s="200"/>
    </row>
    <row r="694" spans="1:6" x14ac:dyDescent="0.3">
      <c r="A694" s="117"/>
      <c r="B694" s="117"/>
      <c r="C694" s="117"/>
      <c r="D694" s="117"/>
      <c r="E694" s="200"/>
      <c r="F694" s="200"/>
    </row>
    <row r="695" spans="1:6" x14ac:dyDescent="0.3">
      <c r="A695" s="117"/>
      <c r="B695" s="117"/>
      <c r="C695" s="117"/>
      <c r="D695" s="117"/>
      <c r="E695" s="200"/>
      <c r="F695" s="200"/>
    </row>
    <row r="696" spans="1:6" x14ac:dyDescent="0.3">
      <c r="A696" s="117"/>
      <c r="B696" s="117"/>
      <c r="C696" s="117"/>
      <c r="D696" s="117"/>
      <c r="E696" s="200"/>
      <c r="F696" s="200"/>
    </row>
    <row r="697" spans="1:6" x14ac:dyDescent="0.3">
      <c r="A697" s="117"/>
      <c r="B697" s="117"/>
      <c r="C697" s="117"/>
      <c r="D697" s="117"/>
      <c r="E697" s="200"/>
      <c r="F697" s="200"/>
    </row>
    <row r="698" spans="1:6" x14ac:dyDescent="0.3">
      <c r="A698" s="117"/>
      <c r="B698" s="117"/>
      <c r="C698" s="117"/>
      <c r="D698" s="117"/>
      <c r="E698" s="200"/>
      <c r="F698" s="200"/>
    </row>
    <row r="699" spans="1:6" x14ac:dyDescent="0.3">
      <c r="A699" s="117"/>
      <c r="B699" s="117"/>
      <c r="C699" s="117"/>
      <c r="D699" s="117"/>
      <c r="E699" s="200"/>
      <c r="F699" s="200"/>
    </row>
    <row r="700" spans="1:6" x14ac:dyDescent="0.3">
      <c r="A700" s="117"/>
      <c r="B700" s="117"/>
      <c r="C700" s="117"/>
      <c r="D700" s="117"/>
      <c r="E700" s="200"/>
      <c r="F700" s="200"/>
    </row>
    <row r="701" spans="1:6" x14ac:dyDescent="0.3">
      <c r="A701" s="117"/>
      <c r="B701" s="117"/>
      <c r="C701" s="117"/>
      <c r="D701" s="117"/>
      <c r="E701" s="200"/>
      <c r="F701" s="200"/>
    </row>
    <row r="702" spans="1:6" x14ac:dyDescent="0.3">
      <c r="A702" s="117"/>
      <c r="B702" s="117"/>
      <c r="C702" s="117"/>
      <c r="D702" s="117"/>
      <c r="E702" s="200"/>
      <c r="F702" s="200"/>
    </row>
    <row r="703" spans="1:6" x14ac:dyDescent="0.3">
      <c r="A703" s="117"/>
      <c r="B703" s="117"/>
      <c r="C703" s="117"/>
      <c r="D703" s="117"/>
      <c r="E703" s="200"/>
      <c r="F703" s="200"/>
    </row>
    <row r="704" spans="1:6" x14ac:dyDescent="0.3">
      <c r="A704" s="117"/>
      <c r="B704" s="117"/>
      <c r="C704" s="117"/>
      <c r="D704" s="117"/>
      <c r="E704" s="200"/>
      <c r="F704" s="200"/>
    </row>
    <row r="705" spans="1:6" x14ac:dyDescent="0.3">
      <c r="A705" s="117"/>
      <c r="B705" s="117"/>
      <c r="C705" s="117"/>
      <c r="D705" s="117"/>
      <c r="E705" s="200"/>
      <c r="F705" s="200"/>
    </row>
    <row r="706" spans="1:6" x14ac:dyDescent="0.3">
      <c r="A706" s="117"/>
      <c r="B706" s="117"/>
      <c r="C706" s="117"/>
      <c r="D706" s="117"/>
      <c r="E706" s="200"/>
      <c r="F706" s="200"/>
    </row>
    <row r="707" spans="1:6" x14ac:dyDescent="0.3">
      <c r="A707" s="117"/>
      <c r="B707" s="117"/>
      <c r="C707" s="117"/>
      <c r="D707" s="117"/>
      <c r="E707" s="200"/>
      <c r="F707" s="200"/>
    </row>
    <row r="708" spans="1:6" x14ac:dyDescent="0.3">
      <c r="A708" s="117"/>
      <c r="B708" s="117"/>
      <c r="C708" s="117"/>
      <c r="D708" s="117"/>
      <c r="E708" s="200"/>
      <c r="F708" s="200"/>
    </row>
    <row r="709" spans="1:6" x14ac:dyDescent="0.3">
      <c r="A709" s="117"/>
      <c r="B709" s="117"/>
      <c r="C709" s="117"/>
      <c r="D709" s="117"/>
      <c r="E709" s="200"/>
      <c r="F709" s="200"/>
    </row>
    <row r="710" spans="1:6" x14ac:dyDescent="0.3">
      <c r="A710" s="117"/>
      <c r="B710" s="117"/>
      <c r="C710" s="117"/>
      <c r="D710" s="117"/>
      <c r="E710" s="200"/>
      <c r="F710" s="200"/>
    </row>
    <row r="711" spans="1:6" x14ac:dyDescent="0.3">
      <c r="A711" s="117"/>
      <c r="B711" s="117"/>
      <c r="C711" s="117"/>
      <c r="D711" s="117"/>
      <c r="E711" s="200"/>
      <c r="F711" s="200"/>
    </row>
    <row r="712" spans="1:6" x14ac:dyDescent="0.3">
      <c r="A712" s="117"/>
      <c r="B712" s="117"/>
      <c r="C712" s="117"/>
      <c r="D712" s="117"/>
      <c r="E712" s="200"/>
      <c r="F712" s="200"/>
    </row>
    <row r="713" spans="1:6" x14ac:dyDescent="0.3">
      <c r="A713" s="117"/>
      <c r="B713" s="117"/>
      <c r="C713" s="117"/>
      <c r="D713" s="117"/>
      <c r="E713" s="200"/>
      <c r="F713" s="200"/>
    </row>
    <row r="714" spans="1:6" x14ac:dyDescent="0.3">
      <c r="A714" s="117"/>
      <c r="B714" s="117"/>
      <c r="C714" s="117"/>
      <c r="D714" s="117"/>
      <c r="E714" s="200"/>
      <c r="F714" s="200"/>
    </row>
    <row r="715" spans="1:6" x14ac:dyDescent="0.3">
      <c r="A715" s="117"/>
      <c r="B715" s="117"/>
      <c r="C715" s="117"/>
      <c r="D715" s="117"/>
      <c r="E715" s="200"/>
      <c r="F715" s="200"/>
    </row>
    <row r="716" spans="1:6" x14ac:dyDescent="0.3">
      <c r="A716" s="117"/>
      <c r="B716" s="117"/>
      <c r="C716" s="117"/>
      <c r="D716" s="117"/>
      <c r="E716" s="200"/>
      <c r="F716" s="200"/>
    </row>
    <row r="717" spans="1:6" x14ac:dyDescent="0.3">
      <c r="A717" s="117"/>
      <c r="B717" s="117"/>
      <c r="C717" s="117"/>
      <c r="D717" s="117"/>
      <c r="E717" s="200"/>
      <c r="F717" s="200"/>
    </row>
    <row r="718" spans="1:6" x14ac:dyDescent="0.3">
      <c r="A718" s="117"/>
      <c r="B718" s="117"/>
      <c r="C718" s="117"/>
      <c r="D718" s="117"/>
      <c r="E718" s="200"/>
      <c r="F718" s="200"/>
    </row>
    <row r="719" spans="1:6" x14ac:dyDescent="0.3">
      <c r="A719" s="117"/>
      <c r="B719" s="117"/>
      <c r="C719" s="117"/>
      <c r="D719" s="117"/>
      <c r="E719" s="200"/>
      <c r="F719" s="200"/>
    </row>
    <row r="720" spans="1:6" x14ac:dyDescent="0.3">
      <c r="A720" s="117"/>
      <c r="B720" s="117"/>
      <c r="C720" s="117"/>
      <c r="D720" s="117"/>
      <c r="E720" s="200"/>
      <c r="F720" s="200"/>
    </row>
    <row r="721" spans="1:6" x14ac:dyDescent="0.3">
      <c r="A721" s="117"/>
      <c r="B721" s="117"/>
      <c r="C721" s="117"/>
      <c r="D721" s="117"/>
      <c r="E721" s="200"/>
      <c r="F721" s="200"/>
    </row>
    <row r="722" spans="1:6" x14ac:dyDescent="0.3">
      <c r="A722" s="117"/>
      <c r="B722" s="117"/>
      <c r="C722" s="117"/>
      <c r="D722" s="117"/>
      <c r="E722" s="200"/>
      <c r="F722" s="200"/>
    </row>
    <row r="723" spans="1:6" x14ac:dyDescent="0.3">
      <c r="A723" s="117"/>
      <c r="B723" s="117"/>
      <c r="C723" s="117"/>
      <c r="D723" s="117"/>
      <c r="E723" s="200"/>
      <c r="F723" s="200"/>
    </row>
    <row r="724" spans="1:6" x14ac:dyDescent="0.3">
      <c r="A724" s="117"/>
      <c r="B724" s="117"/>
      <c r="C724" s="117"/>
      <c r="D724" s="117"/>
      <c r="E724" s="200"/>
      <c r="F724" s="200"/>
    </row>
    <row r="725" spans="1:6" x14ac:dyDescent="0.3">
      <c r="A725" s="117"/>
      <c r="B725" s="117"/>
      <c r="C725" s="117"/>
      <c r="D725" s="117"/>
      <c r="E725" s="200"/>
      <c r="F725" s="200"/>
    </row>
    <row r="726" spans="1:6" x14ac:dyDescent="0.3">
      <c r="A726" s="117"/>
      <c r="B726" s="117"/>
      <c r="C726" s="117"/>
      <c r="D726" s="117"/>
      <c r="E726" s="200"/>
      <c r="F726" s="200"/>
    </row>
    <row r="727" spans="1:6" x14ac:dyDescent="0.3">
      <c r="A727" s="117"/>
      <c r="B727" s="117"/>
      <c r="C727" s="117"/>
      <c r="D727" s="117"/>
      <c r="E727" s="200"/>
      <c r="F727" s="200"/>
    </row>
    <row r="728" spans="1:6" x14ac:dyDescent="0.3">
      <c r="A728" s="117"/>
      <c r="B728" s="117"/>
      <c r="C728" s="117"/>
      <c r="D728" s="117"/>
      <c r="E728" s="200"/>
      <c r="F728" s="200"/>
    </row>
    <row r="729" spans="1:6" x14ac:dyDescent="0.3">
      <c r="A729" s="117"/>
      <c r="B729" s="117"/>
      <c r="C729" s="117"/>
      <c r="D729" s="117"/>
      <c r="E729" s="200"/>
      <c r="F729" s="200"/>
    </row>
    <row r="730" spans="1:6" x14ac:dyDescent="0.3">
      <c r="A730" s="117"/>
      <c r="B730" s="117"/>
      <c r="C730" s="117"/>
      <c r="D730" s="117"/>
      <c r="E730" s="200"/>
      <c r="F730" s="200"/>
    </row>
    <row r="731" spans="1:6" x14ac:dyDescent="0.3">
      <c r="A731" s="117"/>
      <c r="B731" s="117"/>
      <c r="C731" s="117"/>
      <c r="D731" s="117"/>
      <c r="E731" s="200"/>
      <c r="F731" s="200"/>
    </row>
    <row r="732" spans="1:6" x14ac:dyDescent="0.3">
      <c r="A732" s="117"/>
      <c r="B732" s="117"/>
      <c r="C732" s="117"/>
      <c r="D732" s="117"/>
      <c r="E732" s="200"/>
      <c r="F732" s="200"/>
    </row>
    <row r="733" spans="1:6" x14ac:dyDescent="0.3">
      <c r="A733" s="117"/>
      <c r="B733" s="117"/>
      <c r="C733" s="117"/>
      <c r="D733" s="117"/>
      <c r="E733" s="200"/>
      <c r="F733" s="200"/>
    </row>
    <row r="734" spans="1:6" x14ac:dyDescent="0.3">
      <c r="A734" s="117"/>
      <c r="B734" s="117"/>
      <c r="C734" s="117"/>
      <c r="D734" s="117"/>
      <c r="E734" s="200"/>
      <c r="F734" s="200"/>
    </row>
    <row r="735" spans="1:6" x14ac:dyDescent="0.3">
      <c r="A735" s="117"/>
      <c r="B735" s="117"/>
      <c r="C735" s="117"/>
      <c r="D735" s="117"/>
      <c r="E735" s="200"/>
      <c r="F735" s="200"/>
    </row>
    <row r="736" spans="1:6" x14ac:dyDescent="0.3">
      <c r="A736" s="117"/>
      <c r="B736" s="117"/>
      <c r="C736" s="117"/>
      <c r="D736" s="117"/>
      <c r="E736" s="200"/>
      <c r="F736" s="200"/>
    </row>
    <row r="737" spans="1:6" x14ac:dyDescent="0.3">
      <c r="A737" s="117"/>
      <c r="B737" s="117"/>
      <c r="C737" s="117"/>
      <c r="D737" s="117"/>
      <c r="E737" s="200"/>
      <c r="F737" s="200"/>
    </row>
    <row r="738" spans="1:6" x14ac:dyDescent="0.3">
      <c r="A738" s="117"/>
      <c r="B738" s="117"/>
      <c r="C738" s="117"/>
      <c r="D738" s="117"/>
      <c r="E738" s="200"/>
      <c r="F738" s="200"/>
    </row>
    <row r="739" spans="1:6" x14ac:dyDescent="0.3">
      <c r="A739" s="117"/>
      <c r="B739" s="117"/>
      <c r="C739" s="117"/>
      <c r="D739" s="117"/>
      <c r="E739" s="200"/>
      <c r="F739" s="200"/>
    </row>
    <row r="740" spans="1:6" x14ac:dyDescent="0.3">
      <c r="A740" s="117"/>
      <c r="B740" s="117"/>
      <c r="C740" s="117"/>
      <c r="D740" s="117"/>
      <c r="E740" s="200"/>
      <c r="F740" s="200"/>
    </row>
    <row r="741" spans="1:6" x14ac:dyDescent="0.3">
      <c r="A741" s="117"/>
      <c r="B741" s="117"/>
      <c r="C741" s="117"/>
      <c r="D741" s="117"/>
      <c r="E741" s="200"/>
      <c r="F741" s="200"/>
    </row>
    <row r="742" spans="1:6" x14ac:dyDescent="0.3">
      <c r="A742" s="117"/>
      <c r="B742" s="117"/>
      <c r="C742" s="117"/>
      <c r="D742" s="117"/>
      <c r="E742" s="200"/>
      <c r="F742" s="200"/>
    </row>
    <row r="743" spans="1:6" x14ac:dyDescent="0.3">
      <c r="A743" s="117"/>
      <c r="B743" s="117"/>
      <c r="C743" s="117"/>
      <c r="D743" s="117"/>
      <c r="E743" s="200"/>
      <c r="F743" s="200"/>
    </row>
    <row r="744" spans="1:6" x14ac:dyDescent="0.3">
      <c r="A744" s="117"/>
      <c r="B744" s="117"/>
      <c r="C744" s="117"/>
      <c r="D744" s="117"/>
      <c r="E744" s="200"/>
      <c r="F744" s="200"/>
    </row>
    <row r="745" spans="1:6" x14ac:dyDescent="0.3">
      <c r="A745" s="117"/>
      <c r="B745" s="117"/>
      <c r="C745" s="117"/>
      <c r="D745" s="117"/>
      <c r="E745" s="200"/>
      <c r="F745" s="200"/>
    </row>
    <row r="746" spans="1:6" x14ac:dyDescent="0.3">
      <c r="A746" s="117"/>
      <c r="B746" s="117"/>
      <c r="C746" s="117"/>
      <c r="D746" s="117"/>
      <c r="E746" s="200"/>
      <c r="F746" s="200"/>
    </row>
    <row r="747" spans="1:6" x14ac:dyDescent="0.3">
      <c r="A747" s="117"/>
      <c r="B747" s="117"/>
      <c r="C747" s="117"/>
      <c r="D747" s="117"/>
      <c r="E747" s="200"/>
      <c r="F747" s="200"/>
    </row>
    <row r="748" spans="1:6" x14ac:dyDescent="0.3">
      <c r="A748" s="117"/>
      <c r="B748" s="117"/>
      <c r="C748" s="117"/>
      <c r="D748" s="117"/>
      <c r="E748" s="200"/>
      <c r="F748" s="200"/>
    </row>
    <row r="749" spans="1:6" x14ac:dyDescent="0.3">
      <c r="A749" s="117"/>
      <c r="B749" s="117"/>
      <c r="C749" s="117"/>
      <c r="D749" s="117"/>
      <c r="E749" s="200"/>
      <c r="F749" s="200"/>
    </row>
    <row r="750" spans="1:6" x14ac:dyDescent="0.3">
      <c r="A750" s="117"/>
      <c r="B750" s="117"/>
      <c r="C750" s="117"/>
      <c r="D750" s="117"/>
      <c r="E750" s="200"/>
      <c r="F750" s="200"/>
    </row>
    <row r="751" spans="1:6" x14ac:dyDescent="0.3">
      <c r="A751" s="117"/>
      <c r="B751" s="117"/>
      <c r="C751" s="117"/>
      <c r="D751" s="117"/>
      <c r="E751" s="200"/>
      <c r="F751" s="200"/>
    </row>
    <row r="752" spans="1:6" x14ac:dyDescent="0.3">
      <c r="A752" s="117"/>
      <c r="B752" s="117"/>
      <c r="C752" s="117"/>
      <c r="D752" s="117"/>
      <c r="E752" s="200"/>
      <c r="F752" s="200"/>
    </row>
    <row r="753" spans="1:6" x14ac:dyDescent="0.3">
      <c r="A753" s="117"/>
      <c r="B753" s="117"/>
      <c r="C753" s="117"/>
      <c r="D753" s="117"/>
      <c r="E753" s="200"/>
      <c r="F753" s="200"/>
    </row>
    <row r="754" spans="1:6" x14ac:dyDescent="0.3">
      <c r="A754" s="117"/>
      <c r="B754" s="117"/>
      <c r="C754" s="117"/>
      <c r="D754" s="117"/>
      <c r="E754" s="200"/>
      <c r="F754" s="200"/>
    </row>
    <row r="755" spans="1:6" x14ac:dyDescent="0.3">
      <c r="A755" s="117"/>
      <c r="B755" s="117"/>
      <c r="C755" s="117"/>
      <c r="D755" s="117"/>
      <c r="E755" s="200"/>
      <c r="F755" s="200"/>
    </row>
    <row r="756" spans="1:6" x14ac:dyDescent="0.3">
      <c r="A756" s="117"/>
      <c r="B756" s="117"/>
      <c r="C756" s="117"/>
      <c r="D756" s="117"/>
      <c r="E756" s="200"/>
      <c r="F756" s="200"/>
    </row>
    <row r="757" spans="1:6" x14ac:dyDescent="0.3">
      <c r="A757" s="117"/>
      <c r="B757" s="117"/>
      <c r="C757" s="117"/>
      <c r="D757" s="117"/>
      <c r="E757" s="200"/>
      <c r="F757" s="200"/>
    </row>
    <row r="758" spans="1:6" x14ac:dyDescent="0.3">
      <c r="A758" s="117"/>
      <c r="B758" s="117"/>
      <c r="C758" s="117"/>
      <c r="D758" s="117"/>
      <c r="E758" s="200"/>
      <c r="F758" s="200"/>
    </row>
    <row r="759" spans="1:6" x14ac:dyDescent="0.3">
      <c r="A759" s="117"/>
      <c r="B759" s="117"/>
      <c r="C759" s="117"/>
      <c r="D759" s="117"/>
      <c r="E759" s="200"/>
      <c r="F759" s="200"/>
    </row>
    <row r="760" spans="1:6" x14ac:dyDescent="0.3">
      <c r="A760" s="117"/>
      <c r="B760" s="117"/>
      <c r="C760" s="117"/>
      <c r="D760" s="117"/>
      <c r="E760" s="200"/>
      <c r="F760" s="200"/>
    </row>
    <row r="761" spans="1:6" x14ac:dyDescent="0.3">
      <c r="A761" s="117"/>
      <c r="B761" s="117"/>
      <c r="C761" s="117"/>
      <c r="D761" s="117"/>
      <c r="E761" s="200"/>
      <c r="F761" s="200"/>
    </row>
    <row r="762" spans="1:6" x14ac:dyDescent="0.3">
      <c r="A762" s="117"/>
      <c r="B762" s="117"/>
      <c r="C762" s="117"/>
      <c r="D762" s="117"/>
      <c r="E762" s="200"/>
      <c r="F762" s="200"/>
    </row>
    <row r="763" spans="1:6" x14ac:dyDescent="0.3">
      <c r="A763" s="117"/>
      <c r="B763" s="117"/>
      <c r="C763" s="117"/>
      <c r="D763" s="117"/>
      <c r="E763" s="200"/>
      <c r="F763" s="200"/>
    </row>
    <row r="764" spans="1:6" x14ac:dyDescent="0.3">
      <c r="A764" s="117"/>
      <c r="B764" s="117"/>
      <c r="C764" s="117"/>
      <c r="D764" s="117"/>
      <c r="E764" s="200"/>
      <c r="F764" s="200"/>
    </row>
    <row r="765" spans="1:6" x14ac:dyDescent="0.3">
      <c r="A765" s="117"/>
      <c r="B765" s="117"/>
      <c r="C765" s="117"/>
      <c r="D765" s="117"/>
      <c r="E765" s="200"/>
      <c r="F765" s="200"/>
    </row>
    <row r="766" spans="1:6" x14ac:dyDescent="0.3">
      <c r="A766" s="117"/>
      <c r="B766" s="117"/>
      <c r="C766" s="117"/>
      <c r="D766" s="117"/>
      <c r="E766" s="200"/>
      <c r="F766" s="200"/>
    </row>
    <row r="767" spans="1:6" x14ac:dyDescent="0.3">
      <c r="A767" s="117"/>
      <c r="B767" s="117"/>
      <c r="C767" s="117"/>
      <c r="D767" s="117"/>
      <c r="E767" s="200"/>
      <c r="F767" s="200"/>
    </row>
    <row r="768" spans="1:6" x14ac:dyDescent="0.3">
      <c r="A768" s="117"/>
      <c r="B768" s="117"/>
      <c r="C768" s="117"/>
      <c r="D768" s="117"/>
      <c r="E768" s="200"/>
      <c r="F768" s="200"/>
    </row>
    <row r="769" spans="1:6" x14ac:dyDescent="0.3">
      <c r="A769" s="117"/>
      <c r="B769" s="117"/>
      <c r="C769" s="117"/>
      <c r="D769" s="117"/>
      <c r="E769" s="200"/>
      <c r="F769" s="200"/>
    </row>
    <row r="770" spans="1:6" x14ac:dyDescent="0.3">
      <c r="A770" s="117"/>
      <c r="B770" s="117"/>
      <c r="C770" s="117"/>
      <c r="D770" s="117"/>
      <c r="E770" s="200"/>
      <c r="F770" s="200"/>
    </row>
    <row r="771" spans="1:6" x14ac:dyDescent="0.3">
      <c r="A771" s="117"/>
      <c r="B771" s="117"/>
      <c r="C771" s="117"/>
      <c r="D771" s="117"/>
      <c r="E771" s="200"/>
      <c r="F771" s="200"/>
    </row>
    <row r="772" spans="1:6" x14ac:dyDescent="0.3">
      <c r="A772" s="117"/>
      <c r="B772" s="117"/>
      <c r="C772" s="117"/>
      <c r="D772" s="117"/>
      <c r="E772" s="200"/>
      <c r="F772" s="200"/>
    </row>
    <row r="773" spans="1:6" x14ac:dyDescent="0.3">
      <c r="A773" s="117"/>
      <c r="B773" s="117"/>
      <c r="C773" s="117"/>
      <c r="D773" s="117"/>
      <c r="E773" s="200"/>
      <c r="F773" s="200"/>
    </row>
    <row r="774" spans="1:6" x14ac:dyDescent="0.3">
      <c r="A774" s="117"/>
      <c r="B774" s="117"/>
      <c r="C774" s="117"/>
      <c r="D774" s="117"/>
      <c r="E774" s="200"/>
      <c r="F774" s="200"/>
    </row>
    <row r="775" spans="1:6" x14ac:dyDescent="0.3">
      <c r="A775" s="117"/>
      <c r="B775" s="117"/>
      <c r="C775" s="117"/>
      <c r="D775" s="117"/>
      <c r="E775" s="200"/>
      <c r="F775" s="200"/>
    </row>
    <row r="776" spans="1:6" x14ac:dyDescent="0.3">
      <c r="A776" s="117"/>
      <c r="B776" s="117"/>
      <c r="C776" s="117"/>
      <c r="D776" s="117"/>
      <c r="E776" s="200"/>
      <c r="F776" s="200"/>
    </row>
    <row r="777" spans="1:6" x14ac:dyDescent="0.3">
      <c r="A777" s="117"/>
      <c r="B777" s="117"/>
      <c r="C777" s="117"/>
      <c r="D777" s="117"/>
      <c r="E777" s="200"/>
      <c r="F777" s="200"/>
    </row>
    <row r="778" spans="1:6" x14ac:dyDescent="0.3">
      <c r="A778" s="117"/>
      <c r="B778" s="117"/>
      <c r="C778" s="117"/>
      <c r="D778" s="117"/>
      <c r="E778" s="200"/>
      <c r="F778" s="200"/>
    </row>
    <row r="779" spans="1:6" x14ac:dyDescent="0.3">
      <c r="A779" s="117"/>
      <c r="B779" s="117"/>
      <c r="C779" s="117"/>
      <c r="D779" s="117"/>
      <c r="E779" s="200"/>
      <c r="F779" s="200"/>
    </row>
    <row r="780" spans="1:6" x14ac:dyDescent="0.3">
      <c r="A780" s="117"/>
      <c r="B780" s="117"/>
      <c r="C780" s="117"/>
      <c r="D780" s="117"/>
      <c r="E780" s="200"/>
      <c r="F780" s="200"/>
    </row>
    <row r="781" spans="1:6" x14ac:dyDescent="0.3">
      <c r="A781" s="117"/>
      <c r="B781" s="117"/>
      <c r="C781" s="117"/>
      <c r="D781" s="117"/>
      <c r="E781" s="200"/>
      <c r="F781" s="200"/>
    </row>
    <row r="782" spans="1:6" x14ac:dyDescent="0.3">
      <c r="A782" s="117"/>
      <c r="B782" s="117"/>
      <c r="C782" s="117"/>
      <c r="D782" s="117"/>
      <c r="E782" s="200"/>
      <c r="F782" s="200"/>
    </row>
    <row r="783" spans="1:6" x14ac:dyDescent="0.3">
      <c r="A783" s="117"/>
      <c r="B783" s="117"/>
      <c r="C783" s="117"/>
      <c r="D783" s="117"/>
      <c r="E783" s="200"/>
      <c r="F783" s="200"/>
    </row>
    <row r="784" spans="1:6" x14ac:dyDescent="0.3">
      <c r="A784" s="117"/>
      <c r="B784" s="117"/>
      <c r="C784" s="117"/>
      <c r="D784" s="117"/>
      <c r="E784" s="200"/>
      <c r="F784" s="200"/>
    </row>
    <row r="785" spans="1:6" x14ac:dyDescent="0.3">
      <c r="A785" s="117"/>
      <c r="B785" s="117"/>
      <c r="C785" s="117"/>
      <c r="D785" s="117"/>
      <c r="E785" s="200"/>
      <c r="F785" s="200"/>
    </row>
    <row r="786" spans="1:6" x14ac:dyDescent="0.3">
      <c r="A786" s="117"/>
      <c r="B786" s="117"/>
      <c r="C786" s="117"/>
      <c r="D786" s="117"/>
      <c r="E786" s="200"/>
      <c r="F786" s="200"/>
    </row>
    <row r="787" spans="1:6" x14ac:dyDescent="0.3">
      <c r="A787" s="117"/>
      <c r="B787" s="117"/>
      <c r="C787" s="117"/>
      <c r="D787" s="117"/>
      <c r="E787" s="200"/>
      <c r="F787" s="200"/>
    </row>
    <row r="788" spans="1:6" x14ac:dyDescent="0.3">
      <c r="A788" s="117"/>
      <c r="B788" s="117"/>
      <c r="C788" s="117"/>
      <c r="D788" s="117"/>
      <c r="E788" s="200"/>
      <c r="F788" s="200"/>
    </row>
    <row r="789" spans="1:6" x14ac:dyDescent="0.3">
      <c r="A789" s="117"/>
      <c r="B789" s="117"/>
      <c r="C789" s="117"/>
      <c r="D789" s="117"/>
      <c r="E789" s="200"/>
      <c r="F789" s="200"/>
    </row>
    <row r="790" spans="1:6" x14ac:dyDescent="0.3">
      <c r="A790" s="117"/>
      <c r="B790" s="117"/>
      <c r="C790" s="117"/>
      <c r="D790" s="117"/>
      <c r="E790" s="200"/>
      <c r="F790" s="200"/>
    </row>
    <row r="791" spans="1:6" x14ac:dyDescent="0.3">
      <c r="A791" s="117"/>
      <c r="B791" s="117"/>
      <c r="C791" s="117"/>
      <c r="D791" s="117"/>
      <c r="E791" s="200"/>
      <c r="F791" s="200"/>
    </row>
    <row r="792" spans="1:6" x14ac:dyDescent="0.3">
      <c r="A792" s="117"/>
      <c r="B792" s="117"/>
      <c r="C792" s="117"/>
      <c r="D792" s="117"/>
      <c r="E792" s="200"/>
      <c r="F792" s="200"/>
    </row>
    <row r="793" spans="1:6" x14ac:dyDescent="0.3">
      <c r="A793" s="117"/>
      <c r="B793" s="117"/>
      <c r="C793" s="117"/>
      <c r="D793" s="117"/>
      <c r="E793" s="200"/>
      <c r="F793" s="200"/>
    </row>
    <row r="794" spans="1:6" x14ac:dyDescent="0.3">
      <c r="A794" s="117"/>
      <c r="B794" s="117"/>
      <c r="C794" s="117"/>
      <c r="D794" s="117"/>
      <c r="E794" s="200"/>
      <c r="F794" s="200"/>
    </row>
    <row r="795" spans="1:6" x14ac:dyDescent="0.3">
      <c r="A795" s="117"/>
      <c r="B795" s="117"/>
      <c r="C795" s="117"/>
      <c r="D795" s="117"/>
      <c r="E795" s="200"/>
      <c r="F795" s="200"/>
    </row>
    <row r="796" spans="1:6" x14ac:dyDescent="0.3">
      <c r="A796" s="117"/>
      <c r="B796" s="117"/>
      <c r="C796" s="117"/>
      <c r="D796" s="117"/>
      <c r="E796" s="200"/>
      <c r="F796" s="200"/>
    </row>
    <row r="797" spans="1:6" x14ac:dyDescent="0.3">
      <c r="A797" s="117"/>
      <c r="B797" s="117"/>
      <c r="C797" s="117"/>
      <c r="D797" s="117"/>
      <c r="E797" s="200"/>
      <c r="F797" s="200"/>
    </row>
    <row r="798" spans="1:6" x14ac:dyDescent="0.3">
      <c r="A798" s="117"/>
      <c r="B798" s="117"/>
      <c r="C798" s="117"/>
      <c r="D798" s="117"/>
      <c r="E798" s="200"/>
      <c r="F798" s="200"/>
    </row>
    <row r="799" spans="1:6" x14ac:dyDescent="0.3">
      <c r="A799" s="117"/>
      <c r="B799" s="117"/>
      <c r="C799" s="117"/>
      <c r="D799" s="117"/>
      <c r="E799" s="200"/>
      <c r="F799" s="200"/>
    </row>
    <row r="800" spans="1:6" x14ac:dyDescent="0.3">
      <c r="A800" s="117"/>
      <c r="B800" s="117"/>
      <c r="C800" s="117"/>
      <c r="D800" s="117"/>
      <c r="E800" s="200"/>
      <c r="F800" s="200"/>
    </row>
    <row r="801" spans="1:6" x14ac:dyDescent="0.3">
      <c r="A801" s="117"/>
      <c r="B801" s="117"/>
      <c r="C801" s="117"/>
      <c r="D801" s="117"/>
      <c r="E801" s="200"/>
      <c r="F801" s="200"/>
    </row>
    <row r="802" spans="1:6" x14ac:dyDescent="0.3">
      <c r="A802" s="117"/>
      <c r="B802" s="117"/>
      <c r="C802" s="117"/>
      <c r="D802" s="117"/>
      <c r="E802" s="200"/>
      <c r="F802" s="200"/>
    </row>
    <row r="803" spans="1:6" x14ac:dyDescent="0.3">
      <c r="A803" s="117"/>
      <c r="B803" s="117"/>
      <c r="C803" s="117"/>
      <c r="D803" s="117"/>
      <c r="E803" s="200"/>
      <c r="F803" s="200"/>
    </row>
    <row r="804" spans="1:6" x14ac:dyDescent="0.3">
      <c r="A804" s="117"/>
      <c r="B804" s="117"/>
      <c r="C804" s="117"/>
      <c r="D804" s="117"/>
      <c r="E804" s="200"/>
      <c r="F804" s="200"/>
    </row>
    <row r="805" spans="1:6" x14ac:dyDescent="0.3">
      <c r="A805" s="117"/>
      <c r="B805" s="117"/>
      <c r="C805" s="117"/>
      <c r="D805" s="117"/>
      <c r="E805" s="200"/>
      <c r="F805" s="200"/>
    </row>
    <row r="806" spans="1:6" x14ac:dyDescent="0.3">
      <c r="A806" s="117"/>
      <c r="B806" s="117"/>
      <c r="C806" s="117"/>
      <c r="D806" s="117"/>
      <c r="E806" s="200"/>
      <c r="F806" s="200"/>
    </row>
    <row r="807" spans="1:6" x14ac:dyDescent="0.3">
      <c r="A807" s="117"/>
      <c r="B807" s="117"/>
      <c r="C807" s="117"/>
      <c r="D807" s="117"/>
      <c r="E807" s="200"/>
      <c r="F807" s="200"/>
    </row>
    <row r="808" spans="1:6" x14ac:dyDescent="0.3">
      <c r="A808" s="117"/>
      <c r="B808" s="117"/>
      <c r="C808" s="117"/>
      <c r="D808" s="117"/>
      <c r="E808" s="200"/>
      <c r="F808" s="200"/>
    </row>
    <row r="809" spans="1:6" x14ac:dyDescent="0.3">
      <c r="A809" s="117"/>
      <c r="B809" s="117"/>
      <c r="C809" s="117"/>
      <c r="D809" s="117"/>
      <c r="E809" s="200"/>
      <c r="F809" s="200"/>
    </row>
    <row r="810" spans="1:6" x14ac:dyDescent="0.3">
      <c r="A810" s="117"/>
      <c r="B810" s="117"/>
      <c r="C810" s="117"/>
      <c r="D810" s="117"/>
      <c r="E810" s="200"/>
      <c r="F810" s="200"/>
    </row>
    <row r="811" spans="1:6" x14ac:dyDescent="0.3">
      <c r="A811" s="117"/>
      <c r="B811" s="117"/>
      <c r="C811" s="117"/>
      <c r="D811" s="117"/>
      <c r="E811" s="200"/>
      <c r="F811" s="200"/>
    </row>
    <row r="812" spans="1:6" x14ac:dyDescent="0.3">
      <c r="A812" s="117"/>
      <c r="B812" s="117"/>
      <c r="C812" s="117"/>
      <c r="D812" s="117"/>
      <c r="E812" s="200"/>
      <c r="F812" s="200"/>
    </row>
    <row r="813" spans="1:6" x14ac:dyDescent="0.3">
      <c r="A813" s="117"/>
      <c r="B813" s="117"/>
      <c r="C813" s="117"/>
      <c r="D813" s="117"/>
      <c r="E813" s="200"/>
      <c r="F813" s="200"/>
    </row>
    <row r="814" spans="1:6" x14ac:dyDescent="0.3">
      <c r="A814" s="117"/>
      <c r="B814" s="117"/>
      <c r="C814" s="117"/>
      <c r="D814" s="117"/>
      <c r="E814" s="200"/>
      <c r="F814" s="200"/>
    </row>
    <row r="815" spans="1:6" x14ac:dyDescent="0.3">
      <c r="A815" s="117"/>
      <c r="B815" s="117"/>
      <c r="C815" s="117"/>
      <c r="D815" s="117"/>
      <c r="E815" s="200"/>
      <c r="F815" s="200"/>
    </row>
    <row r="816" spans="1:6" x14ac:dyDescent="0.3">
      <c r="A816" s="117"/>
      <c r="B816" s="117"/>
      <c r="C816" s="117"/>
      <c r="D816" s="117"/>
      <c r="E816" s="200"/>
      <c r="F816" s="200"/>
    </row>
    <row r="817" spans="1:6" x14ac:dyDescent="0.3">
      <c r="A817" s="117"/>
      <c r="B817" s="117"/>
      <c r="C817" s="117"/>
      <c r="D817" s="117"/>
      <c r="E817" s="200"/>
      <c r="F817" s="200"/>
    </row>
    <row r="818" spans="1:6" x14ac:dyDescent="0.3">
      <c r="A818" s="117"/>
      <c r="B818" s="117"/>
      <c r="C818" s="117"/>
      <c r="D818" s="117"/>
      <c r="E818" s="200"/>
      <c r="F818" s="200"/>
    </row>
    <row r="819" spans="1:6" x14ac:dyDescent="0.3">
      <c r="A819" s="117"/>
      <c r="B819" s="117"/>
      <c r="C819" s="117"/>
      <c r="D819" s="117"/>
      <c r="E819" s="200"/>
      <c r="F819" s="200"/>
    </row>
    <row r="820" spans="1:6" x14ac:dyDescent="0.3">
      <c r="A820" s="117"/>
      <c r="B820" s="117"/>
      <c r="C820" s="117"/>
      <c r="D820" s="117"/>
      <c r="E820" s="200"/>
      <c r="F820" s="200"/>
    </row>
    <row r="821" spans="1:6" x14ac:dyDescent="0.3">
      <c r="A821" s="117"/>
      <c r="B821" s="117"/>
      <c r="C821" s="117"/>
      <c r="D821" s="117"/>
      <c r="E821" s="200"/>
      <c r="F821" s="200"/>
    </row>
    <row r="822" spans="1:6" x14ac:dyDescent="0.3">
      <c r="A822" s="117"/>
      <c r="B822" s="117"/>
      <c r="C822" s="117"/>
      <c r="D822" s="117"/>
      <c r="E822" s="200"/>
      <c r="F822" s="200"/>
    </row>
    <row r="823" spans="1:6" x14ac:dyDescent="0.3">
      <c r="A823" s="117"/>
      <c r="B823" s="117"/>
      <c r="C823" s="117"/>
      <c r="D823" s="117"/>
      <c r="E823" s="200"/>
      <c r="F823" s="200"/>
    </row>
    <row r="824" spans="1:6" x14ac:dyDescent="0.3">
      <c r="A824" s="117"/>
      <c r="B824" s="117"/>
      <c r="C824" s="117"/>
      <c r="D824" s="117"/>
      <c r="E824" s="200"/>
      <c r="F824" s="200"/>
    </row>
    <row r="825" spans="1:6" x14ac:dyDescent="0.3">
      <c r="A825" s="117"/>
      <c r="B825" s="117"/>
      <c r="C825" s="117"/>
      <c r="D825" s="117"/>
      <c r="E825" s="200"/>
      <c r="F825" s="200"/>
    </row>
    <row r="826" spans="1:6" x14ac:dyDescent="0.3">
      <c r="A826" s="117"/>
      <c r="B826" s="117"/>
      <c r="C826" s="117"/>
      <c r="D826" s="117"/>
      <c r="E826" s="200"/>
      <c r="F826" s="200"/>
    </row>
    <row r="827" spans="1:6" x14ac:dyDescent="0.3">
      <c r="A827" s="117"/>
      <c r="B827" s="117"/>
      <c r="C827" s="117"/>
      <c r="D827" s="117"/>
      <c r="E827" s="200"/>
      <c r="F827" s="200"/>
    </row>
    <row r="828" spans="1:6" x14ac:dyDescent="0.3">
      <c r="A828" s="117"/>
      <c r="B828" s="117"/>
      <c r="C828" s="117"/>
      <c r="D828" s="117"/>
      <c r="E828" s="200"/>
      <c r="F828" s="200"/>
    </row>
    <row r="829" spans="1:6" x14ac:dyDescent="0.3">
      <c r="A829" s="117"/>
      <c r="B829" s="117"/>
      <c r="C829" s="117"/>
      <c r="D829" s="117"/>
      <c r="E829" s="200"/>
      <c r="F829" s="200"/>
    </row>
    <row r="830" spans="1:6" x14ac:dyDescent="0.3">
      <c r="A830" s="117"/>
      <c r="B830" s="117"/>
      <c r="C830" s="117"/>
      <c r="D830" s="117"/>
      <c r="E830" s="200"/>
      <c r="F830" s="200"/>
    </row>
    <row r="831" spans="1:6" x14ac:dyDescent="0.3">
      <c r="A831" s="117"/>
      <c r="B831" s="117"/>
      <c r="C831" s="117"/>
      <c r="D831" s="117"/>
      <c r="E831" s="200"/>
      <c r="F831" s="200"/>
    </row>
    <row r="832" spans="1:6" x14ac:dyDescent="0.3">
      <c r="A832" s="117"/>
      <c r="B832" s="117"/>
      <c r="C832" s="117"/>
      <c r="D832" s="117"/>
      <c r="E832" s="200"/>
      <c r="F832" s="200"/>
    </row>
    <row r="833" spans="1:6" x14ac:dyDescent="0.3">
      <c r="A833" s="117"/>
      <c r="B833" s="117"/>
      <c r="C833" s="117"/>
      <c r="D833" s="117"/>
      <c r="E833" s="200"/>
      <c r="F833" s="200"/>
    </row>
    <row r="834" spans="1:6" x14ac:dyDescent="0.3">
      <c r="A834" s="117"/>
      <c r="B834" s="117"/>
      <c r="C834" s="117"/>
      <c r="D834" s="117"/>
      <c r="E834" s="200"/>
      <c r="F834" s="200"/>
    </row>
    <row r="835" spans="1:6" x14ac:dyDescent="0.3">
      <c r="A835" s="117"/>
      <c r="B835" s="117"/>
      <c r="C835" s="117"/>
      <c r="D835" s="117"/>
      <c r="E835" s="200"/>
      <c r="F835" s="200"/>
    </row>
    <row r="836" spans="1:6" x14ac:dyDescent="0.3">
      <c r="A836" s="117"/>
      <c r="B836" s="117"/>
      <c r="C836" s="117"/>
      <c r="D836" s="117"/>
      <c r="E836" s="200"/>
      <c r="F836" s="200"/>
    </row>
    <row r="837" spans="1:6" x14ac:dyDescent="0.3">
      <c r="A837" s="117"/>
      <c r="B837" s="117"/>
      <c r="C837" s="117"/>
      <c r="D837" s="117"/>
      <c r="E837" s="200"/>
      <c r="F837" s="200"/>
    </row>
    <row r="838" spans="1:6" x14ac:dyDescent="0.3">
      <c r="A838" s="117"/>
      <c r="B838" s="117"/>
      <c r="C838" s="117"/>
      <c r="D838" s="117"/>
      <c r="E838" s="200"/>
      <c r="F838" s="200"/>
    </row>
    <row r="839" spans="1:6" x14ac:dyDescent="0.3">
      <c r="A839" s="117"/>
      <c r="B839" s="117"/>
      <c r="C839" s="117"/>
      <c r="D839" s="117"/>
      <c r="E839" s="200"/>
      <c r="F839" s="200"/>
    </row>
    <row r="840" spans="1:6" x14ac:dyDescent="0.3">
      <c r="A840" s="117"/>
      <c r="B840" s="117"/>
      <c r="C840" s="117"/>
      <c r="D840" s="117"/>
      <c r="E840" s="200"/>
      <c r="F840" s="200"/>
    </row>
    <row r="841" spans="1:6" x14ac:dyDescent="0.3">
      <c r="A841" s="117"/>
      <c r="B841" s="117"/>
      <c r="C841" s="117"/>
      <c r="D841" s="117"/>
      <c r="E841" s="200"/>
      <c r="F841" s="200"/>
    </row>
    <row r="842" spans="1:6" x14ac:dyDescent="0.3">
      <c r="A842" s="117"/>
      <c r="B842" s="117"/>
      <c r="C842" s="117"/>
      <c r="D842" s="117"/>
      <c r="E842" s="200"/>
      <c r="F842" s="200"/>
    </row>
    <row r="843" spans="1:6" x14ac:dyDescent="0.3">
      <c r="A843" s="117"/>
      <c r="B843" s="117"/>
      <c r="C843" s="117"/>
      <c r="D843" s="117"/>
      <c r="E843" s="200"/>
      <c r="F843" s="200"/>
    </row>
    <row r="844" spans="1:6" x14ac:dyDescent="0.3">
      <c r="A844" s="117"/>
      <c r="B844" s="117"/>
      <c r="C844" s="117"/>
      <c r="D844" s="117"/>
      <c r="E844" s="200"/>
      <c r="F844" s="200"/>
    </row>
    <row r="845" spans="1:6" x14ac:dyDescent="0.3">
      <c r="A845" s="117"/>
      <c r="B845" s="117"/>
      <c r="C845" s="117"/>
      <c r="D845" s="117"/>
      <c r="E845" s="200"/>
      <c r="F845" s="200"/>
    </row>
    <row r="846" spans="1:6" x14ac:dyDescent="0.3">
      <c r="A846" s="117"/>
      <c r="B846" s="117"/>
      <c r="C846" s="117"/>
      <c r="D846" s="117"/>
      <c r="E846" s="200"/>
      <c r="F846" s="200"/>
    </row>
    <row r="847" spans="1:6" x14ac:dyDescent="0.3">
      <c r="A847" s="117"/>
      <c r="B847" s="117"/>
      <c r="C847" s="117"/>
      <c r="D847" s="117"/>
      <c r="E847" s="200"/>
      <c r="F847" s="200"/>
    </row>
    <row r="848" spans="1:6" x14ac:dyDescent="0.3">
      <c r="A848" s="117"/>
      <c r="B848" s="117"/>
      <c r="C848" s="117"/>
      <c r="D848" s="117"/>
      <c r="E848" s="200"/>
      <c r="F848" s="200"/>
    </row>
    <row r="849" spans="1:6" x14ac:dyDescent="0.3">
      <c r="A849" s="117"/>
      <c r="B849" s="117"/>
      <c r="C849" s="117"/>
      <c r="D849" s="117"/>
      <c r="E849" s="200"/>
      <c r="F849" s="200"/>
    </row>
    <row r="850" spans="1:6" x14ac:dyDescent="0.3">
      <c r="A850" s="117"/>
      <c r="B850" s="117"/>
      <c r="C850" s="117"/>
      <c r="D850" s="117"/>
      <c r="E850" s="200"/>
      <c r="F850" s="200"/>
    </row>
    <row r="851" spans="1:6" x14ac:dyDescent="0.3">
      <c r="A851" s="117"/>
      <c r="B851" s="117"/>
      <c r="C851" s="117"/>
      <c r="D851" s="117"/>
      <c r="E851" s="200"/>
      <c r="F851" s="200"/>
    </row>
    <row r="852" spans="1:6" x14ac:dyDescent="0.3">
      <c r="A852" s="117"/>
      <c r="B852" s="117"/>
      <c r="C852" s="117"/>
      <c r="D852" s="117"/>
      <c r="E852" s="200"/>
      <c r="F852" s="200"/>
    </row>
    <row r="853" spans="1:6" x14ac:dyDescent="0.3">
      <c r="A853" s="117"/>
      <c r="B853" s="117"/>
      <c r="C853" s="117"/>
      <c r="D853" s="117"/>
      <c r="E853" s="200"/>
      <c r="F853" s="200"/>
    </row>
    <row r="854" spans="1:6" x14ac:dyDescent="0.3">
      <c r="A854" s="117"/>
      <c r="B854" s="117"/>
      <c r="C854" s="117"/>
      <c r="D854" s="117"/>
      <c r="E854" s="200"/>
      <c r="F854" s="200"/>
    </row>
    <row r="855" spans="1:6" x14ac:dyDescent="0.3">
      <c r="A855" s="117"/>
      <c r="B855" s="117"/>
      <c r="C855" s="117"/>
      <c r="D855" s="117"/>
      <c r="E855" s="200"/>
      <c r="F855" s="200"/>
    </row>
    <row r="856" spans="1:6" x14ac:dyDescent="0.3">
      <c r="A856" s="117"/>
      <c r="B856" s="117"/>
      <c r="C856" s="117"/>
      <c r="D856" s="117"/>
      <c r="E856" s="200"/>
      <c r="F856" s="200"/>
    </row>
    <row r="857" spans="1:6" x14ac:dyDescent="0.3">
      <c r="A857" s="117"/>
      <c r="B857" s="117"/>
      <c r="C857" s="117"/>
      <c r="D857" s="117"/>
      <c r="E857" s="200"/>
      <c r="F857" s="200"/>
    </row>
    <row r="858" spans="1:6" x14ac:dyDescent="0.3">
      <c r="A858" s="117"/>
      <c r="B858" s="117"/>
      <c r="C858" s="117"/>
      <c r="D858" s="117"/>
      <c r="E858" s="200"/>
      <c r="F858" s="200"/>
    </row>
    <row r="859" spans="1:6" x14ac:dyDescent="0.3">
      <c r="A859" s="117"/>
      <c r="B859" s="117"/>
      <c r="C859" s="117"/>
      <c r="D859" s="117"/>
      <c r="E859" s="200"/>
      <c r="F859" s="200"/>
    </row>
    <row r="860" spans="1:6" x14ac:dyDescent="0.3">
      <c r="A860" s="117"/>
      <c r="B860" s="117"/>
      <c r="C860" s="117"/>
      <c r="D860" s="117"/>
      <c r="E860" s="200"/>
      <c r="F860" s="200"/>
    </row>
    <row r="861" spans="1:6" x14ac:dyDescent="0.3">
      <c r="A861" s="117"/>
      <c r="B861" s="117"/>
      <c r="C861" s="117"/>
      <c r="D861" s="117"/>
      <c r="E861" s="200"/>
      <c r="F861" s="200"/>
    </row>
    <row r="862" spans="1:6" x14ac:dyDescent="0.3">
      <c r="A862" s="117"/>
      <c r="B862" s="117"/>
      <c r="C862" s="117"/>
      <c r="D862" s="117"/>
      <c r="E862" s="200"/>
      <c r="F862" s="200"/>
    </row>
    <row r="863" spans="1:6" x14ac:dyDescent="0.3">
      <c r="A863" s="117"/>
      <c r="B863" s="117"/>
      <c r="C863" s="117"/>
      <c r="D863" s="117"/>
      <c r="E863" s="200"/>
      <c r="F863" s="200"/>
    </row>
    <row r="864" spans="1:6" x14ac:dyDescent="0.3">
      <c r="A864" s="117"/>
      <c r="B864" s="117"/>
      <c r="C864" s="117"/>
      <c r="D864" s="117"/>
      <c r="E864" s="200"/>
      <c r="F864" s="200"/>
    </row>
    <row r="865" spans="1:6" x14ac:dyDescent="0.3">
      <c r="A865" s="117"/>
      <c r="B865" s="117"/>
      <c r="C865" s="117"/>
      <c r="D865" s="117"/>
      <c r="E865" s="200"/>
      <c r="F865" s="200"/>
    </row>
    <row r="866" spans="1:6" x14ac:dyDescent="0.3">
      <c r="A866" s="117"/>
      <c r="B866" s="117"/>
      <c r="C866" s="117"/>
      <c r="D866" s="117"/>
      <c r="E866" s="200"/>
      <c r="F866" s="200"/>
    </row>
    <row r="867" spans="1:6" x14ac:dyDescent="0.3">
      <c r="A867" s="117"/>
      <c r="B867" s="117"/>
      <c r="C867" s="117"/>
      <c r="D867" s="117"/>
      <c r="E867" s="200"/>
      <c r="F867" s="200"/>
    </row>
    <row r="868" spans="1:6" x14ac:dyDescent="0.3">
      <c r="A868" s="117"/>
      <c r="B868" s="117"/>
      <c r="C868" s="117"/>
      <c r="D868" s="117"/>
      <c r="E868" s="200"/>
      <c r="F868" s="200"/>
    </row>
    <row r="869" spans="1:6" x14ac:dyDescent="0.3">
      <c r="A869" s="117"/>
      <c r="B869" s="117"/>
      <c r="C869" s="117"/>
      <c r="D869" s="117"/>
      <c r="E869" s="200"/>
      <c r="F869" s="200"/>
    </row>
    <row r="870" spans="1:6" x14ac:dyDescent="0.3">
      <c r="A870" s="117"/>
      <c r="B870" s="117"/>
      <c r="C870" s="117"/>
      <c r="D870" s="117"/>
      <c r="E870" s="200"/>
      <c r="F870" s="200"/>
    </row>
    <row r="871" spans="1:6" x14ac:dyDescent="0.3">
      <c r="A871" s="117"/>
      <c r="B871" s="117"/>
      <c r="C871" s="117"/>
      <c r="D871" s="117"/>
      <c r="E871" s="200"/>
      <c r="F871" s="200"/>
    </row>
    <row r="872" spans="1:6" x14ac:dyDescent="0.3">
      <c r="A872" s="117"/>
      <c r="B872" s="117"/>
      <c r="C872" s="117"/>
      <c r="D872" s="117"/>
      <c r="E872" s="200"/>
      <c r="F872" s="200"/>
    </row>
    <row r="873" spans="1:6" x14ac:dyDescent="0.3">
      <c r="A873" s="117"/>
      <c r="B873" s="117"/>
      <c r="C873" s="117"/>
      <c r="D873" s="117"/>
      <c r="E873" s="200"/>
      <c r="F873" s="200"/>
    </row>
    <row r="874" spans="1:6" x14ac:dyDescent="0.3">
      <c r="A874" s="117"/>
      <c r="B874" s="117"/>
      <c r="C874" s="117"/>
      <c r="D874" s="117"/>
      <c r="E874" s="200"/>
      <c r="F874" s="200"/>
    </row>
    <row r="875" spans="1:6" x14ac:dyDescent="0.3">
      <c r="A875" s="117"/>
      <c r="B875" s="117"/>
      <c r="C875" s="117"/>
      <c r="D875" s="117"/>
      <c r="E875" s="200"/>
      <c r="F875" s="200"/>
    </row>
    <row r="876" spans="1:6" x14ac:dyDescent="0.3">
      <c r="A876" s="117"/>
      <c r="B876" s="117"/>
      <c r="C876" s="117"/>
      <c r="D876" s="117"/>
      <c r="E876" s="200"/>
      <c r="F876" s="200"/>
    </row>
    <row r="877" spans="1:6" x14ac:dyDescent="0.3">
      <c r="A877" s="117"/>
      <c r="B877" s="117"/>
      <c r="C877" s="117"/>
      <c r="D877" s="117"/>
      <c r="E877" s="200"/>
      <c r="F877" s="200"/>
    </row>
    <row r="878" spans="1:6" x14ac:dyDescent="0.3">
      <c r="A878" s="117"/>
      <c r="B878" s="117"/>
      <c r="C878" s="117"/>
      <c r="D878" s="117"/>
      <c r="E878" s="200"/>
      <c r="F878" s="200"/>
    </row>
    <row r="879" spans="1:6" x14ac:dyDescent="0.3">
      <c r="A879" s="117"/>
      <c r="B879" s="117"/>
      <c r="C879" s="117"/>
      <c r="D879" s="117"/>
      <c r="E879" s="200"/>
      <c r="F879" s="200"/>
    </row>
    <row r="880" spans="1:6" x14ac:dyDescent="0.3">
      <c r="A880" s="117"/>
      <c r="B880" s="117"/>
      <c r="C880" s="117"/>
      <c r="D880" s="117"/>
      <c r="E880" s="200"/>
      <c r="F880" s="200"/>
    </row>
    <row r="881" spans="1:6" x14ac:dyDescent="0.3">
      <c r="A881" s="117"/>
      <c r="B881" s="117"/>
      <c r="C881" s="117"/>
      <c r="D881" s="117"/>
      <c r="E881" s="200"/>
      <c r="F881" s="200"/>
    </row>
    <row r="882" spans="1:6" x14ac:dyDescent="0.3">
      <c r="A882" s="117"/>
      <c r="B882" s="117"/>
      <c r="C882" s="117"/>
      <c r="D882" s="117"/>
      <c r="E882" s="200"/>
      <c r="F882" s="200"/>
    </row>
    <row r="883" spans="1:6" x14ac:dyDescent="0.3">
      <c r="A883" s="117"/>
      <c r="B883" s="117"/>
      <c r="C883" s="117"/>
      <c r="D883" s="117"/>
      <c r="E883" s="200"/>
      <c r="F883" s="200"/>
    </row>
    <row r="884" spans="1:6" x14ac:dyDescent="0.3">
      <c r="A884" s="117"/>
      <c r="B884" s="117"/>
      <c r="C884" s="117"/>
      <c r="D884" s="117"/>
      <c r="E884" s="200"/>
      <c r="F884" s="200"/>
    </row>
    <row r="885" spans="1:6" x14ac:dyDescent="0.3">
      <c r="A885" s="117"/>
      <c r="B885" s="117"/>
      <c r="C885" s="117"/>
      <c r="D885" s="117"/>
      <c r="E885" s="200"/>
      <c r="F885" s="200"/>
    </row>
    <row r="886" spans="1:6" x14ac:dyDescent="0.3">
      <c r="A886" s="117"/>
      <c r="B886" s="117"/>
      <c r="C886" s="117"/>
      <c r="D886" s="117"/>
      <c r="E886" s="200"/>
      <c r="F886" s="200"/>
    </row>
    <row r="887" spans="1:6" x14ac:dyDescent="0.3">
      <c r="A887" s="117"/>
      <c r="B887" s="117"/>
      <c r="C887" s="117"/>
      <c r="D887" s="117"/>
      <c r="E887" s="200"/>
      <c r="F887" s="200"/>
    </row>
    <row r="888" spans="1:6" x14ac:dyDescent="0.3">
      <c r="A888" s="117"/>
      <c r="B888" s="117"/>
      <c r="C888" s="117"/>
      <c r="D888" s="117"/>
      <c r="E888" s="200"/>
      <c r="F888" s="200"/>
    </row>
    <row r="889" spans="1:6" x14ac:dyDescent="0.3">
      <c r="A889" s="117"/>
      <c r="B889" s="117"/>
      <c r="C889" s="117"/>
      <c r="D889" s="117"/>
      <c r="E889" s="200"/>
      <c r="F889" s="200"/>
    </row>
    <row r="890" spans="1:6" x14ac:dyDescent="0.3">
      <c r="A890" s="117"/>
      <c r="B890" s="117"/>
      <c r="C890" s="117"/>
      <c r="D890" s="117"/>
      <c r="E890" s="200"/>
      <c r="F890" s="200"/>
    </row>
    <row r="891" spans="1:6" x14ac:dyDescent="0.3">
      <c r="A891" s="117"/>
      <c r="B891" s="117"/>
      <c r="C891" s="117"/>
      <c r="D891" s="117"/>
      <c r="E891" s="200"/>
      <c r="F891" s="200"/>
    </row>
    <row r="892" spans="1:6" x14ac:dyDescent="0.3">
      <c r="A892" s="117"/>
      <c r="B892" s="117"/>
      <c r="C892" s="117"/>
      <c r="D892" s="117"/>
      <c r="E892" s="200"/>
      <c r="F892" s="200"/>
    </row>
    <row r="893" spans="1:6" x14ac:dyDescent="0.3">
      <c r="A893" s="117"/>
      <c r="B893" s="117"/>
      <c r="C893" s="117"/>
      <c r="D893" s="117"/>
      <c r="E893" s="200"/>
      <c r="F893" s="200"/>
    </row>
    <row r="894" spans="1:6" x14ac:dyDescent="0.3">
      <c r="A894" s="117"/>
      <c r="B894" s="117"/>
      <c r="C894" s="117"/>
      <c r="D894" s="117"/>
      <c r="E894" s="200"/>
      <c r="F894" s="200"/>
    </row>
    <row r="895" spans="1:6" x14ac:dyDescent="0.3">
      <c r="A895" s="117"/>
      <c r="B895" s="117"/>
      <c r="C895" s="117"/>
      <c r="D895" s="117"/>
      <c r="E895" s="200"/>
      <c r="F895" s="200"/>
    </row>
    <row r="896" spans="1:6" x14ac:dyDescent="0.3">
      <c r="A896" s="117"/>
      <c r="B896" s="117"/>
      <c r="C896" s="117"/>
      <c r="D896" s="117"/>
      <c r="E896" s="200"/>
      <c r="F896" s="200"/>
    </row>
    <row r="897" spans="1:6" x14ac:dyDescent="0.3">
      <c r="A897" s="117"/>
      <c r="B897" s="117"/>
      <c r="C897" s="117"/>
      <c r="D897" s="117"/>
      <c r="E897" s="200"/>
      <c r="F897" s="200"/>
    </row>
    <row r="898" spans="1:6" x14ac:dyDescent="0.3">
      <c r="A898" s="117"/>
      <c r="B898" s="117"/>
      <c r="C898" s="117"/>
      <c r="D898" s="117"/>
      <c r="E898" s="200"/>
      <c r="F898" s="200"/>
    </row>
    <row r="899" spans="1:6" x14ac:dyDescent="0.3">
      <c r="A899" s="117"/>
      <c r="B899" s="117"/>
      <c r="C899" s="117"/>
      <c r="D899" s="117"/>
      <c r="E899" s="200"/>
      <c r="F899" s="200"/>
    </row>
    <row r="900" spans="1:6" x14ac:dyDescent="0.3">
      <c r="A900" s="117"/>
      <c r="B900" s="117"/>
      <c r="C900" s="117"/>
      <c r="D900" s="117"/>
      <c r="E900" s="200"/>
      <c r="F900" s="200"/>
    </row>
    <row r="901" spans="1:6" x14ac:dyDescent="0.3">
      <c r="A901" s="117"/>
      <c r="B901" s="117"/>
      <c r="C901" s="117"/>
      <c r="D901" s="117"/>
      <c r="E901" s="200"/>
      <c r="F901" s="200"/>
    </row>
    <row r="902" spans="1:6" x14ac:dyDescent="0.3">
      <c r="A902" s="117"/>
      <c r="B902" s="117"/>
      <c r="C902" s="117"/>
      <c r="D902" s="117"/>
      <c r="E902" s="200"/>
      <c r="F902" s="200"/>
    </row>
    <row r="903" spans="1:6" x14ac:dyDescent="0.3">
      <c r="A903" s="117"/>
      <c r="B903" s="117"/>
      <c r="C903" s="117"/>
      <c r="D903" s="117"/>
      <c r="E903" s="200"/>
      <c r="F903" s="200"/>
    </row>
    <row r="904" spans="1:6" x14ac:dyDescent="0.3">
      <c r="A904" s="117"/>
      <c r="B904" s="117"/>
      <c r="C904" s="117"/>
      <c r="D904" s="117"/>
      <c r="E904" s="200"/>
      <c r="F904" s="200"/>
    </row>
    <row r="905" spans="1:6" x14ac:dyDescent="0.3">
      <c r="A905" s="117"/>
      <c r="B905" s="117"/>
      <c r="C905" s="117"/>
      <c r="D905" s="117"/>
      <c r="E905" s="200"/>
      <c r="F905" s="200"/>
    </row>
    <row r="906" spans="1:6" x14ac:dyDescent="0.3">
      <c r="A906" s="117"/>
      <c r="B906" s="117"/>
      <c r="C906" s="117"/>
      <c r="D906" s="117"/>
      <c r="E906" s="200"/>
      <c r="F906" s="200"/>
    </row>
    <row r="907" spans="1:6" x14ac:dyDescent="0.3">
      <c r="A907" s="117"/>
      <c r="B907" s="117"/>
      <c r="C907" s="117"/>
      <c r="D907" s="117"/>
      <c r="E907" s="200"/>
      <c r="F907" s="200"/>
    </row>
    <row r="908" spans="1:6" x14ac:dyDescent="0.3">
      <c r="A908" s="117"/>
      <c r="B908" s="117"/>
      <c r="C908" s="117"/>
      <c r="D908" s="117"/>
      <c r="E908" s="200"/>
      <c r="F908" s="200"/>
    </row>
    <row r="909" spans="1:6" x14ac:dyDescent="0.3">
      <c r="A909" s="117"/>
      <c r="B909" s="117"/>
      <c r="C909" s="117"/>
      <c r="D909" s="117"/>
      <c r="E909" s="200"/>
      <c r="F909" s="200"/>
    </row>
    <row r="910" spans="1:6" x14ac:dyDescent="0.3">
      <c r="A910" s="117"/>
      <c r="B910" s="117"/>
      <c r="C910" s="117"/>
      <c r="D910" s="117"/>
      <c r="E910" s="200"/>
      <c r="F910" s="200"/>
    </row>
    <row r="911" spans="1:6" x14ac:dyDescent="0.3">
      <c r="A911" s="117"/>
      <c r="B911" s="117"/>
      <c r="C911" s="117"/>
      <c r="D911" s="117"/>
      <c r="E911" s="200"/>
      <c r="F911" s="200"/>
    </row>
    <row r="912" spans="1:6" x14ac:dyDescent="0.3">
      <c r="A912" s="117"/>
      <c r="B912" s="117"/>
      <c r="C912" s="117"/>
      <c r="D912" s="117"/>
      <c r="E912" s="200"/>
      <c r="F912" s="200"/>
    </row>
    <row r="913" spans="1:6" x14ac:dyDescent="0.3">
      <c r="A913" s="117"/>
      <c r="B913" s="117"/>
      <c r="C913" s="117"/>
      <c r="D913" s="117"/>
      <c r="E913" s="200"/>
      <c r="F913" s="200"/>
    </row>
    <row r="914" spans="1:6" x14ac:dyDescent="0.3">
      <c r="A914" s="117"/>
      <c r="B914" s="117"/>
      <c r="C914" s="117"/>
      <c r="D914" s="117"/>
      <c r="E914" s="200"/>
      <c r="F914" s="200"/>
    </row>
    <row r="915" spans="1:6" x14ac:dyDescent="0.3">
      <c r="A915" s="117"/>
      <c r="B915" s="117"/>
      <c r="C915" s="117"/>
      <c r="D915" s="117"/>
      <c r="E915" s="200"/>
      <c r="F915" s="200"/>
    </row>
    <row r="916" spans="1:6" x14ac:dyDescent="0.3">
      <c r="A916" s="117"/>
      <c r="B916" s="117"/>
      <c r="C916" s="117"/>
      <c r="D916" s="117"/>
      <c r="E916" s="200"/>
      <c r="F916" s="200"/>
    </row>
    <row r="917" spans="1:6" x14ac:dyDescent="0.3">
      <c r="A917" s="117"/>
      <c r="B917" s="117"/>
      <c r="C917" s="117"/>
      <c r="D917" s="117"/>
      <c r="E917" s="200"/>
      <c r="F917" s="200"/>
    </row>
    <row r="918" spans="1:6" x14ac:dyDescent="0.3">
      <c r="A918" s="117"/>
      <c r="B918" s="117"/>
      <c r="C918" s="117"/>
      <c r="D918" s="117"/>
      <c r="E918" s="200"/>
      <c r="F918" s="200"/>
    </row>
    <row r="919" spans="1:6" x14ac:dyDescent="0.3">
      <c r="A919" s="117"/>
      <c r="B919" s="117"/>
      <c r="C919" s="117"/>
      <c r="D919" s="117"/>
      <c r="E919" s="200"/>
      <c r="F919" s="200"/>
    </row>
    <row r="920" spans="1:6" x14ac:dyDescent="0.3">
      <c r="A920" s="117"/>
      <c r="B920" s="117"/>
      <c r="C920" s="117"/>
      <c r="D920" s="117"/>
      <c r="E920" s="200"/>
      <c r="F920" s="200"/>
    </row>
    <row r="921" spans="1:6" x14ac:dyDescent="0.3">
      <c r="A921" s="117"/>
      <c r="B921" s="117"/>
      <c r="C921" s="117"/>
      <c r="D921" s="117"/>
      <c r="E921" s="200"/>
      <c r="F921" s="200"/>
    </row>
    <row r="922" spans="1:6" x14ac:dyDescent="0.3">
      <c r="A922" s="117"/>
      <c r="B922" s="117"/>
      <c r="C922" s="117"/>
      <c r="D922" s="117"/>
      <c r="E922" s="200"/>
      <c r="F922" s="200"/>
    </row>
    <row r="923" spans="1:6" x14ac:dyDescent="0.3">
      <c r="A923" s="117"/>
      <c r="B923" s="117"/>
      <c r="C923" s="117"/>
      <c r="D923" s="117"/>
      <c r="E923" s="200"/>
      <c r="F923" s="200"/>
    </row>
    <row r="924" spans="1:6" x14ac:dyDescent="0.3">
      <c r="A924" s="117"/>
      <c r="B924" s="117"/>
      <c r="C924" s="117"/>
      <c r="D924" s="117"/>
      <c r="E924" s="200"/>
      <c r="F924" s="200"/>
    </row>
    <row r="925" spans="1:6" x14ac:dyDescent="0.3">
      <c r="A925" s="117"/>
      <c r="B925" s="117"/>
      <c r="C925" s="117"/>
      <c r="D925" s="117"/>
      <c r="E925" s="200"/>
      <c r="F925" s="200"/>
    </row>
    <row r="926" spans="1:6" x14ac:dyDescent="0.3">
      <c r="A926" s="117"/>
      <c r="B926" s="117"/>
      <c r="C926" s="117"/>
      <c r="D926" s="117"/>
      <c r="E926" s="200"/>
      <c r="F926" s="200"/>
    </row>
    <row r="927" spans="1:6" x14ac:dyDescent="0.3">
      <c r="A927" s="117"/>
      <c r="B927" s="117"/>
      <c r="C927" s="117"/>
      <c r="D927" s="117"/>
      <c r="E927" s="200"/>
      <c r="F927" s="200"/>
    </row>
    <row r="928" spans="1:6" x14ac:dyDescent="0.3">
      <c r="A928" s="117"/>
      <c r="B928" s="117"/>
      <c r="C928" s="117"/>
      <c r="D928" s="117"/>
      <c r="E928" s="200"/>
      <c r="F928" s="200"/>
    </row>
    <row r="929" spans="1:6" x14ac:dyDescent="0.3">
      <c r="A929" s="117"/>
      <c r="B929" s="117"/>
      <c r="C929" s="117"/>
      <c r="D929" s="117"/>
      <c r="E929" s="200"/>
      <c r="F929" s="200"/>
    </row>
    <row r="930" spans="1:6" x14ac:dyDescent="0.3">
      <c r="A930" s="117"/>
      <c r="B930" s="117"/>
      <c r="C930" s="117"/>
      <c r="D930" s="117"/>
      <c r="E930" s="200"/>
      <c r="F930" s="200"/>
    </row>
    <row r="931" spans="1:6" x14ac:dyDescent="0.3">
      <c r="A931" s="117"/>
      <c r="B931" s="117"/>
      <c r="C931" s="117"/>
      <c r="D931" s="117"/>
      <c r="E931" s="200"/>
      <c r="F931" s="200"/>
    </row>
    <row r="932" spans="1:6" x14ac:dyDescent="0.3">
      <c r="A932" s="117"/>
      <c r="B932" s="117"/>
      <c r="C932" s="117"/>
      <c r="D932" s="117"/>
      <c r="E932" s="200"/>
      <c r="F932" s="200"/>
    </row>
    <row r="933" spans="1:6" x14ac:dyDescent="0.3">
      <c r="A933" s="117"/>
      <c r="B933" s="117"/>
      <c r="C933" s="117"/>
      <c r="D933" s="117"/>
      <c r="E933" s="200"/>
      <c r="F933" s="200"/>
    </row>
    <row r="934" spans="1:6" x14ac:dyDescent="0.3">
      <c r="A934" s="117"/>
      <c r="B934" s="117"/>
      <c r="C934" s="117"/>
      <c r="D934" s="117"/>
      <c r="E934" s="200"/>
      <c r="F934" s="200"/>
    </row>
    <row r="935" spans="1:6" x14ac:dyDescent="0.3">
      <c r="A935" s="117"/>
      <c r="B935" s="117"/>
      <c r="C935" s="117"/>
      <c r="D935" s="117"/>
      <c r="E935" s="200"/>
      <c r="F935" s="200"/>
    </row>
    <row r="936" spans="1:6" x14ac:dyDescent="0.3">
      <c r="A936" s="117"/>
      <c r="B936" s="117"/>
      <c r="C936" s="117"/>
      <c r="D936" s="117"/>
      <c r="E936" s="200"/>
      <c r="F936" s="200"/>
    </row>
    <row r="937" spans="1:6" x14ac:dyDescent="0.3">
      <c r="A937" s="117"/>
      <c r="B937" s="117"/>
      <c r="C937" s="117"/>
      <c r="D937" s="117"/>
      <c r="E937" s="200"/>
      <c r="F937" s="200"/>
    </row>
    <row r="938" spans="1:6" x14ac:dyDescent="0.3">
      <c r="A938" s="117"/>
      <c r="B938" s="117"/>
      <c r="C938" s="117"/>
      <c r="D938" s="117"/>
      <c r="E938" s="200"/>
      <c r="F938" s="200"/>
    </row>
    <row r="939" spans="1:6" x14ac:dyDescent="0.3">
      <c r="A939" s="117"/>
      <c r="B939" s="117"/>
      <c r="C939" s="117"/>
      <c r="D939" s="117"/>
      <c r="E939" s="200"/>
      <c r="F939" s="200"/>
    </row>
    <row r="940" spans="1:6" x14ac:dyDescent="0.3">
      <c r="A940" s="117"/>
      <c r="B940" s="117"/>
      <c r="C940" s="117"/>
      <c r="D940" s="117"/>
      <c r="E940" s="200"/>
      <c r="F940" s="200"/>
    </row>
    <row r="941" spans="1:6" x14ac:dyDescent="0.3">
      <c r="A941" s="117"/>
      <c r="B941" s="117"/>
      <c r="C941" s="117"/>
      <c r="D941" s="117"/>
      <c r="E941" s="200"/>
      <c r="F941" s="200"/>
    </row>
    <row r="942" spans="1:6" x14ac:dyDescent="0.3">
      <c r="A942" s="117"/>
      <c r="B942" s="117"/>
      <c r="C942" s="117"/>
      <c r="D942" s="117"/>
      <c r="E942" s="200"/>
      <c r="F942" s="200"/>
    </row>
    <row r="943" spans="1:6" x14ac:dyDescent="0.3">
      <c r="A943" s="117"/>
      <c r="B943" s="117"/>
      <c r="C943" s="117"/>
      <c r="D943" s="117"/>
      <c r="E943" s="200"/>
      <c r="F943" s="200"/>
    </row>
    <row r="944" spans="1:6" x14ac:dyDescent="0.3">
      <c r="A944" s="117"/>
      <c r="B944" s="117"/>
      <c r="C944" s="117"/>
      <c r="D944" s="117"/>
      <c r="E944" s="200"/>
      <c r="F944" s="200"/>
    </row>
    <row r="945" spans="1:6" x14ac:dyDescent="0.3">
      <c r="A945" s="117"/>
      <c r="B945" s="117"/>
      <c r="C945" s="117"/>
      <c r="D945" s="117"/>
      <c r="E945" s="200"/>
      <c r="F945" s="200"/>
    </row>
    <row r="946" spans="1:6" x14ac:dyDescent="0.3">
      <c r="A946" s="117"/>
      <c r="B946" s="117"/>
      <c r="C946" s="117"/>
      <c r="D946" s="117"/>
      <c r="E946" s="200"/>
      <c r="F946" s="200"/>
    </row>
    <row r="947" spans="1:6" x14ac:dyDescent="0.3">
      <c r="A947" s="117"/>
      <c r="B947" s="117"/>
      <c r="C947" s="117"/>
      <c r="D947" s="117"/>
      <c r="E947" s="200"/>
      <c r="F947" s="200"/>
    </row>
    <row r="948" spans="1:6" x14ac:dyDescent="0.3">
      <c r="A948" s="117"/>
      <c r="B948" s="117"/>
      <c r="C948" s="117"/>
      <c r="D948" s="117"/>
      <c r="E948" s="200"/>
      <c r="F948" s="200"/>
    </row>
    <row r="949" spans="1:6" x14ac:dyDescent="0.3">
      <c r="A949" s="117"/>
      <c r="B949" s="117"/>
      <c r="C949" s="117"/>
      <c r="D949" s="117"/>
      <c r="E949" s="200"/>
      <c r="F949" s="200"/>
    </row>
    <row r="950" spans="1:6" x14ac:dyDescent="0.3">
      <c r="A950" s="117"/>
      <c r="B950" s="117"/>
      <c r="C950" s="117"/>
      <c r="D950" s="117"/>
      <c r="E950" s="200"/>
      <c r="F950" s="200"/>
    </row>
    <row r="951" spans="1:6" x14ac:dyDescent="0.3">
      <c r="A951" s="117"/>
      <c r="B951" s="117"/>
      <c r="C951" s="117"/>
      <c r="D951" s="117"/>
      <c r="E951" s="200"/>
      <c r="F951" s="200"/>
    </row>
    <row r="952" spans="1:6" x14ac:dyDescent="0.3">
      <c r="A952" s="117"/>
      <c r="B952" s="117"/>
      <c r="C952" s="117"/>
      <c r="D952" s="117"/>
      <c r="E952" s="200"/>
      <c r="F952" s="200"/>
    </row>
    <row r="953" spans="1:6" x14ac:dyDescent="0.3">
      <c r="A953" s="117"/>
      <c r="B953" s="117"/>
      <c r="C953" s="117"/>
      <c r="D953" s="117"/>
      <c r="E953" s="200"/>
      <c r="F953" s="200"/>
    </row>
    <row r="954" spans="1:6" x14ac:dyDescent="0.3">
      <c r="A954" s="117"/>
      <c r="B954" s="117"/>
      <c r="C954" s="117"/>
      <c r="D954" s="117"/>
      <c r="E954" s="200"/>
      <c r="F954" s="200"/>
    </row>
    <row r="955" spans="1:6" x14ac:dyDescent="0.3">
      <c r="A955" s="117"/>
      <c r="B955" s="117"/>
      <c r="C955" s="117"/>
      <c r="D955" s="117"/>
      <c r="E955" s="200"/>
      <c r="F955" s="200"/>
    </row>
    <row r="956" spans="1:6" x14ac:dyDescent="0.3">
      <c r="A956" s="117"/>
      <c r="B956" s="117"/>
      <c r="C956" s="117"/>
      <c r="D956" s="117"/>
      <c r="E956" s="200"/>
      <c r="F956" s="200"/>
    </row>
    <row r="957" spans="1:6" x14ac:dyDescent="0.3">
      <c r="A957" s="117"/>
      <c r="B957" s="117"/>
      <c r="C957" s="117"/>
      <c r="D957" s="117"/>
      <c r="E957" s="200"/>
      <c r="F957" s="200"/>
    </row>
    <row r="958" spans="1:6" x14ac:dyDescent="0.3">
      <c r="A958" s="117"/>
      <c r="B958" s="117"/>
      <c r="C958" s="117"/>
      <c r="D958" s="117"/>
      <c r="E958" s="200"/>
      <c r="F958" s="200"/>
    </row>
    <row r="959" spans="1:6" x14ac:dyDescent="0.3">
      <c r="A959" s="117"/>
      <c r="B959" s="117"/>
      <c r="C959" s="117"/>
      <c r="D959" s="117"/>
      <c r="E959" s="200"/>
      <c r="F959" s="200"/>
    </row>
    <row r="960" spans="1:6" x14ac:dyDescent="0.3">
      <c r="A960" s="117"/>
      <c r="B960" s="117"/>
      <c r="C960" s="117"/>
      <c r="D960" s="117"/>
      <c r="E960" s="200"/>
      <c r="F960" s="200"/>
    </row>
    <row r="961" spans="1:6" x14ac:dyDescent="0.3">
      <c r="A961" s="117"/>
      <c r="B961" s="117"/>
      <c r="C961" s="117"/>
      <c r="D961" s="117"/>
      <c r="E961" s="200"/>
      <c r="F961" s="200"/>
    </row>
    <row r="962" spans="1:6" x14ac:dyDescent="0.3">
      <c r="A962" s="117"/>
      <c r="B962" s="117"/>
      <c r="C962" s="117"/>
      <c r="D962" s="117"/>
      <c r="E962" s="200"/>
      <c r="F962" s="200"/>
    </row>
    <row r="963" spans="1:6" x14ac:dyDescent="0.3">
      <c r="A963" s="117"/>
      <c r="B963" s="117"/>
      <c r="C963" s="117"/>
      <c r="D963" s="117"/>
      <c r="E963" s="200"/>
      <c r="F963" s="200"/>
    </row>
    <row r="964" spans="1:6" x14ac:dyDescent="0.3">
      <c r="A964" s="117"/>
      <c r="B964" s="117"/>
      <c r="C964" s="117"/>
      <c r="D964" s="117"/>
      <c r="E964" s="200"/>
      <c r="F964" s="200"/>
    </row>
    <row r="965" spans="1:6" x14ac:dyDescent="0.3">
      <c r="A965" s="117"/>
      <c r="B965" s="117"/>
      <c r="C965" s="117"/>
      <c r="D965" s="117"/>
      <c r="E965" s="200"/>
      <c r="F965" s="200"/>
    </row>
    <row r="966" spans="1:6" x14ac:dyDescent="0.3">
      <c r="A966" s="117"/>
      <c r="B966" s="117"/>
      <c r="C966" s="117"/>
      <c r="D966" s="117"/>
      <c r="E966" s="200"/>
      <c r="F966" s="200"/>
    </row>
    <row r="967" spans="1:6" x14ac:dyDescent="0.3">
      <c r="A967" s="117"/>
      <c r="B967" s="117"/>
      <c r="C967" s="117"/>
      <c r="D967" s="117"/>
      <c r="E967" s="200"/>
      <c r="F967" s="200"/>
    </row>
    <row r="968" spans="1:6" x14ac:dyDescent="0.3">
      <c r="A968" s="117"/>
      <c r="B968" s="117"/>
      <c r="C968" s="117"/>
      <c r="D968" s="117"/>
      <c r="E968" s="200"/>
      <c r="F968" s="200"/>
    </row>
    <row r="969" spans="1:6" x14ac:dyDescent="0.3">
      <c r="A969" s="117"/>
      <c r="B969" s="117"/>
      <c r="C969" s="117"/>
      <c r="D969" s="117"/>
      <c r="E969" s="200"/>
      <c r="F969" s="200"/>
    </row>
    <row r="970" spans="1:6" x14ac:dyDescent="0.3">
      <c r="A970" s="117"/>
      <c r="B970" s="117"/>
      <c r="C970" s="117"/>
      <c r="D970" s="117"/>
      <c r="E970" s="200"/>
      <c r="F970" s="200"/>
    </row>
    <row r="971" spans="1:6" x14ac:dyDescent="0.3">
      <c r="A971" s="117"/>
      <c r="B971" s="117"/>
      <c r="C971" s="117"/>
      <c r="D971" s="117"/>
      <c r="E971" s="200"/>
      <c r="F971" s="200"/>
    </row>
    <row r="972" spans="1:6" x14ac:dyDescent="0.3">
      <c r="A972" s="117"/>
      <c r="B972" s="117"/>
      <c r="C972" s="117"/>
      <c r="D972" s="117"/>
      <c r="E972" s="200"/>
      <c r="F972" s="200"/>
    </row>
    <row r="973" spans="1:6" x14ac:dyDescent="0.3">
      <c r="A973" s="117"/>
      <c r="B973" s="117"/>
      <c r="C973" s="117"/>
      <c r="D973" s="117"/>
      <c r="E973" s="200"/>
      <c r="F973" s="200"/>
    </row>
    <row r="974" spans="1:6" x14ac:dyDescent="0.3">
      <c r="A974" s="117"/>
      <c r="B974" s="117"/>
      <c r="C974" s="117"/>
      <c r="D974" s="117"/>
      <c r="E974" s="200"/>
      <c r="F974" s="200"/>
    </row>
    <row r="975" spans="1:6" x14ac:dyDescent="0.3">
      <c r="A975" s="117"/>
      <c r="B975" s="117"/>
      <c r="C975" s="117"/>
      <c r="D975" s="117"/>
      <c r="E975" s="200"/>
      <c r="F975" s="200"/>
    </row>
    <row r="976" spans="1:6" x14ac:dyDescent="0.3">
      <c r="A976" s="117"/>
      <c r="B976" s="117"/>
      <c r="C976" s="117"/>
      <c r="D976" s="117"/>
      <c r="E976" s="200"/>
      <c r="F976" s="200"/>
    </row>
    <row r="977" spans="1:6" x14ac:dyDescent="0.3">
      <c r="A977" s="117"/>
      <c r="B977" s="117"/>
      <c r="C977" s="117"/>
      <c r="D977" s="117"/>
      <c r="E977" s="200"/>
      <c r="F977" s="200"/>
    </row>
    <row r="978" spans="1:6" x14ac:dyDescent="0.3">
      <c r="A978" s="117"/>
      <c r="B978" s="117"/>
      <c r="C978" s="117"/>
      <c r="D978" s="117"/>
      <c r="E978" s="200"/>
      <c r="F978" s="200"/>
    </row>
    <row r="979" spans="1:6" x14ac:dyDescent="0.3">
      <c r="A979" s="117"/>
      <c r="B979" s="117"/>
      <c r="C979" s="117"/>
      <c r="D979" s="117"/>
      <c r="E979" s="200"/>
      <c r="F979" s="200"/>
    </row>
    <row r="980" spans="1:6" x14ac:dyDescent="0.3">
      <c r="A980" s="117"/>
      <c r="B980" s="117"/>
      <c r="C980" s="117"/>
      <c r="D980" s="117"/>
      <c r="E980" s="200"/>
      <c r="F980" s="200"/>
    </row>
    <row r="981" spans="1:6" x14ac:dyDescent="0.3">
      <c r="A981" s="117"/>
      <c r="B981" s="117"/>
      <c r="C981" s="117"/>
      <c r="D981" s="117"/>
      <c r="E981" s="200"/>
      <c r="F981" s="200"/>
    </row>
    <row r="982" spans="1:6" x14ac:dyDescent="0.3">
      <c r="A982" s="117"/>
      <c r="B982" s="117"/>
      <c r="C982" s="117"/>
      <c r="D982" s="117"/>
      <c r="E982" s="200"/>
      <c r="F982" s="200"/>
    </row>
    <row r="983" spans="1:6" x14ac:dyDescent="0.3">
      <c r="A983" s="117"/>
      <c r="B983" s="117"/>
      <c r="C983" s="117"/>
      <c r="D983" s="117"/>
      <c r="E983" s="200"/>
      <c r="F983" s="200"/>
    </row>
    <row r="984" spans="1:6" x14ac:dyDescent="0.3">
      <c r="A984" s="117"/>
      <c r="B984" s="117"/>
      <c r="C984" s="117"/>
      <c r="D984" s="117"/>
      <c r="E984" s="200"/>
      <c r="F984" s="200"/>
    </row>
    <row r="985" spans="1:6" x14ac:dyDescent="0.3">
      <c r="A985" s="117"/>
      <c r="B985" s="117"/>
      <c r="C985" s="117"/>
      <c r="D985" s="117"/>
      <c r="E985" s="200"/>
      <c r="F985" s="200"/>
    </row>
    <row r="986" spans="1:6" x14ac:dyDescent="0.3">
      <c r="A986" s="117"/>
      <c r="B986" s="117"/>
      <c r="C986" s="117"/>
      <c r="D986" s="117"/>
      <c r="E986" s="200"/>
      <c r="F986" s="200"/>
    </row>
    <row r="987" spans="1:6" x14ac:dyDescent="0.3">
      <c r="A987" s="117"/>
      <c r="B987" s="117"/>
      <c r="C987" s="117"/>
      <c r="D987" s="117"/>
      <c r="E987" s="200"/>
      <c r="F987" s="200"/>
    </row>
    <row r="988" spans="1:6" x14ac:dyDescent="0.3">
      <c r="A988" s="117"/>
      <c r="B988" s="117"/>
      <c r="C988" s="117"/>
      <c r="D988" s="117"/>
      <c r="E988" s="200"/>
      <c r="F988" s="200"/>
    </row>
    <row r="989" spans="1:6" x14ac:dyDescent="0.3">
      <c r="A989" s="117"/>
      <c r="B989" s="117"/>
      <c r="C989" s="117"/>
      <c r="D989" s="117"/>
      <c r="E989" s="200"/>
      <c r="F989" s="200"/>
    </row>
    <row r="990" spans="1:6" x14ac:dyDescent="0.3">
      <c r="A990" s="117"/>
      <c r="B990" s="117"/>
      <c r="C990" s="117"/>
      <c r="D990" s="117"/>
      <c r="E990" s="200"/>
      <c r="F990" s="200"/>
    </row>
    <row r="991" spans="1:6" x14ac:dyDescent="0.3">
      <c r="A991" s="117"/>
      <c r="B991" s="117"/>
      <c r="C991" s="117"/>
      <c r="D991" s="117"/>
      <c r="E991" s="200"/>
      <c r="F991" s="200"/>
    </row>
    <row r="992" spans="1:6" x14ac:dyDescent="0.3">
      <c r="A992" s="117"/>
      <c r="B992" s="117"/>
      <c r="C992" s="117"/>
      <c r="D992" s="117"/>
      <c r="E992" s="200"/>
      <c r="F992" s="200"/>
    </row>
    <row r="993" spans="1:6" x14ac:dyDescent="0.3">
      <c r="A993" s="117"/>
      <c r="B993" s="117"/>
      <c r="C993" s="117"/>
      <c r="D993" s="117"/>
      <c r="E993" s="200"/>
      <c r="F993" s="200"/>
    </row>
    <row r="994" spans="1:6" x14ac:dyDescent="0.3">
      <c r="A994" s="117"/>
      <c r="B994" s="117"/>
      <c r="C994" s="117"/>
      <c r="D994" s="117"/>
      <c r="E994" s="200"/>
      <c r="F994" s="200"/>
    </row>
    <row r="995" spans="1:6" x14ac:dyDescent="0.3">
      <c r="A995" s="117"/>
      <c r="B995" s="117"/>
      <c r="C995" s="117"/>
      <c r="D995" s="117"/>
      <c r="E995" s="200"/>
      <c r="F995" s="200"/>
    </row>
    <row r="996" spans="1:6" x14ac:dyDescent="0.3">
      <c r="A996" s="117"/>
      <c r="B996" s="117"/>
      <c r="C996" s="117"/>
      <c r="D996" s="117"/>
      <c r="E996" s="200"/>
      <c r="F996" s="200"/>
    </row>
    <row r="997" spans="1:6" x14ac:dyDescent="0.3">
      <c r="A997" s="117"/>
      <c r="B997" s="117"/>
      <c r="C997" s="117"/>
      <c r="D997" s="117"/>
      <c r="E997" s="200"/>
      <c r="F997" s="200"/>
    </row>
    <row r="998" spans="1:6" x14ac:dyDescent="0.3">
      <c r="A998" s="117"/>
      <c r="B998" s="117"/>
      <c r="C998" s="117"/>
      <c r="D998" s="117"/>
      <c r="E998" s="200"/>
      <c r="F998" s="200"/>
    </row>
    <row r="999" spans="1:6" x14ac:dyDescent="0.3">
      <c r="A999" s="117"/>
      <c r="B999" s="117"/>
      <c r="C999" s="117"/>
      <c r="D999" s="117"/>
      <c r="E999" s="200"/>
      <c r="F999" s="200"/>
    </row>
    <row r="1000" spans="1:6" x14ac:dyDescent="0.3">
      <c r="A1000" s="117"/>
      <c r="B1000" s="117"/>
      <c r="C1000" s="117"/>
      <c r="D1000" s="117"/>
      <c r="E1000" s="200"/>
      <c r="F1000" s="200"/>
    </row>
    <row r="1001" spans="1:6" x14ac:dyDescent="0.3">
      <c r="A1001" s="117"/>
      <c r="B1001" s="117"/>
      <c r="C1001" s="117"/>
      <c r="D1001" s="117"/>
      <c r="E1001" s="200"/>
      <c r="F1001" s="200"/>
    </row>
    <row r="1002" spans="1:6" x14ac:dyDescent="0.3">
      <c r="A1002" s="117"/>
      <c r="B1002" s="117"/>
      <c r="C1002" s="117"/>
      <c r="D1002" s="117"/>
      <c r="E1002" s="200"/>
      <c r="F1002" s="200"/>
    </row>
    <row r="1003" spans="1:6" x14ac:dyDescent="0.3">
      <c r="A1003" s="117"/>
      <c r="B1003" s="117"/>
      <c r="C1003" s="117"/>
      <c r="D1003" s="117"/>
      <c r="E1003" s="200"/>
      <c r="F1003" s="200"/>
    </row>
    <row r="1004" spans="1:6" x14ac:dyDescent="0.3">
      <c r="A1004" s="117"/>
      <c r="B1004" s="117"/>
      <c r="C1004" s="117"/>
      <c r="D1004" s="117"/>
      <c r="E1004" s="200"/>
      <c r="F1004" s="200"/>
    </row>
    <row r="1005" spans="1:6" x14ac:dyDescent="0.3">
      <c r="A1005" s="117"/>
      <c r="B1005" s="117"/>
      <c r="C1005" s="117"/>
      <c r="D1005" s="117"/>
      <c r="E1005" s="200"/>
      <c r="F1005" s="200"/>
    </row>
    <row r="1006" spans="1:6" x14ac:dyDescent="0.3">
      <c r="A1006" s="117"/>
      <c r="B1006" s="117"/>
      <c r="C1006" s="117"/>
      <c r="D1006" s="117"/>
      <c r="E1006" s="200"/>
      <c r="F1006" s="200"/>
    </row>
    <row r="1007" spans="1:6" x14ac:dyDescent="0.3">
      <c r="A1007" s="117"/>
      <c r="B1007" s="117"/>
      <c r="C1007" s="117"/>
      <c r="D1007" s="117"/>
      <c r="E1007" s="200"/>
      <c r="F1007" s="200"/>
    </row>
    <row r="1008" spans="1:6" x14ac:dyDescent="0.3">
      <c r="A1008" s="117"/>
      <c r="B1008" s="117"/>
      <c r="C1008" s="117"/>
      <c r="D1008" s="117"/>
      <c r="E1008" s="200"/>
      <c r="F1008" s="200"/>
    </row>
    <row r="1009" spans="1:6" x14ac:dyDescent="0.3">
      <c r="A1009" s="117"/>
      <c r="B1009" s="117"/>
      <c r="C1009" s="117"/>
      <c r="D1009" s="117"/>
      <c r="E1009" s="200"/>
      <c r="F1009" s="200"/>
    </row>
    <row r="1010" spans="1:6" x14ac:dyDescent="0.3">
      <c r="A1010" s="117"/>
      <c r="B1010" s="117"/>
      <c r="C1010" s="117"/>
      <c r="D1010" s="117"/>
      <c r="E1010" s="200"/>
      <c r="F1010" s="200"/>
    </row>
    <row r="1011" spans="1:6" x14ac:dyDescent="0.3">
      <c r="A1011" s="117"/>
      <c r="B1011" s="117"/>
      <c r="C1011" s="117"/>
      <c r="D1011" s="117"/>
      <c r="E1011" s="200"/>
      <c r="F1011" s="200"/>
    </row>
    <row r="1012" spans="1:6" x14ac:dyDescent="0.3">
      <c r="A1012" s="117"/>
      <c r="B1012" s="117"/>
      <c r="C1012" s="117"/>
      <c r="D1012" s="117"/>
      <c r="E1012" s="200"/>
      <c r="F1012" s="200"/>
    </row>
    <row r="1013" spans="1:6" x14ac:dyDescent="0.3">
      <c r="A1013" s="117"/>
      <c r="B1013" s="117"/>
      <c r="C1013" s="117"/>
      <c r="D1013" s="117"/>
      <c r="E1013" s="200"/>
      <c r="F1013" s="200"/>
    </row>
    <row r="1014" spans="1:6" x14ac:dyDescent="0.3">
      <c r="A1014" s="117"/>
      <c r="B1014" s="117"/>
      <c r="C1014" s="117"/>
      <c r="D1014" s="117"/>
      <c r="E1014" s="200"/>
      <c r="F1014" s="200"/>
    </row>
    <row r="1015" spans="1:6" x14ac:dyDescent="0.3">
      <c r="A1015" s="117"/>
      <c r="B1015" s="117"/>
      <c r="C1015" s="117"/>
      <c r="D1015" s="117"/>
      <c r="E1015" s="200"/>
      <c r="F1015" s="200"/>
    </row>
    <row r="1016" spans="1:6" x14ac:dyDescent="0.3">
      <c r="A1016" s="117"/>
      <c r="B1016" s="117"/>
      <c r="C1016" s="117"/>
      <c r="D1016" s="117"/>
      <c r="E1016" s="200"/>
      <c r="F1016" s="200"/>
    </row>
    <row r="1017" spans="1:6" x14ac:dyDescent="0.3">
      <c r="A1017" s="117"/>
      <c r="B1017" s="117"/>
      <c r="C1017" s="117"/>
      <c r="D1017" s="117"/>
      <c r="E1017" s="200"/>
      <c r="F1017" s="200"/>
    </row>
    <row r="1018" spans="1:6" x14ac:dyDescent="0.3">
      <c r="A1018" s="117"/>
      <c r="B1018" s="117"/>
      <c r="C1018" s="117"/>
      <c r="D1018" s="117"/>
      <c r="E1018" s="200"/>
      <c r="F1018" s="200"/>
    </row>
    <row r="1019" spans="1:6" x14ac:dyDescent="0.3">
      <c r="A1019" s="117"/>
      <c r="B1019" s="117"/>
      <c r="C1019" s="117"/>
      <c r="D1019" s="117"/>
      <c r="E1019" s="200"/>
      <c r="F1019" s="200"/>
    </row>
    <row r="1020" spans="1:6" x14ac:dyDescent="0.3">
      <c r="A1020" s="117"/>
      <c r="B1020" s="117"/>
      <c r="C1020" s="117"/>
      <c r="D1020" s="117"/>
      <c r="E1020" s="200"/>
      <c r="F1020" s="200"/>
    </row>
    <row r="1021" spans="1:6" x14ac:dyDescent="0.3">
      <c r="A1021" s="117"/>
      <c r="B1021" s="117"/>
      <c r="C1021" s="117"/>
      <c r="D1021" s="117"/>
      <c r="E1021" s="200"/>
      <c r="F1021" s="200"/>
    </row>
    <row r="1022" spans="1:6" x14ac:dyDescent="0.3">
      <c r="A1022" s="117"/>
      <c r="B1022" s="117"/>
      <c r="C1022" s="117"/>
      <c r="D1022" s="117"/>
      <c r="E1022" s="200"/>
      <c r="F1022" s="200"/>
    </row>
    <row r="1023" spans="1:6" x14ac:dyDescent="0.3">
      <c r="A1023" s="117"/>
      <c r="B1023" s="117"/>
      <c r="C1023" s="117"/>
      <c r="D1023" s="117"/>
      <c r="E1023" s="200"/>
      <c r="F1023" s="200"/>
    </row>
    <row r="1024" spans="1:6" x14ac:dyDescent="0.3">
      <c r="A1024" s="117"/>
      <c r="B1024" s="117"/>
      <c r="C1024" s="117"/>
      <c r="D1024" s="117"/>
      <c r="E1024" s="200"/>
      <c r="F1024" s="200"/>
    </row>
    <row r="1025" spans="1:6" x14ac:dyDescent="0.3">
      <c r="A1025" s="117"/>
      <c r="B1025" s="117"/>
      <c r="C1025" s="117"/>
      <c r="D1025" s="117"/>
      <c r="E1025" s="200"/>
      <c r="F1025" s="200"/>
    </row>
    <row r="1026" spans="1:6" x14ac:dyDescent="0.3">
      <c r="A1026" s="117"/>
      <c r="B1026" s="117"/>
      <c r="C1026" s="117"/>
      <c r="D1026" s="117"/>
      <c r="E1026" s="200"/>
      <c r="F1026" s="200"/>
    </row>
    <row r="1027" spans="1:6" x14ac:dyDescent="0.3">
      <c r="A1027" s="117"/>
      <c r="B1027" s="117"/>
      <c r="C1027" s="117"/>
      <c r="D1027" s="117"/>
      <c r="E1027" s="200"/>
      <c r="F1027" s="200"/>
    </row>
    <row r="1028" spans="1:6" x14ac:dyDescent="0.3">
      <c r="A1028" s="117"/>
      <c r="B1028" s="117"/>
      <c r="C1028" s="117"/>
      <c r="D1028" s="117"/>
      <c r="E1028" s="200"/>
      <c r="F1028" s="200"/>
    </row>
    <row r="1029" spans="1:6" x14ac:dyDescent="0.3">
      <c r="A1029" s="117"/>
      <c r="B1029" s="117"/>
      <c r="C1029" s="117"/>
      <c r="D1029" s="117"/>
      <c r="E1029" s="200"/>
      <c r="F1029" s="200"/>
    </row>
    <row r="1030" spans="1:6" x14ac:dyDescent="0.3">
      <c r="A1030" s="117"/>
      <c r="B1030" s="117"/>
      <c r="C1030" s="117"/>
      <c r="D1030" s="117"/>
      <c r="E1030" s="200"/>
      <c r="F1030" s="200"/>
    </row>
    <row r="1031" spans="1:6" x14ac:dyDescent="0.3">
      <c r="A1031" s="117"/>
      <c r="B1031" s="117"/>
      <c r="C1031" s="117"/>
      <c r="D1031" s="117"/>
      <c r="E1031" s="200"/>
      <c r="F1031" s="200"/>
    </row>
    <row r="1032" spans="1:6" x14ac:dyDescent="0.3">
      <c r="A1032" s="117"/>
      <c r="B1032" s="117"/>
      <c r="C1032" s="117"/>
      <c r="D1032" s="117"/>
      <c r="E1032" s="200"/>
      <c r="F1032" s="200"/>
    </row>
    <row r="1033" spans="1:6" x14ac:dyDescent="0.3">
      <c r="A1033" s="117"/>
      <c r="B1033" s="117"/>
      <c r="C1033" s="117"/>
      <c r="D1033" s="117"/>
      <c r="E1033" s="200"/>
      <c r="F1033" s="200"/>
    </row>
    <row r="1034" spans="1:6" x14ac:dyDescent="0.3">
      <c r="A1034" s="117"/>
      <c r="B1034" s="117"/>
      <c r="C1034" s="117"/>
      <c r="D1034" s="117"/>
      <c r="E1034" s="200"/>
      <c r="F1034" s="200"/>
    </row>
    <row r="1035" spans="1:6" x14ac:dyDescent="0.3">
      <c r="A1035" s="117"/>
      <c r="B1035" s="117"/>
      <c r="C1035" s="117"/>
      <c r="D1035" s="117"/>
      <c r="E1035" s="200"/>
      <c r="F1035" s="200"/>
    </row>
    <row r="1036" spans="1:6" x14ac:dyDescent="0.3">
      <c r="A1036" s="117"/>
      <c r="B1036" s="117"/>
      <c r="C1036" s="117"/>
      <c r="D1036" s="117"/>
      <c r="E1036" s="200"/>
      <c r="F1036" s="200"/>
    </row>
    <row r="1037" spans="1:6" x14ac:dyDescent="0.3">
      <c r="A1037" s="117"/>
      <c r="B1037" s="117"/>
      <c r="C1037" s="117"/>
      <c r="D1037" s="117"/>
      <c r="E1037" s="200"/>
      <c r="F1037" s="200"/>
    </row>
    <row r="1038" spans="1:6" x14ac:dyDescent="0.3">
      <c r="A1038" s="117"/>
      <c r="B1038" s="117"/>
      <c r="C1038" s="117"/>
      <c r="D1038" s="117"/>
      <c r="E1038" s="200"/>
      <c r="F1038" s="200"/>
    </row>
    <row r="1039" spans="1:6" x14ac:dyDescent="0.3">
      <c r="A1039" s="117"/>
      <c r="B1039" s="117"/>
      <c r="C1039" s="117"/>
      <c r="D1039" s="117"/>
      <c r="E1039" s="200"/>
      <c r="F1039" s="200"/>
    </row>
    <row r="1040" spans="1:6" x14ac:dyDescent="0.3">
      <c r="A1040" s="117"/>
      <c r="B1040" s="117"/>
      <c r="C1040" s="117"/>
      <c r="D1040" s="117"/>
      <c r="E1040" s="200"/>
      <c r="F1040" s="200"/>
    </row>
    <row r="1041" spans="1:6" x14ac:dyDescent="0.3">
      <c r="A1041" s="117"/>
      <c r="B1041" s="117"/>
      <c r="C1041" s="117"/>
      <c r="D1041" s="117"/>
      <c r="E1041" s="200"/>
      <c r="F1041" s="200"/>
    </row>
    <row r="1042" spans="1:6" x14ac:dyDescent="0.3">
      <c r="A1042" s="117"/>
      <c r="B1042" s="117"/>
      <c r="C1042" s="117"/>
      <c r="D1042" s="117"/>
      <c r="E1042" s="200"/>
      <c r="F1042" s="200"/>
    </row>
    <row r="1043" spans="1:6" x14ac:dyDescent="0.3">
      <c r="A1043" s="117"/>
      <c r="B1043" s="117"/>
      <c r="C1043" s="117"/>
      <c r="D1043" s="117"/>
      <c r="E1043" s="200"/>
      <c r="F1043" s="200"/>
    </row>
    <row r="1044" spans="1:6" x14ac:dyDescent="0.3">
      <c r="A1044" s="117"/>
      <c r="B1044" s="117"/>
      <c r="C1044" s="117"/>
      <c r="D1044" s="117"/>
      <c r="E1044" s="200"/>
      <c r="F1044" s="200"/>
    </row>
    <row r="1045" spans="1:6" x14ac:dyDescent="0.3">
      <c r="A1045" s="117"/>
      <c r="B1045" s="117"/>
      <c r="C1045" s="117"/>
      <c r="D1045" s="117"/>
      <c r="E1045" s="200"/>
      <c r="F1045" s="200"/>
    </row>
    <row r="1046" spans="1:6" x14ac:dyDescent="0.3">
      <c r="A1046" s="117"/>
      <c r="B1046" s="117"/>
      <c r="C1046" s="117"/>
      <c r="D1046" s="117"/>
      <c r="E1046" s="200"/>
      <c r="F1046" s="200"/>
    </row>
    <row r="1047" spans="1:6" x14ac:dyDescent="0.3">
      <c r="A1047" s="117"/>
      <c r="B1047" s="117"/>
      <c r="C1047" s="117"/>
      <c r="D1047" s="117"/>
      <c r="E1047" s="200"/>
      <c r="F1047" s="200"/>
    </row>
    <row r="1048" spans="1:6" x14ac:dyDescent="0.3">
      <c r="A1048" s="117"/>
      <c r="B1048" s="117"/>
      <c r="C1048" s="117"/>
      <c r="D1048" s="117"/>
      <c r="E1048" s="200"/>
      <c r="F1048" s="200"/>
    </row>
    <row r="1049" spans="1:6" x14ac:dyDescent="0.3">
      <c r="A1049" s="117"/>
      <c r="B1049" s="117"/>
      <c r="C1049" s="117"/>
      <c r="D1049" s="117"/>
      <c r="E1049" s="200"/>
      <c r="F1049" s="200"/>
    </row>
    <row r="1050" spans="1:6" x14ac:dyDescent="0.3">
      <c r="A1050" s="117"/>
      <c r="B1050" s="117"/>
      <c r="C1050" s="117"/>
      <c r="D1050" s="117"/>
      <c r="E1050" s="200"/>
      <c r="F1050" s="200"/>
    </row>
    <row r="1051" spans="1:6" x14ac:dyDescent="0.3">
      <c r="A1051" s="117"/>
      <c r="B1051" s="117"/>
      <c r="C1051" s="117"/>
      <c r="D1051" s="117"/>
      <c r="E1051" s="200"/>
      <c r="F1051" s="200"/>
    </row>
    <row r="1052" spans="1:6" x14ac:dyDescent="0.3">
      <c r="A1052" s="117"/>
      <c r="B1052" s="117"/>
      <c r="C1052" s="117"/>
      <c r="D1052" s="117"/>
      <c r="E1052" s="200"/>
      <c r="F1052" s="200"/>
    </row>
    <row r="1053" spans="1:6" x14ac:dyDescent="0.3">
      <c r="A1053" s="117"/>
      <c r="B1053" s="117"/>
      <c r="C1053" s="117"/>
      <c r="D1053" s="117"/>
      <c r="E1053" s="200"/>
      <c r="F1053" s="200"/>
    </row>
    <row r="1054" spans="1:6" x14ac:dyDescent="0.3">
      <c r="A1054" s="117"/>
      <c r="B1054" s="117"/>
      <c r="C1054" s="117"/>
      <c r="D1054" s="117"/>
      <c r="E1054" s="200"/>
      <c r="F1054" s="200"/>
    </row>
    <row r="1055" spans="1:6" x14ac:dyDescent="0.3">
      <c r="A1055" s="117"/>
      <c r="B1055" s="117"/>
      <c r="C1055" s="117"/>
      <c r="D1055" s="117"/>
      <c r="E1055" s="200"/>
      <c r="F1055" s="200"/>
    </row>
    <row r="1056" spans="1:6" x14ac:dyDescent="0.3">
      <c r="A1056" s="117"/>
      <c r="B1056" s="117"/>
      <c r="C1056" s="117"/>
      <c r="D1056" s="117"/>
      <c r="E1056" s="200"/>
      <c r="F1056" s="200"/>
    </row>
    <row r="1057" spans="1:6" x14ac:dyDescent="0.3">
      <c r="A1057" s="117"/>
      <c r="B1057" s="117"/>
      <c r="C1057" s="117"/>
      <c r="D1057" s="117"/>
      <c r="E1057" s="200"/>
      <c r="F1057" s="200"/>
    </row>
    <row r="1058" spans="1:6" x14ac:dyDescent="0.3">
      <c r="A1058" s="117"/>
      <c r="B1058" s="117"/>
      <c r="C1058" s="117"/>
      <c r="D1058" s="117"/>
      <c r="E1058" s="200"/>
      <c r="F1058" s="200"/>
    </row>
    <row r="1059" spans="1:6" x14ac:dyDescent="0.3">
      <c r="A1059" s="117"/>
      <c r="B1059" s="117"/>
      <c r="C1059" s="117"/>
      <c r="D1059" s="117"/>
      <c r="E1059" s="200"/>
      <c r="F1059" s="200"/>
    </row>
    <row r="1060" spans="1:6" x14ac:dyDescent="0.3">
      <c r="A1060" s="117"/>
      <c r="B1060" s="117"/>
      <c r="C1060" s="117"/>
      <c r="D1060" s="117"/>
      <c r="E1060" s="200"/>
      <c r="F1060" s="200"/>
    </row>
    <row r="1061" spans="1:6" x14ac:dyDescent="0.3">
      <c r="A1061" s="117"/>
      <c r="B1061" s="117"/>
      <c r="C1061" s="117"/>
      <c r="D1061" s="117"/>
      <c r="E1061" s="200"/>
      <c r="F1061" s="200"/>
    </row>
    <row r="1062" spans="1:6" x14ac:dyDescent="0.3">
      <c r="A1062" s="117"/>
      <c r="B1062" s="117"/>
      <c r="C1062" s="117"/>
      <c r="D1062" s="117"/>
      <c r="E1062" s="200"/>
      <c r="F1062" s="200"/>
    </row>
    <row r="1063" spans="1:6" x14ac:dyDescent="0.3">
      <c r="A1063" s="117"/>
      <c r="B1063" s="117"/>
      <c r="C1063" s="117"/>
      <c r="D1063" s="117"/>
      <c r="E1063" s="200"/>
      <c r="F1063" s="200"/>
    </row>
    <row r="1064" spans="1:6" x14ac:dyDescent="0.3">
      <c r="A1064" s="117"/>
      <c r="B1064" s="117"/>
      <c r="C1064" s="117"/>
      <c r="D1064" s="117"/>
      <c r="E1064" s="200"/>
      <c r="F1064" s="200"/>
    </row>
    <row r="1065" spans="1:6" x14ac:dyDescent="0.3">
      <c r="A1065" s="117"/>
      <c r="B1065" s="117"/>
      <c r="C1065" s="117"/>
      <c r="D1065" s="117"/>
      <c r="E1065" s="200"/>
      <c r="F1065" s="200"/>
    </row>
    <row r="1066" spans="1:6" x14ac:dyDescent="0.3">
      <c r="A1066" s="117"/>
      <c r="B1066" s="117"/>
      <c r="C1066" s="117"/>
      <c r="D1066" s="117"/>
      <c r="E1066" s="200"/>
      <c r="F1066" s="200"/>
    </row>
    <row r="1067" spans="1:6" x14ac:dyDescent="0.3">
      <c r="A1067" s="117"/>
      <c r="B1067" s="117"/>
      <c r="C1067" s="117"/>
      <c r="D1067" s="117"/>
      <c r="E1067" s="200"/>
      <c r="F1067" s="200"/>
    </row>
    <row r="1068" spans="1:6" x14ac:dyDescent="0.3">
      <c r="A1068" s="117"/>
      <c r="B1068" s="117"/>
      <c r="C1068" s="117"/>
      <c r="D1068" s="117"/>
      <c r="E1068" s="200"/>
      <c r="F1068" s="200"/>
    </row>
    <row r="1069" spans="1:6" x14ac:dyDescent="0.3">
      <c r="A1069" s="117"/>
      <c r="B1069" s="117"/>
      <c r="C1069" s="117"/>
      <c r="D1069" s="117"/>
      <c r="E1069" s="200"/>
      <c r="F1069" s="200"/>
    </row>
    <row r="1070" spans="1:6" x14ac:dyDescent="0.3">
      <c r="A1070" s="117"/>
      <c r="B1070" s="117"/>
      <c r="C1070" s="117"/>
      <c r="D1070" s="117"/>
      <c r="E1070" s="200"/>
      <c r="F1070" s="200"/>
    </row>
    <row r="1071" spans="1:6" x14ac:dyDescent="0.3">
      <c r="A1071" s="117"/>
      <c r="B1071" s="117"/>
      <c r="C1071" s="117"/>
      <c r="D1071" s="117"/>
      <c r="E1071" s="200"/>
      <c r="F1071" s="200"/>
    </row>
    <row r="1072" spans="1:6" x14ac:dyDescent="0.3">
      <c r="A1072" s="117"/>
      <c r="B1072" s="117"/>
      <c r="C1072" s="117"/>
      <c r="D1072" s="117"/>
      <c r="E1072" s="200"/>
      <c r="F1072" s="200"/>
    </row>
    <row r="1073" spans="1:6" x14ac:dyDescent="0.3">
      <c r="A1073" s="117"/>
      <c r="B1073" s="117"/>
      <c r="C1073" s="117"/>
      <c r="D1073" s="117"/>
      <c r="E1073" s="200"/>
      <c r="F1073" s="200"/>
    </row>
    <row r="1074" spans="1:6" x14ac:dyDescent="0.3">
      <c r="A1074" s="117"/>
      <c r="B1074" s="117"/>
      <c r="C1074" s="117"/>
      <c r="D1074" s="117"/>
      <c r="E1074" s="200"/>
      <c r="F1074" s="200"/>
    </row>
    <row r="1075" spans="1:6" x14ac:dyDescent="0.3">
      <c r="A1075" s="117"/>
      <c r="B1075" s="117"/>
      <c r="C1075" s="117"/>
      <c r="D1075" s="117"/>
      <c r="E1075" s="200"/>
      <c r="F1075" s="200"/>
    </row>
    <row r="1076" spans="1:6" x14ac:dyDescent="0.3">
      <c r="A1076" s="117"/>
      <c r="B1076" s="117"/>
      <c r="C1076" s="117"/>
      <c r="D1076" s="117"/>
      <c r="E1076" s="200"/>
      <c r="F1076" s="200"/>
    </row>
    <row r="1077" spans="1:6" x14ac:dyDescent="0.3">
      <c r="A1077" s="117"/>
      <c r="B1077" s="117"/>
      <c r="C1077" s="117"/>
      <c r="D1077" s="117"/>
      <c r="E1077" s="200"/>
      <c r="F1077" s="200"/>
    </row>
    <row r="1078" spans="1:6" x14ac:dyDescent="0.3">
      <c r="A1078" s="117"/>
      <c r="B1078" s="117"/>
      <c r="C1078" s="117"/>
      <c r="D1078" s="117"/>
      <c r="E1078" s="200"/>
      <c r="F1078" s="200"/>
    </row>
    <row r="1079" spans="1:6" x14ac:dyDescent="0.3">
      <c r="A1079" s="117"/>
      <c r="B1079" s="117"/>
      <c r="C1079" s="117"/>
      <c r="D1079" s="117"/>
      <c r="E1079" s="200"/>
      <c r="F1079" s="200"/>
    </row>
    <row r="1080" spans="1:6" x14ac:dyDescent="0.3">
      <c r="A1080" s="117"/>
      <c r="B1080" s="117"/>
      <c r="C1080" s="117"/>
      <c r="D1080" s="117"/>
      <c r="E1080" s="200"/>
      <c r="F1080" s="200"/>
    </row>
    <row r="1081" spans="1:6" x14ac:dyDescent="0.3">
      <c r="A1081" s="117"/>
      <c r="B1081" s="117"/>
      <c r="C1081" s="117"/>
      <c r="D1081" s="117"/>
      <c r="E1081" s="200"/>
      <c r="F1081" s="200"/>
    </row>
    <row r="1082" spans="1:6" x14ac:dyDescent="0.3">
      <c r="A1082" s="117"/>
      <c r="B1082" s="117"/>
      <c r="C1082" s="117"/>
      <c r="D1082" s="117"/>
      <c r="E1082" s="200"/>
      <c r="F1082" s="200"/>
    </row>
    <row r="1083" spans="1:6" x14ac:dyDescent="0.3">
      <c r="A1083" s="117"/>
      <c r="B1083" s="117"/>
      <c r="C1083" s="117"/>
      <c r="D1083" s="117"/>
      <c r="E1083" s="200"/>
      <c r="F1083" s="200"/>
    </row>
    <row r="1084" spans="1:6" x14ac:dyDescent="0.3">
      <c r="A1084" s="117"/>
      <c r="B1084" s="117"/>
      <c r="C1084" s="117"/>
      <c r="D1084" s="117"/>
      <c r="E1084" s="200"/>
      <c r="F1084" s="200"/>
    </row>
    <row r="1085" spans="1:6" x14ac:dyDescent="0.3">
      <c r="A1085" s="117"/>
      <c r="B1085" s="117"/>
      <c r="C1085" s="117"/>
      <c r="D1085" s="117"/>
      <c r="E1085" s="200"/>
      <c r="F1085" s="200"/>
    </row>
    <row r="1086" spans="1:6" x14ac:dyDescent="0.3">
      <c r="A1086" s="117"/>
      <c r="B1086" s="117"/>
      <c r="C1086" s="117"/>
      <c r="D1086" s="117"/>
      <c r="E1086" s="200"/>
      <c r="F1086" s="200"/>
    </row>
    <row r="1087" spans="1:6" x14ac:dyDescent="0.3">
      <c r="A1087" s="117"/>
      <c r="B1087" s="117"/>
      <c r="C1087" s="117"/>
      <c r="D1087" s="117"/>
      <c r="E1087" s="200"/>
      <c r="F1087" s="200"/>
    </row>
    <row r="1088" spans="1:6" x14ac:dyDescent="0.3">
      <c r="A1088" s="117"/>
      <c r="B1088" s="117"/>
      <c r="C1088" s="117"/>
      <c r="D1088" s="117"/>
      <c r="E1088" s="200"/>
      <c r="F1088" s="200"/>
    </row>
    <row r="1089" spans="1:6" x14ac:dyDescent="0.3">
      <c r="A1089" s="117"/>
      <c r="B1089" s="117"/>
      <c r="C1089" s="117"/>
      <c r="D1089" s="117"/>
      <c r="E1089" s="200"/>
      <c r="F1089" s="200"/>
    </row>
    <row r="1090" spans="1:6" x14ac:dyDescent="0.3">
      <c r="A1090" s="117"/>
      <c r="B1090" s="117"/>
      <c r="C1090" s="117"/>
      <c r="D1090" s="117"/>
      <c r="E1090" s="200"/>
      <c r="F1090" s="200"/>
    </row>
    <row r="1091" spans="1:6" x14ac:dyDescent="0.3">
      <c r="A1091" s="117"/>
      <c r="B1091" s="117"/>
      <c r="C1091" s="117"/>
      <c r="D1091" s="117"/>
      <c r="E1091" s="200"/>
      <c r="F1091" s="200"/>
    </row>
    <row r="1092" spans="1:6" x14ac:dyDescent="0.3">
      <c r="A1092" s="117"/>
      <c r="B1092" s="117"/>
      <c r="C1092" s="117"/>
      <c r="D1092" s="117"/>
      <c r="E1092" s="200"/>
      <c r="F1092" s="200"/>
    </row>
    <row r="1093" spans="1:6" x14ac:dyDescent="0.3">
      <c r="A1093" s="117"/>
      <c r="B1093" s="117"/>
      <c r="C1093" s="117"/>
      <c r="D1093" s="117"/>
      <c r="E1093" s="200"/>
      <c r="F1093" s="200"/>
    </row>
    <row r="1094" spans="1:6" x14ac:dyDescent="0.3">
      <c r="A1094" s="117"/>
      <c r="B1094" s="117"/>
      <c r="C1094" s="117"/>
      <c r="D1094" s="117"/>
      <c r="E1094" s="200"/>
      <c r="F1094" s="200"/>
    </row>
    <row r="1095" spans="1:6" x14ac:dyDescent="0.3">
      <c r="A1095" s="117"/>
      <c r="B1095" s="117"/>
      <c r="C1095" s="117"/>
      <c r="D1095" s="117"/>
      <c r="E1095" s="200"/>
      <c r="F1095" s="200"/>
    </row>
    <row r="1096" spans="1:6" x14ac:dyDescent="0.3">
      <c r="A1096" s="117"/>
      <c r="B1096" s="117"/>
      <c r="C1096" s="117"/>
      <c r="D1096" s="117"/>
      <c r="E1096" s="200"/>
      <c r="F1096" s="200"/>
    </row>
    <row r="1097" spans="1:6" x14ac:dyDescent="0.3">
      <c r="A1097" s="117"/>
      <c r="B1097" s="117"/>
      <c r="C1097" s="117"/>
      <c r="D1097" s="117"/>
      <c r="E1097" s="200"/>
      <c r="F1097" s="200"/>
    </row>
    <row r="1098" spans="1:6" x14ac:dyDescent="0.3">
      <c r="A1098" s="117"/>
      <c r="B1098" s="117"/>
      <c r="C1098" s="117"/>
      <c r="D1098" s="117"/>
      <c r="E1098" s="200"/>
      <c r="F1098" s="200"/>
    </row>
    <row r="1099" spans="1:6" x14ac:dyDescent="0.3">
      <c r="A1099" s="117"/>
      <c r="B1099" s="117"/>
      <c r="C1099" s="117"/>
      <c r="D1099" s="117"/>
      <c r="E1099" s="200"/>
      <c r="F1099" s="200"/>
    </row>
    <row r="1100" spans="1:6" x14ac:dyDescent="0.3">
      <c r="A1100" s="117"/>
      <c r="B1100" s="117"/>
      <c r="C1100" s="117"/>
      <c r="D1100" s="117"/>
      <c r="E1100" s="200"/>
      <c r="F1100" s="200"/>
    </row>
    <row r="1101" spans="1:6" x14ac:dyDescent="0.3">
      <c r="A1101" s="117"/>
      <c r="B1101" s="117"/>
      <c r="C1101" s="117"/>
      <c r="D1101" s="117"/>
      <c r="E1101" s="200"/>
      <c r="F1101" s="200"/>
    </row>
    <row r="1102" spans="1:6" x14ac:dyDescent="0.3">
      <c r="A1102" s="117"/>
      <c r="B1102" s="117"/>
      <c r="C1102" s="117"/>
      <c r="D1102" s="117"/>
      <c r="E1102" s="200"/>
      <c r="F1102" s="200"/>
    </row>
    <row r="1103" spans="1:6" x14ac:dyDescent="0.3">
      <c r="A1103" s="117"/>
      <c r="B1103" s="117"/>
      <c r="C1103" s="117"/>
      <c r="D1103" s="117"/>
      <c r="E1103" s="200"/>
      <c r="F1103" s="200"/>
    </row>
    <row r="1104" spans="1:6" x14ac:dyDescent="0.3">
      <c r="A1104" s="117"/>
      <c r="B1104" s="117"/>
      <c r="C1104" s="117"/>
      <c r="D1104" s="117"/>
      <c r="E1104" s="200"/>
      <c r="F1104" s="200"/>
    </row>
    <row r="1105" spans="1:6" x14ac:dyDescent="0.3">
      <c r="A1105" s="117"/>
      <c r="B1105" s="117"/>
      <c r="C1105" s="117"/>
      <c r="D1105" s="117"/>
      <c r="E1105" s="200"/>
      <c r="F1105" s="200"/>
    </row>
    <row r="1106" spans="1:6" x14ac:dyDescent="0.3">
      <c r="A1106" s="117"/>
      <c r="B1106" s="117"/>
      <c r="C1106" s="117"/>
      <c r="D1106" s="117"/>
      <c r="E1106" s="200"/>
      <c r="F1106" s="200"/>
    </row>
    <row r="1107" spans="1:6" x14ac:dyDescent="0.3">
      <c r="A1107" s="117"/>
      <c r="B1107" s="117"/>
      <c r="C1107" s="117"/>
      <c r="D1107" s="117"/>
      <c r="E1107" s="200"/>
      <c r="F1107" s="200"/>
    </row>
    <row r="1108" spans="1:6" x14ac:dyDescent="0.3">
      <c r="A1108" s="117"/>
      <c r="B1108" s="117"/>
      <c r="C1108" s="117"/>
      <c r="D1108" s="117"/>
      <c r="E1108" s="200"/>
      <c r="F1108" s="200"/>
    </row>
    <row r="1109" spans="1:6" x14ac:dyDescent="0.3">
      <c r="A1109" s="117"/>
      <c r="B1109" s="117"/>
      <c r="C1109" s="117"/>
      <c r="D1109" s="117"/>
      <c r="E1109" s="200"/>
      <c r="F1109" s="200"/>
    </row>
    <row r="1110" spans="1:6" x14ac:dyDescent="0.3">
      <c r="A1110" s="117"/>
      <c r="B1110" s="117"/>
      <c r="C1110" s="117"/>
      <c r="D1110" s="117"/>
      <c r="E1110" s="200"/>
      <c r="F1110" s="200"/>
    </row>
    <row r="1111" spans="1:6" x14ac:dyDescent="0.3">
      <c r="A1111" s="117"/>
      <c r="B1111" s="117"/>
      <c r="C1111" s="117"/>
      <c r="D1111" s="117"/>
      <c r="E1111" s="200"/>
      <c r="F1111" s="200"/>
    </row>
    <row r="1112" spans="1:6" x14ac:dyDescent="0.3">
      <c r="A1112" s="117"/>
      <c r="B1112" s="117"/>
      <c r="C1112" s="117"/>
      <c r="D1112" s="117"/>
      <c r="E1112" s="200"/>
      <c r="F1112" s="200"/>
    </row>
    <row r="1113" spans="1:6" x14ac:dyDescent="0.3">
      <c r="A1113" s="117"/>
      <c r="B1113" s="117"/>
      <c r="C1113" s="117"/>
      <c r="D1113" s="117"/>
      <c r="E1113" s="200"/>
      <c r="F1113" s="200"/>
    </row>
    <row r="1114" spans="1:6" x14ac:dyDescent="0.3">
      <c r="A1114" s="117"/>
      <c r="B1114" s="117"/>
      <c r="C1114" s="117"/>
      <c r="D1114" s="117"/>
      <c r="E1114" s="200"/>
      <c r="F1114" s="200"/>
    </row>
    <row r="1115" spans="1:6" x14ac:dyDescent="0.3">
      <c r="A1115" s="117"/>
      <c r="B1115" s="117"/>
      <c r="C1115" s="117"/>
      <c r="D1115" s="117"/>
      <c r="E1115" s="200"/>
      <c r="F1115" s="200"/>
    </row>
    <row r="1116" spans="1:6" x14ac:dyDescent="0.3">
      <c r="A1116" s="117"/>
      <c r="B1116" s="117"/>
      <c r="C1116" s="117"/>
      <c r="D1116" s="117"/>
      <c r="E1116" s="200"/>
      <c r="F1116" s="200"/>
    </row>
    <row r="1117" spans="1:6" x14ac:dyDescent="0.3">
      <c r="A1117" s="117"/>
      <c r="B1117" s="117"/>
      <c r="C1117" s="117"/>
      <c r="D1117" s="117"/>
      <c r="E1117" s="200"/>
      <c r="F1117" s="200"/>
    </row>
    <row r="1118" spans="1:6" x14ac:dyDescent="0.3">
      <c r="A1118" s="117"/>
      <c r="B1118" s="117"/>
      <c r="C1118" s="117"/>
      <c r="D1118" s="117"/>
      <c r="E1118" s="200"/>
      <c r="F1118" s="200"/>
    </row>
    <row r="1119" spans="1:6" x14ac:dyDescent="0.3">
      <c r="A1119" s="117"/>
      <c r="B1119" s="117"/>
      <c r="C1119" s="117"/>
      <c r="D1119" s="117"/>
      <c r="E1119" s="200"/>
      <c r="F1119" s="200"/>
    </row>
    <row r="1120" spans="1:6" x14ac:dyDescent="0.3">
      <c r="A1120" s="117"/>
      <c r="B1120" s="117"/>
      <c r="C1120" s="117"/>
      <c r="D1120" s="117"/>
      <c r="E1120" s="200"/>
      <c r="F1120" s="200"/>
    </row>
    <row r="1121" spans="1:6" x14ac:dyDescent="0.3">
      <c r="A1121" s="117"/>
      <c r="B1121" s="117"/>
      <c r="C1121" s="117"/>
      <c r="D1121" s="117"/>
      <c r="E1121" s="200"/>
      <c r="F1121" s="200"/>
    </row>
    <row r="1122" spans="1:6" x14ac:dyDescent="0.3">
      <c r="A1122" s="117"/>
      <c r="B1122" s="117"/>
      <c r="C1122" s="117"/>
      <c r="D1122" s="117"/>
      <c r="E1122" s="200"/>
      <c r="F1122" s="200"/>
    </row>
    <row r="1123" spans="1:6" x14ac:dyDescent="0.3">
      <c r="A1123" s="117"/>
      <c r="B1123" s="117"/>
      <c r="C1123" s="117"/>
      <c r="D1123" s="117"/>
      <c r="E1123" s="200"/>
      <c r="F1123" s="200"/>
    </row>
    <row r="1124" spans="1:6" x14ac:dyDescent="0.3">
      <c r="A1124" s="117"/>
      <c r="B1124" s="117"/>
      <c r="C1124" s="117"/>
      <c r="D1124" s="117"/>
      <c r="E1124" s="200"/>
      <c r="F1124" s="200"/>
    </row>
    <row r="1125" spans="1:6" x14ac:dyDescent="0.3">
      <c r="A1125" s="117"/>
      <c r="B1125" s="117"/>
      <c r="C1125" s="117"/>
      <c r="D1125" s="117"/>
      <c r="E1125" s="200"/>
      <c r="F1125" s="200"/>
    </row>
    <row r="1126" spans="1:6" x14ac:dyDescent="0.3">
      <c r="A1126" s="117"/>
      <c r="B1126" s="117"/>
      <c r="C1126" s="117"/>
      <c r="D1126" s="117"/>
      <c r="E1126" s="200"/>
      <c r="F1126" s="200"/>
    </row>
    <row r="1127" spans="1:6" x14ac:dyDescent="0.3">
      <c r="A1127" s="117"/>
      <c r="B1127" s="117"/>
      <c r="C1127" s="117"/>
      <c r="D1127" s="117"/>
      <c r="E1127" s="200"/>
      <c r="F1127" s="200"/>
    </row>
    <row r="1128" spans="1:6" x14ac:dyDescent="0.3">
      <c r="A1128" s="117"/>
      <c r="B1128" s="117"/>
      <c r="C1128" s="117"/>
      <c r="D1128" s="117"/>
      <c r="E1128" s="200"/>
      <c r="F1128" s="200"/>
    </row>
    <row r="1129" spans="1:6" x14ac:dyDescent="0.3">
      <c r="A1129" s="117"/>
      <c r="B1129" s="117"/>
      <c r="C1129" s="117"/>
      <c r="D1129" s="117"/>
      <c r="E1129" s="200"/>
      <c r="F1129" s="200"/>
    </row>
    <row r="1130" spans="1:6" x14ac:dyDescent="0.3">
      <c r="A1130" s="117"/>
      <c r="B1130" s="117"/>
      <c r="C1130" s="117"/>
      <c r="D1130" s="117"/>
      <c r="E1130" s="200"/>
      <c r="F1130" s="200"/>
    </row>
    <row r="1131" spans="1:6" x14ac:dyDescent="0.3">
      <c r="A1131" s="117"/>
      <c r="B1131" s="117"/>
      <c r="C1131" s="117"/>
      <c r="D1131" s="117"/>
      <c r="E1131" s="200"/>
      <c r="F1131" s="200"/>
    </row>
    <row r="1132" spans="1:6" x14ac:dyDescent="0.3">
      <c r="A1132" s="117"/>
      <c r="B1132" s="117"/>
      <c r="C1132" s="117"/>
      <c r="D1132" s="117"/>
      <c r="E1132" s="200"/>
      <c r="F1132" s="200"/>
    </row>
    <row r="1133" spans="1:6" x14ac:dyDescent="0.3">
      <c r="A1133" s="117"/>
      <c r="B1133" s="117"/>
      <c r="C1133" s="117"/>
      <c r="D1133" s="117"/>
      <c r="E1133" s="200"/>
      <c r="F1133" s="200"/>
    </row>
    <row r="1134" spans="1:6" x14ac:dyDescent="0.3">
      <c r="A1134" s="117"/>
      <c r="B1134" s="117"/>
      <c r="C1134" s="117"/>
      <c r="D1134" s="117"/>
      <c r="E1134" s="200"/>
      <c r="F1134" s="200"/>
    </row>
    <row r="1135" spans="1:6" x14ac:dyDescent="0.3">
      <c r="A1135" s="117"/>
      <c r="B1135" s="117"/>
      <c r="C1135" s="117"/>
      <c r="D1135" s="117"/>
      <c r="E1135" s="200"/>
      <c r="F1135" s="200"/>
    </row>
    <row r="1136" spans="1:6" x14ac:dyDescent="0.3">
      <c r="A1136" s="117"/>
      <c r="B1136" s="117"/>
      <c r="C1136" s="117"/>
      <c r="D1136" s="117"/>
      <c r="E1136" s="200"/>
      <c r="F1136" s="200"/>
    </row>
    <row r="1137" spans="1:6" x14ac:dyDescent="0.3">
      <c r="A1137" s="117"/>
      <c r="B1137" s="117"/>
      <c r="C1137" s="117"/>
      <c r="D1137" s="117"/>
      <c r="E1137" s="200"/>
      <c r="F1137" s="200"/>
    </row>
    <row r="1138" spans="1:6" x14ac:dyDescent="0.3">
      <c r="A1138" s="117"/>
      <c r="B1138" s="117"/>
      <c r="C1138" s="117"/>
      <c r="D1138" s="117"/>
      <c r="E1138" s="200"/>
      <c r="F1138" s="200"/>
    </row>
    <row r="1139" spans="1:6" x14ac:dyDescent="0.3">
      <c r="A1139" s="117"/>
      <c r="B1139" s="117"/>
      <c r="C1139" s="117"/>
      <c r="D1139" s="117"/>
      <c r="E1139" s="200"/>
      <c r="F1139" s="200"/>
    </row>
    <row r="1140" spans="1:6" x14ac:dyDescent="0.3">
      <c r="A1140" s="117"/>
      <c r="B1140" s="117"/>
      <c r="C1140" s="117"/>
      <c r="D1140" s="117"/>
      <c r="E1140" s="200"/>
      <c r="F1140" s="200"/>
    </row>
    <row r="1141" spans="1:6" x14ac:dyDescent="0.3">
      <c r="A1141" s="117"/>
      <c r="B1141" s="117"/>
      <c r="C1141" s="117"/>
      <c r="D1141" s="117"/>
      <c r="E1141" s="200"/>
      <c r="F1141" s="200"/>
    </row>
    <row r="1142" spans="1:6" x14ac:dyDescent="0.3">
      <c r="A1142" s="117"/>
      <c r="B1142" s="117"/>
      <c r="C1142" s="117"/>
      <c r="D1142" s="117"/>
      <c r="E1142" s="200"/>
      <c r="F1142" s="200"/>
    </row>
    <row r="1143" spans="1:6" x14ac:dyDescent="0.3">
      <c r="A1143" s="117"/>
      <c r="B1143" s="117"/>
      <c r="C1143" s="117"/>
      <c r="D1143" s="117"/>
      <c r="E1143" s="200"/>
      <c r="F1143" s="200"/>
    </row>
    <row r="1144" spans="1:6" x14ac:dyDescent="0.3">
      <c r="A1144" s="117"/>
      <c r="B1144" s="117"/>
      <c r="C1144" s="117"/>
      <c r="D1144" s="117"/>
      <c r="E1144" s="200"/>
      <c r="F1144" s="200"/>
    </row>
    <row r="1145" spans="1:6" x14ac:dyDescent="0.3">
      <c r="A1145" s="117"/>
      <c r="B1145" s="117"/>
      <c r="C1145" s="117"/>
      <c r="D1145" s="117"/>
      <c r="E1145" s="200"/>
      <c r="F1145" s="200"/>
    </row>
    <row r="1146" spans="1:6" x14ac:dyDescent="0.3">
      <c r="A1146" s="117"/>
      <c r="B1146" s="117"/>
      <c r="C1146" s="117"/>
      <c r="D1146" s="117"/>
      <c r="E1146" s="200"/>
      <c r="F1146" s="200"/>
    </row>
    <row r="1147" spans="1:6" x14ac:dyDescent="0.3">
      <c r="A1147" s="117"/>
      <c r="B1147" s="117"/>
      <c r="C1147" s="117"/>
      <c r="D1147" s="117"/>
      <c r="E1147" s="200"/>
      <c r="F1147" s="200"/>
    </row>
    <row r="1148" spans="1:6" x14ac:dyDescent="0.3">
      <c r="A1148" s="117"/>
      <c r="B1148" s="117"/>
      <c r="C1148" s="117"/>
      <c r="D1148" s="117"/>
      <c r="E1148" s="200"/>
      <c r="F1148" s="200"/>
    </row>
    <row r="1149" spans="1:6" x14ac:dyDescent="0.3">
      <c r="A1149" s="117"/>
      <c r="B1149" s="117"/>
      <c r="C1149" s="117"/>
      <c r="D1149" s="117"/>
      <c r="E1149" s="200"/>
      <c r="F1149" s="200"/>
    </row>
    <row r="1150" spans="1:6" x14ac:dyDescent="0.3">
      <c r="A1150" s="117"/>
      <c r="B1150" s="117"/>
      <c r="C1150" s="117"/>
      <c r="D1150" s="117"/>
      <c r="E1150" s="200"/>
      <c r="F1150" s="200"/>
    </row>
    <row r="1151" spans="1:6" x14ac:dyDescent="0.3">
      <c r="A1151" s="117"/>
      <c r="B1151" s="117"/>
      <c r="C1151" s="117"/>
      <c r="D1151" s="117"/>
      <c r="E1151" s="200"/>
      <c r="F1151" s="200"/>
    </row>
    <row r="1152" spans="1:6" x14ac:dyDescent="0.3">
      <c r="A1152" s="117"/>
      <c r="B1152" s="117"/>
      <c r="C1152" s="117"/>
      <c r="D1152" s="117"/>
      <c r="E1152" s="200"/>
      <c r="F1152" s="200"/>
    </row>
    <row r="1153" spans="1:6" x14ac:dyDescent="0.3">
      <c r="A1153" s="117"/>
      <c r="B1153" s="117"/>
      <c r="C1153" s="117"/>
      <c r="D1153" s="117"/>
      <c r="E1153" s="200"/>
      <c r="F1153" s="200"/>
    </row>
    <row r="1154" spans="1:6" x14ac:dyDescent="0.3">
      <c r="A1154" s="117"/>
      <c r="B1154" s="117"/>
      <c r="C1154" s="117"/>
      <c r="D1154" s="117"/>
      <c r="E1154" s="200"/>
      <c r="F1154" s="200"/>
    </row>
    <row r="1155" spans="1:6" x14ac:dyDescent="0.3">
      <c r="A1155" s="117"/>
      <c r="B1155" s="117"/>
      <c r="C1155" s="117"/>
      <c r="D1155" s="117"/>
      <c r="E1155" s="200"/>
      <c r="F1155" s="200"/>
    </row>
    <row r="1156" spans="1:6" x14ac:dyDescent="0.3">
      <c r="A1156" s="117"/>
      <c r="B1156" s="117"/>
      <c r="C1156" s="117"/>
      <c r="D1156" s="117"/>
      <c r="E1156" s="200"/>
      <c r="F1156" s="200"/>
    </row>
    <row r="1157" spans="1:6" x14ac:dyDescent="0.3">
      <c r="A1157" s="117"/>
      <c r="B1157" s="117"/>
      <c r="C1157" s="117"/>
      <c r="D1157" s="117"/>
      <c r="E1157" s="200"/>
      <c r="F1157" s="200"/>
    </row>
    <row r="1158" spans="1:6" x14ac:dyDescent="0.3">
      <c r="A1158" s="117"/>
      <c r="B1158" s="117"/>
      <c r="C1158" s="117"/>
      <c r="D1158" s="117"/>
      <c r="E1158" s="200"/>
      <c r="F1158" s="200"/>
    </row>
    <row r="1159" spans="1:6" x14ac:dyDescent="0.3">
      <c r="A1159" s="117"/>
      <c r="B1159" s="117"/>
      <c r="C1159" s="117"/>
      <c r="D1159" s="117"/>
      <c r="E1159" s="200"/>
      <c r="F1159" s="200"/>
    </row>
    <row r="1160" spans="1:6" x14ac:dyDescent="0.3">
      <c r="A1160" s="117"/>
      <c r="B1160" s="117"/>
      <c r="C1160" s="117"/>
      <c r="D1160" s="117"/>
      <c r="E1160" s="200"/>
      <c r="F1160" s="200"/>
    </row>
    <row r="1161" spans="1:6" x14ac:dyDescent="0.3">
      <c r="A1161" s="117"/>
      <c r="B1161" s="117"/>
      <c r="C1161" s="117"/>
      <c r="D1161" s="117"/>
      <c r="E1161" s="200"/>
      <c r="F1161" s="200"/>
    </row>
    <row r="1162" spans="1:6" x14ac:dyDescent="0.3">
      <c r="A1162" s="117"/>
      <c r="B1162" s="117"/>
      <c r="C1162" s="117"/>
      <c r="D1162" s="117"/>
      <c r="E1162" s="200"/>
      <c r="F1162" s="200"/>
    </row>
    <row r="1163" spans="1:6" x14ac:dyDescent="0.3">
      <c r="A1163" s="117"/>
      <c r="B1163" s="117"/>
      <c r="C1163" s="117"/>
      <c r="D1163" s="117"/>
      <c r="E1163" s="200"/>
      <c r="F1163" s="200"/>
    </row>
    <row r="1164" spans="1:6" x14ac:dyDescent="0.3">
      <c r="A1164" s="117"/>
      <c r="B1164" s="117"/>
      <c r="C1164" s="117"/>
      <c r="D1164" s="117"/>
      <c r="E1164" s="200"/>
      <c r="F1164" s="200"/>
    </row>
    <row r="1165" spans="1:6" x14ac:dyDescent="0.3">
      <c r="A1165" s="117"/>
      <c r="B1165" s="117"/>
      <c r="C1165" s="117"/>
      <c r="D1165" s="117"/>
      <c r="E1165" s="200"/>
      <c r="F1165" s="200"/>
    </row>
    <row r="1166" spans="1:6" x14ac:dyDescent="0.3">
      <c r="A1166" s="117"/>
      <c r="B1166" s="117"/>
      <c r="C1166" s="117"/>
      <c r="D1166" s="117"/>
      <c r="E1166" s="200"/>
      <c r="F1166" s="200"/>
    </row>
    <row r="1167" spans="1:6" x14ac:dyDescent="0.3">
      <c r="A1167" s="117"/>
      <c r="B1167" s="117"/>
      <c r="C1167" s="117"/>
      <c r="D1167" s="117"/>
      <c r="E1167" s="200"/>
      <c r="F1167" s="200"/>
    </row>
    <row r="1168" spans="1:6" x14ac:dyDescent="0.3">
      <c r="A1168" s="117"/>
      <c r="B1168" s="117"/>
      <c r="C1168" s="117"/>
      <c r="D1168" s="117"/>
      <c r="E1168" s="200"/>
      <c r="F1168" s="200"/>
    </row>
    <row r="1169" spans="1:6" x14ac:dyDescent="0.3">
      <c r="A1169" s="117"/>
      <c r="B1169" s="117"/>
      <c r="C1169" s="117"/>
      <c r="D1169" s="117"/>
      <c r="E1169" s="200"/>
      <c r="F1169" s="200"/>
    </row>
    <row r="1170" spans="1:6" x14ac:dyDescent="0.3">
      <c r="A1170" s="117"/>
      <c r="B1170" s="117"/>
      <c r="C1170" s="117"/>
      <c r="D1170" s="117"/>
      <c r="E1170" s="200"/>
      <c r="F1170" s="200"/>
    </row>
    <row r="1171" spans="1:6" x14ac:dyDescent="0.3">
      <c r="A1171" s="117"/>
      <c r="B1171" s="117"/>
      <c r="C1171" s="117"/>
      <c r="D1171" s="117"/>
      <c r="E1171" s="200"/>
      <c r="F1171" s="200"/>
    </row>
    <row r="1172" spans="1:6" x14ac:dyDescent="0.3">
      <c r="A1172" s="117"/>
      <c r="B1172" s="117"/>
      <c r="C1172" s="117"/>
      <c r="D1172" s="117"/>
      <c r="E1172" s="200"/>
      <c r="F1172" s="200"/>
    </row>
    <row r="1173" spans="1:6" x14ac:dyDescent="0.3">
      <c r="A1173" s="117"/>
      <c r="B1173" s="117"/>
      <c r="C1173" s="117"/>
      <c r="D1173" s="117"/>
      <c r="E1173" s="200"/>
      <c r="F1173" s="200"/>
    </row>
    <row r="1174" spans="1:6" x14ac:dyDescent="0.3">
      <c r="A1174" s="117"/>
      <c r="B1174" s="117"/>
      <c r="C1174" s="117"/>
      <c r="D1174" s="117"/>
      <c r="E1174" s="200"/>
      <c r="F1174" s="200"/>
    </row>
    <row r="1175" spans="1:6" x14ac:dyDescent="0.3">
      <c r="A1175" s="117"/>
      <c r="B1175" s="117"/>
      <c r="C1175" s="117"/>
      <c r="D1175" s="117"/>
      <c r="E1175" s="200"/>
      <c r="F1175" s="200"/>
    </row>
    <row r="1176" spans="1:6" x14ac:dyDescent="0.3">
      <c r="A1176" s="117"/>
      <c r="B1176" s="117"/>
      <c r="C1176" s="117"/>
      <c r="D1176" s="117"/>
      <c r="E1176" s="200"/>
      <c r="F1176" s="200"/>
    </row>
    <row r="1177" spans="1:6" x14ac:dyDescent="0.3">
      <c r="A1177" s="117"/>
      <c r="B1177" s="117"/>
      <c r="C1177" s="117"/>
      <c r="D1177" s="117"/>
      <c r="E1177" s="200"/>
      <c r="F1177" s="200"/>
    </row>
    <row r="1178" spans="1:6" x14ac:dyDescent="0.3">
      <c r="A1178" s="117"/>
      <c r="B1178" s="117"/>
      <c r="C1178" s="117"/>
      <c r="D1178" s="117"/>
      <c r="E1178" s="200"/>
      <c r="F1178" s="200"/>
    </row>
    <row r="1179" spans="1:6" x14ac:dyDescent="0.3">
      <c r="A1179" s="117"/>
      <c r="B1179" s="117"/>
      <c r="C1179" s="117"/>
      <c r="D1179" s="117"/>
      <c r="E1179" s="200"/>
      <c r="F1179" s="200"/>
    </row>
    <row r="1180" spans="1:6" x14ac:dyDescent="0.3">
      <c r="A1180" s="117"/>
      <c r="B1180" s="117"/>
      <c r="C1180" s="117"/>
      <c r="D1180" s="117"/>
      <c r="E1180" s="200"/>
      <c r="F1180" s="200"/>
    </row>
    <row r="1181" spans="1:6" x14ac:dyDescent="0.3">
      <c r="A1181" s="117"/>
      <c r="B1181" s="117"/>
      <c r="C1181" s="117"/>
      <c r="D1181" s="117"/>
      <c r="E1181" s="200"/>
      <c r="F1181" s="200"/>
    </row>
    <row r="1182" spans="1:6" x14ac:dyDescent="0.3">
      <c r="A1182" s="117"/>
      <c r="B1182" s="117"/>
      <c r="C1182" s="117"/>
      <c r="D1182" s="117"/>
      <c r="E1182" s="200"/>
      <c r="F1182" s="200"/>
    </row>
    <row r="1183" spans="1:6" x14ac:dyDescent="0.3">
      <c r="A1183" s="117"/>
      <c r="B1183" s="117"/>
      <c r="C1183" s="117"/>
      <c r="D1183" s="117"/>
      <c r="E1183" s="200"/>
      <c r="F1183" s="200"/>
    </row>
    <row r="1184" spans="1:6" x14ac:dyDescent="0.3">
      <c r="A1184" s="117"/>
      <c r="B1184" s="117"/>
      <c r="C1184" s="117"/>
      <c r="D1184" s="117"/>
      <c r="E1184" s="200"/>
      <c r="F1184" s="200"/>
    </row>
    <row r="1185" spans="1:6" x14ac:dyDescent="0.3">
      <c r="A1185" s="117"/>
      <c r="B1185" s="117"/>
      <c r="C1185" s="117"/>
      <c r="D1185" s="117"/>
      <c r="E1185" s="200"/>
      <c r="F1185" s="200"/>
    </row>
    <row r="1186" spans="1:6" x14ac:dyDescent="0.3">
      <c r="A1186" s="117"/>
      <c r="B1186" s="117"/>
      <c r="C1186" s="117"/>
      <c r="D1186" s="117"/>
      <c r="E1186" s="200"/>
      <c r="F1186" s="200"/>
    </row>
    <row r="1187" spans="1:6" x14ac:dyDescent="0.3">
      <c r="A1187" s="117"/>
      <c r="B1187" s="117"/>
      <c r="C1187" s="117"/>
      <c r="D1187" s="117"/>
      <c r="E1187" s="200"/>
      <c r="F1187" s="200"/>
    </row>
    <row r="1188" spans="1:6" x14ac:dyDescent="0.3">
      <c r="A1188" s="117"/>
      <c r="B1188" s="117"/>
      <c r="C1188" s="117"/>
      <c r="D1188" s="117"/>
      <c r="E1188" s="200"/>
      <c r="F1188" s="200"/>
    </row>
    <row r="1189" spans="1:6" x14ac:dyDescent="0.3">
      <c r="A1189" s="117"/>
      <c r="B1189" s="117"/>
      <c r="C1189" s="117"/>
      <c r="D1189" s="117"/>
      <c r="E1189" s="200"/>
      <c r="F1189" s="200"/>
    </row>
    <row r="1190" spans="1:6" x14ac:dyDescent="0.3">
      <c r="A1190" s="117"/>
      <c r="B1190" s="117"/>
      <c r="C1190" s="117"/>
      <c r="D1190" s="117"/>
      <c r="E1190" s="200"/>
      <c r="F1190" s="200"/>
    </row>
    <row r="1191" spans="1:6" x14ac:dyDescent="0.3">
      <c r="A1191" s="117"/>
      <c r="B1191" s="117"/>
      <c r="C1191" s="117"/>
      <c r="D1191" s="117"/>
      <c r="E1191" s="200"/>
      <c r="F1191" s="200"/>
    </row>
    <row r="1192" spans="1:6" x14ac:dyDescent="0.3">
      <c r="A1192" s="117"/>
      <c r="B1192" s="117"/>
      <c r="C1192" s="117"/>
      <c r="D1192" s="117"/>
      <c r="E1192" s="200"/>
      <c r="F1192" s="200"/>
    </row>
    <row r="1193" spans="1:6" x14ac:dyDescent="0.3">
      <c r="A1193" s="117"/>
      <c r="B1193" s="117"/>
      <c r="C1193" s="117"/>
      <c r="D1193" s="117"/>
      <c r="E1193" s="200"/>
      <c r="F1193" s="200"/>
    </row>
    <row r="1194" spans="1:6" x14ac:dyDescent="0.3">
      <c r="A1194" s="117"/>
      <c r="B1194" s="117"/>
      <c r="C1194" s="117"/>
      <c r="D1194" s="117"/>
      <c r="E1194" s="200"/>
      <c r="F1194" s="200"/>
    </row>
    <row r="1195" spans="1:6" x14ac:dyDescent="0.3">
      <c r="A1195" s="117"/>
      <c r="B1195" s="117"/>
      <c r="C1195" s="117"/>
      <c r="D1195" s="117"/>
      <c r="E1195" s="200"/>
      <c r="F1195" s="200"/>
    </row>
    <row r="1196" spans="1:6" x14ac:dyDescent="0.3">
      <c r="A1196" s="117"/>
      <c r="B1196" s="117"/>
      <c r="C1196" s="117"/>
      <c r="D1196" s="117"/>
      <c r="E1196" s="200"/>
      <c r="F1196" s="200"/>
    </row>
    <row r="1197" spans="1:6" x14ac:dyDescent="0.3">
      <c r="A1197" s="117"/>
      <c r="B1197" s="117"/>
      <c r="C1197" s="117"/>
      <c r="D1197" s="117"/>
      <c r="E1197" s="200"/>
      <c r="F1197" s="200"/>
    </row>
    <row r="1198" spans="1:6" x14ac:dyDescent="0.3">
      <c r="A1198" s="117"/>
      <c r="B1198" s="117"/>
      <c r="C1198" s="117"/>
      <c r="D1198" s="117"/>
      <c r="E1198" s="200"/>
      <c r="F1198" s="200"/>
    </row>
    <row r="1199" spans="1:6" x14ac:dyDescent="0.3">
      <c r="A1199" s="117"/>
      <c r="B1199" s="117"/>
      <c r="C1199" s="117"/>
      <c r="D1199" s="117"/>
      <c r="E1199" s="200"/>
      <c r="F1199" s="200"/>
    </row>
    <row r="1200" spans="1:6" x14ac:dyDescent="0.3">
      <c r="A1200" s="117"/>
      <c r="B1200" s="117"/>
      <c r="C1200" s="117"/>
      <c r="D1200" s="117"/>
      <c r="E1200" s="200"/>
      <c r="F1200" s="200"/>
    </row>
    <row r="1201" spans="1:6" x14ac:dyDescent="0.3">
      <c r="A1201" s="117"/>
      <c r="B1201" s="117"/>
      <c r="C1201" s="117"/>
      <c r="D1201" s="117"/>
      <c r="E1201" s="200"/>
      <c r="F1201" s="200"/>
    </row>
    <row r="1202" spans="1:6" x14ac:dyDescent="0.3">
      <c r="A1202" s="117"/>
      <c r="B1202" s="117"/>
      <c r="C1202" s="117"/>
      <c r="D1202" s="117"/>
      <c r="E1202" s="200"/>
      <c r="F1202" s="200"/>
    </row>
    <row r="1203" spans="1:6" x14ac:dyDescent="0.3">
      <c r="A1203" s="117"/>
      <c r="B1203" s="117"/>
      <c r="C1203" s="117"/>
      <c r="D1203" s="117"/>
      <c r="E1203" s="200"/>
      <c r="F1203" s="200"/>
    </row>
    <row r="1204" spans="1:6" x14ac:dyDescent="0.3">
      <c r="A1204" s="117"/>
      <c r="B1204" s="117"/>
      <c r="C1204" s="117"/>
      <c r="D1204" s="117"/>
      <c r="E1204" s="200"/>
      <c r="F1204" s="200"/>
    </row>
    <row r="1205" spans="1:6" x14ac:dyDescent="0.3">
      <c r="A1205" s="117"/>
      <c r="B1205" s="117"/>
      <c r="C1205" s="117"/>
      <c r="D1205" s="117"/>
      <c r="E1205" s="200"/>
      <c r="F1205" s="200"/>
    </row>
    <row r="1206" spans="1:6" x14ac:dyDescent="0.3">
      <c r="A1206" s="117"/>
      <c r="B1206" s="117"/>
      <c r="C1206" s="117"/>
      <c r="D1206" s="117"/>
      <c r="E1206" s="200"/>
      <c r="F1206" s="200"/>
    </row>
    <row r="1207" spans="1:6" x14ac:dyDescent="0.3">
      <c r="A1207" s="117"/>
      <c r="B1207" s="117"/>
      <c r="C1207" s="117"/>
      <c r="D1207" s="117"/>
      <c r="E1207" s="200"/>
      <c r="F1207" s="200"/>
    </row>
    <row r="1208" spans="1:6" x14ac:dyDescent="0.3">
      <c r="A1208" s="117"/>
      <c r="B1208" s="117"/>
      <c r="C1208" s="117"/>
      <c r="D1208" s="117"/>
      <c r="E1208" s="200"/>
      <c r="F1208" s="200"/>
    </row>
    <row r="1209" spans="1:6" x14ac:dyDescent="0.3">
      <c r="A1209" s="117"/>
      <c r="B1209" s="117"/>
      <c r="C1209" s="117"/>
      <c r="D1209" s="117"/>
      <c r="E1209" s="200"/>
      <c r="F1209" s="200"/>
    </row>
    <row r="1210" spans="1:6" x14ac:dyDescent="0.3">
      <c r="A1210" s="117"/>
      <c r="B1210" s="117"/>
      <c r="C1210" s="117"/>
      <c r="D1210" s="117"/>
      <c r="E1210" s="200"/>
      <c r="F1210" s="200"/>
    </row>
    <row r="1211" spans="1:6" x14ac:dyDescent="0.3">
      <c r="A1211" s="117"/>
      <c r="B1211" s="117"/>
      <c r="C1211" s="117"/>
      <c r="D1211" s="117"/>
      <c r="E1211" s="200"/>
      <c r="F1211" s="200"/>
    </row>
    <row r="1212" spans="1:6" x14ac:dyDescent="0.3">
      <c r="A1212" s="117"/>
      <c r="B1212" s="117"/>
      <c r="C1212" s="117"/>
      <c r="D1212" s="117"/>
      <c r="E1212" s="200"/>
      <c r="F1212" s="200"/>
    </row>
    <row r="1213" spans="1:6" x14ac:dyDescent="0.3">
      <c r="A1213" s="117"/>
      <c r="B1213" s="117"/>
      <c r="C1213" s="117"/>
      <c r="D1213" s="117"/>
      <c r="E1213" s="200"/>
      <c r="F1213" s="200"/>
    </row>
    <row r="1214" spans="1:6" x14ac:dyDescent="0.3">
      <c r="A1214" s="117"/>
      <c r="B1214" s="117"/>
      <c r="C1214" s="117"/>
      <c r="D1214" s="117"/>
      <c r="E1214" s="200"/>
      <c r="F1214" s="200"/>
    </row>
    <row r="1215" spans="1:6" x14ac:dyDescent="0.3">
      <c r="A1215" s="117"/>
      <c r="B1215" s="117"/>
      <c r="C1215" s="117"/>
      <c r="D1215" s="117"/>
      <c r="E1215" s="200"/>
      <c r="F1215" s="200"/>
    </row>
    <row r="1216" spans="1:6" x14ac:dyDescent="0.3">
      <c r="A1216" s="117"/>
      <c r="B1216" s="117"/>
      <c r="C1216" s="117"/>
      <c r="D1216" s="117"/>
      <c r="E1216" s="200"/>
      <c r="F1216" s="200"/>
    </row>
    <row r="1217" spans="1:6" x14ac:dyDescent="0.3">
      <c r="A1217" s="117"/>
      <c r="B1217" s="117"/>
      <c r="C1217" s="117"/>
      <c r="D1217" s="117"/>
      <c r="E1217" s="200"/>
      <c r="F1217" s="200"/>
    </row>
    <row r="1218" spans="1:6" x14ac:dyDescent="0.3">
      <c r="A1218" s="117"/>
      <c r="B1218" s="117"/>
      <c r="C1218" s="117"/>
      <c r="D1218" s="117"/>
      <c r="E1218" s="200"/>
      <c r="F1218" s="200"/>
    </row>
    <row r="1219" spans="1:6" x14ac:dyDescent="0.3">
      <c r="A1219" s="117"/>
      <c r="B1219" s="117"/>
      <c r="C1219" s="117"/>
      <c r="D1219" s="117"/>
      <c r="E1219" s="200"/>
      <c r="F1219" s="200"/>
    </row>
    <row r="1220" spans="1:6" x14ac:dyDescent="0.3">
      <c r="A1220" s="117"/>
      <c r="B1220" s="117"/>
      <c r="C1220" s="117"/>
      <c r="D1220" s="117"/>
      <c r="E1220" s="200"/>
      <c r="F1220" s="200"/>
    </row>
    <row r="1221" spans="1:6" x14ac:dyDescent="0.3">
      <c r="A1221" s="117"/>
      <c r="B1221" s="117"/>
      <c r="C1221" s="117"/>
      <c r="D1221" s="117"/>
      <c r="E1221" s="200"/>
      <c r="F1221" s="200"/>
    </row>
    <row r="1222" spans="1:6" x14ac:dyDescent="0.3">
      <c r="A1222" s="117"/>
      <c r="B1222" s="117"/>
      <c r="C1222" s="117"/>
      <c r="D1222" s="117"/>
      <c r="E1222" s="200"/>
      <c r="F1222" s="200"/>
    </row>
    <row r="1223" spans="1:6" x14ac:dyDescent="0.3">
      <c r="A1223" s="117"/>
      <c r="B1223" s="117"/>
      <c r="C1223" s="117"/>
      <c r="D1223" s="117"/>
      <c r="E1223" s="200"/>
      <c r="F1223" s="200"/>
    </row>
    <row r="1224" spans="1:6" x14ac:dyDescent="0.3">
      <c r="A1224" s="117"/>
      <c r="B1224" s="117"/>
      <c r="C1224" s="117"/>
      <c r="D1224" s="117"/>
      <c r="E1224" s="200"/>
      <c r="F1224" s="200"/>
    </row>
    <row r="1225" spans="1:6" x14ac:dyDescent="0.3">
      <c r="A1225" s="117"/>
      <c r="B1225" s="117"/>
      <c r="C1225" s="117"/>
      <c r="D1225" s="117"/>
      <c r="E1225" s="200"/>
      <c r="F1225" s="200"/>
    </row>
    <row r="1226" spans="1:6" x14ac:dyDescent="0.3">
      <c r="A1226" s="117"/>
      <c r="B1226" s="117"/>
      <c r="C1226" s="117"/>
      <c r="D1226" s="117"/>
      <c r="E1226" s="200"/>
      <c r="F1226" s="200"/>
    </row>
    <row r="1227" spans="1:6" x14ac:dyDescent="0.3">
      <c r="A1227" s="117"/>
      <c r="B1227" s="117"/>
      <c r="C1227" s="117"/>
      <c r="D1227" s="117"/>
      <c r="E1227" s="200"/>
      <c r="F1227" s="200"/>
    </row>
    <row r="1228" spans="1:6" x14ac:dyDescent="0.3">
      <c r="A1228" s="117"/>
      <c r="B1228" s="117"/>
      <c r="C1228" s="117"/>
      <c r="D1228" s="117"/>
      <c r="E1228" s="200"/>
      <c r="F1228" s="200"/>
    </row>
    <row r="1229" spans="1:6" x14ac:dyDescent="0.3">
      <c r="A1229" s="117"/>
      <c r="B1229" s="117"/>
      <c r="C1229" s="117"/>
      <c r="D1229" s="117"/>
      <c r="E1229" s="200"/>
      <c r="F1229" s="200"/>
    </row>
    <row r="1230" spans="1:6" x14ac:dyDescent="0.3">
      <c r="A1230" s="117"/>
      <c r="B1230" s="117"/>
      <c r="C1230" s="117"/>
      <c r="D1230" s="117"/>
      <c r="E1230" s="200"/>
      <c r="F1230" s="200"/>
    </row>
    <row r="1231" spans="1:6" x14ac:dyDescent="0.3">
      <c r="A1231" s="117"/>
      <c r="B1231" s="117"/>
      <c r="C1231" s="117"/>
      <c r="D1231" s="117"/>
      <c r="E1231" s="200"/>
      <c r="F1231" s="200"/>
    </row>
    <row r="1232" spans="1:6" x14ac:dyDescent="0.3">
      <c r="A1232" s="117"/>
      <c r="B1232" s="117"/>
      <c r="C1232" s="117"/>
      <c r="D1232" s="117"/>
      <c r="E1232" s="200"/>
      <c r="F1232" s="200"/>
    </row>
    <row r="1233" spans="1:6" x14ac:dyDescent="0.3">
      <c r="A1233" s="117"/>
      <c r="B1233" s="117"/>
      <c r="C1233" s="117"/>
      <c r="D1233" s="117"/>
      <c r="E1233" s="200"/>
      <c r="F1233" s="200"/>
    </row>
    <row r="1234" spans="1:6" x14ac:dyDescent="0.3">
      <c r="A1234" s="117"/>
      <c r="B1234" s="117"/>
      <c r="C1234" s="117"/>
      <c r="D1234" s="117"/>
      <c r="E1234" s="200"/>
      <c r="F1234" s="200"/>
    </row>
    <row r="1235" spans="1:6" x14ac:dyDescent="0.3">
      <c r="A1235" s="117"/>
      <c r="B1235" s="117"/>
      <c r="C1235" s="117"/>
      <c r="D1235" s="117"/>
      <c r="E1235" s="200"/>
      <c r="F1235" s="200"/>
    </row>
    <row r="1236" spans="1:6" x14ac:dyDescent="0.3">
      <c r="A1236" s="117"/>
      <c r="B1236" s="117"/>
      <c r="C1236" s="117"/>
      <c r="D1236" s="117"/>
      <c r="E1236" s="200"/>
      <c r="F1236" s="200"/>
    </row>
    <row r="1237" spans="1:6" x14ac:dyDescent="0.3">
      <c r="A1237" s="117"/>
      <c r="B1237" s="117"/>
      <c r="C1237" s="117"/>
      <c r="D1237" s="117"/>
      <c r="E1237" s="200"/>
      <c r="F1237" s="200"/>
    </row>
    <row r="1238" spans="1:6" x14ac:dyDescent="0.3">
      <c r="A1238" s="117"/>
      <c r="B1238" s="117"/>
      <c r="C1238" s="117"/>
      <c r="D1238" s="117"/>
      <c r="E1238" s="200"/>
      <c r="F1238" s="200"/>
    </row>
    <row r="1239" spans="1:6" x14ac:dyDescent="0.3">
      <c r="A1239" s="117"/>
      <c r="B1239" s="117"/>
      <c r="C1239" s="117"/>
      <c r="D1239" s="117"/>
      <c r="E1239" s="200"/>
      <c r="F1239" s="200"/>
    </row>
    <row r="1240" spans="1:6" x14ac:dyDescent="0.3">
      <c r="A1240" s="117"/>
      <c r="B1240" s="117"/>
      <c r="C1240" s="117"/>
      <c r="D1240" s="117"/>
      <c r="E1240" s="200"/>
      <c r="F1240" s="200"/>
    </row>
    <row r="1241" spans="1:6" x14ac:dyDescent="0.3">
      <c r="A1241" s="117"/>
      <c r="B1241" s="117"/>
      <c r="C1241" s="117"/>
      <c r="D1241" s="117"/>
      <c r="E1241" s="200"/>
      <c r="F1241" s="200"/>
    </row>
    <row r="1242" spans="1:6" x14ac:dyDescent="0.3">
      <c r="A1242" s="117"/>
      <c r="B1242" s="117"/>
      <c r="C1242" s="117"/>
      <c r="D1242" s="117"/>
      <c r="E1242" s="200"/>
      <c r="F1242" s="200"/>
    </row>
    <row r="1243" spans="1:6" x14ac:dyDescent="0.3">
      <c r="A1243" s="117"/>
      <c r="B1243" s="117"/>
      <c r="C1243" s="117"/>
      <c r="D1243" s="117"/>
      <c r="E1243" s="200"/>
      <c r="F1243" s="200"/>
    </row>
    <row r="1244" spans="1:6" x14ac:dyDescent="0.3">
      <c r="A1244" s="117"/>
      <c r="B1244" s="117"/>
      <c r="C1244" s="117"/>
      <c r="D1244" s="117"/>
      <c r="E1244" s="200"/>
      <c r="F1244" s="200"/>
    </row>
    <row r="1245" spans="1:6" x14ac:dyDescent="0.3">
      <c r="A1245" s="117"/>
      <c r="B1245" s="117"/>
      <c r="C1245" s="117"/>
      <c r="D1245" s="117"/>
      <c r="E1245" s="200"/>
      <c r="F1245" s="200"/>
    </row>
    <row r="1246" spans="1:6" x14ac:dyDescent="0.3">
      <c r="A1246" s="117"/>
      <c r="B1246" s="117"/>
      <c r="C1246" s="117"/>
      <c r="D1246" s="117"/>
      <c r="E1246" s="200"/>
      <c r="F1246" s="200"/>
    </row>
    <row r="1247" spans="1:6" x14ac:dyDescent="0.3">
      <c r="A1247" s="117"/>
      <c r="B1247" s="117"/>
      <c r="C1247" s="117"/>
      <c r="D1247" s="117"/>
      <c r="E1247" s="200"/>
      <c r="F1247" s="200"/>
    </row>
    <row r="1248" spans="1:6" x14ac:dyDescent="0.3">
      <c r="A1248" s="117"/>
      <c r="B1248" s="117"/>
      <c r="C1248" s="117"/>
      <c r="D1248" s="117"/>
      <c r="E1248" s="200"/>
      <c r="F1248" s="200"/>
    </row>
    <row r="1249" spans="1:6" x14ac:dyDescent="0.3">
      <c r="A1249" s="117"/>
      <c r="B1249" s="117"/>
      <c r="C1249" s="117"/>
      <c r="D1249" s="117"/>
      <c r="E1249" s="200"/>
      <c r="F1249" s="200"/>
    </row>
    <row r="1250" spans="1:6" x14ac:dyDescent="0.3">
      <c r="A1250" s="117"/>
      <c r="B1250" s="117"/>
      <c r="C1250" s="117"/>
      <c r="D1250" s="117"/>
      <c r="E1250" s="200"/>
      <c r="F1250" s="200"/>
    </row>
    <row r="1251" spans="1:6" x14ac:dyDescent="0.3">
      <c r="A1251" s="117"/>
      <c r="B1251" s="117"/>
      <c r="C1251" s="117"/>
      <c r="D1251" s="117"/>
      <c r="E1251" s="200"/>
      <c r="F1251" s="200"/>
    </row>
    <row r="1252" spans="1:6" x14ac:dyDescent="0.3">
      <c r="A1252" s="117"/>
      <c r="B1252" s="117"/>
      <c r="C1252" s="117"/>
      <c r="D1252" s="117"/>
      <c r="E1252" s="200"/>
      <c r="F1252" s="200"/>
    </row>
    <row r="1253" spans="1:6" x14ac:dyDescent="0.3">
      <c r="A1253" s="117"/>
      <c r="B1253" s="117"/>
      <c r="C1253" s="117"/>
      <c r="D1253" s="117"/>
      <c r="E1253" s="200"/>
      <c r="F1253" s="200"/>
    </row>
    <row r="1254" spans="1:6" x14ac:dyDescent="0.3">
      <c r="A1254" s="117"/>
      <c r="B1254" s="117"/>
      <c r="C1254" s="117"/>
      <c r="D1254" s="117"/>
      <c r="E1254" s="200"/>
      <c r="F1254" s="200"/>
    </row>
    <row r="1255" spans="1:6" x14ac:dyDescent="0.3">
      <c r="A1255" s="117"/>
      <c r="B1255" s="117"/>
      <c r="C1255" s="117"/>
      <c r="D1255" s="117"/>
      <c r="E1255" s="200"/>
      <c r="F1255" s="200"/>
    </row>
    <row r="1256" spans="1:6" x14ac:dyDescent="0.3">
      <c r="A1256" s="117"/>
      <c r="B1256" s="117"/>
      <c r="C1256" s="117"/>
      <c r="D1256" s="117"/>
      <c r="E1256" s="200"/>
      <c r="F1256" s="200"/>
    </row>
    <row r="1257" spans="1:6" x14ac:dyDescent="0.3">
      <c r="A1257" s="117"/>
      <c r="B1257" s="117"/>
      <c r="C1257" s="117"/>
      <c r="D1257" s="117"/>
      <c r="E1257" s="200"/>
      <c r="F1257" s="200"/>
    </row>
    <row r="1258" spans="1:6" x14ac:dyDescent="0.3">
      <c r="A1258" s="117"/>
      <c r="B1258" s="117"/>
      <c r="C1258" s="117"/>
      <c r="D1258" s="117"/>
      <c r="E1258" s="200"/>
      <c r="F1258" s="200"/>
    </row>
    <row r="1259" spans="1:6" x14ac:dyDescent="0.3">
      <c r="A1259" s="117"/>
      <c r="B1259" s="117"/>
      <c r="C1259" s="117"/>
      <c r="D1259" s="117"/>
      <c r="E1259" s="200"/>
      <c r="F1259" s="200"/>
    </row>
    <row r="1260" spans="1:6" x14ac:dyDescent="0.3">
      <c r="A1260" s="117"/>
      <c r="B1260" s="117"/>
      <c r="C1260" s="117"/>
      <c r="D1260" s="117"/>
      <c r="E1260" s="200"/>
      <c r="F1260" s="200"/>
    </row>
    <row r="1261" spans="1:6" x14ac:dyDescent="0.3">
      <c r="A1261" s="117"/>
      <c r="B1261" s="117"/>
      <c r="C1261" s="117"/>
      <c r="D1261" s="117"/>
      <c r="E1261" s="200"/>
      <c r="F1261" s="200"/>
    </row>
    <row r="1262" spans="1:6" x14ac:dyDescent="0.3">
      <c r="A1262" s="117"/>
      <c r="B1262" s="117"/>
      <c r="C1262" s="117"/>
      <c r="D1262" s="117"/>
      <c r="E1262" s="200"/>
      <c r="F1262" s="200"/>
    </row>
    <row r="1263" spans="1:6" x14ac:dyDescent="0.3">
      <c r="A1263" s="117"/>
      <c r="B1263" s="117"/>
      <c r="C1263" s="117"/>
      <c r="D1263" s="117"/>
      <c r="E1263" s="200"/>
      <c r="F1263" s="200"/>
    </row>
    <row r="1264" spans="1:6" x14ac:dyDescent="0.3">
      <c r="A1264" s="117"/>
      <c r="B1264" s="117"/>
      <c r="C1264" s="117"/>
      <c r="D1264" s="117"/>
      <c r="E1264" s="200"/>
      <c r="F1264" s="200"/>
    </row>
    <row r="1265" spans="1:6" x14ac:dyDescent="0.3">
      <c r="A1265" s="117"/>
      <c r="B1265" s="117"/>
      <c r="C1265" s="117"/>
      <c r="D1265" s="117"/>
      <c r="E1265" s="200"/>
      <c r="F1265" s="200"/>
    </row>
    <row r="1266" spans="1:6" x14ac:dyDescent="0.3">
      <c r="A1266" s="117"/>
      <c r="B1266" s="117"/>
      <c r="C1266" s="117"/>
      <c r="D1266" s="117"/>
      <c r="E1266" s="200"/>
      <c r="F1266" s="200"/>
    </row>
    <row r="1267" spans="1:6" x14ac:dyDescent="0.3">
      <c r="A1267" s="117"/>
      <c r="B1267" s="117"/>
      <c r="C1267" s="117"/>
      <c r="D1267" s="117"/>
      <c r="E1267" s="200"/>
      <c r="F1267" s="200"/>
    </row>
    <row r="1268" spans="1:6" x14ac:dyDescent="0.3">
      <c r="A1268" s="117"/>
      <c r="B1268" s="117"/>
      <c r="C1268" s="117"/>
      <c r="D1268" s="117"/>
      <c r="E1268" s="200"/>
      <c r="F1268" s="200"/>
    </row>
    <row r="1269" spans="1:6" x14ac:dyDescent="0.3">
      <c r="A1269" s="117"/>
      <c r="B1269" s="117"/>
      <c r="C1269" s="117"/>
      <c r="D1269" s="117"/>
      <c r="E1269" s="200"/>
      <c r="F1269" s="200"/>
    </row>
    <row r="1270" spans="1:6" x14ac:dyDescent="0.3">
      <c r="A1270" s="117"/>
      <c r="B1270" s="117"/>
      <c r="C1270" s="117"/>
      <c r="D1270" s="117"/>
      <c r="E1270" s="200"/>
      <c r="F1270" s="200"/>
    </row>
    <row r="1271" spans="1:6" x14ac:dyDescent="0.3">
      <c r="A1271" s="117"/>
      <c r="B1271" s="117"/>
      <c r="C1271" s="117"/>
      <c r="D1271" s="117"/>
      <c r="E1271" s="200"/>
      <c r="F1271" s="200"/>
    </row>
    <row r="1272" spans="1:6" x14ac:dyDescent="0.3">
      <c r="A1272" s="117"/>
      <c r="B1272" s="117"/>
      <c r="C1272" s="117"/>
      <c r="D1272" s="117"/>
      <c r="E1272" s="200"/>
      <c r="F1272" s="200"/>
    </row>
    <row r="1273" spans="1:6" x14ac:dyDescent="0.3">
      <c r="A1273" s="117"/>
      <c r="B1273" s="117"/>
      <c r="C1273" s="117"/>
      <c r="D1273" s="117"/>
      <c r="E1273" s="200"/>
      <c r="F1273" s="200"/>
    </row>
    <row r="1274" spans="1:6" x14ac:dyDescent="0.3">
      <c r="A1274" s="117"/>
      <c r="B1274" s="117"/>
      <c r="C1274" s="117"/>
      <c r="D1274" s="117"/>
      <c r="E1274" s="200"/>
      <c r="F1274" s="200"/>
    </row>
    <row r="1275" spans="1:6" x14ac:dyDescent="0.3">
      <c r="A1275" s="117"/>
      <c r="B1275" s="117"/>
      <c r="C1275" s="117"/>
      <c r="D1275" s="117"/>
      <c r="E1275" s="200"/>
      <c r="F1275" s="200"/>
    </row>
    <row r="1276" spans="1:6" x14ac:dyDescent="0.3">
      <c r="A1276" s="117"/>
      <c r="B1276" s="117"/>
      <c r="C1276" s="117"/>
      <c r="D1276" s="117"/>
      <c r="E1276" s="200"/>
      <c r="F1276" s="200"/>
    </row>
    <row r="1277" spans="1:6" x14ac:dyDescent="0.3">
      <c r="A1277" s="117"/>
      <c r="B1277" s="117"/>
      <c r="C1277" s="117"/>
      <c r="D1277" s="117"/>
      <c r="E1277" s="200"/>
      <c r="F1277" s="200"/>
    </row>
    <row r="1278" spans="1:6" x14ac:dyDescent="0.3">
      <c r="A1278" s="117"/>
      <c r="B1278" s="117"/>
      <c r="C1278" s="117"/>
      <c r="D1278" s="117"/>
      <c r="E1278" s="200"/>
      <c r="F1278" s="200"/>
    </row>
    <row r="1279" spans="1:6" x14ac:dyDescent="0.3">
      <c r="A1279" s="117"/>
      <c r="B1279" s="117"/>
      <c r="C1279" s="117"/>
      <c r="D1279" s="117"/>
      <c r="E1279" s="200"/>
      <c r="F1279" s="200"/>
    </row>
    <row r="1280" spans="1:6" x14ac:dyDescent="0.3">
      <c r="A1280" s="117"/>
      <c r="B1280" s="117"/>
      <c r="C1280" s="117"/>
      <c r="D1280" s="117"/>
      <c r="E1280" s="200"/>
      <c r="F1280" s="200"/>
    </row>
    <row r="1281" spans="1:6" x14ac:dyDescent="0.3">
      <c r="A1281" s="117"/>
      <c r="B1281" s="117"/>
      <c r="C1281" s="117"/>
      <c r="D1281" s="117"/>
      <c r="E1281" s="200"/>
      <c r="F1281" s="200"/>
    </row>
    <row r="1282" spans="1:6" x14ac:dyDescent="0.3">
      <c r="A1282" s="117"/>
      <c r="B1282" s="117"/>
      <c r="C1282" s="117"/>
      <c r="D1282" s="117"/>
      <c r="E1282" s="200"/>
      <c r="F1282" s="200"/>
    </row>
    <row r="1283" spans="1:6" x14ac:dyDescent="0.3">
      <c r="A1283" s="117"/>
      <c r="B1283" s="117"/>
      <c r="C1283" s="117"/>
      <c r="D1283" s="117"/>
      <c r="E1283" s="200"/>
      <c r="F1283" s="200"/>
    </row>
    <row r="1284" spans="1:6" x14ac:dyDescent="0.3">
      <c r="A1284" s="117"/>
      <c r="B1284" s="117"/>
      <c r="C1284" s="117"/>
      <c r="D1284" s="117"/>
      <c r="E1284" s="200"/>
      <c r="F1284" s="200"/>
    </row>
    <row r="1285" spans="1:6" x14ac:dyDescent="0.3">
      <c r="A1285" s="117"/>
      <c r="B1285" s="117"/>
      <c r="C1285" s="117"/>
      <c r="D1285" s="117"/>
      <c r="E1285" s="200"/>
      <c r="F1285" s="200"/>
    </row>
    <row r="1286" spans="1:6" x14ac:dyDescent="0.3">
      <c r="A1286" s="117"/>
      <c r="B1286" s="117"/>
      <c r="C1286" s="117"/>
      <c r="D1286" s="117"/>
      <c r="E1286" s="200"/>
      <c r="F1286" s="200"/>
    </row>
    <row r="1287" spans="1:6" x14ac:dyDescent="0.3">
      <c r="A1287" s="117"/>
      <c r="B1287" s="117"/>
      <c r="C1287" s="117"/>
      <c r="D1287" s="117"/>
      <c r="E1287" s="200"/>
      <c r="F1287" s="200"/>
    </row>
    <row r="1288" spans="1:6" x14ac:dyDescent="0.3">
      <c r="A1288" s="117"/>
      <c r="B1288" s="117"/>
      <c r="C1288" s="117"/>
      <c r="D1288" s="117"/>
      <c r="E1288" s="200"/>
      <c r="F1288" s="200"/>
    </row>
    <row r="1289" spans="1:6" x14ac:dyDescent="0.3">
      <c r="A1289" s="117"/>
      <c r="B1289" s="117"/>
      <c r="C1289" s="117"/>
      <c r="D1289" s="117"/>
      <c r="E1289" s="200"/>
      <c r="F1289" s="200"/>
    </row>
    <row r="1290" spans="1:6" x14ac:dyDescent="0.3">
      <c r="A1290" s="117"/>
      <c r="B1290" s="117"/>
      <c r="C1290" s="117"/>
      <c r="D1290" s="117"/>
      <c r="E1290" s="200"/>
      <c r="F1290" s="200"/>
    </row>
    <row r="1291" spans="1:6" x14ac:dyDescent="0.3">
      <c r="A1291" s="117"/>
      <c r="B1291" s="117"/>
      <c r="C1291" s="117"/>
      <c r="D1291" s="117"/>
      <c r="E1291" s="200"/>
      <c r="F1291" s="200"/>
    </row>
    <row r="1292" spans="1:6" x14ac:dyDescent="0.3">
      <c r="A1292" s="117"/>
      <c r="B1292" s="117"/>
      <c r="C1292" s="117"/>
      <c r="D1292" s="117"/>
      <c r="E1292" s="200"/>
      <c r="F1292" s="200"/>
    </row>
    <row r="1293" spans="1:6" x14ac:dyDescent="0.3">
      <c r="A1293" s="117"/>
      <c r="B1293" s="117"/>
      <c r="C1293" s="117"/>
      <c r="D1293" s="117"/>
      <c r="E1293" s="200"/>
      <c r="F1293" s="200"/>
    </row>
    <row r="1294" spans="1:6" x14ac:dyDescent="0.3">
      <c r="A1294" s="117"/>
      <c r="B1294" s="117"/>
      <c r="C1294" s="117"/>
      <c r="D1294" s="117"/>
      <c r="E1294" s="200"/>
      <c r="F1294" s="200"/>
    </row>
    <row r="1295" spans="1:6" x14ac:dyDescent="0.3">
      <c r="A1295" s="117"/>
      <c r="B1295" s="117"/>
      <c r="C1295" s="117"/>
      <c r="D1295" s="117"/>
      <c r="E1295" s="200"/>
      <c r="F1295" s="200"/>
    </row>
    <row r="1296" spans="1:6" x14ac:dyDescent="0.3">
      <c r="A1296" s="117"/>
      <c r="B1296" s="117"/>
      <c r="C1296" s="117"/>
      <c r="D1296" s="117"/>
      <c r="E1296" s="200"/>
      <c r="F1296" s="200"/>
    </row>
    <row r="1297" spans="1:6" x14ac:dyDescent="0.3">
      <c r="A1297" s="117"/>
      <c r="B1297" s="117"/>
      <c r="C1297" s="117"/>
      <c r="D1297" s="117"/>
      <c r="E1297" s="200"/>
      <c r="F1297" s="200"/>
    </row>
    <row r="1298" spans="1:6" x14ac:dyDescent="0.3">
      <c r="A1298" s="117"/>
      <c r="B1298" s="117"/>
      <c r="C1298" s="117"/>
      <c r="D1298" s="117"/>
      <c r="E1298" s="200"/>
      <c r="F1298" s="200"/>
    </row>
    <row r="1299" spans="1:6" x14ac:dyDescent="0.3">
      <c r="A1299" s="117"/>
      <c r="B1299" s="117"/>
      <c r="C1299" s="117"/>
      <c r="D1299" s="117"/>
      <c r="E1299" s="200"/>
      <c r="F1299" s="200"/>
    </row>
    <row r="1300" spans="1:6" x14ac:dyDescent="0.3">
      <c r="A1300" s="117"/>
      <c r="B1300" s="117"/>
      <c r="C1300" s="117"/>
      <c r="D1300" s="117"/>
      <c r="E1300" s="200"/>
      <c r="F1300" s="200"/>
    </row>
    <row r="1301" spans="1:6" x14ac:dyDescent="0.3">
      <c r="A1301" s="117"/>
      <c r="B1301" s="117"/>
      <c r="C1301" s="117"/>
      <c r="D1301" s="117"/>
      <c r="E1301" s="200"/>
      <c r="F1301" s="200"/>
    </row>
    <row r="1302" spans="1:6" x14ac:dyDescent="0.3">
      <c r="A1302" s="117"/>
      <c r="B1302" s="117"/>
      <c r="C1302" s="117"/>
      <c r="D1302" s="117"/>
      <c r="E1302" s="200"/>
      <c r="F1302" s="200"/>
    </row>
    <row r="1303" spans="1:6" x14ac:dyDescent="0.3">
      <c r="A1303" s="117"/>
      <c r="B1303" s="117"/>
      <c r="C1303" s="117"/>
      <c r="D1303" s="117"/>
      <c r="E1303" s="200"/>
      <c r="F1303" s="200"/>
    </row>
    <row r="1304" spans="1:6" x14ac:dyDescent="0.3">
      <c r="A1304" s="117"/>
      <c r="B1304" s="117"/>
      <c r="C1304" s="117"/>
      <c r="D1304" s="117"/>
      <c r="E1304" s="200"/>
      <c r="F1304" s="200"/>
    </row>
    <row r="1305" spans="1:6" x14ac:dyDescent="0.3">
      <c r="A1305" s="117"/>
      <c r="B1305" s="117"/>
      <c r="C1305" s="117"/>
      <c r="D1305" s="117"/>
      <c r="E1305" s="200"/>
      <c r="F1305" s="200"/>
    </row>
    <row r="1306" spans="1:6" x14ac:dyDescent="0.3">
      <c r="A1306" s="117"/>
      <c r="B1306" s="117"/>
      <c r="C1306" s="117"/>
      <c r="D1306" s="117"/>
      <c r="E1306" s="200"/>
      <c r="F1306" s="200"/>
    </row>
    <row r="1307" spans="1:6" x14ac:dyDescent="0.3">
      <c r="A1307" s="117"/>
      <c r="B1307" s="117"/>
      <c r="C1307" s="117"/>
      <c r="D1307" s="117"/>
      <c r="E1307" s="200"/>
      <c r="F1307" s="200"/>
    </row>
    <row r="1308" spans="1:6" x14ac:dyDescent="0.3">
      <c r="A1308" s="117"/>
      <c r="B1308" s="117"/>
      <c r="C1308" s="117"/>
      <c r="D1308" s="117"/>
      <c r="E1308" s="200"/>
      <c r="F1308" s="200"/>
    </row>
    <row r="1309" spans="1:6" x14ac:dyDescent="0.3">
      <c r="A1309" s="117"/>
      <c r="B1309" s="117"/>
      <c r="C1309" s="117"/>
      <c r="D1309" s="117"/>
      <c r="E1309" s="200"/>
      <c r="F1309" s="200"/>
    </row>
    <row r="1310" spans="1:6" x14ac:dyDescent="0.3">
      <c r="A1310" s="117"/>
      <c r="B1310" s="117"/>
      <c r="C1310" s="117"/>
      <c r="D1310" s="117"/>
      <c r="E1310" s="200"/>
      <c r="F1310" s="200"/>
    </row>
    <row r="1311" spans="1:6" x14ac:dyDescent="0.3">
      <c r="A1311" s="117"/>
      <c r="B1311" s="117"/>
      <c r="C1311" s="117"/>
      <c r="D1311" s="117"/>
      <c r="E1311" s="200"/>
      <c r="F1311" s="200"/>
    </row>
    <row r="1312" spans="1:6" x14ac:dyDescent="0.3">
      <c r="A1312" s="117"/>
      <c r="B1312" s="117"/>
      <c r="C1312" s="117"/>
      <c r="D1312" s="117"/>
      <c r="E1312" s="200"/>
      <c r="F1312" s="200"/>
    </row>
    <row r="1313" spans="1:6" x14ac:dyDescent="0.3">
      <c r="A1313" s="117"/>
      <c r="B1313" s="117"/>
      <c r="C1313" s="117"/>
      <c r="D1313" s="117"/>
      <c r="E1313" s="200"/>
      <c r="F1313" s="200"/>
    </row>
    <row r="1314" spans="1:6" x14ac:dyDescent="0.3">
      <c r="A1314" s="117"/>
      <c r="B1314" s="117"/>
      <c r="C1314" s="117"/>
      <c r="D1314" s="117"/>
      <c r="E1314" s="200"/>
      <c r="F1314" s="200"/>
    </row>
    <row r="1315" spans="1:6" x14ac:dyDescent="0.3">
      <c r="A1315" s="117"/>
      <c r="B1315" s="117"/>
      <c r="C1315" s="117"/>
      <c r="D1315" s="117"/>
      <c r="E1315" s="200"/>
      <c r="F1315" s="200"/>
    </row>
    <row r="1316" spans="1:6" x14ac:dyDescent="0.3">
      <c r="A1316" s="117"/>
      <c r="B1316" s="117"/>
      <c r="C1316" s="117"/>
      <c r="D1316" s="117"/>
      <c r="E1316" s="200"/>
      <c r="F1316" s="200"/>
    </row>
    <row r="1317" spans="1:6" x14ac:dyDescent="0.3">
      <c r="A1317" s="117"/>
      <c r="B1317" s="117"/>
      <c r="C1317" s="117"/>
      <c r="D1317" s="117"/>
      <c r="E1317" s="200"/>
      <c r="F1317" s="200"/>
    </row>
    <row r="1318" spans="1:6" x14ac:dyDescent="0.3">
      <c r="A1318" s="117"/>
      <c r="B1318" s="117"/>
      <c r="C1318" s="117"/>
      <c r="D1318" s="117"/>
      <c r="E1318" s="200"/>
      <c r="F1318" s="200"/>
    </row>
    <row r="1319" spans="1:6" x14ac:dyDescent="0.3">
      <c r="A1319" s="117"/>
      <c r="B1319" s="117"/>
      <c r="C1319" s="117"/>
      <c r="D1319" s="117"/>
      <c r="E1319" s="200"/>
      <c r="F1319" s="200"/>
    </row>
    <row r="1320" spans="1:6" x14ac:dyDescent="0.3">
      <c r="A1320" s="117"/>
      <c r="B1320" s="117"/>
      <c r="C1320" s="117"/>
      <c r="D1320" s="117"/>
      <c r="E1320" s="200"/>
      <c r="F1320" s="200"/>
    </row>
    <row r="1321" spans="1:6" x14ac:dyDescent="0.3">
      <c r="A1321" s="117"/>
      <c r="B1321" s="117"/>
      <c r="C1321" s="117"/>
      <c r="D1321" s="117"/>
      <c r="E1321" s="200"/>
      <c r="F1321" s="200"/>
    </row>
    <row r="1322" spans="1:6" x14ac:dyDescent="0.3">
      <c r="A1322" s="117"/>
      <c r="B1322" s="117"/>
      <c r="C1322" s="117"/>
      <c r="D1322" s="117"/>
      <c r="E1322" s="200"/>
      <c r="F1322" s="200"/>
    </row>
    <row r="1323" spans="1:6" x14ac:dyDescent="0.3">
      <c r="A1323" s="117"/>
      <c r="B1323" s="117"/>
      <c r="C1323" s="117"/>
      <c r="D1323" s="117"/>
      <c r="E1323" s="200"/>
      <c r="F1323" s="200"/>
    </row>
    <row r="1324" spans="1:6" x14ac:dyDescent="0.3">
      <c r="A1324" s="117"/>
      <c r="B1324" s="117"/>
      <c r="C1324" s="117"/>
      <c r="D1324" s="117"/>
      <c r="E1324" s="200"/>
      <c r="F1324" s="200"/>
    </row>
    <row r="1325" spans="1:6" x14ac:dyDescent="0.3">
      <c r="A1325" s="117"/>
      <c r="B1325" s="117"/>
      <c r="C1325" s="117"/>
      <c r="D1325" s="117"/>
      <c r="E1325" s="200"/>
      <c r="F1325" s="200"/>
    </row>
    <row r="1326" spans="1:6" x14ac:dyDescent="0.3">
      <c r="A1326" s="117"/>
      <c r="B1326" s="117"/>
      <c r="C1326" s="117"/>
      <c r="D1326" s="117"/>
      <c r="E1326" s="200"/>
      <c r="F1326" s="200"/>
    </row>
    <row r="1327" spans="1:6" x14ac:dyDescent="0.3">
      <c r="A1327" s="117"/>
      <c r="B1327" s="117"/>
      <c r="C1327" s="117"/>
      <c r="D1327" s="117"/>
      <c r="E1327" s="200"/>
      <c r="F1327" s="200"/>
    </row>
    <row r="1328" spans="1:6" x14ac:dyDescent="0.3">
      <c r="A1328" s="117"/>
      <c r="B1328" s="117"/>
      <c r="C1328" s="117"/>
      <c r="D1328" s="117"/>
      <c r="E1328" s="200"/>
      <c r="F1328" s="200"/>
    </row>
    <row r="1329" spans="1:6" x14ac:dyDescent="0.3">
      <c r="A1329" s="117"/>
      <c r="B1329" s="117"/>
      <c r="C1329" s="117"/>
      <c r="D1329" s="117"/>
      <c r="E1329" s="200"/>
      <c r="F1329" s="200"/>
    </row>
    <row r="1330" spans="1:6" x14ac:dyDescent="0.3">
      <c r="A1330" s="117"/>
      <c r="B1330" s="117"/>
      <c r="C1330" s="117"/>
      <c r="D1330" s="117"/>
      <c r="E1330" s="200"/>
      <c r="F1330" s="200"/>
    </row>
    <row r="1331" spans="1:6" x14ac:dyDescent="0.3">
      <c r="A1331" s="117"/>
      <c r="B1331" s="117"/>
      <c r="C1331" s="117"/>
      <c r="D1331" s="117"/>
      <c r="E1331" s="200"/>
      <c r="F1331" s="200"/>
    </row>
    <row r="1332" spans="1:6" x14ac:dyDescent="0.3">
      <c r="A1332" s="117"/>
      <c r="B1332" s="117"/>
      <c r="C1332" s="117"/>
      <c r="D1332" s="117"/>
      <c r="E1332" s="200"/>
      <c r="F1332" s="200"/>
    </row>
    <row r="1333" spans="1:6" x14ac:dyDescent="0.3">
      <c r="A1333" s="117"/>
      <c r="B1333" s="117"/>
      <c r="C1333" s="117"/>
      <c r="D1333" s="117"/>
      <c r="E1333" s="200"/>
      <c r="F1333" s="200"/>
    </row>
    <row r="1334" spans="1:6" x14ac:dyDescent="0.3">
      <c r="A1334" s="117"/>
      <c r="B1334" s="117"/>
      <c r="C1334" s="117"/>
      <c r="D1334" s="117"/>
      <c r="E1334" s="200"/>
      <c r="F1334" s="200"/>
    </row>
    <row r="1335" spans="1:6" x14ac:dyDescent="0.3">
      <c r="A1335" s="117"/>
      <c r="B1335" s="117"/>
      <c r="C1335" s="117"/>
      <c r="D1335" s="117"/>
      <c r="E1335" s="200"/>
      <c r="F1335" s="200"/>
    </row>
    <row r="1336" spans="1:6" x14ac:dyDescent="0.3">
      <c r="A1336" s="117"/>
      <c r="B1336" s="117"/>
      <c r="C1336" s="117"/>
      <c r="D1336" s="117"/>
      <c r="E1336" s="200"/>
      <c r="F1336" s="200"/>
    </row>
    <row r="1337" spans="1:6" x14ac:dyDescent="0.3">
      <c r="A1337" s="117"/>
      <c r="B1337" s="117"/>
      <c r="C1337" s="117"/>
      <c r="D1337" s="117"/>
      <c r="E1337" s="200"/>
      <c r="F1337" s="200"/>
    </row>
    <row r="1338" spans="1:6" x14ac:dyDescent="0.3">
      <c r="A1338" s="117"/>
      <c r="B1338" s="117"/>
      <c r="C1338" s="117"/>
      <c r="D1338" s="117"/>
      <c r="E1338" s="200"/>
      <c r="F1338" s="200"/>
    </row>
    <row r="1339" spans="1:6" x14ac:dyDescent="0.3">
      <c r="A1339" s="117"/>
      <c r="B1339" s="117"/>
      <c r="C1339" s="117"/>
      <c r="D1339" s="117"/>
      <c r="E1339" s="200"/>
      <c r="F1339" s="200"/>
    </row>
    <row r="1340" spans="1:6" x14ac:dyDescent="0.3">
      <c r="A1340" s="117"/>
      <c r="B1340" s="117"/>
      <c r="C1340" s="117"/>
      <c r="D1340" s="117"/>
      <c r="E1340" s="200"/>
      <c r="F1340" s="200"/>
    </row>
    <row r="1341" spans="1:6" x14ac:dyDescent="0.3">
      <c r="A1341" s="117"/>
      <c r="B1341" s="117"/>
      <c r="C1341" s="117"/>
      <c r="D1341" s="117"/>
      <c r="E1341" s="200"/>
      <c r="F1341" s="200"/>
    </row>
    <row r="1342" spans="1:6" x14ac:dyDescent="0.3">
      <c r="A1342" s="117"/>
      <c r="B1342" s="117"/>
      <c r="C1342" s="117"/>
      <c r="D1342" s="117"/>
      <c r="E1342" s="200"/>
      <c r="F1342" s="200"/>
    </row>
    <row r="1343" spans="1:6" x14ac:dyDescent="0.3">
      <c r="A1343" s="117"/>
      <c r="B1343" s="117"/>
      <c r="C1343" s="117"/>
      <c r="D1343" s="117"/>
      <c r="E1343" s="200"/>
      <c r="F1343" s="200"/>
    </row>
    <row r="1344" spans="1:6" x14ac:dyDescent="0.3">
      <c r="A1344" s="117"/>
      <c r="B1344" s="117"/>
      <c r="C1344" s="117"/>
      <c r="D1344" s="117"/>
      <c r="E1344" s="200"/>
      <c r="F1344" s="200"/>
    </row>
    <row r="1345" spans="1:6" x14ac:dyDescent="0.3">
      <c r="A1345" s="117"/>
      <c r="B1345" s="117"/>
      <c r="C1345" s="117"/>
      <c r="D1345" s="117"/>
      <c r="E1345" s="200"/>
      <c r="F1345" s="200"/>
    </row>
    <row r="1346" spans="1:6" x14ac:dyDescent="0.3">
      <c r="A1346" s="117"/>
      <c r="B1346" s="117"/>
      <c r="C1346" s="117"/>
      <c r="D1346" s="117"/>
      <c r="E1346" s="200"/>
      <c r="F1346" s="200"/>
    </row>
    <row r="1347" spans="1:6" x14ac:dyDescent="0.3">
      <c r="A1347" s="117"/>
      <c r="B1347" s="117"/>
      <c r="C1347" s="117"/>
      <c r="D1347" s="117"/>
      <c r="E1347" s="200"/>
      <c r="F1347" s="200"/>
    </row>
    <row r="1348" spans="1:6" x14ac:dyDescent="0.3">
      <c r="A1348" s="117"/>
      <c r="B1348" s="117"/>
      <c r="C1348" s="117"/>
      <c r="D1348" s="117"/>
      <c r="E1348" s="200"/>
      <c r="F1348" s="200"/>
    </row>
    <row r="1349" spans="1:6" x14ac:dyDescent="0.3">
      <c r="A1349" s="117"/>
      <c r="B1349" s="117"/>
      <c r="C1349" s="117"/>
      <c r="D1349" s="117"/>
      <c r="E1349" s="200"/>
      <c r="F1349" s="200"/>
    </row>
    <row r="1350" spans="1:6" x14ac:dyDescent="0.3">
      <c r="A1350" s="117"/>
      <c r="B1350" s="117"/>
      <c r="C1350" s="117"/>
      <c r="D1350" s="117"/>
      <c r="E1350" s="200"/>
      <c r="F1350" s="200"/>
    </row>
    <row r="1351" spans="1:6" x14ac:dyDescent="0.3">
      <c r="A1351" s="117"/>
      <c r="B1351" s="117"/>
      <c r="C1351" s="117"/>
      <c r="D1351" s="117"/>
      <c r="E1351" s="200"/>
      <c r="F1351" s="200"/>
    </row>
    <row r="1352" spans="1:6" x14ac:dyDescent="0.3">
      <c r="A1352" s="117"/>
      <c r="B1352" s="117"/>
      <c r="C1352" s="117"/>
      <c r="D1352" s="117"/>
      <c r="E1352" s="200"/>
      <c r="F1352" s="200"/>
    </row>
    <row r="1353" spans="1:6" x14ac:dyDescent="0.3">
      <c r="A1353" s="117"/>
      <c r="B1353" s="117"/>
      <c r="C1353" s="117"/>
      <c r="D1353" s="117"/>
      <c r="E1353" s="200"/>
      <c r="F1353" s="200"/>
    </row>
    <row r="1354" spans="1:6" x14ac:dyDescent="0.3">
      <c r="A1354" s="117"/>
      <c r="B1354" s="117"/>
      <c r="C1354" s="117"/>
      <c r="D1354" s="117"/>
      <c r="E1354" s="200"/>
      <c r="F1354" s="200"/>
    </row>
    <row r="1355" spans="1:6" x14ac:dyDescent="0.3">
      <c r="A1355" s="117"/>
      <c r="B1355" s="117"/>
      <c r="C1355" s="117"/>
      <c r="D1355" s="117"/>
      <c r="E1355" s="200"/>
      <c r="F1355" s="200"/>
    </row>
    <row r="1356" spans="1:6" x14ac:dyDescent="0.3">
      <c r="A1356" s="117"/>
      <c r="B1356" s="117"/>
      <c r="C1356" s="117"/>
      <c r="D1356" s="117"/>
      <c r="E1356" s="200"/>
      <c r="F1356" s="200"/>
    </row>
    <row r="1357" spans="1:6" x14ac:dyDescent="0.3">
      <c r="A1357" s="117"/>
      <c r="B1357" s="117"/>
      <c r="C1357" s="117"/>
      <c r="D1357" s="117"/>
      <c r="E1357" s="200"/>
      <c r="F1357" s="200"/>
    </row>
    <row r="1358" spans="1:6" x14ac:dyDescent="0.3">
      <c r="A1358" s="117"/>
      <c r="B1358" s="117"/>
      <c r="C1358" s="117"/>
      <c r="D1358" s="117"/>
      <c r="E1358" s="200"/>
      <c r="F1358" s="200"/>
    </row>
    <row r="1359" spans="1:6" x14ac:dyDescent="0.3">
      <c r="A1359" s="117"/>
      <c r="B1359" s="117"/>
      <c r="C1359" s="117"/>
      <c r="D1359" s="117"/>
      <c r="E1359" s="200"/>
      <c r="F1359" s="200"/>
    </row>
    <row r="1360" spans="1:6" x14ac:dyDescent="0.3">
      <c r="A1360" s="117"/>
      <c r="B1360" s="117"/>
      <c r="C1360" s="117"/>
      <c r="D1360" s="117"/>
      <c r="E1360" s="200"/>
      <c r="F1360" s="200"/>
    </row>
    <row r="1361" spans="1:6" x14ac:dyDescent="0.3">
      <c r="A1361" s="117"/>
      <c r="B1361" s="117"/>
      <c r="C1361" s="117"/>
      <c r="D1361" s="117"/>
      <c r="E1361" s="200"/>
      <c r="F1361" s="200"/>
    </row>
    <row r="1362" spans="1:6" x14ac:dyDescent="0.3">
      <c r="A1362" s="117"/>
      <c r="B1362" s="117"/>
      <c r="C1362" s="117"/>
      <c r="D1362" s="117"/>
      <c r="E1362" s="200"/>
      <c r="F1362" s="200"/>
    </row>
    <row r="1363" spans="1:6" x14ac:dyDescent="0.3">
      <c r="A1363" s="117"/>
      <c r="B1363" s="117"/>
      <c r="C1363" s="117"/>
      <c r="D1363" s="117"/>
      <c r="E1363" s="200"/>
      <c r="F1363" s="200"/>
    </row>
    <row r="1364" spans="1:6" x14ac:dyDescent="0.3">
      <c r="A1364" s="117"/>
      <c r="B1364" s="117"/>
      <c r="C1364" s="117"/>
      <c r="D1364" s="117"/>
      <c r="E1364" s="200"/>
      <c r="F1364" s="200"/>
    </row>
    <row r="1365" spans="1:6" x14ac:dyDescent="0.3">
      <c r="A1365" s="117"/>
      <c r="B1365" s="117"/>
      <c r="C1365" s="117"/>
      <c r="D1365" s="117"/>
      <c r="E1365" s="200"/>
      <c r="F1365" s="200"/>
    </row>
    <row r="1366" spans="1:6" x14ac:dyDescent="0.3">
      <c r="A1366" s="117"/>
      <c r="B1366" s="117"/>
      <c r="C1366" s="117"/>
      <c r="D1366" s="117"/>
      <c r="E1366" s="200"/>
      <c r="F1366" s="200"/>
    </row>
    <row r="1367" spans="1:6" x14ac:dyDescent="0.3">
      <c r="A1367" s="117"/>
      <c r="B1367" s="117"/>
      <c r="C1367" s="117"/>
      <c r="D1367" s="117"/>
      <c r="E1367" s="200"/>
      <c r="F1367" s="200"/>
    </row>
    <row r="1368" spans="1:6" x14ac:dyDescent="0.3">
      <c r="A1368" s="117"/>
      <c r="B1368" s="117"/>
      <c r="C1368" s="117"/>
      <c r="D1368" s="117"/>
      <c r="E1368" s="200"/>
      <c r="F1368" s="200"/>
    </row>
    <row r="1369" spans="1:6" x14ac:dyDescent="0.3">
      <c r="A1369" s="117"/>
      <c r="B1369" s="117"/>
      <c r="C1369" s="117"/>
      <c r="D1369" s="117"/>
      <c r="E1369" s="200"/>
      <c r="F1369" s="200"/>
    </row>
    <row r="1370" spans="1:6" x14ac:dyDescent="0.3">
      <c r="A1370" s="117"/>
      <c r="B1370" s="117"/>
      <c r="C1370" s="117"/>
      <c r="D1370" s="117"/>
      <c r="E1370" s="200"/>
      <c r="F1370" s="200"/>
    </row>
    <row r="1371" spans="1:6" x14ac:dyDescent="0.3">
      <c r="A1371" s="117"/>
      <c r="B1371" s="117"/>
      <c r="C1371" s="117"/>
      <c r="D1371" s="117"/>
      <c r="E1371" s="200"/>
      <c r="F1371" s="200"/>
    </row>
    <row r="1372" spans="1:6" x14ac:dyDescent="0.3">
      <c r="A1372" s="117"/>
      <c r="B1372" s="117"/>
      <c r="C1372" s="117"/>
      <c r="D1372" s="117"/>
      <c r="E1372" s="200"/>
      <c r="F1372" s="200"/>
    </row>
    <row r="1373" spans="1:6" x14ac:dyDescent="0.3">
      <c r="A1373" s="117"/>
      <c r="B1373" s="117"/>
      <c r="C1373" s="117"/>
      <c r="D1373" s="117"/>
      <c r="E1373" s="200"/>
      <c r="F1373" s="200"/>
    </row>
    <row r="1374" spans="1:6" x14ac:dyDescent="0.3">
      <c r="A1374" s="117"/>
      <c r="B1374" s="117"/>
      <c r="C1374" s="117"/>
      <c r="D1374" s="117"/>
      <c r="E1374" s="200"/>
      <c r="F1374" s="200"/>
    </row>
    <row r="1375" spans="1:6" x14ac:dyDescent="0.3">
      <c r="A1375" s="117"/>
      <c r="B1375" s="117"/>
      <c r="C1375" s="117"/>
      <c r="D1375" s="117"/>
      <c r="E1375" s="200"/>
      <c r="F1375" s="200"/>
    </row>
    <row r="1376" spans="1:6" x14ac:dyDescent="0.3">
      <c r="A1376" s="117"/>
      <c r="B1376" s="117"/>
      <c r="C1376" s="117"/>
      <c r="D1376" s="117"/>
      <c r="E1376" s="200"/>
      <c r="F1376" s="200"/>
    </row>
    <row r="1377" spans="1:6" x14ac:dyDescent="0.3">
      <c r="A1377" s="117"/>
      <c r="B1377" s="117"/>
      <c r="C1377" s="117"/>
      <c r="D1377" s="117"/>
      <c r="E1377" s="200"/>
      <c r="F1377" s="200"/>
    </row>
    <row r="1378" spans="1:6" x14ac:dyDescent="0.3">
      <c r="A1378" s="117"/>
      <c r="B1378" s="117"/>
      <c r="C1378" s="117"/>
      <c r="D1378" s="117"/>
      <c r="E1378" s="200"/>
      <c r="F1378" s="200"/>
    </row>
    <row r="1379" spans="1:6" x14ac:dyDescent="0.3">
      <c r="A1379" s="117"/>
      <c r="B1379" s="117"/>
      <c r="C1379" s="117"/>
      <c r="D1379" s="117"/>
      <c r="E1379" s="200"/>
      <c r="F1379" s="200"/>
    </row>
    <row r="1380" spans="1:6" x14ac:dyDescent="0.3">
      <c r="A1380" s="117"/>
      <c r="B1380" s="117"/>
      <c r="C1380" s="117"/>
      <c r="D1380" s="117"/>
      <c r="E1380" s="200"/>
      <c r="F1380" s="200"/>
    </row>
    <row r="1381" spans="1:6" x14ac:dyDescent="0.3">
      <c r="A1381" s="117"/>
      <c r="B1381" s="117"/>
      <c r="C1381" s="117"/>
      <c r="D1381" s="117"/>
      <c r="E1381" s="200"/>
      <c r="F1381" s="200"/>
    </row>
    <row r="1382" spans="1:6" x14ac:dyDescent="0.3">
      <c r="A1382" s="117"/>
      <c r="B1382" s="117"/>
      <c r="C1382" s="117"/>
      <c r="D1382" s="117"/>
      <c r="E1382" s="200"/>
      <c r="F1382" s="200"/>
    </row>
    <row r="1383" spans="1:6" x14ac:dyDescent="0.3">
      <c r="A1383" s="117"/>
      <c r="B1383" s="117"/>
      <c r="C1383" s="117"/>
      <c r="D1383" s="117"/>
      <c r="E1383" s="200"/>
      <c r="F1383" s="200"/>
    </row>
    <row r="1384" spans="1:6" x14ac:dyDescent="0.3">
      <c r="A1384" s="117"/>
      <c r="B1384" s="117"/>
      <c r="C1384" s="117"/>
      <c r="D1384" s="117"/>
      <c r="E1384" s="200"/>
      <c r="F1384" s="200"/>
    </row>
    <row r="1385" spans="1:6" x14ac:dyDescent="0.3">
      <c r="A1385" s="117"/>
      <c r="B1385" s="117"/>
      <c r="C1385" s="117"/>
      <c r="D1385" s="117"/>
      <c r="E1385" s="200"/>
      <c r="F1385" s="200"/>
    </row>
    <row r="1386" spans="1:6" x14ac:dyDescent="0.3">
      <c r="A1386" s="117"/>
      <c r="B1386" s="117"/>
      <c r="C1386" s="117"/>
      <c r="D1386" s="117"/>
      <c r="E1386" s="200"/>
      <c r="F1386" s="200"/>
    </row>
    <row r="1387" spans="1:6" x14ac:dyDescent="0.3">
      <c r="A1387" s="117"/>
      <c r="B1387" s="117"/>
      <c r="C1387" s="117"/>
      <c r="D1387" s="117"/>
      <c r="E1387" s="200"/>
      <c r="F1387" s="200"/>
    </row>
    <row r="1388" spans="1:6" x14ac:dyDescent="0.3">
      <c r="A1388" s="117"/>
      <c r="B1388" s="117"/>
      <c r="C1388" s="117"/>
      <c r="D1388" s="117"/>
      <c r="E1388" s="200"/>
      <c r="F1388" s="200"/>
    </row>
    <row r="1389" spans="1:6" x14ac:dyDescent="0.3">
      <c r="A1389" s="117"/>
      <c r="B1389" s="117"/>
      <c r="C1389" s="117"/>
      <c r="D1389" s="117"/>
      <c r="E1389" s="200"/>
      <c r="F1389" s="200"/>
    </row>
    <row r="1390" spans="1:6" x14ac:dyDescent="0.3">
      <c r="A1390" s="117"/>
      <c r="B1390" s="117"/>
      <c r="C1390" s="117"/>
      <c r="D1390" s="117"/>
      <c r="E1390" s="200"/>
      <c r="F1390" s="200"/>
    </row>
    <row r="1391" spans="1:6" x14ac:dyDescent="0.3">
      <c r="A1391" s="117"/>
      <c r="B1391" s="117"/>
      <c r="C1391" s="117"/>
      <c r="D1391" s="117"/>
      <c r="E1391" s="200"/>
      <c r="F1391" s="200"/>
    </row>
    <row r="1392" spans="1:6" x14ac:dyDescent="0.3">
      <c r="A1392" s="117"/>
      <c r="B1392" s="117"/>
      <c r="C1392" s="117"/>
      <c r="D1392" s="117"/>
      <c r="E1392" s="200"/>
      <c r="F1392" s="200"/>
    </row>
    <row r="1393" spans="1:6" x14ac:dyDescent="0.3">
      <c r="A1393" s="117"/>
      <c r="B1393" s="117"/>
      <c r="C1393" s="117"/>
      <c r="D1393" s="117"/>
      <c r="E1393" s="200"/>
      <c r="F1393" s="200"/>
    </row>
    <row r="1394" spans="1:6" x14ac:dyDescent="0.3">
      <c r="A1394" s="117"/>
      <c r="B1394" s="117"/>
      <c r="C1394" s="117"/>
      <c r="D1394" s="117"/>
      <c r="E1394" s="200"/>
      <c r="F1394" s="200"/>
    </row>
    <row r="1395" spans="1:6" x14ac:dyDescent="0.3">
      <c r="A1395" s="117"/>
      <c r="B1395" s="117"/>
      <c r="C1395" s="117"/>
      <c r="D1395" s="117"/>
      <c r="E1395" s="200"/>
      <c r="F1395" s="200"/>
    </row>
    <row r="1396" spans="1:6" x14ac:dyDescent="0.3">
      <c r="A1396" s="117"/>
      <c r="B1396" s="117"/>
      <c r="C1396" s="117"/>
      <c r="D1396" s="117"/>
      <c r="E1396" s="200"/>
      <c r="F1396" s="200"/>
    </row>
    <row r="1397" spans="1:6" x14ac:dyDescent="0.3">
      <c r="A1397" s="117"/>
      <c r="B1397" s="117"/>
      <c r="C1397" s="117"/>
      <c r="D1397" s="117"/>
      <c r="E1397" s="200"/>
      <c r="F1397" s="200"/>
    </row>
    <row r="1398" spans="1:6" x14ac:dyDescent="0.3">
      <c r="A1398" s="117"/>
      <c r="B1398" s="117"/>
      <c r="C1398" s="117"/>
      <c r="D1398" s="117"/>
      <c r="E1398" s="200"/>
      <c r="F1398" s="200"/>
    </row>
    <row r="1399" spans="1:6" x14ac:dyDescent="0.3">
      <c r="A1399" s="117"/>
      <c r="B1399" s="117"/>
      <c r="C1399" s="117"/>
      <c r="D1399" s="117"/>
      <c r="E1399" s="200"/>
      <c r="F1399" s="200"/>
    </row>
    <row r="1400" spans="1:6" x14ac:dyDescent="0.3">
      <c r="A1400" s="117"/>
      <c r="B1400" s="117"/>
      <c r="C1400" s="117"/>
      <c r="D1400" s="117"/>
      <c r="E1400" s="200"/>
      <c r="F1400" s="200"/>
    </row>
    <row r="1401" spans="1:6" x14ac:dyDescent="0.3">
      <c r="A1401" s="117"/>
      <c r="B1401" s="117"/>
      <c r="C1401" s="117"/>
      <c r="D1401" s="117"/>
      <c r="E1401" s="200"/>
      <c r="F1401" s="200"/>
    </row>
    <row r="1402" spans="1:6" x14ac:dyDescent="0.3">
      <c r="A1402" s="117"/>
      <c r="B1402" s="117"/>
      <c r="C1402" s="117"/>
      <c r="D1402" s="117"/>
      <c r="E1402" s="200"/>
      <c r="F1402" s="200"/>
    </row>
    <row r="1403" spans="1:6" x14ac:dyDescent="0.3">
      <c r="A1403" s="117"/>
      <c r="B1403" s="117"/>
      <c r="C1403" s="117"/>
      <c r="D1403" s="117"/>
      <c r="E1403" s="200"/>
      <c r="F1403" s="200"/>
    </row>
    <row r="1404" spans="1:6" x14ac:dyDescent="0.3">
      <c r="A1404" s="117"/>
      <c r="B1404" s="117"/>
      <c r="C1404" s="117"/>
      <c r="D1404" s="117"/>
      <c r="E1404" s="200"/>
      <c r="F1404" s="200"/>
    </row>
    <row r="1405" spans="1:6" x14ac:dyDescent="0.3">
      <c r="A1405" s="117"/>
      <c r="B1405" s="117"/>
      <c r="C1405" s="117"/>
      <c r="D1405" s="117"/>
      <c r="E1405" s="200"/>
      <c r="F1405" s="200"/>
    </row>
    <row r="1406" spans="1:6" x14ac:dyDescent="0.3">
      <c r="A1406" s="117"/>
      <c r="B1406" s="117"/>
      <c r="C1406" s="117"/>
      <c r="D1406" s="117"/>
      <c r="E1406" s="200"/>
      <c r="F1406" s="200"/>
    </row>
    <row r="1407" spans="1:6" x14ac:dyDescent="0.3">
      <c r="A1407" s="117"/>
      <c r="B1407" s="117"/>
      <c r="C1407" s="117"/>
      <c r="D1407" s="117"/>
      <c r="E1407" s="200"/>
      <c r="F1407" s="200"/>
    </row>
    <row r="1408" spans="1:6" x14ac:dyDescent="0.3">
      <c r="A1408" s="117"/>
      <c r="B1408" s="117"/>
      <c r="C1408" s="117"/>
      <c r="D1408" s="117"/>
      <c r="E1408" s="200"/>
      <c r="F1408" s="200"/>
    </row>
    <row r="1409" spans="1:6" x14ac:dyDescent="0.3">
      <c r="A1409" s="117"/>
      <c r="B1409" s="117"/>
      <c r="C1409" s="117"/>
      <c r="D1409" s="117"/>
      <c r="E1409" s="200"/>
      <c r="F1409" s="200"/>
    </row>
    <row r="1410" spans="1:6" x14ac:dyDescent="0.3">
      <c r="A1410" s="117"/>
      <c r="B1410" s="117"/>
      <c r="C1410" s="117"/>
      <c r="D1410" s="117"/>
      <c r="E1410" s="200"/>
      <c r="F1410" s="200"/>
    </row>
    <row r="1411" spans="1:6" x14ac:dyDescent="0.3">
      <c r="A1411" s="117"/>
      <c r="B1411" s="117"/>
      <c r="C1411" s="117"/>
      <c r="D1411" s="117"/>
      <c r="E1411" s="200"/>
      <c r="F1411" s="200"/>
    </row>
    <row r="1412" spans="1:6" x14ac:dyDescent="0.3">
      <c r="A1412" s="117"/>
      <c r="B1412" s="117"/>
      <c r="C1412" s="117"/>
      <c r="D1412" s="117"/>
      <c r="E1412" s="200"/>
      <c r="F1412" s="200"/>
    </row>
    <row r="1413" spans="1:6" x14ac:dyDescent="0.3">
      <c r="A1413" s="117"/>
      <c r="B1413" s="117"/>
      <c r="C1413" s="117"/>
      <c r="D1413" s="117"/>
      <c r="E1413" s="200"/>
      <c r="F1413" s="200"/>
    </row>
    <row r="1414" spans="1:6" x14ac:dyDescent="0.3">
      <c r="A1414" s="117"/>
      <c r="B1414" s="117"/>
      <c r="C1414" s="117"/>
      <c r="D1414" s="117"/>
      <c r="E1414" s="200"/>
      <c r="F1414" s="200"/>
    </row>
    <row r="1415" spans="1:6" x14ac:dyDescent="0.3">
      <c r="A1415" s="117"/>
      <c r="B1415" s="117"/>
      <c r="C1415" s="117"/>
      <c r="D1415" s="117"/>
      <c r="E1415" s="200"/>
      <c r="F1415" s="200"/>
    </row>
    <row r="1416" spans="1:6" x14ac:dyDescent="0.3">
      <c r="A1416" s="117"/>
      <c r="B1416" s="117"/>
      <c r="C1416" s="117"/>
      <c r="D1416" s="117"/>
      <c r="E1416" s="200"/>
      <c r="F1416" s="200"/>
    </row>
    <row r="1417" spans="1:6" x14ac:dyDescent="0.3">
      <c r="A1417" s="117"/>
      <c r="B1417" s="117"/>
      <c r="C1417" s="117"/>
      <c r="D1417" s="117"/>
      <c r="E1417" s="200"/>
      <c r="F1417" s="200"/>
    </row>
    <row r="1418" spans="1:6" x14ac:dyDescent="0.3">
      <c r="A1418" s="117"/>
      <c r="B1418" s="117"/>
      <c r="C1418" s="117"/>
      <c r="D1418" s="117"/>
      <c r="E1418" s="200"/>
      <c r="F1418" s="200"/>
    </row>
    <row r="1419" spans="1:6" x14ac:dyDescent="0.3">
      <c r="A1419" s="117"/>
      <c r="B1419" s="117"/>
      <c r="C1419" s="117"/>
      <c r="D1419" s="117"/>
      <c r="E1419" s="200"/>
      <c r="F1419" s="200"/>
    </row>
    <row r="1420" spans="1:6" x14ac:dyDescent="0.3">
      <c r="A1420" s="117"/>
      <c r="B1420" s="117"/>
      <c r="C1420" s="117"/>
      <c r="D1420" s="117"/>
      <c r="E1420" s="200"/>
      <c r="F1420" s="200"/>
    </row>
    <row r="1421" spans="1:6" x14ac:dyDescent="0.3">
      <c r="A1421" s="117"/>
      <c r="B1421" s="117"/>
      <c r="C1421" s="117"/>
      <c r="D1421" s="117"/>
      <c r="E1421" s="200"/>
      <c r="F1421" s="200"/>
    </row>
    <row r="1422" spans="1:6" x14ac:dyDescent="0.3">
      <c r="A1422" s="117"/>
      <c r="B1422" s="117"/>
      <c r="C1422" s="117"/>
      <c r="D1422" s="117"/>
      <c r="E1422" s="200"/>
      <c r="F1422" s="200"/>
    </row>
    <row r="1423" spans="1:6" x14ac:dyDescent="0.3">
      <c r="A1423" s="117"/>
      <c r="B1423" s="117"/>
      <c r="C1423" s="117"/>
      <c r="D1423" s="117"/>
      <c r="E1423" s="200"/>
      <c r="F1423" s="200"/>
    </row>
    <row r="1424" spans="1:6" x14ac:dyDescent="0.3">
      <c r="A1424" s="117"/>
      <c r="B1424" s="117"/>
      <c r="C1424" s="117"/>
      <c r="D1424" s="117"/>
      <c r="E1424" s="200"/>
      <c r="F1424" s="200"/>
    </row>
    <row r="1425" spans="1:6" x14ac:dyDescent="0.3">
      <c r="A1425" s="117"/>
      <c r="B1425" s="117"/>
      <c r="C1425" s="117"/>
      <c r="D1425" s="117"/>
      <c r="E1425" s="200"/>
      <c r="F1425" s="200"/>
    </row>
    <row r="1426" spans="1:6" x14ac:dyDescent="0.3">
      <c r="A1426" s="117"/>
      <c r="B1426" s="117"/>
      <c r="C1426" s="117"/>
      <c r="D1426" s="117"/>
      <c r="E1426" s="200"/>
      <c r="F1426" s="200"/>
    </row>
    <row r="1427" spans="1:6" x14ac:dyDescent="0.3">
      <c r="A1427" s="117"/>
      <c r="B1427" s="117"/>
      <c r="C1427" s="117"/>
      <c r="D1427" s="117"/>
      <c r="E1427" s="200"/>
      <c r="F1427" s="200"/>
    </row>
    <row r="1428" spans="1:6" x14ac:dyDescent="0.3">
      <c r="A1428" s="117"/>
      <c r="B1428" s="117"/>
      <c r="C1428" s="117"/>
      <c r="D1428" s="117"/>
      <c r="E1428" s="200"/>
      <c r="F1428" s="200"/>
    </row>
    <row r="1429" spans="1:6" x14ac:dyDescent="0.3">
      <c r="A1429" s="117"/>
      <c r="B1429" s="117"/>
      <c r="C1429" s="117"/>
      <c r="D1429" s="117"/>
      <c r="E1429" s="200"/>
      <c r="F1429" s="200"/>
    </row>
    <row r="1430" spans="1:6" x14ac:dyDescent="0.3">
      <c r="A1430" s="117"/>
      <c r="B1430" s="117"/>
      <c r="C1430" s="117"/>
      <c r="D1430" s="117"/>
      <c r="E1430" s="200"/>
      <c r="F1430" s="200"/>
    </row>
    <row r="1431" spans="1:6" x14ac:dyDescent="0.3">
      <c r="A1431" s="117"/>
      <c r="B1431" s="117"/>
      <c r="C1431" s="117"/>
      <c r="D1431" s="117"/>
      <c r="E1431" s="200"/>
      <c r="F1431" s="200"/>
    </row>
    <row r="1432" spans="1:6" x14ac:dyDescent="0.3">
      <c r="A1432" s="117"/>
      <c r="B1432" s="117"/>
      <c r="C1432" s="117"/>
      <c r="D1432" s="117"/>
      <c r="E1432" s="200"/>
      <c r="F1432" s="200"/>
    </row>
    <row r="1433" spans="1:6" x14ac:dyDescent="0.3">
      <c r="A1433" s="117"/>
      <c r="B1433" s="117"/>
      <c r="C1433" s="117"/>
      <c r="D1433" s="117"/>
      <c r="E1433" s="200"/>
      <c r="F1433" s="200"/>
    </row>
    <row r="1434" spans="1:6" x14ac:dyDescent="0.3">
      <c r="A1434" s="117"/>
      <c r="B1434" s="117"/>
      <c r="C1434" s="117"/>
      <c r="D1434" s="117"/>
      <c r="E1434" s="200"/>
      <c r="F1434" s="200"/>
    </row>
    <row r="1435" spans="1:6" x14ac:dyDescent="0.3">
      <c r="A1435" s="117"/>
      <c r="B1435" s="117"/>
      <c r="C1435" s="117"/>
      <c r="D1435" s="117"/>
      <c r="E1435" s="200"/>
      <c r="F1435" s="200"/>
    </row>
    <row r="1436" spans="1:6" x14ac:dyDescent="0.3">
      <c r="A1436" s="117"/>
      <c r="B1436" s="117"/>
      <c r="C1436" s="117"/>
      <c r="D1436" s="117"/>
      <c r="E1436" s="200"/>
      <c r="F1436" s="200"/>
    </row>
    <row r="1437" spans="1:6" x14ac:dyDescent="0.3">
      <c r="A1437" s="117"/>
      <c r="B1437" s="117"/>
      <c r="C1437" s="117"/>
      <c r="D1437" s="117"/>
      <c r="E1437" s="200"/>
      <c r="F1437" s="200"/>
    </row>
    <row r="1438" spans="1:6" x14ac:dyDescent="0.3">
      <c r="A1438" s="117"/>
      <c r="B1438" s="117"/>
      <c r="C1438" s="117"/>
      <c r="D1438" s="117"/>
      <c r="E1438" s="200"/>
      <c r="F1438" s="200"/>
    </row>
    <row r="1439" spans="1:6" x14ac:dyDescent="0.3">
      <c r="A1439" s="117"/>
      <c r="B1439" s="117"/>
      <c r="C1439" s="117"/>
      <c r="D1439" s="117"/>
      <c r="E1439" s="200"/>
      <c r="F1439" s="200"/>
    </row>
    <row r="1440" spans="1:6" x14ac:dyDescent="0.3">
      <c r="A1440" s="117"/>
      <c r="B1440" s="117"/>
      <c r="C1440" s="117"/>
      <c r="D1440" s="117"/>
      <c r="E1440" s="200"/>
      <c r="F1440" s="200"/>
    </row>
    <row r="1441" spans="1:6" x14ac:dyDescent="0.3">
      <c r="A1441" s="117"/>
      <c r="B1441" s="117"/>
      <c r="C1441" s="117"/>
      <c r="D1441" s="117"/>
      <c r="E1441" s="200"/>
      <c r="F1441" s="200"/>
    </row>
    <row r="1442" spans="1:6" x14ac:dyDescent="0.3">
      <c r="A1442" s="117"/>
      <c r="B1442" s="117"/>
      <c r="C1442" s="117"/>
      <c r="D1442" s="117"/>
      <c r="E1442" s="200"/>
      <c r="F1442" s="200"/>
    </row>
    <row r="1443" spans="1:6" x14ac:dyDescent="0.3">
      <c r="A1443" s="117"/>
      <c r="B1443" s="117"/>
      <c r="C1443" s="117"/>
      <c r="D1443" s="117"/>
      <c r="E1443" s="200"/>
      <c r="F1443" s="200"/>
    </row>
    <row r="1444" spans="1:6" x14ac:dyDescent="0.3">
      <c r="A1444" s="117"/>
      <c r="B1444" s="117"/>
      <c r="C1444" s="117"/>
      <c r="D1444" s="117"/>
      <c r="E1444" s="200"/>
      <c r="F1444" s="200"/>
    </row>
    <row r="1445" spans="1:6" x14ac:dyDescent="0.3">
      <c r="A1445" s="117"/>
      <c r="B1445" s="117"/>
      <c r="C1445" s="117"/>
      <c r="D1445" s="117"/>
      <c r="E1445" s="200"/>
      <c r="F1445" s="200"/>
    </row>
    <row r="1446" spans="1:6" x14ac:dyDescent="0.3">
      <c r="A1446" s="117"/>
      <c r="B1446" s="117"/>
      <c r="C1446" s="117"/>
      <c r="D1446" s="117"/>
      <c r="E1446" s="200"/>
      <c r="F1446" s="200"/>
    </row>
    <row r="1447" spans="1:6" x14ac:dyDescent="0.3">
      <c r="A1447" s="117"/>
      <c r="B1447" s="117"/>
      <c r="C1447" s="117"/>
      <c r="D1447" s="117"/>
      <c r="E1447" s="200"/>
      <c r="F1447" s="200"/>
    </row>
    <row r="1448" spans="1:6" x14ac:dyDescent="0.3">
      <c r="A1448" s="117"/>
      <c r="B1448" s="117"/>
      <c r="C1448" s="117"/>
      <c r="D1448" s="117"/>
      <c r="E1448" s="200"/>
      <c r="F1448" s="200"/>
    </row>
    <row r="1449" spans="1:6" x14ac:dyDescent="0.3">
      <c r="A1449" s="117"/>
      <c r="B1449" s="117"/>
      <c r="C1449" s="117"/>
      <c r="D1449" s="117"/>
      <c r="E1449" s="200"/>
      <c r="F1449" s="200"/>
    </row>
    <row r="1450" spans="1:6" x14ac:dyDescent="0.3">
      <c r="A1450" s="117"/>
      <c r="B1450" s="117"/>
      <c r="C1450" s="117"/>
      <c r="D1450" s="117"/>
      <c r="E1450" s="200"/>
      <c r="F1450" s="200"/>
    </row>
    <row r="1451" spans="1:6" x14ac:dyDescent="0.3">
      <c r="A1451" s="117"/>
      <c r="B1451" s="117"/>
      <c r="C1451" s="117"/>
      <c r="D1451" s="117"/>
      <c r="E1451" s="200"/>
      <c r="F1451" s="200"/>
    </row>
    <row r="1452" spans="1:6" x14ac:dyDescent="0.3">
      <c r="A1452" s="117"/>
      <c r="B1452" s="117"/>
      <c r="C1452" s="117"/>
      <c r="D1452" s="117"/>
      <c r="E1452" s="200"/>
      <c r="F1452" s="200"/>
    </row>
    <row r="1453" spans="1:6" x14ac:dyDescent="0.3">
      <c r="A1453" s="117"/>
      <c r="B1453" s="117"/>
      <c r="C1453" s="117"/>
      <c r="D1453" s="117"/>
      <c r="E1453" s="200"/>
      <c r="F1453" s="200"/>
    </row>
    <row r="1454" spans="1:6" x14ac:dyDescent="0.3">
      <c r="A1454" s="117"/>
      <c r="B1454" s="117"/>
      <c r="C1454" s="117"/>
      <c r="D1454" s="117"/>
      <c r="E1454" s="200"/>
      <c r="F1454" s="200"/>
    </row>
    <row r="1455" spans="1:6" x14ac:dyDescent="0.3">
      <c r="A1455" s="117"/>
      <c r="B1455" s="117"/>
      <c r="C1455" s="117"/>
      <c r="D1455" s="117"/>
      <c r="E1455" s="200"/>
      <c r="F1455" s="200"/>
    </row>
    <row r="1456" spans="1:6" x14ac:dyDescent="0.3">
      <c r="A1456" s="117"/>
      <c r="B1456" s="117"/>
      <c r="C1456" s="117"/>
      <c r="D1456" s="117"/>
      <c r="E1456" s="200"/>
      <c r="F1456" s="200"/>
    </row>
    <row r="1457" spans="1:6" x14ac:dyDescent="0.3">
      <c r="A1457" s="117"/>
      <c r="B1457" s="117"/>
      <c r="C1457" s="117"/>
      <c r="D1457" s="117"/>
      <c r="E1457" s="200"/>
      <c r="F1457" s="200"/>
    </row>
    <row r="1458" spans="1:6" x14ac:dyDescent="0.3">
      <c r="A1458" s="117"/>
      <c r="B1458" s="117"/>
      <c r="C1458" s="117"/>
      <c r="D1458" s="117"/>
      <c r="E1458" s="200"/>
      <c r="F1458" s="200"/>
    </row>
    <row r="1459" spans="1:6" x14ac:dyDescent="0.3">
      <c r="A1459" s="117"/>
      <c r="B1459" s="117"/>
      <c r="C1459" s="117"/>
      <c r="D1459" s="117"/>
      <c r="E1459" s="200"/>
      <c r="F1459" s="200"/>
    </row>
    <row r="1460" spans="1:6" x14ac:dyDescent="0.3">
      <c r="A1460" s="117"/>
      <c r="B1460" s="117"/>
      <c r="C1460" s="117"/>
      <c r="D1460" s="117"/>
      <c r="E1460" s="200"/>
      <c r="F1460" s="200"/>
    </row>
    <row r="1461" spans="1:6" x14ac:dyDescent="0.3">
      <c r="A1461" s="117"/>
      <c r="B1461" s="117"/>
      <c r="C1461" s="117"/>
      <c r="D1461" s="117"/>
      <c r="E1461" s="200"/>
      <c r="F1461" s="200"/>
    </row>
    <row r="1462" spans="1:6" x14ac:dyDescent="0.3">
      <c r="A1462" s="117"/>
      <c r="B1462" s="117"/>
      <c r="C1462" s="117"/>
      <c r="D1462" s="117"/>
      <c r="E1462" s="200"/>
      <c r="F1462" s="200"/>
    </row>
    <row r="1463" spans="1:6" x14ac:dyDescent="0.3">
      <c r="A1463" s="117"/>
      <c r="B1463" s="117"/>
      <c r="C1463" s="117"/>
      <c r="D1463" s="117"/>
      <c r="E1463" s="200"/>
      <c r="F1463" s="200"/>
    </row>
    <row r="1464" spans="1:6" x14ac:dyDescent="0.3">
      <c r="A1464" s="117"/>
      <c r="B1464" s="117"/>
      <c r="C1464" s="117"/>
      <c r="D1464" s="117"/>
      <c r="E1464" s="200"/>
      <c r="F1464" s="200"/>
    </row>
    <row r="1465" spans="1:6" x14ac:dyDescent="0.3">
      <c r="A1465" s="117"/>
      <c r="B1465" s="117"/>
      <c r="C1465" s="117"/>
      <c r="D1465" s="117"/>
      <c r="E1465" s="200"/>
      <c r="F1465" s="200"/>
    </row>
    <row r="1466" spans="1:6" x14ac:dyDescent="0.3">
      <c r="A1466" s="117"/>
      <c r="B1466" s="117"/>
      <c r="C1466" s="117"/>
      <c r="D1466" s="117"/>
      <c r="E1466" s="200"/>
      <c r="F1466" s="200"/>
    </row>
    <row r="1467" spans="1:6" x14ac:dyDescent="0.3">
      <c r="A1467" s="117"/>
      <c r="B1467" s="117"/>
      <c r="C1467" s="117"/>
      <c r="D1467" s="117"/>
      <c r="E1467" s="200"/>
      <c r="F1467" s="200"/>
    </row>
    <row r="1468" spans="1:6" x14ac:dyDescent="0.3">
      <c r="A1468" s="117"/>
      <c r="B1468" s="117"/>
      <c r="C1468" s="117"/>
      <c r="D1468" s="117"/>
      <c r="E1468" s="200"/>
      <c r="F1468" s="200"/>
    </row>
    <row r="1469" spans="1:6" x14ac:dyDescent="0.3">
      <c r="A1469" s="117"/>
      <c r="B1469" s="117"/>
      <c r="C1469" s="117"/>
      <c r="D1469" s="117"/>
      <c r="E1469" s="200"/>
      <c r="F1469" s="200"/>
    </row>
    <row r="1470" spans="1:6" x14ac:dyDescent="0.3">
      <c r="A1470" s="117"/>
      <c r="B1470" s="117"/>
      <c r="C1470" s="117"/>
      <c r="D1470" s="117"/>
      <c r="E1470" s="200"/>
      <c r="F1470" s="200"/>
    </row>
    <row r="1471" spans="1:6" x14ac:dyDescent="0.3">
      <c r="A1471" s="117"/>
      <c r="B1471" s="117"/>
      <c r="C1471" s="117"/>
      <c r="D1471" s="117"/>
      <c r="E1471" s="200"/>
      <c r="F1471" s="200"/>
    </row>
    <row r="1472" spans="1:6" x14ac:dyDescent="0.3">
      <c r="A1472" s="117"/>
      <c r="B1472" s="117"/>
      <c r="C1472" s="117"/>
      <c r="D1472" s="117"/>
      <c r="E1472" s="200"/>
      <c r="F1472" s="200"/>
    </row>
    <row r="1473" spans="1:6" x14ac:dyDescent="0.3">
      <c r="A1473" s="117"/>
      <c r="B1473" s="117"/>
      <c r="C1473" s="117"/>
      <c r="D1473" s="117"/>
      <c r="E1473" s="200"/>
      <c r="F1473" s="200"/>
    </row>
    <row r="1474" spans="1:6" x14ac:dyDescent="0.3">
      <c r="A1474" s="117"/>
      <c r="B1474" s="117"/>
      <c r="C1474" s="117"/>
      <c r="D1474" s="117"/>
      <c r="E1474" s="200"/>
      <c r="F1474" s="200"/>
    </row>
    <row r="1475" spans="1:6" x14ac:dyDescent="0.3">
      <c r="A1475" s="117"/>
      <c r="B1475" s="117"/>
      <c r="C1475" s="117"/>
      <c r="D1475" s="117"/>
      <c r="E1475" s="200"/>
      <c r="F1475" s="200"/>
    </row>
    <row r="1476" spans="1:6" x14ac:dyDescent="0.3">
      <c r="A1476" s="117"/>
      <c r="B1476" s="117"/>
      <c r="C1476" s="117"/>
      <c r="D1476" s="117"/>
      <c r="E1476" s="200"/>
      <c r="F1476" s="200"/>
    </row>
    <row r="1477" spans="1:6" x14ac:dyDescent="0.3">
      <c r="A1477" s="117"/>
      <c r="B1477" s="117"/>
      <c r="C1477" s="117"/>
      <c r="D1477" s="117"/>
      <c r="E1477" s="200"/>
      <c r="F1477" s="200"/>
    </row>
    <row r="1478" spans="1:6" x14ac:dyDescent="0.3">
      <c r="A1478" s="117"/>
      <c r="B1478" s="117"/>
      <c r="C1478" s="117"/>
      <c r="D1478" s="117"/>
      <c r="E1478" s="200"/>
      <c r="F1478" s="200"/>
    </row>
    <row r="1479" spans="1:6" x14ac:dyDescent="0.3">
      <c r="A1479" s="117"/>
      <c r="B1479" s="117"/>
      <c r="C1479" s="117"/>
      <c r="D1479" s="117"/>
      <c r="E1479" s="200"/>
      <c r="F1479" s="200"/>
    </row>
    <row r="1480" spans="1:6" x14ac:dyDescent="0.3">
      <c r="A1480" s="117"/>
      <c r="B1480" s="117"/>
      <c r="C1480" s="117"/>
      <c r="D1480" s="117"/>
      <c r="E1480" s="200"/>
      <c r="F1480" s="200"/>
    </row>
    <row r="1481" spans="1:6" x14ac:dyDescent="0.3">
      <c r="A1481" s="117"/>
      <c r="B1481" s="117"/>
      <c r="C1481" s="117"/>
      <c r="D1481" s="117"/>
      <c r="E1481" s="200"/>
      <c r="F1481" s="200"/>
    </row>
    <row r="1482" spans="1:6" x14ac:dyDescent="0.3">
      <c r="A1482" s="117"/>
      <c r="B1482" s="117"/>
      <c r="C1482" s="117"/>
      <c r="D1482" s="117"/>
      <c r="E1482" s="200"/>
      <c r="F1482" s="200"/>
    </row>
    <row r="1483" spans="1:6" x14ac:dyDescent="0.3">
      <c r="A1483" s="117"/>
      <c r="B1483" s="117"/>
      <c r="C1483" s="117"/>
      <c r="D1483" s="117"/>
      <c r="E1483" s="200"/>
      <c r="F1483" s="200"/>
    </row>
    <row r="1484" spans="1:6" x14ac:dyDescent="0.3">
      <c r="A1484" s="117"/>
      <c r="B1484" s="117"/>
      <c r="C1484" s="117"/>
      <c r="D1484" s="117"/>
      <c r="E1484" s="200"/>
      <c r="F1484" s="200"/>
    </row>
    <row r="1485" spans="1:6" x14ac:dyDescent="0.3">
      <c r="A1485" s="117"/>
      <c r="B1485" s="117"/>
      <c r="C1485" s="117"/>
      <c r="D1485" s="117"/>
      <c r="E1485" s="200"/>
      <c r="F1485" s="200"/>
    </row>
    <row r="1486" spans="1:6" x14ac:dyDescent="0.3">
      <c r="A1486" s="117"/>
      <c r="B1486" s="117"/>
      <c r="C1486" s="117"/>
      <c r="D1486" s="117"/>
      <c r="E1486" s="200"/>
      <c r="F1486" s="200"/>
    </row>
    <row r="1487" spans="1:6" x14ac:dyDescent="0.3">
      <c r="A1487" s="117"/>
      <c r="B1487" s="117"/>
      <c r="C1487" s="117"/>
      <c r="D1487" s="117"/>
      <c r="E1487" s="200"/>
      <c r="F1487" s="200"/>
    </row>
    <row r="1488" spans="1:6" x14ac:dyDescent="0.3">
      <c r="A1488" s="117"/>
      <c r="B1488" s="117"/>
      <c r="C1488" s="117"/>
      <c r="D1488" s="117"/>
      <c r="E1488" s="200"/>
      <c r="F1488" s="200"/>
    </row>
    <row r="1489" spans="1:6" x14ac:dyDescent="0.3">
      <c r="A1489" s="117"/>
      <c r="B1489" s="117"/>
      <c r="C1489" s="117"/>
      <c r="D1489" s="117"/>
      <c r="E1489" s="200"/>
      <c r="F1489" s="200"/>
    </row>
    <row r="1490" spans="1:6" x14ac:dyDescent="0.3">
      <c r="A1490" s="117"/>
      <c r="B1490" s="117"/>
      <c r="C1490" s="117"/>
      <c r="D1490" s="117"/>
      <c r="E1490" s="200"/>
      <c r="F1490" s="200"/>
    </row>
    <row r="1491" spans="1:6" x14ac:dyDescent="0.3">
      <c r="A1491" s="117"/>
      <c r="B1491" s="117"/>
      <c r="C1491" s="117"/>
      <c r="D1491" s="117"/>
      <c r="E1491" s="200"/>
      <c r="F1491" s="200"/>
    </row>
    <row r="1492" spans="1:6" x14ac:dyDescent="0.3">
      <c r="A1492" s="117"/>
      <c r="B1492" s="117"/>
      <c r="C1492" s="117"/>
      <c r="D1492" s="117"/>
      <c r="E1492" s="200"/>
      <c r="F1492" s="200"/>
    </row>
    <row r="1493" spans="1:6" x14ac:dyDescent="0.3">
      <c r="A1493" s="117"/>
      <c r="B1493" s="117"/>
      <c r="C1493" s="117"/>
      <c r="D1493" s="117"/>
      <c r="E1493" s="200"/>
      <c r="F1493" s="200"/>
    </row>
    <row r="1494" spans="1:6" x14ac:dyDescent="0.3">
      <c r="A1494" s="117"/>
      <c r="B1494" s="117"/>
      <c r="C1494" s="117"/>
      <c r="D1494" s="117"/>
      <c r="E1494" s="200"/>
      <c r="F1494" s="200"/>
    </row>
    <row r="1495" spans="1:6" x14ac:dyDescent="0.3">
      <c r="A1495" s="117"/>
      <c r="B1495" s="117"/>
      <c r="C1495" s="117"/>
      <c r="D1495" s="117"/>
      <c r="E1495" s="200"/>
      <c r="F1495" s="200"/>
    </row>
    <row r="1496" spans="1:6" x14ac:dyDescent="0.3">
      <c r="A1496" s="117"/>
      <c r="B1496" s="117"/>
      <c r="C1496" s="117"/>
      <c r="D1496" s="117"/>
      <c r="E1496" s="200"/>
      <c r="F1496" s="200"/>
    </row>
    <row r="1497" spans="1:6" x14ac:dyDescent="0.3">
      <c r="A1497" s="117"/>
      <c r="B1497" s="117"/>
      <c r="C1497" s="117"/>
      <c r="D1497" s="117"/>
      <c r="E1497" s="200"/>
      <c r="F1497" s="200"/>
    </row>
    <row r="1498" spans="1:6" x14ac:dyDescent="0.3">
      <c r="A1498" s="117"/>
      <c r="B1498" s="117"/>
      <c r="C1498" s="117"/>
      <c r="D1498" s="117"/>
      <c r="E1498" s="200"/>
      <c r="F1498" s="200"/>
    </row>
    <row r="1499" spans="1:6" x14ac:dyDescent="0.3">
      <c r="A1499" s="117"/>
      <c r="B1499" s="117"/>
      <c r="C1499" s="117"/>
      <c r="D1499" s="117"/>
      <c r="E1499" s="200"/>
      <c r="F1499" s="200"/>
    </row>
    <row r="1500" spans="1:6" x14ac:dyDescent="0.3">
      <c r="A1500" s="117"/>
      <c r="B1500" s="117"/>
      <c r="C1500" s="117"/>
      <c r="D1500" s="117"/>
      <c r="E1500" s="200"/>
      <c r="F1500" s="200"/>
    </row>
    <row r="1501" spans="1:6" x14ac:dyDescent="0.3">
      <c r="A1501" s="117"/>
      <c r="B1501" s="117"/>
      <c r="C1501" s="117"/>
      <c r="D1501" s="117"/>
      <c r="E1501" s="200"/>
      <c r="F1501" s="200"/>
    </row>
    <row r="1502" spans="1:6" x14ac:dyDescent="0.3">
      <c r="A1502" s="117"/>
      <c r="B1502" s="117"/>
      <c r="C1502" s="117"/>
      <c r="D1502" s="117"/>
      <c r="E1502" s="200"/>
      <c r="F1502" s="200"/>
    </row>
    <row r="1503" spans="1:6" x14ac:dyDescent="0.3">
      <c r="A1503" s="117"/>
      <c r="B1503" s="117"/>
      <c r="C1503" s="117"/>
      <c r="D1503" s="117"/>
      <c r="E1503" s="200"/>
      <c r="F1503" s="200"/>
    </row>
    <row r="1504" spans="1:6" x14ac:dyDescent="0.3">
      <c r="A1504" s="117"/>
      <c r="B1504" s="117"/>
      <c r="C1504" s="117"/>
      <c r="D1504" s="117"/>
      <c r="E1504" s="200"/>
      <c r="F1504" s="200"/>
    </row>
    <row r="1505" spans="1:6" x14ac:dyDescent="0.3">
      <c r="A1505" s="117"/>
      <c r="B1505" s="117"/>
      <c r="C1505" s="117"/>
      <c r="D1505" s="117"/>
      <c r="E1505" s="200"/>
      <c r="F1505" s="200"/>
    </row>
    <row r="1506" spans="1:6" x14ac:dyDescent="0.3">
      <c r="A1506" s="117"/>
      <c r="B1506" s="117"/>
      <c r="C1506" s="117"/>
      <c r="D1506" s="117"/>
      <c r="E1506" s="200"/>
      <c r="F1506" s="200"/>
    </row>
    <row r="1507" spans="1:6" x14ac:dyDescent="0.3">
      <c r="A1507" s="117"/>
      <c r="B1507" s="117"/>
      <c r="C1507" s="117"/>
      <c r="D1507" s="117"/>
      <c r="E1507" s="200"/>
      <c r="F1507" s="200"/>
    </row>
    <row r="1508" spans="1:6" x14ac:dyDescent="0.3">
      <c r="A1508" s="117"/>
      <c r="B1508" s="117"/>
      <c r="C1508" s="117"/>
      <c r="D1508" s="117"/>
      <c r="E1508" s="200"/>
      <c r="F1508" s="200"/>
    </row>
    <row r="1509" spans="1:6" x14ac:dyDescent="0.3">
      <c r="A1509" s="117"/>
      <c r="B1509" s="117"/>
      <c r="C1509" s="117"/>
      <c r="D1509" s="117"/>
      <c r="E1509" s="200"/>
      <c r="F1509" s="200"/>
    </row>
    <row r="1510" spans="1:6" x14ac:dyDescent="0.3">
      <c r="A1510" s="117"/>
      <c r="B1510" s="117"/>
      <c r="C1510" s="117"/>
      <c r="D1510" s="117"/>
      <c r="E1510" s="200"/>
      <c r="F1510" s="200"/>
    </row>
    <row r="1511" spans="1:6" x14ac:dyDescent="0.3">
      <c r="A1511" s="117"/>
      <c r="B1511" s="117"/>
      <c r="C1511" s="117"/>
      <c r="D1511" s="117"/>
      <c r="E1511" s="200"/>
      <c r="F1511" s="200"/>
    </row>
    <row r="1512" spans="1:6" x14ac:dyDescent="0.3">
      <c r="A1512" s="117"/>
      <c r="B1512" s="117"/>
      <c r="C1512" s="117"/>
      <c r="D1512" s="117"/>
      <c r="E1512" s="200"/>
      <c r="F1512" s="200"/>
    </row>
    <row r="1513" spans="1:6" x14ac:dyDescent="0.3">
      <c r="A1513" s="117"/>
      <c r="B1513" s="117"/>
      <c r="C1513" s="117"/>
      <c r="D1513" s="117"/>
      <c r="E1513" s="200"/>
      <c r="F1513" s="200"/>
    </row>
    <row r="1514" spans="1:6" x14ac:dyDescent="0.3">
      <c r="A1514" s="117"/>
      <c r="B1514" s="117"/>
      <c r="C1514" s="117"/>
      <c r="D1514" s="117"/>
      <c r="E1514" s="200"/>
      <c r="F1514" s="200"/>
    </row>
    <row r="1515" spans="1:6" x14ac:dyDescent="0.3">
      <c r="A1515" s="117"/>
      <c r="B1515" s="117"/>
      <c r="C1515" s="117"/>
      <c r="D1515" s="117"/>
      <c r="E1515" s="200"/>
      <c r="F1515" s="200"/>
    </row>
    <row r="1516" spans="1:6" x14ac:dyDescent="0.3">
      <c r="A1516" s="117"/>
      <c r="B1516" s="117"/>
      <c r="C1516" s="117"/>
      <c r="D1516" s="117"/>
      <c r="E1516" s="200"/>
      <c r="F1516" s="200"/>
    </row>
    <row r="1517" spans="1:6" x14ac:dyDescent="0.3">
      <c r="A1517" s="117"/>
      <c r="B1517" s="117"/>
      <c r="C1517" s="117"/>
      <c r="D1517" s="117"/>
      <c r="E1517" s="200"/>
      <c r="F1517" s="200"/>
    </row>
    <row r="1518" spans="1:6" x14ac:dyDescent="0.3">
      <c r="A1518" s="117"/>
      <c r="B1518" s="117"/>
      <c r="C1518" s="117"/>
      <c r="D1518" s="117"/>
      <c r="E1518" s="200"/>
      <c r="F1518" s="200"/>
    </row>
    <row r="1519" spans="1:6" x14ac:dyDescent="0.3">
      <c r="A1519" s="117"/>
      <c r="B1519" s="117"/>
      <c r="C1519" s="117"/>
      <c r="D1519" s="117"/>
      <c r="E1519" s="200"/>
      <c r="F1519" s="200"/>
    </row>
    <row r="1520" spans="1:6" x14ac:dyDescent="0.3">
      <c r="A1520" s="117"/>
      <c r="B1520" s="117"/>
      <c r="C1520" s="117"/>
      <c r="D1520" s="117"/>
      <c r="E1520" s="200"/>
      <c r="F1520" s="200"/>
    </row>
    <row r="1521" spans="1:6" x14ac:dyDescent="0.3">
      <c r="A1521" s="117"/>
      <c r="B1521" s="117"/>
      <c r="C1521" s="117"/>
      <c r="D1521" s="117"/>
      <c r="E1521" s="200"/>
      <c r="F1521" s="200"/>
    </row>
    <row r="1522" spans="1:6" x14ac:dyDescent="0.3">
      <c r="A1522" s="117"/>
      <c r="B1522" s="117"/>
      <c r="C1522" s="117"/>
      <c r="D1522" s="117"/>
      <c r="E1522" s="200"/>
      <c r="F1522" s="200"/>
    </row>
    <row r="1523" spans="1:6" x14ac:dyDescent="0.3">
      <c r="A1523" s="117"/>
      <c r="B1523" s="117"/>
      <c r="C1523" s="117"/>
      <c r="D1523" s="117"/>
      <c r="E1523" s="200"/>
      <c r="F1523" s="200"/>
    </row>
    <row r="1524" spans="1:6" x14ac:dyDescent="0.3">
      <c r="A1524" s="117"/>
      <c r="B1524" s="117"/>
      <c r="C1524" s="117"/>
      <c r="D1524" s="117"/>
      <c r="E1524" s="200"/>
      <c r="F1524" s="200"/>
    </row>
    <row r="1525" spans="1:6" x14ac:dyDescent="0.3">
      <c r="A1525" s="117"/>
      <c r="B1525" s="117"/>
      <c r="C1525" s="117"/>
      <c r="D1525" s="117"/>
      <c r="E1525" s="200"/>
      <c r="F1525" s="200"/>
    </row>
    <row r="1526" spans="1:6" x14ac:dyDescent="0.3">
      <c r="A1526" s="117"/>
      <c r="B1526" s="117"/>
      <c r="C1526" s="117"/>
      <c r="D1526" s="117"/>
      <c r="E1526" s="200"/>
      <c r="F1526" s="200"/>
    </row>
    <row r="1527" spans="1:6" x14ac:dyDescent="0.3">
      <c r="A1527" s="117"/>
      <c r="B1527" s="117"/>
      <c r="C1527" s="117"/>
      <c r="D1527" s="117"/>
      <c r="E1527" s="200"/>
      <c r="F1527" s="200"/>
    </row>
    <row r="1528" spans="1:6" x14ac:dyDescent="0.3">
      <c r="A1528" s="117"/>
      <c r="B1528" s="117"/>
      <c r="C1528" s="117"/>
      <c r="D1528" s="117"/>
      <c r="E1528" s="200"/>
      <c r="F1528" s="200"/>
    </row>
    <row r="1529" spans="1:6" x14ac:dyDescent="0.3">
      <c r="A1529" s="117"/>
      <c r="B1529" s="117"/>
      <c r="C1529" s="117"/>
      <c r="D1529" s="117"/>
      <c r="E1529" s="200"/>
      <c r="F1529" s="200"/>
    </row>
    <row r="1530" spans="1:6" x14ac:dyDescent="0.3">
      <c r="A1530" s="117"/>
      <c r="B1530" s="117"/>
      <c r="C1530" s="117"/>
      <c r="D1530" s="117"/>
      <c r="E1530" s="200"/>
      <c r="F1530" s="200"/>
    </row>
    <row r="1531" spans="1:6" x14ac:dyDescent="0.3">
      <c r="A1531" s="117"/>
      <c r="B1531" s="117"/>
      <c r="C1531" s="117"/>
      <c r="D1531" s="117"/>
      <c r="E1531" s="200"/>
      <c r="F1531" s="200"/>
    </row>
    <row r="1532" spans="1:6" x14ac:dyDescent="0.3">
      <c r="A1532" s="117"/>
      <c r="B1532" s="117"/>
      <c r="C1532" s="117"/>
      <c r="D1532" s="117"/>
      <c r="E1532" s="200"/>
      <c r="F1532" s="200"/>
    </row>
    <row r="1533" spans="1:6" x14ac:dyDescent="0.3">
      <c r="A1533" s="117"/>
      <c r="B1533" s="117"/>
      <c r="C1533" s="117"/>
      <c r="D1533" s="117"/>
      <c r="E1533" s="200"/>
      <c r="F1533" s="200"/>
    </row>
    <row r="1534" spans="1:6" x14ac:dyDescent="0.3">
      <c r="A1534" s="117"/>
      <c r="B1534" s="117"/>
      <c r="C1534" s="117"/>
      <c r="D1534" s="117"/>
      <c r="E1534" s="200"/>
      <c r="F1534" s="200"/>
    </row>
    <row r="1535" spans="1:6" x14ac:dyDescent="0.3">
      <c r="A1535" s="117"/>
      <c r="B1535" s="117"/>
      <c r="C1535" s="117"/>
      <c r="D1535" s="117"/>
      <c r="E1535" s="200"/>
      <c r="F1535" s="200"/>
    </row>
    <row r="1536" spans="1:6" x14ac:dyDescent="0.3">
      <c r="A1536" s="117"/>
      <c r="B1536" s="117"/>
      <c r="C1536" s="117"/>
      <c r="D1536" s="117"/>
      <c r="E1536" s="200"/>
      <c r="F1536" s="200"/>
    </row>
    <row r="1537" spans="1:6" x14ac:dyDescent="0.3">
      <c r="A1537" s="117"/>
      <c r="B1537" s="117"/>
      <c r="C1537" s="117"/>
      <c r="D1537" s="117"/>
      <c r="E1537" s="200"/>
      <c r="F1537" s="200"/>
    </row>
    <row r="1538" spans="1:6" x14ac:dyDescent="0.3">
      <c r="A1538" s="117"/>
      <c r="B1538" s="117"/>
      <c r="C1538" s="117"/>
      <c r="D1538" s="117"/>
      <c r="E1538" s="200"/>
      <c r="F1538" s="200"/>
    </row>
    <row r="1539" spans="1:6" x14ac:dyDescent="0.3">
      <c r="A1539" s="117"/>
      <c r="B1539" s="117"/>
      <c r="C1539" s="117"/>
      <c r="D1539" s="117"/>
      <c r="E1539" s="200"/>
      <c r="F1539" s="200"/>
    </row>
    <row r="1540" spans="1:6" x14ac:dyDescent="0.3">
      <c r="A1540" s="117"/>
      <c r="B1540" s="117"/>
      <c r="C1540" s="117"/>
      <c r="D1540" s="117"/>
      <c r="E1540" s="200"/>
      <c r="F1540" s="200"/>
    </row>
    <row r="1541" spans="1:6" x14ac:dyDescent="0.3">
      <c r="A1541" s="117"/>
      <c r="B1541" s="117"/>
      <c r="C1541" s="117"/>
      <c r="D1541" s="117"/>
      <c r="E1541" s="200"/>
      <c r="F1541" s="200"/>
    </row>
    <row r="1542" spans="1:6" x14ac:dyDescent="0.3">
      <c r="A1542" s="117"/>
      <c r="B1542" s="117"/>
      <c r="C1542" s="117"/>
      <c r="D1542" s="117"/>
      <c r="E1542" s="200"/>
      <c r="F1542" s="200"/>
    </row>
    <row r="1543" spans="1:6" x14ac:dyDescent="0.3">
      <c r="A1543" s="117"/>
      <c r="B1543" s="117"/>
      <c r="C1543" s="117"/>
      <c r="D1543" s="117"/>
      <c r="E1543" s="200"/>
      <c r="F1543" s="200"/>
    </row>
    <row r="1544" spans="1:6" x14ac:dyDescent="0.3">
      <c r="A1544" s="117"/>
      <c r="B1544" s="117"/>
      <c r="C1544" s="117"/>
      <c r="D1544" s="117"/>
      <c r="E1544" s="200"/>
      <c r="F1544" s="200"/>
    </row>
    <row r="1545" spans="1:6" x14ac:dyDescent="0.3">
      <c r="A1545" s="117"/>
      <c r="B1545" s="117"/>
      <c r="C1545" s="117"/>
      <c r="D1545" s="117"/>
      <c r="E1545" s="200"/>
      <c r="F1545" s="200"/>
    </row>
    <row r="1546" spans="1:6" x14ac:dyDescent="0.3">
      <c r="A1546" s="117"/>
      <c r="B1546" s="117"/>
      <c r="C1546" s="117"/>
      <c r="D1546" s="117"/>
      <c r="E1546" s="200"/>
      <c r="F1546" s="200"/>
    </row>
    <row r="1547" spans="1:6" x14ac:dyDescent="0.3">
      <c r="A1547" s="117"/>
      <c r="B1547" s="117"/>
      <c r="C1547" s="117"/>
      <c r="D1547" s="117"/>
      <c r="E1547" s="200"/>
      <c r="F1547" s="200"/>
    </row>
    <row r="1548" spans="1:6" x14ac:dyDescent="0.3">
      <c r="A1548" s="117"/>
      <c r="B1548" s="117"/>
      <c r="C1548" s="117"/>
      <c r="D1548" s="117"/>
      <c r="E1548" s="200"/>
      <c r="F1548" s="200"/>
    </row>
    <row r="1549" spans="1:6" x14ac:dyDescent="0.3">
      <c r="A1549" s="117"/>
      <c r="B1549" s="117"/>
      <c r="C1549" s="117"/>
      <c r="D1549" s="117"/>
      <c r="E1549" s="200"/>
      <c r="F1549" s="200"/>
    </row>
    <row r="1550" spans="1:6" x14ac:dyDescent="0.3">
      <c r="A1550" s="117"/>
      <c r="B1550" s="117"/>
      <c r="C1550" s="117"/>
      <c r="D1550" s="117"/>
      <c r="E1550" s="200"/>
      <c r="F1550" s="200"/>
    </row>
    <row r="1551" spans="1:6" x14ac:dyDescent="0.3">
      <c r="A1551" s="117"/>
      <c r="B1551" s="117"/>
      <c r="C1551" s="117"/>
      <c r="D1551" s="117"/>
      <c r="E1551" s="200"/>
      <c r="F1551" s="200"/>
    </row>
    <row r="1552" spans="1:6" x14ac:dyDescent="0.3">
      <c r="A1552" s="117"/>
      <c r="B1552" s="117"/>
      <c r="C1552" s="117"/>
      <c r="D1552" s="117"/>
      <c r="E1552" s="200"/>
      <c r="F1552" s="200"/>
    </row>
    <row r="1553" spans="1:6" x14ac:dyDescent="0.3">
      <c r="A1553" s="117"/>
      <c r="B1553" s="117"/>
      <c r="C1553" s="117"/>
      <c r="D1553" s="117"/>
      <c r="E1553" s="200"/>
      <c r="F1553" s="200"/>
    </row>
    <row r="1554" spans="1:6" x14ac:dyDescent="0.3">
      <c r="A1554" s="117"/>
      <c r="B1554" s="117"/>
      <c r="C1554" s="117"/>
      <c r="D1554" s="117"/>
      <c r="E1554" s="200"/>
      <c r="F1554" s="200"/>
    </row>
    <row r="1555" spans="1:6" x14ac:dyDescent="0.3">
      <c r="A1555" s="117"/>
      <c r="B1555" s="117"/>
      <c r="C1555" s="117"/>
      <c r="D1555" s="117"/>
      <c r="E1555" s="200"/>
      <c r="F1555" s="200"/>
    </row>
    <row r="1556" spans="1:6" x14ac:dyDescent="0.3">
      <c r="A1556" s="117"/>
      <c r="B1556" s="117"/>
      <c r="C1556" s="117"/>
      <c r="D1556" s="117"/>
      <c r="E1556" s="200"/>
      <c r="F1556" s="200"/>
    </row>
    <row r="1557" spans="1:6" x14ac:dyDescent="0.3">
      <c r="A1557" s="117"/>
      <c r="B1557" s="117"/>
      <c r="C1557" s="117"/>
      <c r="D1557" s="117"/>
      <c r="E1557" s="200"/>
      <c r="F1557" s="200"/>
    </row>
    <row r="1558" spans="1:6" x14ac:dyDescent="0.3">
      <c r="A1558" s="117"/>
      <c r="B1558" s="117"/>
      <c r="C1558" s="117"/>
      <c r="D1558" s="117"/>
      <c r="E1558" s="200"/>
      <c r="F1558" s="200"/>
    </row>
    <row r="1559" spans="1:6" x14ac:dyDescent="0.3">
      <c r="A1559" s="117"/>
      <c r="B1559" s="117"/>
      <c r="C1559" s="117"/>
      <c r="D1559" s="117"/>
      <c r="E1559" s="200"/>
      <c r="F1559" s="200"/>
    </row>
    <row r="1560" spans="1:6" x14ac:dyDescent="0.3">
      <c r="A1560" s="117"/>
      <c r="B1560" s="117"/>
      <c r="C1560" s="117"/>
      <c r="D1560" s="117"/>
      <c r="E1560" s="200"/>
      <c r="F1560" s="200"/>
    </row>
    <row r="1561" spans="1:6" x14ac:dyDescent="0.3">
      <c r="A1561" s="117"/>
      <c r="B1561" s="117"/>
      <c r="C1561" s="117"/>
      <c r="D1561" s="117"/>
      <c r="E1561" s="200"/>
      <c r="F1561" s="200"/>
    </row>
    <row r="1562" spans="1:6" x14ac:dyDescent="0.3">
      <c r="A1562" s="117"/>
      <c r="B1562" s="117"/>
      <c r="C1562" s="117"/>
      <c r="D1562" s="117"/>
      <c r="E1562" s="200"/>
      <c r="F1562" s="200"/>
    </row>
    <row r="1563" spans="1:6" x14ac:dyDescent="0.3">
      <c r="A1563" s="117"/>
      <c r="B1563" s="117"/>
      <c r="C1563" s="117"/>
      <c r="D1563" s="117"/>
      <c r="E1563" s="200"/>
      <c r="F1563" s="200"/>
    </row>
    <row r="1564" spans="1:6" x14ac:dyDescent="0.3">
      <c r="A1564" s="117"/>
      <c r="B1564" s="117"/>
      <c r="C1564" s="117"/>
      <c r="D1564" s="117"/>
      <c r="E1564" s="200"/>
      <c r="F1564" s="200"/>
    </row>
    <row r="1565" spans="1:6" x14ac:dyDescent="0.3">
      <c r="A1565" s="117"/>
      <c r="B1565" s="117"/>
      <c r="C1565" s="117"/>
      <c r="D1565" s="117"/>
      <c r="E1565" s="200"/>
      <c r="F1565" s="200"/>
    </row>
    <row r="1566" spans="1:6" x14ac:dyDescent="0.3">
      <c r="A1566" s="117"/>
      <c r="B1566" s="117"/>
      <c r="C1566" s="117"/>
      <c r="D1566" s="117"/>
      <c r="E1566" s="200"/>
      <c r="F1566" s="200"/>
    </row>
    <row r="1567" spans="1:6" x14ac:dyDescent="0.3">
      <c r="A1567" s="117"/>
      <c r="B1567" s="117"/>
      <c r="C1567" s="117"/>
      <c r="D1567" s="117"/>
      <c r="E1567" s="200"/>
      <c r="F1567" s="200"/>
    </row>
    <row r="1568" spans="1:6" x14ac:dyDescent="0.3">
      <c r="A1568" s="117"/>
      <c r="B1568" s="117"/>
      <c r="C1568" s="117"/>
      <c r="D1568" s="117"/>
      <c r="E1568" s="200"/>
      <c r="F1568" s="200"/>
    </row>
    <row r="1569" spans="1:6" x14ac:dyDescent="0.3">
      <c r="A1569" s="117"/>
      <c r="B1569" s="117"/>
      <c r="C1569" s="117"/>
      <c r="D1569" s="117"/>
      <c r="E1569" s="200"/>
      <c r="F1569" s="200"/>
    </row>
    <row r="1570" spans="1:6" x14ac:dyDescent="0.3">
      <c r="A1570" s="117"/>
      <c r="B1570" s="117"/>
      <c r="C1570" s="117"/>
      <c r="D1570" s="117"/>
      <c r="E1570" s="200"/>
      <c r="F1570" s="200"/>
    </row>
    <row r="1571" spans="1:6" x14ac:dyDescent="0.3">
      <c r="A1571" s="117"/>
      <c r="B1571" s="117"/>
      <c r="C1571" s="117"/>
      <c r="D1571" s="117"/>
      <c r="E1571" s="200"/>
      <c r="F1571" s="200"/>
    </row>
    <row r="1572" spans="1:6" x14ac:dyDescent="0.3">
      <c r="A1572" s="117"/>
      <c r="B1572" s="117"/>
      <c r="C1572" s="117"/>
      <c r="D1572" s="117"/>
      <c r="E1572" s="200"/>
      <c r="F1572" s="200"/>
    </row>
    <row r="1573" spans="1:6" x14ac:dyDescent="0.3">
      <c r="A1573" s="117"/>
      <c r="B1573" s="117"/>
      <c r="C1573" s="117"/>
      <c r="D1573" s="117"/>
      <c r="E1573" s="200"/>
      <c r="F1573" s="200"/>
    </row>
    <row r="1574" spans="1:6" x14ac:dyDescent="0.3">
      <c r="A1574" s="117"/>
      <c r="B1574" s="117"/>
      <c r="C1574" s="117"/>
      <c r="D1574" s="117"/>
      <c r="E1574" s="200"/>
      <c r="F1574" s="200"/>
    </row>
    <row r="1575" spans="1:6" x14ac:dyDescent="0.3">
      <c r="A1575" s="117"/>
      <c r="B1575" s="117"/>
      <c r="C1575" s="117"/>
      <c r="D1575" s="117"/>
      <c r="E1575" s="200"/>
      <c r="F1575" s="200"/>
    </row>
    <row r="1576" spans="1:6" x14ac:dyDescent="0.3">
      <c r="A1576" s="117"/>
      <c r="B1576" s="117"/>
      <c r="C1576" s="117"/>
      <c r="D1576" s="117"/>
      <c r="E1576" s="200"/>
      <c r="F1576" s="200"/>
    </row>
    <row r="1577" spans="1:6" x14ac:dyDescent="0.3">
      <c r="A1577" s="117"/>
      <c r="B1577" s="117"/>
      <c r="C1577" s="117"/>
      <c r="D1577" s="117"/>
      <c r="E1577" s="200"/>
      <c r="F1577" s="200"/>
    </row>
    <row r="1578" spans="1:6" x14ac:dyDescent="0.3">
      <c r="A1578" s="117"/>
      <c r="B1578" s="117"/>
      <c r="C1578" s="117"/>
      <c r="D1578" s="117"/>
      <c r="E1578" s="200"/>
      <c r="F1578" s="200"/>
    </row>
    <row r="1579" spans="1:6" x14ac:dyDescent="0.3">
      <c r="A1579" s="117"/>
      <c r="B1579" s="117"/>
      <c r="C1579" s="117"/>
      <c r="D1579" s="117"/>
      <c r="E1579" s="200"/>
      <c r="F1579" s="200"/>
    </row>
    <row r="1580" spans="1:6" x14ac:dyDescent="0.3">
      <c r="A1580" s="117"/>
      <c r="B1580" s="117"/>
      <c r="C1580" s="117"/>
      <c r="D1580" s="117"/>
      <c r="E1580" s="200"/>
      <c r="F1580" s="200"/>
    </row>
    <row r="1581" spans="1:6" x14ac:dyDescent="0.3">
      <c r="A1581" s="117"/>
      <c r="B1581" s="117"/>
      <c r="C1581" s="117"/>
      <c r="D1581" s="117"/>
      <c r="E1581" s="200"/>
      <c r="F1581" s="200"/>
    </row>
    <row r="1582" spans="1:6" x14ac:dyDescent="0.3">
      <c r="A1582" s="117"/>
      <c r="B1582" s="117"/>
      <c r="C1582" s="117"/>
      <c r="D1582" s="117"/>
      <c r="E1582" s="200"/>
      <c r="F1582" s="200"/>
    </row>
    <row r="1583" spans="1:6" x14ac:dyDescent="0.3">
      <c r="A1583" s="117"/>
      <c r="B1583" s="117"/>
      <c r="C1583" s="117"/>
      <c r="D1583" s="117"/>
      <c r="E1583" s="200"/>
      <c r="F1583" s="200"/>
    </row>
    <row r="1584" spans="1:6" x14ac:dyDescent="0.3">
      <c r="A1584" s="117"/>
      <c r="B1584" s="117"/>
      <c r="C1584" s="117"/>
      <c r="D1584" s="117"/>
      <c r="E1584" s="200"/>
      <c r="F1584" s="200"/>
    </row>
    <row r="1585" spans="1:6" x14ac:dyDescent="0.3">
      <c r="A1585" s="117"/>
      <c r="B1585" s="117"/>
      <c r="C1585" s="117"/>
      <c r="D1585" s="117"/>
      <c r="E1585" s="200"/>
      <c r="F1585" s="200"/>
    </row>
    <row r="1586" spans="1:6" x14ac:dyDescent="0.3">
      <c r="A1586" s="117"/>
      <c r="B1586" s="117"/>
      <c r="C1586" s="117"/>
      <c r="D1586" s="117"/>
      <c r="E1586" s="200"/>
      <c r="F1586" s="200"/>
    </row>
    <row r="1587" spans="1:6" x14ac:dyDescent="0.3">
      <c r="A1587" s="117"/>
      <c r="B1587" s="117"/>
      <c r="C1587" s="117"/>
      <c r="D1587" s="117"/>
      <c r="E1587" s="200"/>
      <c r="F1587" s="200"/>
    </row>
    <row r="1588" spans="1:6" x14ac:dyDescent="0.3">
      <c r="A1588" s="117"/>
      <c r="B1588" s="117"/>
      <c r="C1588" s="117"/>
      <c r="D1588" s="117"/>
      <c r="E1588" s="200"/>
      <c r="F1588" s="200"/>
    </row>
    <row r="1589" spans="1:6" x14ac:dyDescent="0.3">
      <c r="A1589" s="117"/>
      <c r="B1589" s="117"/>
      <c r="C1589" s="117"/>
      <c r="D1589" s="117"/>
      <c r="E1589" s="200"/>
      <c r="F1589" s="200"/>
    </row>
    <row r="1590" spans="1:6" x14ac:dyDescent="0.3">
      <c r="A1590" s="117"/>
      <c r="B1590" s="117"/>
      <c r="C1590" s="117"/>
      <c r="D1590" s="117"/>
      <c r="E1590" s="200"/>
      <c r="F1590" s="200"/>
    </row>
    <row r="1591" spans="1:6" x14ac:dyDescent="0.3">
      <c r="A1591" s="117"/>
      <c r="B1591" s="117"/>
      <c r="C1591" s="117"/>
      <c r="D1591" s="117"/>
      <c r="E1591" s="200"/>
      <c r="F1591" s="200"/>
    </row>
    <row r="1592" spans="1:6" x14ac:dyDescent="0.3">
      <c r="A1592" s="117"/>
      <c r="B1592" s="117"/>
      <c r="C1592" s="117"/>
      <c r="D1592" s="117"/>
      <c r="E1592" s="200"/>
      <c r="F1592" s="200"/>
    </row>
    <row r="1593" spans="1:6" x14ac:dyDescent="0.3">
      <c r="A1593" s="117"/>
      <c r="B1593" s="117"/>
      <c r="C1593" s="117"/>
      <c r="D1593" s="117"/>
      <c r="E1593" s="200"/>
      <c r="F1593" s="200"/>
    </row>
    <row r="1594" spans="1:6" x14ac:dyDescent="0.3">
      <c r="A1594" s="117"/>
      <c r="B1594" s="117"/>
      <c r="C1594" s="117"/>
      <c r="D1594" s="117"/>
      <c r="E1594" s="200"/>
      <c r="F1594" s="200"/>
    </row>
    <row r="1595" spans="1:6" x14ac:dyDescent="0.3">
      <c r="A1595" s="117"/>
      <c r="B1595" s="117"/>
      <c r="C1595" s="117"/>
      <c r="D1595" s="117"/>
      <c r="E1595" s="200"/>
      <c r="F1595" s="200"/>
    </row>
    <row r="1596" spans="1:6" x14ac:dyDescent="0.3">
      <c r="A1596" s="117"/>
      <c r="B1596" s="117"/>
      <c r="C1596" s="117"/>
      <c r="D1596" s="117"/>
      <c r="E1596" s="200"/>
      <c r="F1596" s="200"/>
    </row>
    <row r="1597" spans="1:6" x14ac:dyDescent="0.3">
      <c r="A1597" s="117"/>
      <c r="B1597" s="117"/>
      <c r="C1597" s="117"/>
      <c r="D1597" s="117"/>
      <c r="E1597" s="200"/>
      <c r="F1597" s="200"/>
    </row>
    <row r="1598" spans="1:6" x14ac:dyDescent="0.3">
      <c r="A1598" s="117"/>
      <c r="B1598" s="117"/>
      <c r="C1598" s="117"/>
      <c r="D1598" s="117"/>
      <c r="E1598" s="200"/>
      <c r="F1598" s="200"/>
    </row>
    <row r="1599" spans="1:6" x14ac:dyDescent="0.3">
      <c r="A1599" s="117"/>
      <c r="B1599" s="117"/>
      <c r="C1599" s="117"/>
      <c r="D1599" s="117"/>
      <c r="E1599" s="200"/>
      <c r="F1599" s="200"/>
    </row>
    <row r="1600" spans="1:6" x14ac:dyDescent="0.3">
      <c r="A1600" s="117"/>
      <c r="B1600" s="117"/>
      <c r="C1600" s="117"/>
      <c r="D1600" s="117"/>
      <c r="E1600" s="200"/>
      <c r="F1600" s="200"/>
    </row>
    <row r="1601" spans="1:6" x14ac:dyDescent="0.3">
      <c r="A1601" s="117"/>
      <c r="B1601" s="117"/>
      <c r="C1601" s="117"/>
      <c r="D1601" s="117"/>
      <c r="E1601" s="200"/>
      <c r="F1601" s="200"/>
    </row>
    <row r="1602" spans="1:6" x14ac:dyDescent="0.3">
      <c r="A1602" s="117"/>
      <c r="B1602" s="117"/>
      <c r="C1602" s="117"/>
      <c r="D1602" s="117"/>
      <c r="E1602" s="200"/>
      <c r="F1602" s="200"/>
    </row>
    <row r="1603" spans="1:6" x14ac:dyDescent="0.3">
      <c r="A1603" s="117"/>
      <c r="B1603" s="117"/>
      <c r="C1603" s="117"/>
      <c r="D1603" s="117"/>
      <c r="E1603" s="200"/>
      <c r="F1603" s="200"/>
    </row>
    <row r="1604" spans="1:6" x14ac:dyDescent="0.3">
      <c r="A1604" s="117"/>
      <c r="B1604" s="117"/>
      <c r="C1604" s="117"/>
      <c r="D1604" s="117"/>
      <c r="E1604" s="200"/>
      <c r="F1604" s="200"/>
    </row>
    <row r="1605" spans="1:6" x14ac:dyDescent="0.3">
      <c r="A1605" s="117"/>
      <c r="B1605" s="117"/>
      <c r="C1605" s="117"/>
      <c r="D1605" s="117"/>
      <c r="E1605" s="200"/>
      <c r="F1605" s="200"/>
    </row>
    <row r="1606" spans="1:6" x14ac:dyDescent="0.3">
      <c r="A1606" s="117"/>
      <c r="B1606" s="117"/>
      <c r="C1606" s="117"/>
      <c r="D1606" s="117"/>
      <c r="E1606" s="200"/>
      <c r="F1606" s="200"/>
    </row>
    <row r="1607" spans="1:6" x14ac:dyDescent="0.3">
      <c r="A1607" s="117"/>
      <c r="B1607" s="117"/>
      <c r="C1607" s="117"/>
      <c r="D1607" s="117"/>
      <c r="E1607" s="200"/>
      <c r="F1607" s="200"/>
    </row>
    <row r="1608" spans="1:6" x14ac:dyDescent="0.3">
      <c r="A1608" s="117"/>
      <c r="B1608" s="117"/>
      <c r="C1608" s="117"/>
      <c r="D1608" s="117"/>
      <c r="E1608" s="200"/>
      <c r="F1608" s="200"/>
    </row>
    <row r="1609" spans="1:6" x14ac:dyDescent="0.3">
      <c r="A1609" s="117"/>
      <c r="B1609" s="117"/>
      <c r="C1609" s="117"/>
      <c r="D1609" s="117"/>
      <c r="E1609" s="200"/>
      <c r="F1609" s="200"/>
    </row>
    <row r="1610" spans="1:6" x14ac:dyDescent="0.3">
      <c r="A1610" s="117"/>
      <c r="B1610" s="117"/>
      <c r="C1610" s="117"/>
      <c r="D1610" s="117"/>
      <c r="E1610" s="200"/>
      <c r="F1610" s="200"/>
    </row>
    <row r="1611" spans="1:6" x14ac:dyDescent="0.3">
      <c r="A1611" s="117"/>
      <c r="B1611" s="117"/>
      <c r="C1611" s="117"/>
      <c r="D1611" s="117"/>
      <c r="E1611" s="200"/>
      <c r="F1611" s="200"/>
    </row>
    <row r="1612" spans="1:6" x14ac:dyDescent="0.3">
      <c r="A1612" s="117"/>
      <c r="B1612" s="117"/>
      <c r="C1612" s="117"/>
      <c r="D1612" s="117"/>
      <c r="E1612" s="200"/>
      <c r="F1612" s="200"/>
    </row>
    <row r="1613" spans="1:6" x14ac:dyDescent="0.3">
      <c r="A1613" s="117"/>
      <c r="B1613" s="117"/>
      <c r="C1613" s="117"/>
      <c r="D1613" s="117"/>
      <c r="E1613" s="200"/>
      <c r="F1613" s="200"/>
    </row>
    <row r="1614" spans="1:6" x14ac:dyDescent="0.3">
      <c r="A1614" s="117"/>
      <c r="B1614" s="117"/>
      <c r="C1614" s="117"/>
      <c r="D1614" s="117"/>
      <c r="E1614" s="200"/>
      <c r="F1614" s="200"/>
    </row>
    <row r="1615" spans="1:6" x14ac:dyDescent="0.3">
      <c r="A1615" s="117"/>
      <c r="B1615" s="117"/>
      <c r="C1615" s="117"/>
      <c r="D1615" s="117"/>
      <c r="E1615" s="200"/>
      <c r="F1615" s="200"/>
    </row>
    <row r="1616" spans="1:6" x14ac:dyDescent="0.3">
      <c r="A1616" s="117"/>
      <c r="B1616" s="117"/>
      <c r="C1616" s="117"/>
      <c r="D1616" s="117"/>
      <c r="E1616" s="200"/>
      <c r="F1616" s="200"/>
    </row>
    <row r="1617" spans="1:6" x14ac:dyDescent="0.3">
      <c r="A1617" s="117"/>
      <c r="B1617" s="117"/>
      <c r="C1617" s="117"/>
      <c r="D1617" s="117"/>
      <c r="E1617" s="200"/>
      <c r="F1617" s="200"/>
    </row>
    <row r="1618" spans="1:6" x14ac:dyDescent="0.3">
      <c r="A1618" s="117"/>
      <c r="B1618" s="117"/>
      <c r="C1618" s="117"/>
      <c r="D1618" s="117"/>
      <c r="E1618" s="200"/>
      <c r="F1618" s="200"/>
    </row>
    <row r="1619" spans="1:6" x14ac:dyDescent="0.3">
      <c r="A1619" s="117"/>
      <c r="B1619" s="117"/>
      <c r="C1619" s="117"/>
      <c r="D1619" s="117"/>
      <c r="E1619" s="200"/>
      <c r="F1619" s="200"/>
    </row>
    <row r="1620" spans="1:6" x14ac:dyDescent="0.3">
      <c r="A1620" s="117"/>
      <c r="B1620" s="117"/>
      <c r="C1620" s="117"/>
      <c r="D1620" s="117"/>
      <c r="E1620" s="200"/>
      <c r="F1620" s="200"/>
    </row>
    <row r="1621" spans="1:6" x14ac:dyDescent="0.3">
      <c r="A1621" s="117"/>
      <c r="B1621" s="117"/>
      <c r="C1621" s="117"/>
      <c r="D1621" s="117"/>
      <c r="E1621" s="200"/>
      <c r="F1621" s="200"/>
    </row>
    <row r="1622" spans="1:6" x14ac:dyDescent="0.3">
      <c r="A1622" s="117"/>
      <c r="B1622" s="117"/>
      <c r="C1622" s="117"/>
      <c r="D1622" s="117"/>
      <c r="E1622" s="200"/>
      <c r="F1622" s="200"/>
    </row>
    <row r="1623" spans="1:6" x14ac:dyDescent="0.3">
      <c r="A1623" s="117"/>
      <c r="B1623" s="117"/>
      <c r="C1623" s="117"/>
      <c r="D1623" s="117"/>
      <c r="E1623" s="200"/>
      <c r="F1623" s="200"/>
    </row>
    <row r="1624" spans="1:6" x14ac:dyDescent="0.3">
      <c r="A1624" s="117"/>
      <c r="B1624" s="117"/>
      <c r="C1624" s="117"/>
      <c r="D1624" s="117"/>
      <c r="E1624" s="200"/>
      <c r="F1624" s="200"/>
    </row>
    <row r="1625" spans="1:6" x14ac:dyDescent="0.3">
      <c r="A1625" s="117"/>
      <c r="B1625" s="117"/>
      <c r="C1625" s="117"/>
      <c r="D1625" s="117"/>
      <c r="E1625" s="200"/>
      <c r="F1625" s="200"/>
    </row>
    <row r="1626" spans="1:6" x14ac:dyDescent="0.3">
      <c r="A1626" s="117"/>
      <c r="B1626" s="117"/>
      <c r="C1626" s="117"/>
      <c r="D1626" s="117"/>
      <c r="E1626" s="200"/>
      <c r="F1626" s="200"/>
    </row>
    <row r="1627" spans="1:6" x14ac:dyDescent="0.3">
      <c r="A1627" s="117"/>
      <c r="B1627" s="117"/>
      <c r="C1627" s="117"/>
      <c r="D1627" s="117"/>
      <c r="E1627" s="200"/>
      <c r="F1627" s="200"/>
    </row>
    <row r="1628" spans="1:6" x14ac:dyDescent="0.3">
      <c r="A1628" s="117"/>
      <c r="B1628" s="117"/>
      <c r="C1628" s="117"/>
      <c r="D1628" s="117"/>
      <c r="E1628" s="200"/>
      <c r="F1628" s="200"/>
    </row>
    <row r="1629" spans="1:6" x14ac:dyDescent="0.3">
      <c r="A1629" s="117"/>
      <c r="B1629" s="117"/>
      <c r="C1629" s="117"/>
      <c r="D1629" s="117"/>
      <c r="E1629" s="200"/>
      <c r="F1629" s="200"/>
    </row>
    <row r="1630" spans="1:6" x14ac:dyDescent="0.3">
      <c r="A1630" s="117"/>
      <c r="B1630" s="117"/>
      <c r="C1630" s="117"/>
      <c r="D1630" s="117"/>
      <c r="E1630" s="200"/>
      <c r="F1630" s="200"/>
    </row>
    <row r="1631" spans="1:6" x14ac:dyDescent="0.3">
      <c r="A1631" s="117"/>
      <c r="B1631" s="117"/>
      <c r="C1631" s="117"/>
      <c r="D1631" s="117"/>
      <c r="E1631" s="200"/>
      <c r="F1631" s="200"/>
    </row>
    <row r="1632" spans="1:6" x14ac:dyDescent="0.3">
      <c r="A1632" s="117"/>
      <c r="B1632" s="117"/>
      <c r="C1632" s="117"/>
      <c r="D1632" s="117"/>
      <c r="E1632" s="200"/>
      <c r="F1632" s="200"/>
    </row>
    <row r="1633" spans="1:6" x14ac:dyDescent="0.3">
      <c r="A1633" s="117"/>
      <c r="B1633" s="117"/>
      <c r="C1633" s="117"/>
      <c r="D1633" s="117"/>
      <c r="E1633" s="200"/>
      <c r="F1633" s="200"/>
    </row>
    <row r="1634" spans="1:6" x14ac:dyDescent="0.3">
      <c r="A1634" s="117"/>
      <c r="B1634" s="117"/>
      <c r="C1634" s="117"/>
      <c r="D1634" s="117"/>
      <c r="E1634" s="200"/>
      <c r="F1634" s="200"/>
    </row>
    <row r="1635" spans="1:6" x14ac:dyDescent="0.3">
      <c r="A1635" s="117"/>
      <c r="B1635" s="117"/>
      <c r="C1635" s="117"/>
      <c r="D1635" s="117"/>
      <c r="E1635" s="200"/>
      <c r="F1635" s="200"/>
    </row>
    <row r="1636" spans="1:6" x14ac:dyDescent="0.3">
      <c r="A1636" s="117"/>
      <c r="B1636" s="117"/>
      <c r="C1636" s="117"/>
      <c r="D1636" s="117"/>
      <c r="E1636" s="200"/>
      <c r="F1636" s="200"/>
    </row>
    <row r="1637" spans="1:6" x14ac:dyDescent="0.3">
      <c r="A1637" s="117"/>
      <c r="B1637" s="117"/>
      <c r="C1637" s="117"/>
      <c r="D1637" s="117"/>
      <c r="E1637" s="200"/>
      <c r="F1637" s="200"/>
    </row>
    <row r="1638" spans="1:6" x14ac:dyDescent="0.3">
      <c r="A1638" s="117"/>
      <c r="B1638" s="117"/>
      <c r="C1638" s="117"/>
      <c r="D1638" s="117"/>
      <c r="E1638" s="200"/>
      <c r="F1638" s="200"/>
    </row>
    <row r="1639" spans="1:6" x14ac:dyDescent="0.3">
      <c r="A1639" s="117"/>
      <c r="B1639" s="117"/>
      <c r="C1639" s="117"/>
      <c r="D1639" s="117"/>
      <c r="E1639" s="200"/>
      <c r="F1639" s="200"/>
    </row>
    <row r="1640" spans="1:6" x14ac:dyDescent="0.3">
      <c r="A1640" s="117"/>
      <c r="B1640" s="117"/>
      <c r="C1640" s="117"/>
      <c r="D1640" s="117"/>
      <c r="E1640" s="200"/>
      <c r="F1640" s="200"/>
    </row>
    <row r="1641" spans="1:6" x14ac:dyDescent="0.3">
      <c r="A1641" s="117"/>
      <c r="B1641" s="117"/>
      <c r="C1641" s="117"/>
      <c r="D1641" s="117"/>
      <c r="E1641" s="200"/>
      <c r="F1641" s="200"/>
    </row>
    <row r="1642" spans="1:6" x14ac:dyDescent="0.3">
      <c r="A1642" s="117"/>
      <c r="B1642" s="117"/>
      <c r="C1642" s="117"/>
      <c r="D1642" s="117"/>
      <c r="E1642" s="200"/>
      <c r="F1642" s="200"/>
    </row>
    <row r="1643" spans="1:6" x14ac:dyDescent="0.3">
      <c r="A1643" s="117"/>
      <c r="B1643" s="117"/>
      <c r="C1643" s="117"/>
      <c r="D1643" s="117"/>
      <c r="E1643" s="200"/>
      <c r="F1643" s="200"/>
    </row>
    <row r="1644" spans="1:6" x14ac:dyDescent="0.3">
      <c r="A1644" s="117"/>
      <c r="B1644" s="117"/>
      <c r="C1644" s="117"/>
      <c r="D1644" s="117"/>
      <c r="E1644" s="200"/>
      <c r="F1644" s="200"/>
    </row>
    <row r="1645" spans="1:6" x14ac:dyDescent="0.3">
      <c r="A1645" s="117"/>
      <c r="B1645" s="117"/>
      <c r="C1645" s="117"/>
      <c r="D1645" s="117"/>
      <c r="E1645" s="200"/>
      <c r="F1645" s="200"/>
    </row>
    <row r="1646" spans="1:6" x14ac:dyDescent="0.3">
      <c r="A1646" s="117"/>
      <c r="B1646" s="117"/>
      <c r="C1646" s="117"/>
      <c r="D1646" s="117"/>
      <c r="E1646" s="200"/>
      <c r="F1646" s="200"/>
    </row>
    <row r="1647" spans="1:6" x14ac:dyDescent="0.3">
      <c r="A1647" s="117"/>
      <c r="B1647" s="117"/>
      <c r="C1647" s="117"/>
      <c r="D1647" s="117"/>
      <c r="E1647" s="200"/>
      <c r="F1647" s="200"/>
    </row>
    <row r="1648" spans="1:6" x14ac:dyDescent="0.3">
      <c r="A1648" s="117"/>
      <c r="B1648" s="117"/>
      <c r="C1648" s="117"/>
      <c r="D1648" s="117"/>
      <c r="E1648" s="200"/>
      <c r="F1648" s="200"/>
    </row>
    <row r="1649" spans="1:6" x14ac:dyDescent="0.3">
      <c r="A1649" s="117"/>
      <c r="B1649" s="117"/>
      <c r="C1649" s="117"/>
      <c r="D1649" s="117"/>
      <c r="E1649" s="200"/>
      <c r="F1649" s="200"/>
    </row>
    <row r="1650" spans="1:6" x14ac:dyDescent="0.3">
      <c r="A1650" s="117"/>
      <c r="B1650" s="117"/>
      <c r="C1650" s="117"/>
      <c r="D1650" s="117"/>
      <c r="E1650" s="200"/>
      <c r="F1650" s="200"/>
    </row>
    <row r="1651" spans="1:6" x14ac:dyDescent="0.3">
      <c r="A1651" s="117"/>
      <c r="B1651" s="117"/>
      <c r="C1651" s="117"/>
      <c r="D1651" s="117"/>
      <c r="E1651" s="200"/>
      <c r="F1651" s="200"/>
    </row>
    <row r="1652" spans="1:6" x14ac:dyDescent="0.3">
      <c r="A1652" s="117"/>
      <c r="B1652" s="117"/>
      <c r="C1652" s="117"/>
      <c r="D1652" s="117"/>
      <c r="E1652" s="200"/>
      <c r="F1652" s="200"/>
    </row>
    <row r="1653" spans="1:6" x14ac:dyDescent="0.3">
      <c r="A1653" s="117"/>
      <c r="B1653" s="117"/>
      <c r="C1653" s="117"/>
      <c r="D1653" s="117"/>
      <c r="E1653" s="200"/>
      <c r="F1653" s="200"/>
    </row>
    <row r="1654" spans="1:6" x14ac:dyDescent="0.3">
      <c r="A1654" s="117"/>
      <c r="B1654" s="117"/>
      <c r="C1654" s="117"/>
      <c r="D1654" s="117"/>
      <c r="E1654" s="200"/>
      <c r="F1654" s="200"/>
    </row>
    <row r="1655" spans="1:6" x14ac:dyDescent="0.3">
      <c r="A1655" s="117"/>
      <c r="B1655" s="117"/>
      <c r="C1655" s="117"/>
      <c r="D1655" s="117"/>
      <c r="E1655" s="200"/>
      <c r="F1655" s="200"/>
    </row>
    <row r="1656" spans="1:6" x14ac:dyDescent="0.3">
      <c r="A1656" s="117"/>
      <c r="B1656" s="117"/>
      <c r="C1656" s="117"/>
      <c r="D1656" s="117"/>
      <c r="E1656" s="200"/>
      <c r="F1656" s="200"/>
    </row>
    <row r="1657" spans="1:6" x14ac:dyDescent="0.3">
      <c r="A1657" s="117"/>
      <c r="B1657" s="117"/>
      <c r="C1657" s="117"/>
      <c r="D1657" s="117"/>
      <c r="E1657" s="200"/>
      <c r="F1657" s="200"/>
    </row>
    <row r="1658" spans="1:6" x14ac:dyDescent="0.3">
      <c r="A1658" s="117"/>
      <c r="B1658" s="117"/>
      <c r="C1658" s="117"/>
      <c r="D1658" s="117"/>
      <c r="E1658" s="200"/>
      <c r="F1658" s="200"/>
    </row>
    <row r="1659" spans="1:6" x14ac:dyDescent="0.3">
      <c r="A1659" s="117"/>
      <c r="B1659" s="117"/>
      <c r="C1659" s="117"/>
      <c r="D1659" s="117"/>
      <c r="E1659" s="200"/>
      <c r="F1659" s="200"/>
    </row>
    <row r="1660" spans="1:6" x14ac:dyDescent="0.3">
      <c r="A1660" s="117"/>
      <c r="B1660" s="117"/>
      <c r="C1660" s="117"/>
      <c r="D1660" s="117"/>
      <c r="E1660" s="200"/>
      <c r="F1660" s="200"/>
    </row>
    <row r="1661" spans="1:6" x14ac:dyDescent="0.3">
      <c r="A1661" s="117"/>
      <c r="B1661" s="117"/>
      <c r="C1661" s="117"/>
      <c r="D1661" s="117"/>
      <c r="E1661" s="200"/>
      <c r="F1661" s="200"/>
    </row>
    <row r="1662" spans="1:6" x14ac:dyDescent="0.3">
      <c r="A1662" s="117"/>
      <c r="B1662" s="117"/>
      <c r="C1662" s="117"/>
      <c r="D1662" s="117"/>
      <c r="E1662" s="200"/>
      <c r="F1662" s="200"/>
    </row>
    <row r="1663" spans="1:6" x14ac:dyDescent="0.3">
      <c r="A1663" s="117"/>
      <c r="B1663" s="117"/>
      <c r="C1663" s="117"/>
      <c r="D1663" s="117"/>
      <c r="E1663" s="200"/>
      <c r="F1663" s="200"/>
    </row>
    <row r="1664" spans="1:6" x14ac:dyDescent="0.3">
      <c r="A1664" s="117"/>
      <c r="B1664" s="117"/>
      <c r="C1664" s="117"/>
      <c r="D1664" s="117"/>
      <c r="E1664" s="200"/>
      <c r="F1664" s="200"/>
    </row>
    <row r="1665" spans="1:6" x14ac:dyDescent="0.3">
      <c r="A1665" s="117"/>
      <c r="B1665" s="117"/>
      <c r="C1665" s="117"/>
      <c r="D1665" s="117"/>
      <c r="E1665" s="200"/>
      <c r="F1665" s="200"/>
    </row>
    <row r="1666" spans="1:6" x14ac:dyDescent="0.3">
      <c r="A1666" s="117"/>
      <c r="B1666" s="117"/>
      <c r="C1666" s="117"/>
      <c r="D1666" s="117"/>
      <c r="E1666" s="200"/>
      <c r="F1666" s="200"/>
    </row>
    <row r="1667" spans="1:6" x14ac:dyDescent="0.3">
      <c r="A1667" s="117"/>
      <c r="B1667" s="117"/>
      <c r="C1667" s="117"/>
      <c r="D1667" s="117"/>
      <c r="E1667" s="200"/>
      <c r="F1667" s="200"/>
    </row>
    <row r="1668" spans="1:6" x14ac:dyDescent="0.3">
      <c r="A1668" s="117"/>
      <c r="B1668" s="117"/>
      <c r="C1668" s="117"/>
      <c r="D1668" s="117"/>
      <c r="E1668" s="200"/>
      <c r="F1668" s="200"/>
    </row>
    <row r="1669" spans="1:6" x14ac:dyDescent="0.3">
      <c r="A1669" s="117"/>
      <c r="B1669" s="117"/>
      <c r="C1669" s="117"/>
      <c r="D1669" s="117"/>
      <c r="E1669" s="200"/>
      <c r="F1669" s="200"/>
    </row>
    <row r="1670" spans="1:6" x14ac:dyDescent="0.3">
      <c r="A1670" s="117"/>
      <c r="B1670" s="117"/>
      <c r="C1670" s="117"/>
      <c r="D1670" s="117"/>
      <c r="E1670" s="200"/>
      <c r="F1670" s="200"/>
    </row>
    <row r="1671" spans="1:6" x14ac:dyDescent="0.3">
      <c r="A1671" s="117"/>
      <c r="B1671" s="117"/>
      <c r="C1671" s="117"/>
      <c r="D1671" s="117"/>
      <c r="E1671" s="200"/>
      <c r="F1671" s="200"/>
    </row>
    <row r="1672" spans="1:6" x14ac:dyDescent="0.3">
      <c r="A1672" s="117"/>
      <c r="B1672" s="117"/>
      <c r="C1672" s="117"/>
      <c r="D1672" s="117"/>
      <c r="E1672" s="200"/>
      <c r="F1672" s="200"/>
    </row>
    <row r="1673" spans="1:6" x14ac:dyDescent="0.3">
      <c r="A1673" s="117"/>
      <c r="B1673" s="117"/>
      <c r="C1673" s="117"/>
      <c r="D1673" s="117"/>
      <c r="E1673" s="200"/>
      <c r="F1673" s="200"/>
    </row>
    <row r="1674" spans="1:6" x14ac:dyDescent="0.3">
      <c r="A1674" s="117"/>
      <c r="B1674" s="117"/>
      <c r="C1674" s="117"/>
      <c r="D1674" s="117"/>
      <c r="E1674" s="200"/>
      <c r="F1674" s="200"/>
    </row>
    <row r="1675" spans="1:6" x14ac:dyDescent="0.3">
      <c r="A1675" s="117"/>
      <c r="B1675" s="117"/>
      <c r="C1675" s="117"/>
      <c r="D1675" s="117"/>
      <c r="E1675" s="200"/>
      <c r="F1675" s="200"/>
    </row>
    <row r="1676" spans="1:6" x14ac:dyDescent="0.3">
      <c r="A1676" s="117"/>
      <c r="B1676" s="117"/>
      <c r="C1676" s="117"/>
      <c r="D1676" s="117"/>
      <c r="E1676" s="200"/>
      <c r="F1676" s="200"/>
    </row>
    <row r="1677" spans="1:6" x14ac:dyDescent="0.3">
      <c r="A1677" s="117"/>
      <c r="B1677" s="117"/>
      <c r="C1677" s="117"/>
      <c r="D1677" s="117"/>
      <c r="E1677" s="200"/>
      <c r="F1677" s="200"/>
    </row>
    <row r="1678" spans="1:6" x14ac:dyDescent="0.3">
      <c r="A1678" s="117"/>
      <c r="B1678" s="117"/>
      <c r="C1678" s="117"/>
      <c r="D1678" s="117"/>
      <c r="E1678" s="200"/>
      <c r="F1678" s="200"/>
    </row>
    <row r="1679" spans="1:6" x14ac:dyDescent="0.3">
      <c r="A1679" s="117"/>
      <c r="B1679" s="117"/>
      <c r="C1679" s="117"/>
      <c r="D1679" s="117"/>
      <c r="E1679" s="200"/>
      <c r="F1679" s="200"/>
    </row>
    <row r="1680" spans="1:6" x14ac:dyDescent="0.3">
      <c r="A1680" s="117"/>
      <c r="B1680" s="117"/>
      <c r="C1680" s="117"/>
      <c r="D1680" s="117"/>
      <c r="E1680" s="200"/>
      <c r="F1680" s="200"/>
    </row>
    <row r="1681" spans="1:6" x14ac:dyDescent="0.3">
      <c r="A1681" s="117"/>
      <c r="B1681" s="117"/>
      <c r="C1681" s="117"/>
      <c r="D1681" s="117"/>
      <c r="E1681" s="200"/>
      <c r="F1681" s="200"/>
    </row>
    <row r="1682" spans="1:6" x14ac:dyDescent="0.3">
      <c r="A1682" s="117"/>
      <c r="B1682" s="117"/>
      <c r="C1682" s="117"/>
      <c r="D1682" s="117"/>
      <c r="E1682" s="200"/>
      <c r="F1682" s="200"/>
    </row>
    <row r="1683" spans="1:6" x14ac:dyDescent="0.3">
      <c r="A1683" s="117"/>
      <c r="B1683" s="117"/>
      <c r="C1683" s="117"/>
      <c r="D1683" s="117"/>
      <c r="E1683" s="200"/>
      <c r="F1683" s="200"/>
    </row>
    <row r="1684" spans="1:6" x14ac:dyDescent="0.3">
      <c r="A1684" s="117"/>
      <c r="B1684" s="117"/>
      <c r="C1684" s="117"/>
      <c r="D1684" s="117"/>
      <c r="E1684" s="200"/>
      <c r="F1684" s="200"/>
    </row>
    <row r="1685" spans="1:6" x14ac:dyDescent="0.3">
      <c r="A1685" s="117"/>
      <c r="B1685" s="117"/>
      <c r="C1685" s="117"/>
      <c r="D1685" s="117"/>
      <c r="E1685" s="200"/>
      <c r="F1685" s="200"/>
    </row>
    <row r="1686" spans="1:6" x14ac:dyDescent="0.3">
      <c r="A1686" s="117"/>
      <c r="B1686" s="117"/>
      <c r="C1686" s="117"/>
      <c r="D1686" s="117"/>
      <c r="E1686" s="200"/>
      <c r="F1686" s="200"/>
    </row>
    <row r="1687" spans="1:6" x14ac:dyDescent="0.3">
      <c r="A1687" s="117"/>
      <c r="B1687" s="117"/>
      <c r="C1687" s="117"/>
      <c r="D1687" s="117"/>
      <c r="E1687" s="200"/>
      <c r="F1687" s="200"/>
    </row>
    <row r="1688" spans="1:6" x14ac:dyDescent="0.3">
      <c r="A1688" s="117"/>
      <c r="B1688" s="117"/>
      <c r="C1688" s="117"/>
      <c r="D1688" s="117"/>
      <c r="E1688" s="200"/>
      <c r="F1688" s="200"/>
    </row>
    <row r="1689" spans="1:6" x14ac:dyDescent="0.3">
      <c r="A1689" s="117"/>
      <c r="B1689" s="117"/>
      <c r="C1689" s="117"/>
      <c r="D1689" s="117"/>
      <c r="E1689" s="200"/>
      <c r="F1689" s="200"/>
    </row>
    <row r="1690" spans="1:6" x14ac:dyDescent="0.3">
      <c r="A1690" s="117"/>
      <c r="B1690" s="117"/>
      <c r="C1690" s="117"/>
      <c r="D1690" s="117"/>
      <c r="E1690" s="200"/>
      <c r="F1690" s="200"/>
    </row>
    <row r="1691" spans="1:6" x14ac:dyDescent="0.3">
      <c r="A1691" s="117"/>
      <c r="B1691" s="117"/>
      <c r="C1691" s="117"/>
      <c r="D1691" s="117"/>
      <c r="E1691" s="200"/>
      <c r="F1691" s="200"/>
    </row>
    <row r="1692" spans="1:6" x14ac:dyDescent="0.3">
      <c r="A1692" s="117"/>
      <c r="B1692" s="117"/>
      <c r="C1692" s="117"/>
      <c r="D1692" s="117"/>
      <c r="E1692" s="200"/>
      <c r="F1692" s="200"/>
    </row>
    <row r="1693" spans="1:6" x14ac:dyDescent="0.3">
      <c r="A1693" s="117"/>
      <c r="B1693" s="117"/>
      <c r="C1693" s="117"/>
      <c r="D1693" s="117"/>
      <c r="E1693" s="200"/>
      <c r="F1693" s="200"/>
    </row>
    <row r="1694" spans="1:6" x14ac:dyDescent="0.3">
      <c r="A1694" s="117"/>
      <c r="B1694" s="117"/>
      <c r="C1694" s="117"/>
      <c r="D1694" s="117"/>
      <c r="E1694" s="200"/>
      <c r="F1694" s="200"/>
    </row>
    <row r="1695" spans="1:6" x14ac:dyDescent="0.3">
      <c r="A1695" s="117"/>
      <c r="B1695" s="117"/>
      <c r="C1695" s="117"/>
      <c r="D1695" s="117"/>
      <c r="E1695" s="200"/>
      <c r="F1695" s="200"/>
    </row>
    <row r="1696" spans="1:6" x14ac:dyDescent="0.3">
      <c r="A1696" s="117"/>
      <c r="B1696" s="117"/>
      <c r="C1696" s="117"/>
      <c r="D1696" s="117"/>
      <c r="E1696" s="200"/>
      <c r="F1696" s="200"/>
    </row>
    <row r="1697" spans="1:6" x14ac:dyDescent="0.3">
      <c r="A1697" s="117"/>
      <c r="B1697" s="117"/>
      <c r="C1697" s="117"/>
      <c r="D1697" s="117"/>
      <c r="E1697" s="200"/>
      <c r="F1697" s="200"/>
    </row>
    <row r="1698" spans="1:6" x14ac:dyDescent="0.3">
      <c r="A1698" s="117"/>
      <c r="B1698" s="117"/>
      <c r="C1698" s="117"/>
      <c r="D1698" s="117"/>
      <c r="E1698" s="200"/>
      <c r="F1698" s="200"/>
    </row>
    <row r="1699" spans="1:6" x14ac:dyDescent="0.3">
      <c r="A1699" s="117"/>
      <c r="B1699" s="117"/>
      <c r="C1699" s="117"/>
      <c r="D1699" s="117"/>
      <c r="E1699" s="200"/>
      <c r="F1699" s="200"/>
    </row>
    <row r="1700" spans="1:6" x14ac:dyDescent="0.3">
      <c r="A1700" s="117"/>
      <c r="B1700" s="117"/>
      <c r="C1700" s="117"/>
      <c r="D1700" s="117"/>
      <c r="E1700" s="200"/>
      <c r="F1700" s="200"/>
    </row>
    <row r="1701" spans="1:6" x14ac:dyDescent="0.3">
      <c r="A1701" s="117"/>
      <c r="B1701" s="117"/>
      <c r="C1701" s="117"/>
      <c r="D1701" s="117"/>
      <c r="E1701" s="200"/>
      <c r="F1701" s="200"/>
    </row>
    <row r="1702" spans="1:6" x14ac:dyDescent="0.3">
      <c r="A1702" s="117"/>
      <c r="B1702" s="117"/>
      <c r="C1702" s="117"/>
      <c r="D1702" s="117"/>
      <c r="E1702" s="200"/>
      <c r="F1702" s="200"/>
    </row>
    <row r="1703" spans="1:6" x14ac:dyDescent="0.3">
      <c r="A1703" s="117"/>
      <c r="B1703" s="117"/>
      <c r="C1703" s="117"/>
      <c r="D1703" s="117"/>
      <c r="E1703" s="200"/>
      <c r="F1703" s="200"/>
    </row>
    <row r="1704" spans="1:6" x14ac:dyDescent="0.3">
      <c r="A1704" s="117"/>
      <c r="B1704" s="117"/>
      <c r="C1704" s="117"/>
      <c r="D1704" s="117"/>
      <c r="E1704" s="200"/>
      <c r="F1704" s="200"/>
    </row>
    <row r="1705" spans="1:6" x14ac:dyDescent="0.3">
      <c r="A1705" s="117"/>
      <c r="B1705" s="117"/>
      <c r="C1705" s="117"/>
      <c r="D1705" s="117"/>
      <c r="E1705" s="200"/>
      <c r="F1705" s="200"/>
    </row>
    <row r="1706" spans="1:6" x14ac:dyDescent="0.3">
      <c r="A1706" s="117"/>
      <c r="B1706" s="117"/>
      <c r="C1706" s="117"/>
      <c r="D1706" s="117"/>
      <c r="E1706" s="200"/>
      <c r="F1706" s="200"/>
    </row>
    <row r="1707" spans="1:6" x14ac:dyDescent="0.3">
      <c r="A1707" s="117"/>
      <c r="B1707" s="117"/>
      <c r="C1707" s="117"/>
      <c r="D1707" s="117"/>
      <c r="E1707" s="200"/>
      <c r="F1707" s="200"/>
    </row>
    <row r="1708" spans="1:6" x14ac:dyDescent="0.3">
      <c r="A1708" s="117"/>
      <c r="B1708" s="117"/>
      <c r="C1708" s="117"/>
      <c r="D1708" s="117"/>
      <c r="E1708" s="200"/>
      <c r="F1708" s="200"/>
    </row>
    <row r="1709" spans="1:6" x14ac:dyDescent="0.3">
      <c r="A1709" s="117"/>
      <c r="B1709" s="117"/>
      <c r="C1709" s="117"/>
      <c r="D1709" s="117"/>
      <c r="E1709" s="200"/>
      <c r="F1709" s="200"/>
    </row>
    <row r="1710" spans="1:6" x14ac:dyDescent="0.3">
      <c r="A1710" s="117"/>
      <c r="B1710" s="117"/>
      <c r="C1710" s="117"/>
      <c r="D1710" s="117"/>
      <c r="E1710" s="200"/>
      <c r="F1710" s="200"/>
    </row>
    <row r="1711" spans="1:6" x14ac:dyDescent="0.3">
      <c r="A1711" s="117"/>
      <c r="B1711" s="117"/>
      <c r="C1711" s="117"/>
      <c r="D1711" s="117"/>
      <c r="E1711" s="200"/>
      <c r="F1711" s="200"/>
    </row>
    <row r="1712" spans="1:6" x14ac:dyDescent="0.3">
      <c r="A1712" s="117"/>
      <c r="B1712" s="117"/>
      <c r="C1712" s="117"/>
      <c r="D1712" s="117"/>
      <c r="E1712" s="200"/>
      <c r="F1712" s="200"/>
    </row>
    <row r="1713" spans="1:6" x14ac:dyDescent="0.3">
      <c r="A1713" s="117"/>
      <c r="B1713" s="117"/>
      <c r="C1713" s="117"/>
      <c r="D1713" s="117"/>
      <c r="E1713" s="200"/>
      <c r="F1713" s="200"/>
    </row>
    <row r="1714" spans="1:6" x14ac:dyDescent="0.3">
      <c r="A1714" s="117"/>
      <c r="B1714" s="117"/>
      <c r="C1714" s="117"/>
      <c r="D1714" s="117"/>
      <c r="E1714" s="200"/>
      <c r="F1714" s="200"/>
    </row>
    <row r="1715" spans="1:6" x14ac:dyDescent="0.3">
      <c r="A1715" s="117"/>
      <c r="B1715" s="117"/>
      <c r="C1715" s="117"/>
      <c r="D1715" s="117"/>
      <c r="E1715" s="200"/>
      <c r="F1715" s="200"/>
    </row>
    <row r="1716" spans="1:6" x14ac:dyDescent="0.3">
      <c r="A1716" s="117"/>
      <c r="B1716" s="117"/>
      <c r="C1716" s="117"/>
      <c r="D1716" s="117"/>
      <c r="E1716" s="200"/>
      <c r="F1716" s="200"/>
    </row>
    <row r="1717" spans="1:6" x14ac:dyDescent="0.3">
      <c r="A1717" s="117"/>
      <c r="B1717" s="117"/>
      <c r="C1717" s="117"/>
      <c r="D1717" s="117"/>
      <c r="E1717" s="200"/>
      <c r="F1717" s="200"/>
    </row>
    <row r="1718" spans="1:6" x14ac:dyDescent="0.3">
      <c r="A1718" s="117"/>
      <c r="B1718" s="117"/>
      <c r="C1718" s="117"/>
      <c r="D1718" s="117"/>
      <c r="E1718" s="200"/>
      <c r="F1718" s="200"/>
    </row>
    <row r="1719" spans="1:6" x14ac:dyDescent="0.3">
      <c r="A1719" s="117"/>
      <c r="B1719" s="117"/>
      <c r="C1719" s="117"/>
      <c r="D1719" s="117"/>
      <c r="E1719" s="200"/>
      <c r="F1719" s="200"/>
    </row>
    <row r="1720" spans="1:6" x14ac:dyDescent="0.3">
      <c r="A1720" s="117"/>
      <c r="B1720" s="117"/>
      <c r="C1720" s="117"/>
      <c r="D1720" s="117"/>
      <c r="E1720" s="200"/>
      <c r="F1720" s="200"/>
    </row>
    <row r="1721" spans="1:6" x14ac:dyDescent="0.3">
      <c r="A1721" s="117"/>
      <c r="B1721" s="117"/>
      <c r="C1721" s="117"/>
      <c r="D1721" s="117"/>
      <c r="E1721" s="200"/>
      <c r="F1721" s="200"/>
    </row>
    <row r="1722" spans="1:6" x14ac:dyDescent="0.3">
      <c r="A1722" s="117"/>
      <c r="B1722" s="117"/>
      <c r="C1722" s="117"/>
      <c r="D1722" s="117"/>
      <c r="E1722" s="200"/>
      <c r="F1722" s="200"/>
    </row>
    <row r="1723" spans="1:6" x14ac:dyDescent="0.3">
      <c r="A1723" s="117"/>
      <c r="B1723" s="117"/>
      <c r="C1723" s="117"/>
      <c r="D1723" s="117"/>
      <c r="E1723" s="200"/>
      <c r="F1723" s="200"/>
    </row>
    <row r="1724" spans="1:6" x14ac:dyDescent="0.3">
      <c r="A1724" s="117"/>
      <c r="B1724" s="117"/>
      <c r="C1724" s="117"/>
      <c r="D1724" s="117"/>
      <c r="E1724" s="200"/>
      <c r="F1724" s="200"/>
    </row>
    <row r="1725" spans="1:6" x14ac:dyDescent="0.3">
      <c r="A1725" s="117"/>
      <c r="B1725" s="117"/>
      <c r="C1725" s="117"/>
      <c r="D1725" s="117"/>
      <c r="E1725" s="200"/>
      <c r="F1725" s="200"/>
    </row>
    <row r="1726" spans="1:6" x14ac:dyDescent="0.3">
      <c r="A1726" s="117"/>
      <c r="B1726" s="117"/>
      <c r="C1726" s="117"/>
      <c r="D1726" s="117"/>
      <c r="E1726" s="200"/>
      <c r="F1726" s="200"/>
    </row>
    <row r="1727" spans="1:6" x14ac:dyDescent="0.3">
      <c r="A1727" s="117"/>
      <c r="B1727" s="117"/>
      <c r="C1727" s="117"/>
      <c r="D1727" s="117"/>
      <c r="E1727" s="200"/>
      <c r="F1727" s="200"/>
    </row>
    <row r="1728" spans="1:6" x14ac:dyDescent="0.3">
      <c r="A1728" s="117"/>
      <c r="B1728" s="117"/>
      <c r="C1728" s="117"/>
      <c r="D1728" s="117"/>
      <c r="E1728" s="200"/>
      <c r="F1728" s="200"/>
    </row>
    <row r="1729" spans="1:6" x14ac:dyDescent="0.3">
      <c r="A1729" s="117"/>
      <c r="B1729" s="117"/>
      <c r="C1729" s="117"/>
      <c r="D1729" s="117"/>
      <c r="E1729" s="200"/>
      <c r="F1729" s="200"/>
    </row>
    <row r="1730" spans="1:6" x14ac:dyDescent="0.3">
      <c r="A1730" s="117"/>
      <c r="B1730" s="117"/>
      <c r="C1730" s="117"/>
      <c r="D1730" s="117"/>
      <c r="E1730" s="200"/>
      <c r="F1730" s="200"/>
    </row>
    <row r="1731" spans="1:6" x14ac:dyDescent="0.3">
      <c r="A1731" s="117"/>
      <c r="B1731" s="117"/>
      <c r="C1731" s="117"/>
      <c r="D1731" s="117"/>
      <c r="E1731" s="200"/>
      <c r="F1731" s="200"/>
    </row>
    <row r="1732" spans="1:6" x14ac:dyDescent="0.3">
      <c r="A1732" s="117"/>
      <c r="B1732" s="117"/>
      <c r="C1732" s="117"/>
      <c r="D1732" s="117"/>
      <c r="E1732" s="200"/>
      <c r="F1732" s="200"/>
    </row>
    <row r="1733" spans="1:6" x14ac:dyDescent="0.3">
      <c r="A1733" s="117"/>
      <c r="B1733" s="117"/>
      <c r="C1733" s="117"/>
      <c r="D1733" s="117"/>
      <c r="E1733" s="200"/>
      <c r="F1733" s="200"/>
    </row>
    <row r="1734" spans="1:6" x14ac:dyDescent="0.3">
      <c r="A1734" s="117"/>
      <c r="B1734" s="117"/>
      <c r="C1734" s="117"/>
      <c r="D1734" s="117"/>
      <c r="E1734" s="200"/>
      <c r="F1734" s="200"/>
    </row>
    <row r="1735" spans="1:6" x14ac:dyDescent="0.3">
      <c r="A1735" s="117"/>
      <c r="B1735" s="117"/>
      <c r="C1735" s="117"/>
      <c r="D1735" s="117"/>
      <c r="E1735" s="200"/>
      <c r="F1735" s="200"/>
    </row>
    <row r="1736" spans="1:6" x14ac:dyDescent="0.3">
      <c r="A1736" s="117"/>
      <c r="B1736" s="117"/>
      <c r="C1736" s="117"/>
      <c r="D1736" s="117"/>
      <c r="E1736" s="200"/>
      <c r="F1736" s="200"/>
    </row>
    <row r="1737" spans="1:6" x14ac:dyDescent="0.3">
      <c r="A1737" s="117"/>
      <c r="B1737" s="117"/>
      <c r="C1737" s="117"/>
      <c r="D1737" s="117"/>
      <c r="E1737" s="200"/>
      <c r="F1737" s="200"/>
    </row>
    <row r="1738" spans="1:6" x14ac:dyDescent="0.3">
      <c r="A1738" s="117"/>
      <c r="B1738" s="117"/>
      <c r="C1738" s="117"/>
      <c r="D1738" s="117"/>
      <c r="E1738" s="200"/>
      <c r="F1738" s="200"/>
    </row>
    <row r="1739" spans="1:6" x14ac:dyDescent="0.3">
      <c r="A1739" s="117"/>
      <c r="B1739" s="117"/>
      <c r="C1739" s="117"/>
      <c r="D1739" s="117"/>
      <c r="E1739" s="200"/>
      <c r="F1739" s="200"/>
    </row>
    <row r="1740" spans="1:6" x14ac:dyDescent="0.3">
      <c r="A1740" s="117"/>
      <c r="B1740" s="117"/>
      <c r="C1740" s="117"/>
      <c r="D1740" s="117"/>
      <c r="E1740" s="200"/>
      <c r="F1740" s="200"/>
    </row>
    <row r="1741" spans="1:6" x14ac:dyDescent="0.3">
      <c r="A1741" s="117"/>
      <c r="B1741" s="117"/>
      <c r="C1741" s="117"/>
      <c r="D1741" s="117"/>
      <c r="E1741" s="200"/>
      <c r="F1741" s="200"/>
    </row>
    <row r="1742" spans="1:6" x14ac:dyDescent="0.3">
      <c r="A1742" s="117"/>
      <c r="B1742" s="117"/>
      <c r="C1742" s="117"/>
      <c r="D1742" s="117"/>
      <c r="E1742" s="200"/>
      <c r="F1742" s="200"/>
    </row>
    <row r="1743" spans="1:6" x14ac:dyDescent="0.3">
      <c r="A1743" s="117"/>
      <c r="B1743" s="117"/>
      <c r="C1743" s="117"/>
      <c r="D1743" s="117"/>
      <c r="E1743" s="200"/>
      <c r="F1743" s="200"/>
    </row>
    <row r="1744" spans="1:6" x14ac:dyDescent="0.3">
      <c r="A1744" s="117"/>
      <c r="B1744" s="117"/>
      <c r="C1744" s="117"/>
      <c r="D1744" s="117"/>
      <c r="E1744" s="200"/>
      <c r="F1744" s="200"/>
    </row>
    <row r="1745" spans="1:6" x14ac:dyDescent="0.3">
      <c r="A1745" s="117"/>
      <c r="B1745" s="117"/>
      <c r="C1745" s="117"/>
      <c r="D1745" s="117"/>
      <c r="E1745" s="200"/>
      <c r="F1745" s="200"/>
    </row>
    <row r="1746" spans="1:6" x14ac:dyDescent="0.3">
      <c r="A1746" s="117"/>
      <c r="B1746" s="117"/>
      <c r="C1746" s="117"/>
      <c r="D1746" s="117"/>
      <c r="E1746" s="200"/>
      <c r="F1746" s="200"/>
    </row>
    <row r="1747" spans="1:6" x14ac:dyDescent="0.3">
      <c r="A1747" s="117"/>
      <c r="B1747" s="117"/>
      <c r="C1747" s="117"/>
      <c r="D1747" s="117"/>
      <c r="E1747" s="200"/>
      <c r="F1747" s="200"/>
    </row>
    <row r="1748" spans="1:6" x14ac:dyDescent="0.3">
      <c r="A1748" s="117"/>
      <c r="B1748" s="117"/>
      <c r="C1748" s="117"/>
      <c r="D1748" s="117"/>
      <c r="E1748" s="200"/>
      <c r="F1748" s="200"/>
    </row>
    <row r="1749" spans="1:6" x14ac:dyDescent="0.3">
      <c r="A1749" s="117"/>
      <c r="B1749" s="117"/>
      <c r="C1749" s="117"/>
      <c r="D1749" s="117"/>
      <c r="E1749" s="200"/>
      <c r="F1749" s="200"/>
    </row>
    <row r="1750" spans="1:6" x14ac:dyDescent="0.3">
      <c r="A1750" s="117"/>
      <c r="B1750" s="117"/>
      <c r="C1750" s="117"/>
      <c r="D1750" s="117"/>
      <c r="E1750" s="200"/>
      <c r="F1750" s="200"/>
    </row>
    <row r="1751" spans="1:6" x14ac:dyDescent="0.3">
      <c r="A1751" s="117"/>
      <c r="B1751" s="117"/>
      <c r="C1751" s="117"/>
      <c r="D1751" s="117"/>
      <c r="E1751" s="200"/>
      <c r="F1751" s="200"/>
    </row>
    <row r="1752" spans="1:6" x14ac:dyDescent="0.3">
      <c r="A1752" s="117"/>
      <c r="B1752" s="117"/>
      <c r="C1752" s="117"/>
      <c r="D1752" s="117"/>
      <c r="E1752" s="200"/>
      <c r="F1752" s="200"/>
    </row>
    <row r="1753" spans="1:6" x14ac:dyDescent="0.3">
      <c r="A1753" s="117"/>
      <c r="B1753" s="117"/>
      <c r="C1753" s="117"/>
      <c r="D1753" s="117"/>
      <c r="E1753" s="200"/>
      <c r="F1753" s="200"/>
    </row>
    <row r="1754" spans="1:6" x14ac:dyDescent="0.3">
      <c r="A1754" s="117"/>
      <c r="B1754" s="117"/>
      <c r="C1754" s="117"/>
      <c r="D1754" s="117"/>
      <c r="E1754" s="200"/>
      <c r="F1754" s="200"/>
    </row>
    <row r="1755" spans="1:6" x14ac:dyDescent="0.3">
      <c r="A1755" s="117"/>
      <c r="B1755" s="117"/>
      <c r="C1755" s="117"/>
      <c r="D1755" s="117"/>
      <c r="E1755" s="200"/>
      <c r="F1755" s="200"/>
    </row>
    <row r="1756" spans="1:6" x14ac:dyDescent="0.3">
      <c r="A1756" s="117"/>
      <c r="B1756" s="117"/>
      <c r="C1756" s="117"/>
      <c r="D1756" s="117"/>
      <c r="E1756" s="200"/>
      <c r="F1756" s="200"/>
    </row>
    <row r="1757" spans="1:6" x14ac:dyDescent="0.3">
      <c r="A1757" s="117"/>
      <c r="B1757" s="117"/>
      <c r="C1757" s="117"/>
      <c r="D1757" s="117"/>
      <c r="E1757" s="200"/>
      <c r="F1757" s="200"/>
    </row>
    <row r="1758" spans="1:6" x14ac:dyDescent="0.3">
      <c r="A1758" s="117"/>
      <c r="B1758" s="117"/>
      <c r="C1758" s="117"/>
      <c r="D1758" s="117"/>
      <c r="E1758" s="200"/>
      <c r="F1758" s="200"/>
    </row>
    <row r="1759" spans="1:6" x14ac:dyDescent="0.3">
      <c r="A1759" s="117"/>
      <c r="B1759" s="117"/>
      <c r="C1759" s="117"/>
      <c r="D1759" s="117"/>
      <c r="E1759" s="200"/>
      <c r="F1759" s="200"/>
    </row>
    <row r="1760" spans="1:6" x14ac:dyDescent="0.3">
      <c r="A1760" s="117"/>
      <c r="B1760" s="117"/>
      <c r="C1760" s="117"/>
      <c r="D1760" s="117"/>
      <c r="E1760" s="200"/>
      <c r="F1760" s="200"/>
    </row>
    <row r="1761" spans="1:6" x14ac:dyDescent="0.3">
      <c r="A1761" s="117"/>
      <c r="B1761" s="117"/>
      <c r="C1761" s="117"/>
      <c r="D1761" s="117"/>
      <c r="E1761" s="200"/>
      <c r="F1761" s="200"/>
    </row>
    <row r="1762" spans="1:6" x14ac:dyDescent="0.3">
      <c r="A1762" s="117"/>
      <c r="B1762" s="117"/>
      <c r="C1762" s="117"/>
      <c r="D1762" s="117"/>
      <c r="E1762" s="200"/>
      <c r="F1762" s="200"/>
    </row>
    <row r="1763" spans="1:6" x14ac:dyDescent="0.3">
      <c r="A1763" s="117"/>
      <c r="B1763" s="117"/>
      <c r="C1763" s="117"/>
      <c r="D1763" s="117"/>
      <c r="E1763" s="200"/>
      <c r="F1763" s="200"/>
    </row>
    <row r="1764" spans="1:6" x14ac:dyDescent="0.3">
      <c r="A1764" s="117"/>
      <c r="B1764" s="117"/>
      <c r="C1764" s="117"/>
      <c r="D1764" s="117"/>
      <c r="E1764" s="200"/>
      <c r="F1764" s="200"/>
    </row>
    <row r="1765" spans="1:6" x14ac:dyDescent="0.3">
      <c r="A1765" s="117"/>
      <c r="B1765" s="117"/>
      <c r="C1765" s="117"/>
      <c r="D1765" s="117"/>
      <c r="E1765" s="200"/>
      <c r="F1765" s="200"/>
    </row>
    <row r="1766" spans="1:6" x14ac:dyDescent="0.3">
      <c r="A1766" s="117"/>
      <c r="B1766" s="117"/>
      <c r="C1766" s="117"/>
      <c r="D1766" s="117"/>
      <c r="E1766" s="200"/>
      <c r="F1766" s="200"/>
    </row>
    <row r="1767" spans="1:6" x14ac:dyDescent="0.3">
      <c r="A1767" s="117"/>
      <c r="B1767" s="117"/>
      <c r="C1767" s="117"/>
      <c r="D1767" s="117"/>
      <c r="E1767" s="200"/>
      <c r="F1767" s="200"/>
    </row>
    <row r="1768" spans="1:6" x14ac:dyDescent="0.3">
      <c r="A1768" s="117"/>
      <c r="B1768" s="117"/>
      <c r="C1768" s="117"/>
      <c r="D1768" s="117"/>
      <c r="E1768" s="200"/>
      <c r="F1768" s="200"/>
    </row>
    <row r="1769" spans="1:6" x14ac:dyDescent="0.3">
      <c r="A1769" s="117"/>
      <c r="B1769" s="117"/>
      <c r="C1769" s="117"/>
      <c r="D1769" s="117"/>
      <c r="E1769" s="200"/>
      <c r="F1769" s="200"/>
    </row>
    <row r="1770" spans="1:6" x14ac:dyDescent="0.3">
      <c r="A1770" s="117"/>
      <c r="B1770" s="117"/>
      <c r="C1770" s="117"/>
      <c r="D1770" s="117"/>
      <c r="E1770" s="200"/>
      <c r="F1770" s="200"/>
    </row>
    <row r="1771" spans="1:6" x14ac:dyDescent="0.3">
      <c r="A1771" s="117"/>
      <c r="B1771" s="117"/>
      <c r="C1771" s="117"/>
      <c r="D1771" s="117"/>
      <c r="E1771" s="200"/>
      <c r="F1771" s="200"/>
    </row>
    <row r="1772" spans="1:6" x14ac:dyDescent="0.3">
      <c r="A1772" s="117"/>
      <c r="B1772" s="117"/>
      <c r="C1772" s="117"/>
      <c r="D1772" s="117"/>
      <c r="E1772" s="200"/>
      <c r="F1772" s="200"/>
    </row>
    <row r="1773" spans="1:6" x14ac:dyDescent="0.3">
      <c r="A1773" s="117"/>
      <c r="B1773" s="117"/>
      <c r="C1773" s="117"/>
      <c r="D1773" s="117"/>
      <c r="E1773" s="200"/>
      <c r="F1773" s="200"/>
    </row>
    <row r="1774" spans="1:6" x14ac:dyDescent="0.3">
      <c r="A1774" s="117"/>
      <c r="B1774" s="117"/>
      <c r="C1774" s="117"/>
      <c r="D1774" s="117"/>
      <c r="E1774" s="200"/>
      <c r="F1774" s="200"/>
    </row>
    <row r="1775" spans="1:6" x14ac:dyDescent="0.3">
      <c r="A1775" s="117"/>
      <c r="B1775" s="117"/>
      <c r="C1775" s="117"/>
      <c r="D1775" s="117"/>
      <c r="E1775" s="200"/>
      <c r="F1775" s="200"/>
    </row>
    <row r="1776" spans="1:6" x14ac:dyDescent="0.3">
      <c r="A1776" s="117"/>
      <c r="B1776" s="117"/>
      <c r="C1776" s="117"/>
      <c r="D1776" s="117"/>
      <c r="E1776" s="200"/>
      <c r="F1776" s="200"/>
    </row>
    <row r="1777" spans="1:6" x14ac:dyDescent="0.3">
      <c r="A1777" s="117"/>
      <c r="B1777" s="117"/>
      <c r="C1777" s="117"/>
      <c r="D1777" s="117"/>
      <c r="E1777" s="200"/>
      <c r="F1777" s="200"/>
    </row>
    <row r="1778" spans="1:6" x14ac:dyDescent="0.3">
      <c r="A1778" s="117"/>
      <c r="B1778" s="117"/>
      <c r="C1778" s="117"/>
      <c r="D1778" s="117"/>
      <c r="E1778" s="200"/>
      <c r="F1778" s="200"/>
    </row>
    <row r="1779" spans="1:6" x14ac:dyDescent="0.3">
      <c r="A1779" s="117"/>
      <c r="B1779" s="117"/>
      <c r="C1779" s="117"/>
      <c r="D1779" s="117"/>
      <c r="E1779" s="200"/>
      <c r="F1779" s="200"/>
    </row>
    <row r="1780" spans="1:6" x14ac:dyDescent="0.3">
      <c r="A1780" s="117"/>
      <c r="B1780" s="117"/>
      <c r="C1780" s="117"/>
      <c r="D1780" s="117"/>
      <c r="E1780" s="200"/>
      <c r="F1780" s="200"/>
    </row>
    <row r="1781" spans="1:6" x14ac:dyDescent="0.3">
      <c r="A1781" s="117"/>
      <c r="B1781" s="117"/>
      <c r="C1781" s="117"/>
      <c r="D1781" s="117"/>
      <c r="E1781" s="200"/>
      <c r="F1781" s="200"/>
    </row>
    <row r="1782" spans="1:6" x14ac:dyDescent="0.3">
      <c r="A1782" s="117"/>
      <c r="B1782" s="117"/>
      <c r="C1782" s="117"/>
      <c r="D1782" s="117"/>
      <c r="E1782" s="200"/>
      <c r="F1782" s="200"/>
    </row>
    <row r="1783" spans="1:6" x14ac:dyDescent="0.3">
      <c r="A1783" s="117"/>
      <c r="B1783" s="117"/>
      <c r="C1783" s="117"/>
      <c r="D1783" s="117"/>
      <c r="E1783" s="200"/>
      <c r="F1783" s="200"/>
    </row>
    <row r="1784" spans="1:6" x14ac:dyDescent="0.3">
      <c r="A1784" s="117"/>
      <c r="B1784" s="117"/>
      <c r="C1784" s="117"/>
      <c r="D1784" s="117"/>
      <c r="E1784" s="200"/>
      <c r="F1784" s="200"/>
    </row>
    <row r="1785" spans="1:6" x14ac:dyDescent="0.3">
      <c r="A1785" s="117"/>
      <c r="B1785" s="117"/>
      <c r="C1785" s="117"/>
      <c r="D1785" s="117"/>
      <c r="E1785" s="200"/>
      <c r="F1785" s="200"/>
    </row>
    <row r="1786" spans="1:6" x14ac:dyDescent="0.3">
      <c r="A1786" s="117"/>
      <c r="B1786" s="117"/>
      <c r="C1786" s="117"/>
      <c r="D1786" s="117"/>
      <c r="E1786" s="200"/>
      <c r="F1786" s="200"/>
    </row>
    <row r="1787" spans="1:6" x14ac:dyDescent="0.3">
      <c r="A1787" s="117"/>
      <c r="B1787" s="117"/>
      <c r="C1787" s="117"/>
      <c r="D1787" s="117"/>
      <c r="E1787" s="200"/>
      <c r="F1787" s="200"/>
    </row>
    <row r="1788" spans="1:6" x14ac:dyDescent="0.3">
      <c r="A1788" s="117"/>
      <c r="B1788" s="117"/>
      <c r="C1788" s="117"/>
      <c r="D1788" s="117"/>
      <c r="E1788" s="200"/>
      <c r="F1788" s="200"/>
    </row>
    <row r="1789" spans="1:6" x14ac:dyDescent="0.3">
      <c r="A1789" s="117"/>
      <c r="B1789" s="117"/>
      <c r="C1789" s="117"/>
      <c r="D1789" s="117"/>
      <c r="E1789" s="200"/>
      <c r="F1789" s="200"/>
    </row>
    <row r="1790" spans="1:6" x14ac:dyDescent="0.3">
      <c r="A1790" s="117"/>
      <c r="B1790" s="117"/>
      <c r="C1790" s="117"/>
      <c r="D1790" s="117"/>
      <c r="E1790" s="200"/>
      <c r="F1790" s="200"/>
    </row>
    <row r="1791" spans="1:6" x14ac:dyDescent="0.3">
      <c r="A1791" s="117"/>
      <c r="B1791" s="117"/>
      <c r="C1791" s="117"/>
      <c r="D1791" s="117"/>
      <c r="E1791" s="200"/>
      <c r="F1791" s="200"/>
    </row>
    <row r="1792" spans="1:6" x14ac:dyDescent="0.3">
      <c r="A1792" s="117"/>
      <c r="B1792" s="117"/>
      <c r="C1792" s="117"/>
      <c r="D1792" s="117"/>
      <c r="E1792" s="200"/>
      <c r="F1792" s="200"/>
    </row>
    <row r="1793" spans="1:6" x14ac:dyDescent="0.3">
      <c r="A1793" s="117"/>
      <c r="B1793" s="117"/>
      <c r="C1793" s="117"/>
      <c r="D1793" s="117"/>
      <c r="E1793" s="200"/>
      <c r="F1793" s="200"/>
    </row>
    <row r="1794" spans="1:6" x14ac:dyDescent="0.3">
      <c r="A1794" s="117"/>
      <c r="B1794" s="117"/>
      <c r="C1794" s="117"/>
      <c r="D1794" s="117"/>
      <c r="E1794" s="200"/>
      <c r="F1794" s="200"/>
    </row>
    <row r="1795" spans="1:6" x14ac:dyDescent="0.3">
      <c r="A1795" s="117"/>
      <c r="B1795" s="117"/>
      <c r="C1795" s="117"/>
      <c r="D1795" s="117"/>
      <c r="E1795" s="200"/>
      <c r="F1795" s="200"/>
    </row>
    <row r="1796" spans="1:6" x14ac:dyDescent="0.3">
      <c r="A1796" s="117"/>
      <c r="B1796" s="117"/>
      <c r="C1796" s="117"/>
      <c r="D1796" s="117"/>
      <c r="E1796" s="200"/>
      <c r="F1796" s="200"/>
    </row>
    <row r="1797" spans="1:6" x14ac:dyDescent="0.3">
      <c r="A1797" s="117"/>
      <c r="B1797" s="117"/>
      <c r="C1797" s="117"/>
      <c r="D1797" s="117"/>
      <c r="E1797" s="200"/>
      <c r="F1797" s="200"/>
    </row>
    <row r="1798" spans="1:6" x14ac:dyDescent="0.3">
      <c r="A1798" s="117"/>
      <c r="B1798" s="117"/>
      <c r="C1798" s="117"/>
      <c r="D1798" s="117"/>
      <c r="E1798" s="200"/>
      <c r="F1798" s="200"/>
    </row>
    <row r="1799" spans="1:6" x14ac:dyDescent="0.3">
      <c r="A1799" s="117"/>
      <c r="B1799" s="117"/>
      <c r="C1799" s="117"/>
      <c r="D1799" s="117"/>
      <c r="E1799" s="200"/>
      <c r="F1799" s="200"/>
    </row>
    <row r="1800" spans="1:6" x14ac:dyDescent="0.3">
      <c r="A1800" s="117"/>
      <c r="B1800" s="117"/>
      <c r="C1800" s="117"/>
      <c r="D1800" s="117"/>
      <c r="E1800" s="200"/>
      <c r="F1800" s="200"/>
    </row>
    <row r="1801" spans="1:6" x14ac:dyDescent="0.3">
      <c r="A1801" s="117"/>
      <c r="B1801" s="117"/>
      <c r="C1801" s="117"/>
      <c r="D1801" s="117"/>
      <c r="E1801" s="200"/>
      <c r="F1801" s="200"/>
    </row>
    <row r="1802" spans="1:6" x14ac:dyDescent="0.3">
      <c r="A1802" s="117"/>
      <c r="B1802" s="117"/>
      <c r="C1802" s="117"/>
      <c r="D1802" s="117"/>
      <c r="E1802" s="200"/>
      <c r="F1802" s="200"/>
    </row>
    <row r="1803" spans="1:6" x14ac:dyDescent="0.3">
      <c r="A1803" s="117"/>
      <c r="B1803" s="117"/>
      <c r="C1803" s="117"/>
      <c r="D1803" s="117"/>
      <c r="E1803" s="200"/>
      <c r="F1803" s="200"/>
    </row>
    <row r="1804" spans="1:6" x14ac:dyDescent="0.3">
      <c r="A1804" s="117"/>
      <c r="B1804" s="117"/>
      <c r="C1804" s="117"/>
      <c r="D1804" s="117"/>
      <c r="E1804" s="200"/>
      <c r="F1804" s="200"/>
    </row>
    <row r="1805" spans="1:6" x14ac:dyDescent="0.3">
      <c r="A1805" s="117"/>
      <c r="B1805" s="117"/>
      <c r="C1805" s="117"/>
      <c r="D1805" s="117"/>
      <c r="E1805" s="200"/>
      <c r="F1805" s="200"/>
    </row>
    <row r="1806" spans="1:6" x14ac:dyDescent="0.3">
      <c r="A1806" s="117"/>
      <c r="B1806" s="117"/>
      <c r="C1806" s="117"/>
      <c r="D1806" s="117"/>
      <c r="E1806" s="200"/>
      <c r="F1806" s="200"/>
    </row>
    <row r="1807" spans="1:6" x14ac:dyDescent="0.3">
      <c r="A1807" s="117"/>
      <c r="B1807" s="117"/>
      <c r="C1807" s="117"/>
      <c r="D1807" s="117"/>
      <c r="E1807" s="200"/>
      <c r="F1807" s="200"/>
    </row>
    <row r="1808" spans="1:6" x14ac:dyDescent="0.3">
      <c r="A1808" s="117"/>
      <c r="B1808" s="117"/>
      <c r="C1808" s="117"/>
      <c r="D1808" s="117"/>
      <c r="E1808" s="200"/>
      <c r="F1808" s="200"/>
    </row>
    <row r="1809" spans="1:6" x14ac:dyDescent="0.3">
      <c r="A1809" s="117"/>
      <c r="B1809" s="117"/>
      <c r="C1809" s="117"/>
      <c r="D1809" s="117"/>
      <c r="E1809" s="200"/>
      <c r="F1809" s="200"/>
    </row>
    <row r="1810" spans="1:6" x14ac:dyDescent="0.3">
      <c r="A1810" s="117"/>
      <c r="B1810" s="117"/>
      <c r="C1810" s="117"/>
      <c r="D1810" s="117"/>
      <c r="E1810" s="200"/>
      <c r="F1810" s="200"/>
    </row>
    <row r="1811" spans="1:6" x14ac:dyDescent="0.3">
      <c r="A1811" s="117"/>
      <c r="B1811" s="117"/>
      <c r="C1811" s="117"/>
      <c r="D1811" s="117"/>
      <c r="E1811" s="200"/>
      <c r="F1811" s="200"/>
    </row>
    <row r="1812" spans="1:6" x14ac:dyDescent="0.3">
      <c r="A1812" s="117"/>
      <c r="B1812" s="117"/>
      <c r="C1812" s="117"/>
      <c r="D1812" s="117"/>
      <c r="E1812" s="200"/>
      <c r="F1812" s="200"/>
    </row>
    <row r="1813" spans="1:6" x14ac:dyDescent="0.3">
      <c r="A1813" s="117"/>
      <c r="B1813" s="117"/>
      <c r="C1813" s="117"/>
      <c r="D1813" s="117"/>
      <c r="E1813" s="200"/>
      <c r="F1813" s="200"/>
    </row>
    <row r="1814" spans="1:6" x14ac:dyDescent="0.3">
      <c r="A1814" s="117"/>
      <c r="B1814" s="117"/>
      <c r="C1814" s="117"/>
      <c r="D1814" s="117"/>
      <c r="E1814" s="200"/>
      <c r="F1814" s="200"/>
    </row>
    <row r="1815" spans="1:6" x14ac:dyDescent="0.3">
      <c r="A1815" s="117"/>
      <c r="B1815" s="117"/>
      <c r="C1815" s="117"/>
      <c r="D1815" s="117"/>
      <c r="E1815" s="200"/>
      <c r="F1815" s="200"/>
    </row>
    <row r="1816" spans="1:6" x14ac:dyDescent="0.3">
      <c r="A1816" s="117"/>
      <c r="B1816" s="117"/>
      <c r="C1816" s="117"/>
      <c r="D1816" s="117"/>
      <c r="E1816" s="200"/>
      <c r="F1816" s="200"/>
    </row>
    <row r="1817" spans="1:6" x14ac:dyDescent="0.3">
      <c r="A1817" s="117"/>
      <c r="B1817" s="117"/>
      <c r="C1817" s="117"/>
      <c r="D1817" s="117"/>
      <c r="E1817" s="200"/>
      <c r="F1817" s="200"/>
    </row>
    <row r="1818" spans="1:6" x14ac:dyDescent="0.3">
      <c r="A1818" s="117"/>
      <c r="B1818" s="117"/>
      <c r="C1818" s="117"/>
      <c r="D1818" s="117"/>
      <c r="E1818" s="200"/>
      <c r="F1818" s="200"/>
    </row>
    <row r="1819" spans="1:6" x14ac:dyDescent="0.3">
      <c r="A1819" s="117"/>
      <c r="B1819" s="117"/>
      <c r="C1819" s="117"/>
      <c r="D1819" s="117"/>
      <c r="E1819" s="200"/>
      <c r="F1819" s="200"/>
    </row>
    <row r="1820" spans="1:6" x14ac:dyDescent="0.3">
      <c r="A1820" s="117"/>
      <c r="B1820" s="117"/>
      <c r="C1820" s="117"/>
      <c r="D1820" s="117"/>
      <c r="E1820" s="200"/>
      <c r="F1820" s="200"/>
    </row>
    <row r="1821" spans="1:6" x14ac:dyDescent="0.3">
      <c r="A1821" s="117"/>
      <c r="B1821" s="117"/>
      <c r="C1821" s="117"/>
      <c r="D1821" s="117"/>
      <c r="E1821" s="200"/>
      <c r="F1821" s="200"/>
    </row>
    <row r="1822" spans="1:6" x14ac:dyDescent="0.3">
      <c r="A1822" s="117"/>
      <c r="B1822" s="117"/>
      <c r="C1822" s="117"/>
      <c r="D1822" s="117"/>
      <c r="E1822" s="200"/>
      <c r="F1822" s="200"/>
    </row>
    <row r="1823" spans="1:6" x14ac:dyDescent="0.3">
      <c r="A1823" s="117"/>
      <c r="B1823" s="117"/>
      <c r="C1823" s="117"/>
      <c r="D1823" s="117"/>
      <c r="E1823" s="200"/>
      <c r="F1823" s="200"/>
    </row>
    <row r="1824" spans="1:6" x14ac:dyDescent="0.3">
      <c r="A1824" s="117"/>
      <c r="B1824" s="117"/>
      <c r="C1824" s="117"/>
      <c r="D1824" s="117"/>
      <c r="E1824" s="200"/>
      <c r="F1824" s="200"/>
    </row>
    <row r="1825" spans="1:6" x14ac:dyDescent="0.3">
      <c r="A1825" s="117"/>
      <c r="B1825" s="117"/>
      <c r="C1825" s="117"/>
      <c r="D1825" s="117"/>
      <c r="E1825" s="200"/>
      <c r="F1825" s="200"/>
    </row>
    <row r="1826" spans="1:6" x14ac:dyDescent="0.3">
      <c r="A1826" s="117"/>
      <c r="B1826" s="117"/>
      <c r="C1826" s="117"/>
      <c r="D1826" s="117"/>
      <c r="E1826" s="200"/>
      <c r="F1826" s="200"/>
    </row>
    <row r="1827" spans="1:6" x14ac:dyDescent="0.3">
      <c r="A1827" s="117"/>
      <c r="B1827" s="117"/>
      <c r="C1827" s="117"/>
      <c r="D1827" s="117"/>
      <c r="E1827" s="200"/>
      <c r="F1827" s="200"/>
    </row>
    <row r="1828" spans="1:6" x14ac:dyDescent="0.3">
      <c r="A1828" s="117"/>
      <c r="B1828" s="117"/>
      <c r="C1828" s="117"/>
      <c r="D1828" s="117"/>
      <c r="E1828" s="200"/>
      <c r="F1828" s="200"/>
    </row>
    <row r="1829" spans="1:6" x14ac:dyDescent="0.3">
      <c r="A1829" s="117"/>
      <c r="B1829" s="117"/>
      <c r="C1829" s="117"/>
      <c r="D1829" s="117"/>
      <c r="E1829" s="200"/>
      <c r="F1829" s="200"/>
    </row>
    <row r="1830" spans="1:6" x14ac:dyDescent="0.3">
      <c r="A1830" s="117"/>
      <c r="B1830" s="117"/>
      <c r="C1830" s="117"/>
      <c r="D1830" s="117"/>
      <c r="E1830" s="200"/>
      <c r="F1830" s="200"/>
    </row>
    <row r="1831" spans="1:6" x14ac:dyDescent="0.3">
      <c r="A1831" s="117"/>
      <c r="B1831" s="117"/>
      <c r="C1831" s="117"/>
      <c r="D1831" s="117"/>
      <c r="E1831" s="200"/>
      <c r="F1831" s="200"/>
    </row>
    <row r="1832" spans="1:6" x14ac:dyDescent="0.3">
      <c r="A1832" s="117"/>
      <c r="B1832" s="117"/>
      <c r="C1832" s="117"/>
      <c r="D1832" s="117"/>
      <c r="E1832" s="200"/>
      <c r="F1832" s="200"/>
    </row>
    <row r="1833" spans="1:6" x14ac:dyDescent="0.3">
      <c r="A1833" s="117"/>
      <c r="B1833" s="117"/>
      <c r="C1833" s="117"/>
      <c r="D1833" s="117"/>
      <c r="E1833" s="200"/>
      <c r="F1833" s="200"/>
    </row>
    <row r="1834" spans="1:6" x14ac:dyDescent="0.3">
      <c r="A1834" s="117"/>
      <c r="B1834" s="117"/>
      <c r="C1834" s="117"/>
      <c r="D1834" s="117"/>
      <c r="E1834" s="200"/>
      <c r="F1834" s="200"/>
    </row>
    <row r="1835" spans="1:6" x14ac:dyDescent="0.3">
      <c r="A1835" s="117"/>
      <c r="B1835" s="117"/>
      <c r="C1835" s="117"/>
      <c r="D1835" s="117"/>
      <c r="E1835" s="200"/>
      <c r="F1835" s="200"/>
    </row>
    <row r="1836" spans="1:6" x14ac:dyDescent="0.3">
      <c r="A1836" s="117"/>
      <c r="B1836" s="117"/>
      <c r="C1836" s="117"/>
      <c r="D1836" s="117"/>
      <c r="E1836" s="200"/>
      <c r="F1836" s="200"/>
    </row>
    <row r="1837" spans="1:6" x14ac:dyDescent="0.3">
      <c r="A1837" s="117"/>
      <c r="B1837" s="117"/>
      <c r="C1837" s="117"/>
      <c r="D1837" s="117"/>
      <c r="E1837" s="200"/>
      <c r="F1837" s="200"/>
    </row>
    <row r="1838" spans="1:6" x14ac:dyDescent="0.3">
      <c r="A1838" s="117"/>
      <c r="B1838" s="117"/>
      <c r="C1838" s="117"/>
      <c r="D1838" s="117"/>
      <c r="E1838" s="200"/>
      <c r="F1838" s="200"/>
    </row>
    <row r="1839" spans="1:6" x14ac:dyDescent="0.3">
      <c r="A1839" s="117"/>
      <c r="B1839" s="117"/>
      <c r="C1839" s="117"/>
      <c r="D1839" s="117"/>
      <c r="E1839" s="200"/>
      <c r="F1839" s="200"/>
    </row>
    <row r="1840" spans="1:6" x14ac:dyDescent="0.3">
      <c r="A1840" s="117"/>
      <c r="B1840" s="117"/>
      <c r="C1840" s="117"/>
      <c r="D1840" s="117"/>
      <c r="E1840" s="200"/>
      <c r="F1840" s="200"/>
    </row>
    <row r="1841" spans="1:6" x14ac:dyDescent="0.3">
      <c r="A1841" s="117"/>
      <c r="B1841" s="117"/>
      <c r="C1841" s="117"/>
      <c r="D1841" s="117"/>
      <c r="E1841" s="200"/>
      <c r="F1841" s="200"/>
    </row>
    <row r="1842" spans="1:6" x14ac:dyDescent="0.3">
      <c r="A1842" s="117"/>
      <c r="B1842" s="117"/>
      <c r="C1842" s="117"/>
      <c r="D1842" s="117"/>
      <c r="E1842" s="200"/>
      <c r="F1842" s="200"/>
    </row>
    <row r="1843" spans="1:6" x14ac:dyDescent="0.3">
      <c r="A1843" s="117"/>
      <c r="B1843" s="117"/>
      <c r="C1843" s="117"/>
      <c r="D1843" s="117"/>
      <c r="E1843" s="200"/>
      <c r="F1843" s="200"/>
    </row>
    <row r="1844" spans="1:6" x14ac:dyDescent="0.3">
      <c r="A1844" s="117"/>
      <c r="B1844" s="117"/>
      <c r="C1844" s="117"/>
      <c r="D1844" s="117"/>
      <c r="E1844" s="200"/>
      <c r="F1844" s="200"/>
    </row>
    <row r="1845" spans="1:6" x14ac:dyDescent="0.3">
      <c r="A1845" s="117"/>
      <c r="B1845" s="117"/>
      <c r="C1845" s="117"/>
      <c r="D1845" s="117"/>
      <c r="E1845" s="200"/>
      <c r="F1845" s="200"/>
    </row>
    <row r="1846" spans="1:6" x14ac:dyDescent="0.3">
      <c r="A1846" s="117"/>
      <c r="B1846" s="117"/>
      <c r="C1846" s="117"/>
      <c r="D1846" s="117"/>
      <c r="E1846" s="200"/>
      <c r="F1846" s="200"/>
    </row>
    <row r="1847" spans="1:6" x14ac:dyDescent="0.3">
      <c r="A1847" s="117"/>
      <c r="B1847" s="117"/>
      <c r="C1847" s="117"/>
      <c r="D1847" s="117"/>
      <c r="E1847" s="200"/>
      <c r="F1847" s="200"/>
    </row>
    <row r="1848" spans="1:6" x14ac:dyDescent="0.3">
      <c r="A1848" s="117"/>
      <c r="B1848" s="117"/>
      <c r="C1848" s="117"/>
      <c r="D1848" s="117"/>
      <c r="E1848" s="200"/>
      <c r="F1848" s="200"/>
    </row>
    <row r="1849" spans="1:6" x14ac:dyDescent="0.3">
      <c r="A1849" s="117"/>
      <c r="B1849" s="117"/>
      <c r="C1849" s="117"/>
      <c r="D1849" s="117"/>
      <c r="E1849" s="200"/>
      <c r="F1849" s="200"/>
    </row>
    <row r="1850" spans="1:6" x14ac:dyDescent="0.3">
      <c r="A1850" s="117"/>
      <c r="B1850" s="117"/>
      <c r="C1850" s="117"/>
      <c r="D1850" s="117"/>
      <c r="E1850" s="200"/>
      <c r="F1850" s="200"/>
    </row>
    <row r="1851" spans="1:6" x14ac:dyDescent="0.3">
      <c r="A1851" s="117"/>
      <c r="B1851" s="117"/>
      <c r="C1851" s="117"/>
      <c r="D1851" s="117"/>
      <c r="E1851" s="200"/>
      <c r="F1851" s="200"/>
    </row>
    <row r="1852" spans="1:6" x14ac:dyDescent="0.3">
      <c r="A1852" s="117"/>
      <c r="B1852" s="117"/>
      <c r="C1852" s="117"/>
      <c r="D1852" s="117"/>
      <c r="E1852" s="200"/>
      <c r="F1852" s="200"/>
    </row>
    <row r="1853" spans="1:6" x14ac:dyDescent="0.3">
      <c r="A1853" s="117"/>
      <c r="B1853" s="117"/>
      <c r="C1853" s="117"/>
      <c r="D1853" s="117"/>
      <c r="E1853" s="200"/>
      <c r="F1853" s="200"/>
    </row>
    <row r="1854" spans="1:6" x14ac:dyDescent="0.3">
      <c r="A1854" s="117"/>
      <c r="B1854" s="117"/>
      <c r="C1854" s="117"/>
      <c r="D1854" s="117"/>
      <c r="E1854" s="200"/>
      <c r="F1854" s="200"/>
    </row>
    <row r="1855" spans="1:6" x14ac:dyDescent="0.3">
      <c r="A1855" s="117"/>
      <c r="B1855" s="117"/>
      <c r="C1855" s="117"/>
      <c r="D1855" s="117"/>
      <c r="E1855" s="200"/>
      <c r="F1855" s="200"/>
    </row>
    <row r="1856" spans="1:6" x14ac:dyDescent="0.3">
      <c r="A1856" s="117"/>
      <c r="B1856" s="117"/>
      <c r="C1856" s="117"/>
      <c r="D1856" s="117"/>
      <c r="E1856" s="200"/>
      <c r="F1856" s="200"/>
    </row>
    <row r="1857" spans="1:6" x14ac:dyDescent="0.3">
      <c r="A1857" s="117"/>
      <c r="B1857" s="117"/>
      <c r="C1857" s="117"/>
      <c r="D1857" s="117"/>
      <c r="E1857" s="200"/>
      <c r="F1857" s="200"/>
    </row>
    <row r="1858" spans="1:6" x14ac:dyDescent="0.3">
      <c r="A1858" s="117"/>
      <c r="B1858" s="117"/>
      <c r="C1858" s="117"/>
      <c r="D1858" s="117"/>
      <c r="E1858" s="200"/>
      <c r="F1858" s="200"/>
    </row>
    <row r="1859" spans="1:6" x14ac:dyDescent="0.3">
      <c r="A1859" s="117"/>
      <c r="B1859" s="117"/>
      <c r="C1859" s="117"/>
      <c r="D1859" s="117"/>
      <c r="E1859" s="200"/>
      <c r="F1859" s="200"/>
    </row>
    <row r="1860" spans="1:6" x14ac:dyDescent="0.3">
      <c r="A1860" s="117"/>
      <c r="B1860" s="117"/>
      <c r="C1860" s="117"/>
      <c r="D1860" s="117"/>
      <c r="E1860" s="200"/>
      <c r="F1860" s="200"/>
    </row>
    <row r="1861" spans="1:6" x14ac:dyDescent="0.3">
      <c r="A1861" s="117"/>
      <c r="B1861" s="117"/>
      <c r="C1861" s="117"/>
      <c r="D1861" s="117"/>
      <c r="E1861" s="200"/>
      <c r="F1861" s="200"/>
    </row>
    <row r="1862" spans="1:6" x14ac:dyDescent="0.3">
      <c r="A1862" s="117"/>
      <c r="B1862" s="117"/>
      <c r="C1862" s="117"/>
      <c r="D1862" s="117"/>
      <c r="E1862" s="200"/>
      <c r="F1862" s="200"/>
    </row>
    <row r="1863" spans="1:6" x14ac:dyDescent="0.3">
      <c r="A1863" s="117"/>
      <c r="B1863" s="117"/>
      <c r="C1863" s="117"/>
      <c r="D1863" s="117"/>
      <c r="E1863" s="200"/>
      <c r="F1863" s="200"/>
    </row>
    <row r="1864" spans="1:6" x14ac:dyDescent="0.3">
      <c r="A1864" s="117"/>
      <c r="B1864" s="117"/>
      <c r="C1864" s="117"/>
      <c r="D1864" s="117"/>
      <c r="E1864" s="200"/>
      <c r="F1864" s="200"/>
    </row>
    <row r="1865" spans="1:6" x14ac:dyDescent="0.3">
      <c r="A1865" s="117"/>
      <c r="B1865" s="117"/>
      <c r="C1865" s="117"/>
      <c r="D1865" s="117"/>
      <c r="E1865" s="200"/>
      <c r="F1865" s="200"/>
    </row>
    <row r="1866" spans="1:6" x14ac:dyDescent="0.3">
      <c r="A1866" s="117"/>
      <c r="B1866" s="117"/>
      <c r="C1866" s="117"/>
      <c r="D1866" s="117"/>
      <c r="E1866" s="200"/>
      <c r="F1866" s="200"/>
    </row>
    <row r="1867" spans="1:6" x14ac:dyDescent="0.3">
      <c r="A1867" s="117"/>
      <c r="B1867" s="117"/>
      <c r="C1867" s="117"/>
      <c r="D1867" s="117"/>
      <c r="E1867" s="200"/>
      <c r="F1867" s="200"/>
    </row>
    <row r="1868" spans="1:6" x14ac:dyDescent="0.3">
      <c r="A1868" s="117"/>
      <c r="B1868" s="117"/>
      <c r="C1868" s="117"/>
      <c r="D1868" s="117"/>
      <c r="E1868" s="200"/>
      <c r="F1868" s="200"/>
    </row>
    <row r="1869" spans="1:6" x14ac:dyDescent="0.3">
      <c r="A1869" s="117"/>
      <c r="B1869" s="117"/>
      <c r="C1869" s="117"/>
      <c r="D1869" s="117"/>
      <c r="E1869" s="200"/>
      <c r="F1869" s="200"/>
    </row>
    <row r="1870" spans="1:6" x14ac:dyDescent="0.3">
      <c r="A1870" s="117"/>
      <c r="B1870" s="117"/>
      <c r="C1870" s="117"/>
      <c r="D1870" s="117"/>
      <c r="E1870" s="200"/>
      <c r="F1870" s="200"/>
    </row>
    <row r="1871" spans="1:6" x14ac:dyDescent="0.3">
      <c r="A1871" s="117"/>
      <c r="B1871" s="117"/>
      <c r="C1871" s="117"/>
      <c r="D1871" s="117"/>
      <c r="E1871" s="200"/>
      <c r="F1871" s="200"/>
    </row>
    <row r="1872" spans="1:6" x14ac:dyDescent="0.3">
      <c r="A1872" s="117"/>
      <c r="B1872" s="117"/>
      <c r="C1872" s="117"/>
      <c r="D1872" s="117"/>
      <c r="E1872" s="200"/>
      <c r="F1872" s="200"/>
    </row>
    <row r="1873" spans="1:6" x14ac:dyDescent="0.3">
      <c r="A1873" s="117"/>
      <c r="B1873" s="117"/>
      <c r="C1873" s="117"/>
      <c r="D1873" s="117"/>
      <c r="E1873" s="200"/>
      <c r="F1873" s="200"/>
    </row>
    <row r="1874" spans="1:6" x14ac:dyDescent="0.3">
      <c r="A1874" s="117"/>
      <c r="B1874" s="117"/>
      <c r="C1874" s="117"/>
      <c r="D1874" s="117"/>
      <c r="E1874" s="200"/>
      <c r="F1874" s="200"/>
    </row>
    <row r="1875" spans="1:6" x14ac:dyDescent="0.3">
      <c r="A1875" s="117"/>
      <c r="B1875" s="117"/>
      <c r="C1875" s="117"/>
      <c r="D1875" s="117"/>
      <c r="E1875" s="200"/>
      <c r="F1875" s="200"/>
    </row>
    <row r="1876" spans="1:6" x14ac:dyDescent="0.3">
      <c r="A1876" s="117"/>
      <c r="B1876" s="117"/>
      <c r="C1876" s="117"/>
      <c r="D1876" s="117"/>
      <c r="E1876" s="200"/>
      <c r="F1876" s="200"/>
    </row>
    <row r="1877" spans="1:6" x14ac:dyDescent="0.3">
      <c r="A1877" s="117"/>
      <c r="B1877" s="117"/>
      <c r="C1877" s="117"/>
      <c r="D1877" s="117"/>
      <c r="E1877" s="200"/>
      <c r="F1877" s="200"/>
    </row>
    <row r="1878" spans="1:6" x14ac:dyDescent="0.3">
      <c r="A1878" s="117"/>
      <c r="B1878" s="117"/>
      <c r="C1878" s="117"/>
      <c r="D1878" s="117"/>
      <c r="E1878" s="200"/>
      <c r="F1878" s="200"/>
    </row>
    <row r="1879" spans="1:6" x14ac:dyDescent="0.3">
      <c r="A1879" s="117"/>
      <c r="B1879" s="117"/>
      <c r="C1879" s="117"/>
      <c r="D1879" s="117"/>
      <c r="E1879" s="200"/>
      <c r="F1879" s="200"/>
    </row>
    <row r="1880" spans="1:6" x14ac:dyDescent="0.3">
      <c r="A1880" s="117"/>
      <c r="B1880" s="117"/>
      <c r="C1880" s="117"/>
      <c r="D1880" s="117"/>
      <c r="E1880" s="200"/>
      <c r="F1880" s="200"/>
    </row>
    <row r="1881" spans="1:6" x14ac:dyDescent="0.3">
      <c r="A1881" s="117"/>
      <c r="B1881" s="117"/>
      <c r="C1881" s="117"/>
      <c r="D1881" s="117"/>
      <c r="E1881" s="200"/>
      <c r="F1881" s="200"/>
    </row>
    <row r="1882" spans="1:6" x14ac:dyDescent="0.3">
      <c r="A1882" s="117"/>
      <c r="B1882" s="117"/>
      <c r="C1882" s="117"/>
      <c r="D1882" s="117"/>
      <c r="E1882" s="200"/>
      <c r="F1882" s="200"/>
    </row>
    <row r="1883" spans="1:6" x14ac:dyDescent="0.3">
      <c r="A1883" s="117"/>
      <c r="B1883" s="117"/>
      <c r="C1883" s="117"/>
      <c r="D1883" s="117"/>
      <c r="E1883" s="200"/>
      <c r="F1883" s="200"/>
    </row>
    <row r="1884" spans="1:6" x14ac:dyDescent="0.3">
      <c r="A1884" s="117"/>
      <c r="B1884" s="117"/>
      <c r="C1884" s="117"/>
      <c r="D1884" s="117"/>
      <c r="E1884" s="200"/>
      <c r="F1884" s="200"/>
    </row>
    <row r="1885" spans="1:6" x14ac:dyDescent="0.3">
      <c r="A1885" s="117"/>
      <c r="B1885" s="117"/>
      <c r="C1885" s="117"/>
      <c r="D1885" s="117"/>
      <c r="E1885" s="200"/>
      <c r="F1885" s="200"/>
    </row>
    <row r="1886" spans="1:6" x14ac:dyDescent="0.3">
      <c r="A1886" s="117"/>
      <c r="B1886" s="117"/>
      <c r="C1886" s="117"/>
      <c r="D1886" s="117"/>
      <c r="E1886" s="200"/>
      <c r="F1886" s="200"/>
    </row>
    <row r="1887" spans="1:6" x14ac:dyDescent="0.3">
      <c r="A1887" s="117"/>
      <c r="B1887" s="117"/>
      <c r="C1887" s="117"/>
      <c r="D1887" s="117"/>
      <c r="E1887" s="200"/>
      <c r="F1887" s="200"/>
    </row>
    <row r="1888" spans="1:6" x14ac:dyDescent="0.3">
      <c r="A1888" s="117"/>
      <c r="B1888" s="117"/>
      <c r="C1888" s="117"/>
      <c r="D1888" s="117"/>
      <c r="E1888" s="200"/>
      <c r="F1888" s="200"/>
    </row>
    <row r="1889" spans="1:6" x14ac:dyDescent="0.3">
      <c r="A1889" s="117"/>
      <c r="B1889" s="117"/>
      <c r="C1889" s="117"/>
      <c r="D1889" s="117"/>
      <c r="E1889" s="200"/>
      <c r="F1889" s="200"/>
    </row>
    <row r="1890" spans="1:6" x14ac:dyDescent="0.3">
      <c r="A1890" s="117"/>
      <c r="B1890" s="117"/>
      <c r="C1890" s="117"/>
      <c r="D1890" s="117"/>
      <c r="E1890" s="200"/>
      <c r="F1890" s="200"/>
    </row>
    <row r="1891" spans="1:6" x14ac:dyDescent="0.3">
      <c r="A1891" s="117"/>
      <c r="B1891" s="117"/>
      <c r="C1891" s="117"/>
      <c r="D1891" s="117"/>
      <c r="E1891" s="200"/>
      <c r="F1891" s="200"/>
    </row>
    <row r="1892" spans="1:6" x14ac:dyDescent="0.3">
      <c r="A1892" s="117"/>
      <c r="B1892" s="117"/>
      <c r="C1892" s="117"/>
      <c r="D1892" s="117"/>
      <c r="E1892" s="200"/>
      <c r="F1892" s="200"/>
    </row>
    <row r="1893" spans="1:6" x14ac:dyDescent="0.3">
      <c r="A1893" s="117"/>
      <c r="B1893" s="117"/>
      <c r="C1893" s="117"/>
      <c r="D1893" s="117"/>
      <c r="E1893" s="200"/>
      <c r="F1893" s="200"/>
    </row>
    <row r="1894" spans="1:6" x14ac:dyDescent="0.3">
      <c r="A1894" s="117"/>
      <c r="B1894" s="117"/>
      <c r="C1894" s="117"/>
      <c r="D1894" s="117"/>
      <c r="E1894" s="200"/>
      <c r="F1894" s="200"/>
    </row>
    <row r="1895" spans="1:6" x14ac:dyDescent="0.3">
      <c r="A1895" s="117"/>
      <c r="B1895" s="117"/>
      <c r="C1895" s="117"/>
      <c r="D1895" s="117"/>
      <c r="E1895" s="200"/>
      <c r="F1895" s="200"/>
    </row>
    <row r="1896" spans="1:6" x14ac:dyDescent="0.3">
      <c r="A1896" s="117"/>
      <c r="B1896" s="117"/>
      <c r="C1896" s="117"/>
      <c r="D1896" s="117"/>
      <c r="E1896" s="200"/>
      <c r="F1896" s="200"/>
    </row>
    <row r="1897" spans="1:6" x14ac:dyDescent="0.3">
      <c r="A1897" s="117"/>
      <c r="B1897" s="117"/>
      <c r="C1897" s="117"/>
      <c r="D1897" s="117"/>
      <c r="E1897" s="200"/>
      <c r="F1897" s="200"/>
    </row>
    <row r="1898" spans="1:6" x14ac:dyDescent="0.3">
      <c r="A1898" s="117"/>
      <c r="B1898" s="117"/>
      <c r="C1898" s="117"/>
      <c r="D1898" s="117"/>
      <c r="E1898" s="200"/>
      <c r="F1898" s="200"/>
    </row>
    <row r="1899" spans="1:6" x14ac:dyDescent="0.3">
      <c r="A1899" s="117"/>
      <c r="B1899" s="117"/>
      <c r="C1899" s="117"/>
      <c r="D1899" s="117"/>
      <c r="E1899" s="200"/>
      <c r="F1899" s="200"/>
    </row>
    <row r="1900" spans="1:6" x14ac:dyDescent="0.3">
      <c r="A1900" s="117"/>
      <c r="B1900" s="117"/>
      <c r="C1900" s="117"/>
      <c r="D1900" s="117"/>
      <c r="E1900" s="200"/>
      <c r="F1900" s="200"/>
    </row>
    <row r="1901" spans="1:6" x14ac:dyDescent="0.3">
      <c r="A1901" s="117"/>
      <c r="B1901" s="117"/>
      <c r="C1901" s="117"/>
      <c r="D1901" s="117"/>
      <c r="E1901" s="200"/>
      <c r="F1901" s="200"/>
    </row>
    <row r="1902" spans="1:6" x14ac:dyDescent="0.3">
      <c r="A1902" s="117"/>
      <c r="B1902" s="117"/>
      <c r="C1902" s="117"/>
      <c r="D1902" s="117"/>
      <c r="E1902" s="200"/>
      <c r="F1902" s="200"/>
    </row>
    <row r="1903" spans="1:6" x14ac:dyDescent="0.3">
      <c r="A1903" s="117"/>
      <c r="B1903" s="117"/>
      <c r="C1903" s="117"/>
      <c r="D1903" s="117"/>
      <c r="E1903" s="200"/>
      <c r="F1903" s="200"/>
    </row>
    <row r="1904" spans="1:6" x14ac:dyDescent="0.3">
      <c r="A1904" s="117"/>
      <c r="B1904" s="117"/>
      <c r="C1904" s="117"/>
      <c r="D1904" s="117"/>
      <c r="E1904" s="200"/>
      <c r="F1904" s="200"/>
    </row>
    <row r="1905" spans="1:6" x14ac:dyDescent="0.3">
      <c r="A1905" s="117"/>
      <c r="B1905" s="117"/>
      <c r="C1905" s="117"/>
      <c r="D1905" s="117"/>
      <c r="E1905" s="200"/>
      <c r="F1905" s="200"/>
    </row>
    <row r="1906" spans="1:6" x14ac:dyDescent="0.3">
      <c r="A1906" s="117"/>
      <c r="B1906" s="117"/>
      <c r="C1906" s="117"/>
      <c r="D1906" s="117"/>
      <c r="E1906" s="200"/>
      <c r="F1906" s="200"/>
    </row>
    <row r="1907" spans="1:6" x14ac:dyDescent="0.3">
      <c r="A1907" s="117"/>
      <c r="B1907" s="117"/>
      <c r="C1907" s="117"/>
      <c r="D1907" s="117"/>
      <c r="E1907" s="200"/>
      <c r="F1907" s="200"/>
    </row>
    <row r="1908" spans="1:6" x14ac:dyDescent="0.3">
      <c r="A1908" s="117"/>
      <c r="B1908" s="117"/>
      <c r="C1908" s="117"/>
      <c r="D1908" s="117"/>
      <c r="E1908" s="200"/>
      <c r="F1908" s="200"/>
    </row>
    <row r="1909" spans="1:6" x14ac:dyDescent="0.3">
      <c r="A1909" s="117"/>
      <c r="B1909" s="117"/>
      <c r="C1909" s="117"/>
      <c r="D1909" s="117"/>
      <c r="E1909" s="200"/>
      <c r="F1909" s="200"/>
    </row>
    <row r="1910" spans="1:6" x14ac:dyDescent="0.3">
      <c r="A1910" s="117"/>
      <c r="B1910" s="117"/>
      <c r="C1910" s="117"/>
      <c r="D1910" s="117"/>
      <c r="E1910" s="200"/>
      <c r="F1910" s="200"/>
    </row>
    <row r="1911" spans="1:6" x14ac:dyDescent="0.3">
      <c r="A1911" s="117"/>
      <c r="B1911" s="117"/>
      <c r="C1911" s="117"/>
      <c r="D1911" s="117"/>
      <c r="E1911" s="200"/>
      <c r="F1911" s="200"/>
    </row>
    <row r="1912" spans="1:6" x14ac:dyDescent="0.3">
      <c r="A1912" s="117"/>
      <c r="B1912" s="117"/>
      <c r="C1912" s="117"/>
      <c r="D1912" s="117"/>
      <c r="E1912" s="200"/>
      <c r="F1912" s="200"/>
    </row>
    <row r="1913" spans="1:6" x14ac:dyDescent="0.3">
      <c r="A1913" s="117"/>
      <c r="B1913" s="117"/>
      <c r="C1913" s="117"/>
      <c r="D1913" s="117"/>
      <c r="E1913" s="200"/>
      <c r="F1913" s="200"/>
    </row>
    <row r="1914" spans="1:6" x14ac:dyDescent="0.3">
      <c r="A1914" s="117"/>
      <c r="B1914" s="117"/>
      <c r="C1914" s="117"/>
      <c r="D1914" s="117"/>
      <c r="E1914" s="200"/>
      <c r="F1914" s="200"/>
    </row>
    <row r="1915" spans="1:6" x14ac:dyDescent="0.3">
      <c r="A1915" s="117"/>
      <c r="B1915" s="117"/>
      <c r="C1915" s="117"/>
      <c r="D1915" s="117"/>
      <c r="E1915" s="200"/>
      <c r="F1915" s="200"/>
    </row>
    <row r="1916" spans="1:6" x14ac:dyDescent="0.3">
      <c r="A1916" s="117"/>
      <c r="B1916" s="117"/>
      <c r="C1916" s="117"/>
      <c r="D1916" s="117"/>
      <c r="E1916" s="200"/>
      <c r="F1916" s="200"/>
    </row>
    <row r="1917" spans="1:6" x14ac:dyDescent="0.3">
      <c r="A1917" s="117"/>
      <c r="B1917" s="117"/>
      <c r="C1917" s="117"/>
      <c r="D1917" s="117"/>
      <c r="E1917" s="200"/>
      <c r="F1917" s="200"/>
    </row>
    <row r="1918" spans="1:6" x14ac:dyDescent="0.3">
      <c r="A1918" s="117"/>
      <c r="B1918" s="117"/>
      <c r="C1918" s="117"/>
      <c r="D1918" s="117"/>
      <c r="E1918" s="200"/>
      <c r="F1918" s="200"/>
    </row>
    <row r="1919" spans="1:6" x14ac:dyDescent="0.3">
      <c r="A1919" s="117"/>
      <c r="B1919" s="117"/>
      <c r="C1919" s="117"/>
      <c r="D1919" s="117"/>
      <c r="E1919" s="200"/>
      <c r="F1919" s="200"/>
    </row>
    <row r="1920" spans="1:6" x14ac:dyDescent="0.3">
      <c r="A1920" s="117"/>
      <c r="B1920" s="117"/>
      <c r="C1920" s="117"/>
      <c r="D1920" s="117"/>
      <c r="E1920" s="200"/>
      <c r="F1920" s="200"/>
    </row>
    <row r="1921" spans="1:6" x14ac:dyDescent="0.3">
      <c r="A1921" s="117"/>
      <c r="B1921" s="117"/>
      <c r="C1921" s="117"/>
      <c r="D1921" s="117"/>
      <c r="E1921" s="200"/>
      <c r="F1921" s="200"/>
    </row>
    <row r="1922" spans="1:6" x14ac:dyDescent="0.3">
      <c r="A1922" s="117"/>
      <c r="B1922" s="117"/>
      <c r="C1922" s="117"/>
      <c r="D1922" s="117"/>
      <c r="E1922" s="200"/>
      <c r="F1922" s="200"/>
    </row>
    <row r="1923" spans="1:6" x14ac:dyDescent="0.3">
      <c r="A1923" s="117"/>
      <c r="B1923" s="117"/>
      <c r="C1923" s="117"/>
      <c r="D1923" s="117"/>
      <c r="E1923" s="200"/>
      <c r="F1923" s="200"/>
    </row>
    <row r="1924" spans="1:6" x14ac:dyDescent="0.3">
      <c r="A1924" s="117"/>
      <c r="B1924" s="117"/>
      <c r="C1924" s="117"/>
      <c r="D1924" s="117"/>
      <c r="E1924" s="200"/>
      <c r="F1924" s="200"/>
    </row>
    <row r="1925" spans="1:6" x14ac:dyDescent="0.3">
      <c r="A1925" s="117"/>
      <c r="B1925" s="117"/>
      <c r="C1925" s="117"/>
      <c r="D1925" s="117"/>
      <c r="E1925" s="200"/>
      <c r="F1925" s="200"/>
    </row>
    <row r="1926" spans="1:6" x14ac:dyDescent="0.3">
      <c r="A1926" s="117"/>
      <c r="B1926" s="117"/>
      <c r="C1926" s="117"/>
      <c r="D1926" s="117"/>
      <c r="E1926" s="200"/>
      <c r="F1926" s="200"/>
    </row>
    <row r="1927" spans="1:6" x14ac:dyDescent="0.3">
      <c r="A1927" s="117"/>
      <c r="B1927" s="117"/>
      <c r="C1927" s="117"/>
      <c r="D1927" s="117"/>
      <c r="E1927" s="200"/>
      <c r="F1927" s="200"/>
    </row>
    <row r="1928" spans="1:6" x14ac:dyDescent="0.3">
      <c r="A1928" s="117"/>
      <c r="B1928" s="117"/>
      <c r="C1928" s="117"/>
      <c r="D1928" s="117"/>
      <c r="E1928" s="200"/>
      <c r="F1928" s="200"/>
    </row>
    <row r="1929" spans="1:6" x14ac:dyDescent="0.3">
      <c r="A1929" s="117"/>
      <c r="B1929" s="117"/>
      <c r="C1929" s="117"/>
      <c r="D1929" s="117"/>
      <c r="E1929" s="200"/>
      <c r="F1929" s="200"/>
    </row>
    <row r="1930" spans="1:6" x14ac:dyDescent="0.3">
      <c r="A1930" s="117"/>
      <c r="B1930" s="117"/>
      <c r="C1930" s="117"/>
      <c r="D1930" s="117"/>
      <c r="E1930" s="200"/>
      <c r="F1930" s="200"/>
    </row>
    <row r="1931" spans="1:6" x14ac:dyDescent="0.3">
      <c r="A1931" s="117"/>
      <c r="B1931" s="117"/>
      <c r="C1931" s="117"/>
      <c r="D1931" s="117"/>
      <c r="E1931" s="200"/>
      <c r="F1931" s="200"/>
    </row>
    <row r="1932" spans="1:6" x14ac:dyDescent="0.3">
      <c r="A1932" s="117"/>
      <c r="B1932" s="117"/>
      <c r="C1932" s="117"/>
      <c r="D1932" s="117"/>
      <c r="E1932" s="200"/>
      <c r="F1932" s="200"/>
    </row>
    <row r="1933" spans="1:6" x14ac:dyDescent="0.3">
      <c r="A1933" s="117"/>
      <c r="B1933" s="117"/>
      <c r="C1933" s="117"/>
      <c r="D1933" s="117"/>
      <c r="E1933" s="200"/>
      <c r="F1933" s="200"/>
    </row>
    <row r="1934" spans="1:6" x14ac:dyDescent="0.3">
      <c r="A1934" s="117"/>
      <c r="B1934" s="117"/>
      <c r="C1934" s="117"/>
      <c r="D1934" s="117"/>
      <c r="E1934" s="200"/>
      <c r="F1934" s="200"/>
    </row>
    <row r="1935" spans="1:6" x14ac:dyDescent="0.3">
      <c r="A1935" s="117"/>
      <c r="B1935" s="117"/>
      <c r="C1935" s="117"/>
      <c r="D1935" s="117"/>
      <c r="E1935" s="200"/>
      <c r="F1935" s="200"/>
    </row>
    <row r="1936" spans="1:6" x14ac:dyDescent="0.3">
      <c r="A1936" s="117"/>
      <c r="B1936" s="117"/>
      <c r="C1936" s="117"/>
      <c r="D1936" s="117"/>
      <c r="E1936" s="200"/>
      <c r="F1936" s="200"/>
    </row>
    <row r="1937" spans="1:6" x14ac:dyDescent="0.3">
      <c r="A1937" s="117"/>
      <c r="B1937" s="117"/>
      <c r="C1937" s="117"/>
      <c r="D1937" s="117"/>
      <c r="E1937" s="200"/>
      <c r="F1937" s="200"/>
    </row>
    <row r="1938" spans="1:6" x14ac:dyDescent="0.3">
      <c r="A1938" s="117"/>
      <c r="B1938" s="117"/>
      <c r="C1938" s="117"/>
      <c r="D1938" s="117"/>
      <c r="E1938" s="200"/>
      <c r="F1938" s="200"/>
    </row>
    <row r="1939" spans="1:6" x14ac:dyDescent="0.3">
      <c r="A1939" s="117"/>
      <c r="B1939" s="117"/>
      <c r="C1939" s="117"/>
      <c r="D1939" s="117"/>
      <c r="E1939" s="200"/>
      <c r="F1939" s="200"/>
    </row>
    <row r="1940" spans="1:6" x14ac:dyDescent="0.3">
      <c r="A1940" s="117"/>
      <c r="B1940" s="117"/>
      <c r="C1940" s="117"/>
      <c r="D1940" s="117"/>
      <c r="E1940" s="200"/>
      <c r="F1940" s="200"/>
    </row>
    <row r="1941" spans="1:6" x14ac:dyDescent="0.3">
      <c r="A1941" s="117"/>
      <c r="B1941" s="117"/>
      <c r="C1941" s="117"/>
      <c r="D1941" s="117"/>
      <c r="E1941" s="200"/>
      <c r="F1941" s="200"/>
    </row>
    <row r="1942" spans="1:6" x14ac:dyDescent="0.3">
      <c r="A1942" s="117"/>
      <c r="B1942" s="117"/>
      <c r="C1942" s="117"/>
      <c r="D1942" s="117"/>
      <c r="E1942" s="200"/>
      <c r="F1942" s="200"/>
    </row>
    <row r="1943" spans="1:6" x14ac:dyDescent="0.3">
      <c r="A1943" s="117"/>
      <c r="B1943" s="117"/>
      <c r="C1943" s="117"/>
      <c r="D1943" s="117"/>
      <c r="E1943" s="200"/>
      <c r="F1943" s="200"/>
    </row>
    <row r="1944" spans="1:6" x14ac:dyDescent="0.3">
      <c r="A1944" s="117"/>
      <c r="B1944" s="117"/>
      <c r="C1944" s="117"/>
      <c r="D1944" s="117"/>
      <c r="E1944" s="200"/>
      <c r="F1944" s="200"/>
    </row>
    <row r="1945" spans="1:6" x14ac:dyDescent="0.3">
      <c r="A1945" s="117"/>
      <c r="B1945" s="117"/>
      <c r="C1945" s="117"/>
      <c r="D1945" s="117"/>
      <c r="E1945" s="200"/>
      <c r="F1945" s="200"/>
    </row>
    <row r="1946" spans="1:6" x14ac:dyDescent="0.3">
      <c r="A1946" s="117"/>
      <c r="B1946" s="117"/>
      <c r="C1946" s="117"/>
      <c r="D1946" s="117"/>
      <c r="E1946" s="200"/>
      <c r="F1946" s="200"/>
    </row>
    <row r="1947" spans="1:6" x14ac:dyDescent="0.3">
      <c r="A1947" s="117"/>
      <c r="B1947" s="117"/>
      <c r="C1947" s="117"/>
      <c r="D1947" s="117"/>
      <c r="E1947" s="200"/>
      <c r="F1947" s="200"/>
    </row>
    <row r="1948" spans="1:6" x14ac:dyDescent="0.3">
      <c r="A1948" s="117"/>
      <c r="B1948" s="117"/>
      <c r="C1948" s="117"/>
      <c r="D1948" s="117"/>
      <c r="E1948" s="200"/>
      <c r="F1948" s="200"/>
    </row>
    <row r="1949" spans="1:6" x14ac:dyDescent="0.3">
      <c r="A1949" s="117"/>
      <c r="B1949" s="117"/>
      <c r="C1949" s="117"/>
      <c r="D1949" s="117"/>
      <c r="E1949" s="200"/>
      <c r="F1949" s="200"/>
    </row>
    <row r="1950" spans="1:6" x14ac:dyDescent="0.3">
      <c r="A1950" s="117"/>
      <c r="B1950" s="117"/>
      <c r="C1950" s="117"/>
      <c r="D1950" s="117"/>
      <c r="E1950" s="200"/>
      <c r="F1950" s="200"/>
    </row>
    <row r="1951" spans="1:6" x14ac:dyDescent="0.3">
      <c r="A1951" s="117"/>
      <c r="B1951" s="117"/>
      <c r="C1951" s="117"/>
      <c r="D1951" s="117"/>
      <c r="E1951" s="200"/>
      <c r="F1951" s="200"/>
    </row>
    <row r="1952" spans="1:6" x14ac:dyDescent="0.3">
      <c r="A1952" s="117"/>
      <c r="B1952" s="117"/>
      <c r="C1952" s="117"/>
      <c r="D1952" s="117"/>
      <c r="E1952" s="200"/>
      <c r="F1952" s="200"/>
    </row>
    <row r="1953" spans="1:6" x14ac:dyDescent="0.3">
      <c r="A1953" s="117"/>
      <c r="B1953" s="117"/>
      <c r="C1953" s="117"/>
      <c r="D1953" s="117"/>
      <c r="E1953" s="200"/>
      <c r="F1953" s="200"/>
    </row>
    <row r="1954" spans="1:6" x14ac:dyDescent="0.3">
      <c r="A1954" s="117"/>
      <c r="B1954" s="117"/>
      <c r="C1954" s="117"/>
      <c r="D1954" s="117"/>
      <c r="E1954" s="200"/>
      <c r="F1954" s="200"/>
    </row>
    <row r="1955" spans="1:6" x14ac:dyDescent="0.3">
      <c r="A1955" s="117"/>
      <c r="B1955" s="117"/>
      <c r="C1955" s="117"/>
      <c r="D1955" s="117"/>
      <c r="E1955" s="200"/>
      <c r="F1955" s="200"/>
    </row>
    <row r="1956" spans="1:6" x14ac:dyDescent="0.3">
      <c r="A1956" s="117"/>
      <c r="B1956" s="117"/>
      <c r="C1956" s="117"/>
      <c r="D1956" s="117"/>
      <c r="E1956" s="200"/>
      <c r="F1956" s="200"/>
    </row>
    <row r="1957" spans="1:6" x14ac:dyDescent="0.3">
      <c r="A1957" s="117"/>
      <c r="B1957" s="117"/>
      <c r="C1957" s="117"/>
      <c r="D1957" s="117"/>
      <c r="E1957" s="200"/>
      <c r="F1957" s="200"/>
    </row>
    <row r="1958" spans="1:6" x14ac:dyDescent="0.3">
      <c r="A1958" s="117"/>
      <c r="B1958" s="117"/>
      <c r="C1958" s="117"/>
      <c r="D1958" s="117"/>
      <c r="E1958" s="200"/>
      <c r="F1958" s="200"/>
    </row>
    <row r="1959" spans="1:6" x14ac:dyDescent="0.3">
      <c r="A1959" s="117"/>
      <c r="B1959" s="117"/>
      <c r="C1959" s="117"/>
      <c r="D1959" s="117"/>
      <c r="E1959" s="200"/>
      <c r="F1959" s="200"/>
    </row>
    <row r="1960" spans="1:6" x14ac:dyDescent="0.3">
      <c r="A1960" s="117"/>
      <c r="B1960" s="117"/>
      <c r="C1960" s="117"/>
      <c r="D1960" s="117"/>
      <c r="E1960" s="200"/>
      <c r="F1960" s="200"/>
    </row>
    <row r="1961" spans="1:6" x14ac:dyDescent="0.3">
      <c r="A1961" s="117"/>
      <c r="B1961" s="117"/>
      <c r="C1961" s="117"/>
      <c r="D1961" s="117"/>
      <c r="E1961" s="200"/>
      <c r="F1961" s="200"/>
    </row>
    <row r="1962" spans="1:6" x14ac:dyDescent="0.3">
      <c r="A1962" s="117"/>
      <c r="B1962" s="117"/>
      <c r="C1962" s="117"/>
      <c r="D1962" s="117"/>
      <c r="E1962" s="200"/>
      <c r="F1962" s="200"/>
    </row>
    <row r="1963" spans="1:6" x14ac:dyDescent="0.3">
      <c r="A1963" s="117"/>
      <c r="B1963" s="117"/>
      <c r="C1963" s="117"/>
      <c r="D1963" s="117"/>
      <c r="E1963" s="200"/>
      <c r="F1963" s="200"/>
    </row>
    <row r="1964" spans="1:6" x14ac:dyDescent="0.3">
      <c r="A1964" s="117"/>
      <c r="B1964" s="117"/>
      <c r="C1964" s="117"/>
      <c r="D1964" s="117"/>
      <c r="E1964" s="200"/>
      <c r="F1964" s="200"/>
    </row>
    <row r="1965" spans="1:6" x14ac:dyDescent="0.3">
      <c r="A1965" s="117"/>
      <c r="B1965" s="117"/>
      <c r="C1965" s="117"/>
      <c r="D1965" s="117"/>
      <c r="E1965" s="200"/>
      <c r="F1965" s="200"/>
    </row>
    <row r="1966" spans="1:6" x14ac:dyDescent="0.3">
      <c r="A1966" s="117"/>
      <c r="B1966" s="117"/>
      <c r="C1966" s="117"/>
      <c r="D1966" s="117"/>
      <c r="E1966" s="200"/>
      <c r="F1966" s="200"/>
    </row>
    <row r="1967" spans="1:6" x14ac:dyDescent="0.3">
      <c r="A1967" s="117"/>
      <c r="B1967" s="117"/>
      <c r="C1967" s="117"/>
      <c r="D1967" s="117"/>
      <c r="E1967" s="200"/>
      <c r="F1967" s="200"/>
    </row>
    <row r="1968" spans="1:6" x14ac:dyDescent="0.3">
      <c r="A1968" s="117"/>
      <c r="B1968" s="117"/>
      <c r="C1968" s="117"/>
      <c r="D1968" s="117"/>
      <c r="E1968" s="200"/>
      <c r="F1968" s="200"/>
    </row>
    <row r="1969" spans="1:6" x14ac:dyDescent="0.3">
      <c r="A1969" s="117"/>
      <c r="B1969" s="117"/>
      <c r="C1969" s="117"/>
      <c r="D1969" s="117"/>
      <c r="E1969" s="200"/>
      <c r="F1969" s="200"/>
    </row>
    <row r="1970" spans="1:6" x14ac:dyDescent="0.3">
      <c r="A1970" s="117"/>
      <c r="B1970" s="117"/>
      <c r="C1970" s="117"/>
      <c r="D1970" s="117"/>
      <c r="E1970" s="200"/>
      <c r="F1970" s="200"/>
    </row>
    <row r="1971" spans="1:6" x14ac:dyDescent="0.3">
      <c r="A1971" s="117"/>
      <c r="B1971" s="117"/>
      <c r="C1971" s="117"/>
      <c r="D1971" s="117"/>
      <c r="E1971" s="200"/>
      <c r="F1971" s="200"/>
    </row>
    <row r="1972" spans="1:6" x14ac:dyDescent="0.3">
      <c r="A1972" s="117"/>
      <c r="B1972" s="117"/>
      <c r="C1972" s="117"/>
      <c r="D1972" s="117"/>
      <c r="E1972" s="200"/>
      <c r="F1972" s="200"/>
    </row>
    <row r="1973" spans="1:6" x14ac:dyDescent="0.3">
      <c r="A1973" s="117"/>
      <c r="B1973" s="117"/>
      <c r="C1973" s="117"/>
      <c r="D1973" s="117"/>
      <c r="E1973" s="200"/>
      <c r="F1973" s="200"/>
    </row>
    <row r="1974" spans="1:6" x14ac:dyDescent="0.3">
      <c r="A1974" s="117"/>
      <c r="B1974" s="117"/>
      <c r="C1974" s="117"/>
      <c r="D1974" s="117"/>
      <c r="E1974" s="200"/>
      <c r="F1974" s="200"/>
    </row>
    <row r="1975" spans="1:6" x14ac:dyDescent="0.3">
      <c r="A1975" s="117"/>
      <c r="B1975" s="117"/>
      <c r="C1975" s="117"/>
      <c r="D1975" s="117"/>
      <c r="E1975" s="200"/>
      <c r="F1975" s="200"/>
    </row>
    <row r="1976" spans="1:6" x14ac:dyDescent="0.3">
      <c r="A1976" s="117"/>
      <c r="B1976" s="117"/>
      <c r="C1976" s="117"/>
      <c r="D1976" s="117"/>
      <c r="E1976" s="200"/>
      <c r="F1976" s="200"/>
    </row>
    <row r="1977" spans="1:6" x14ac:dyDescent="0.3">
      <c r="A1977" s="117"/>
      <c r="B1977" s="117"/>
      <c r="C1977" s="117"/>
      <c r="D1977" s="117"/>
      <c r="E1977" s="200"/>
      <c r="F1977" s="200"/>
    </row>
    <row r="1978" spans="1:6" x14ac:dyDescent="0.3">
      <c r="A1978" s="117"/>
      <c r="B1978" s="117"/>
      <c r="C1978" s="117"/>
      <c r="D1978" s="117"/>
      <c r="E1978" s="200"/>
      <c r="F1978" s="200"/>
    </row>
    <row r="1979" spans="1:6" x14ac:dyDescent="0.3">
      <c r="A1979" s="117"/>
      <c r="B1979" s="117"/>
      <c r="C1979" s="117"/>
      <c r="D1979" s="117"/>
      <c r="E1979" s="200"/>
      <c r="F1979" s="200"/>
    </row>
    <row r="1980" spans="1:6" x14ac:dyDescent="0.3">
      <c r="A1980" s="117"/>
      <c r="B1980" s="117"/>
      <c r="C1980" s="117"/>
      <c r="D1980" s="117"/>
      <c r="E1980" s="200"/>
      <c r="F1980" s="200"/>
    </row>
    <row r="1981" spans="1:6" x14ac:dyDescent="0.3">
      <c r="A1981" s="117"/>
      <c r="B1981" s="117"/>
      <c r="C1981" s="117"/>
      <c r="D1981" s="117"/>
      <c r="E1981" s="200"/>
      <c r="F1981" s="200"/>
    </row>
    <row r="1982" spans="1:6" x14ac:dyDescent="0.3">
      <c r="A1982" s="117"/>
      <c r="B1982" s="117"/>
      <c r="C1982" s="117"/>
      <c r="D1982" s="117"/>
      <c r="E1982" s="200"/>
      <c r="F1982" s="200"/>
    </row>
    <row r="1983" spans="1:6" x14ac:dyDescent="0.3">
      <c r="A1983" s="117"/>
      <c r="B1983" s="117"/>
      <c r="C1983" s="117"/>
      <c r="D1983" s="117"/>
      <c r="E1983" s="200"/>
      <c r="F1983" s="200"/>
    </row>
    <row r="1984" spans="1:6" x14ac:dyDescent="0.3">
      <c r="A1984" s="117"/>
      <c r="B1984" s="117"/>
      <c r="C1984" s="117"/>
      <c r="D1984" s="117"/>
      <c r="E1984" s="200"/>
      <c r="F1984" s="200"/>
    </row>
    <row r="1985" spans="1:6" x14ac:dyDescent="0.3">
      <c r="A1985" s="117"/>
      <c r="B1985" s="117"/>
      <c r="C1985" s="117"/>
      <c r="D1985" s="117"/>
      <c r="E1985" s="200"/>
      <c r="F1985" s="200"/>
    </row>
    <row r="1986" spans="1:6" x14ac:dyDescent="0.3">
      <c r="A1986" s="117"/>
      <c r="B1986" s="117"/>
      <c r="C1986" s="117"/>
      <c r="D1986" s="117"/>
      <c r="E1986" s="200"/>
      <c r="F1986" s="200"/>
    </row>
    <row r="1987" spans="1:6" x14ac:dyDescent="0.3">
      <c r="A1987" s="117"/>
      <c r="B1987" s="117"/>
      <c r="C1987" s="117"/>
      <c r="D1987" s="117"/>
      <c r="E1987" s="200"/>
      <c r="F1987" s="200"/>
    </row>
    <row r="1988" spans="1:6" x14ac:dyDescent="0.3">
      <c r="A1988" s="117"/>
      <c r="B1988" s="117"/>
      <c r="C1988" s="117"/>
      <c r="D1988" s="117"/>
      <c r="E1988" s="200"/>
      <c r="F1988" s="200"/>
    </row>
    <row r="1989" spans="1:6" x14ac:dyDescent="0.3">
      <c r="A1989" s="117"/>
      <c r="B1989" s="117"/>
      <c r="C1989" s="117"/>
      <c r="D1989" s="117"/>
      <c r="E1989" s="200"/>
      <c r="F1989" s="200"/>
    </row>
    <row r="1990" spans="1:6" x14ac:dyDescent="0.3">
      <c r="A1990" s="117"/>
      <c r="B1990" s="117"/>
      <c r="C1990" s="117"/>
      <c r="D1990" s="117"/>
      <c r="E1990" s="200"/>
      <c r="F1990" s="200"/>
    </row>
    <row r="1991" spans="1:6" x14ac:dyDescent="0.3">
      <c r="A1991" s="117"/>
      <c r="B1991" s="117"/>
      <c r="C1991" s="117"/>
      <c r="D1991" s="117"/>
      <c r="E1991" s="200"/>
      <c r="F1991" s="200"/>
    </row>
    <row r="1992" spans="1:6" x14ac:dyDescent="0.3">
      <c r="A1992" s="117"/>
      <c r="B1992" s="117"/>
      <c r="C1992" s="117"/>
      <c r="D1992" s="117"/>
      <c r="E1992" s="200"/>
      <c r="F1992" s="200"/>
    </row>
    <row r="1993" spans="1:6" x14ac:dyDescent="0.3">
      <c r="A1993" s="117"/>
      <c r="B1993" s="117"/>
      <c r="C1993" s="117"/>
      <c r="D1993" s="117"/>
      <c r="E1993" s="200"/>
      <c r="F1993" s="200"/>
    </row>
    <row r="1994" spans="1:6" x14ac:dyDescent="0.3">
      <c r="A1994" s="117"/>
      <c r="B1994" s="117"/>
      <c r="C1994" s="117"/>
      <c r="D1994" s="117"/>
      <c r="E1994" s="200"/>
      <c r="F1994" s="200"/>
    </row>
    <row r="1995" spans="1:6" x14ac:dyDescent="0.3">
      <c r="A1995" s="117"/>
      <c r="B1995" s="117"/>
      <c r="C1995" s="117"/>
      <c r="D1995" s="117"/>
      <c r="E1995" s="200"/>
      <c r="F1995" s="200"/>
    </row>
    <row r="1996" spans="1:6" x14ac:dyDescent="0.3">
      <c r="A1996" s="117"/>
      <c r="B1996" s="117"/>
      <c r="C1996" s="117"/>
      <c r="D1996" s="117"/>
      <c r="E1996" s="200"/>
      <c r="F1996" s="200"/>
    </row>
    <row r="1997" spans="1:6" x14ac:dyDescent="0.3">
      <c r="A1997" s="117"/>
      <c r="B1997" s="117"/>
      <c r="C1997" s="117"/>
      <c r="D1997" s="117"/>
      <c r="E1997" s="200"/>
      <c r="F1997" s="200"/>
    </row>
    <row r="1998" spans="1:6" x14ac:dyDescent="0.3">
      <c r="A1998" s="117"/>
      <c r="B1998" s="117"/>
      <c r="C1998" s="117"/>
      <c r="D1998" s="117"/>
      <c r="E1998" s="200"/>
      <c r="F1998" s="200"/>
    </row>
    <row r="1999" spans="1:6" x14ac:dyDescent="0.3">
      <c r="A1999" s="117"/>
      <c r="B1999" s="117"/>
      <c r="C1999" s="117"/>
      <c r="D1999" s="117"/>
      <c r="E1999" s="200"/>
      <c r="F1999" s="200"/>
    </row>
    <row r="2000" spans="1:6" x14ac:dyDescent="0.3">
      <c r="A2000" s="117"/>
      <c r="B2000" s="117"/>
      <c r="C2000" s="117"/>
      <c r="D2000" s="117"/>
      <c r="E2000" s="200">
        <f>SUM(E7:E1999)</f>
        <v>0</v>
      </c>
      <c r="F2000" s="200">
        <f>SUM(F7:F1999)</f>
        <v>0</v>
      </c>
    </row>
  </sheetData>
  <mergeCells count="4">
    <mergeCell ref="A5:A6"/>
    <mergeCell ref="C5:C6"/>
    <mergeCell ref="E5:F5"/>
    <mergeCell ref="B5:B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04"/>
  <sheetViews>
    <sheetView topLeftCell="A64" zoomScaleNormal="100" zoomScaleSheetLayoutView="100" workbookViewId="0">
      <selection activeCell="B64" sqref="B64:R64"/>
    </sheetView>
  </sheetViews>
  <sheetFormatPr defaultColWidth="9.1796875" defaultRowHeight="14" x14ac:dyDescent="0.3"/>
  <cols>
    <col min="1" max="1" width="0.54296875" style="28" customWidth="1"/>
    <col min="2" max="2" width="21.54296875" style="28" customWidth="1"/>
    <col min="3" max="3" width="20" style="146" customWidth="1"/>
    <col min="4" max="9" width="14.453125" style="28" customWidth="1"/>
    <col min="10" max="11" width="15.26953125" style="28" customWidth="1"/>
    <col min="12" max="12" width="15.7265625" style="28" customWidth="1"/>
    <col min="13" max="14" width="14.453125" style="28" customWidth="1"/>
    <col min="15" max="15" width="16.7265625" style="28" customWidth="1"/>
    <col min="16" max="16" width="16.453125" style="28" customWidth="1"/>
    <col min="17" max="18" width="19.26953125" style="28" customWidth="1"/>
    <col min="19" max="16384" width="9.1796875" style="28"/>
  </cols>
  <sheetData>
    <row r="1" spans="1:12" s="363" customFormat="1" ht="15.5" x14ac:dyDescent="0.35">
      <c r="A1" s="366"/>
      <c r="B1" s="363" t="str">
        <f>Cover!C1</f>
        <v>ABC LIMITED</v>
      </c>
      <c r="C1" s="367"/>
    </row>
    <row r="2" spans="1:12" s="363" customFormat="1" ht="15.5" x14ac:dyDescent="0.35">
      <c r="A2" s="366"/>
      <c r="B2" s="363" t="s">
        <v>483</v>
      </c>
      <c r="C2" s="367"/>
    </row>
    <row r="3" spans="1:12" s="383" customFormat="1" ht="16" thickBot="1" x14ac:dyDescent="0.4">
      <c r="A3" s="386"/>
      <c r="B3" s="383" t="str">
        <f>Cover!C3</f>
        <v>FOR THE YEAR ENDED JUNE 30, 2023</v>
      </c>
      <c r="C3" s="387"/>
    </row>
    <row r="4" spans="1:12" ht="14.5" thickTop="1" x14ac:dyDescent="0.3"/>
    <row r="5" spans="1:12" x14ac:dyDescent="0.3">
      <c r="B5" s="143" t="s">
        <v>482</v>
      </c>
      <c r="C5" s="144"/>
      <c r="D5" s="144"/>
      <c r="E5" s="144"/>
      <c r="F5" s="144"/>
      <c r="G5" s="144"/>
      <c r="H5" s="144"/>
      <c r="I5" s="144"/>
      <c r="J5" s="144"/>
      <c r="K5" s="144"/>
      <c r="L5" s="145"/>
    </row>
    <row r="6" spans="1:12" ht="5.25" customHeight="1" x14ac:dyDescent="0.3">
      <c r="L6" s="147"/>
    </row>
    <row r="7" spans="1:12" ht="33" customHeight="1" x14ac:dyDescent="0.3">
      <c r="B7" s="63" t="s">
        <v>484</v>
      </c>
      <c r="C7" s="63" t="s">
        <v>267</v>
      </c>
      <c r="D7" s="125" t="s">
        <v>227</v>
      </c>
      <c r="E7" s="35" t="s">
        <v>283</v>
      </c>
      <c r="F7" s="35" t="s">
        <v>269</v>
      </c>
      <c r="G7" s="35" t="s">
        <v>469</v>
      </c>
      <c r="H7" s="35" t="s">
        <v>616</v>
      </c>
      <c r="I7" s="35" t="s">
        <v>471</v>
      </c>
      <c r="J7" s="35" t="s">
        <v>470</v>
      </c>
      <c r="K7" s="35" t="s">
        <v>618</v>
      </c>
      <c r="L7" s="35" t="s">
        <v>273</v>
      </c>
    </row>
    <row r="8" spans="1:12" x14ac:dyDescent="0.3">
      <c r="B8" s="63"/>
      <c r="C8" s="63"/>
      <c r="D8" s="125"/>
      <c r="E8" s="35"/>
      <c r="F8" s="35"/>
      <c r="G8" s="35"/>
      <c r="H8" s="35"/>
      <c r="I8" s="35"/>
      <c r="J8" s="35"/>
      <c r="K8" s="35"/>
      <c r="L8" s="35"/>
    </row>
    <row r="9" spans="1:12" x14ac:dyDescent="0.3">
      <c r="B9" s="117"/>
      <c r="C9" s="117"/>
      <c r="D9" s="130"/>
      <c r="E9" s="148"/>
      <c r="F9" s="148"/>
      <c r="G9" s="148"/>
      <c r="H9" s="148"/>
      <c r="I9" s="148"/>
      <c r="J9" s="148"/>
      <c r="K9" s="148"/>
      <c r="L9" s="148"/>
    </row>
    <row r="10" spans="1:12" s="58" customFormat="1" x14ac:dyDescent="0.3">
      <c r="B10" s="136" t="str">
        <f>FAS!H15</f>
        <v xml:space="preserve">Freehold Land </v>
      </c>
      <c r="C10" s="136" t="s">
        <v>615</v>
      </c>
      <c r="D10" s="149">
        <f>Cover!$I$6</f>
        <v>44743</v>
      </c>
      <c r="E10" s="150">
        <f>FAS!H64</f>
        <v>0</v>
      </c>
      <c r="F10" s="150"/>
      <c r="G10" s="150">
        <f>E10+F10</f>
        <v>0</v>
      </c>
      <c r="H10" s="150">
        <f>IF(YEAR(D10)=2022,19-MONTH(D10),IF(YEAR(D10)=2023,7-MONTH(D10),IF(D10="","","Date Error")))</f>
        <v>12</v>
      </c>
      <c r="I10" s="151">
        <f>FAS!H62</f>
        <v>0</v>
      </c>
      <c r="J10" s="150">
        <f>IF(G10=0,0,-G10*H10*I10/12)</f>
        <v>0</v>
      </c>
      <c r="K10" s="150"/>
      <c r="L10" s="150"/>
    </row>
    <row r="11" spans="1:12" x14ac:dyDescent="0.3">
      <c r="B11" s="117"/>
      <c r="C11" s="117"/>
      <c r="D11" s="130"/>
      <c r="E11" s="152"/>
      <c r="F11" s="152"/>
      <c r="G11" s="150">
        <f>E11+F11</f>
        <v>0</v>
      </c>
      <c r="H11" s="150" t="str">
        <f>IF(YEAR(D11)=2022,19-MONTH(D11),IF(YEAR(D11)=2023,7-MONTH(D11),IF(D11="","","Date Error")))</f>
        <v/>
      </c>
      <c r="I11" s="153" t="str">
        <f>IF(H11="","",I10)</f>
        <v/>
      </c>
      <c r="J11" s="152">
        <f>IF(G11=0,0,-G11*H11*I11/12)</f>
        <v>0</v>
      </c>
      <c r="K11" s="152"/>
      <c r="L11" s="152"/>
    </row>
    <row r="12" spans="1:12" x14ac:dyDescent="0.3">
      <c r="B12" s="117"/>
      <c r="C12" s="117"/>
      <c r="D12" s="130"/>
      <c r="E12" s="152"/>
      <c r="F12" s="152"/>
      <c r="G12" s="150">
        <f>E12+F12</f>
        <v>0</v>
      </c>
      <c r="H12" s="150" t="str">
        <f>IF(YEAR(D12)=2022,19-MONTH(D12),IF(YEAR(D12)=2023,7-MONTH(D12),IF(D12="","","Date Error")))</f>
        <v/>
      </c>
      <c r="I12" s="153" t="str">
        <f>IF(H12="","",I11)</f>
        <v/>
      </c>
      <c r="J12" s="152">
        <f>IF(G12=0,0,-G12*H12*I12/12)</f>
        <v>0</v>
      </c>
      <c r="K12" s="152"/>
      <c r="L12" s="152"/>
    </row>
    <row r="13" spans="1:12" x14ac:dyDescent="0.3">
      <c r="B13" s="154" t="s">
        <v>625</v>
      </c>
      <c r="C13" s="154"/>
      <c r="D13" s="155"/>
      <c r="E13" s="156"/>
      <c r="F13" s="156"/>
      <c r="G13" s="156">
        <f>-O69</f>
        <v>0</v>
      </c>
      <c r="H13" s="156"/>
      <c r="I13" s="157"/>
      <c r="J13" s="156">
        <f>R69</f>
        <v>0</v>
      </c>
      <c r="K13" s="156"/>
      <c r="L13" s="156"/>
    </row>
    <row r="14" spans="1:12" s="58" customFormat="1" x14ac:dyDescent="0.3">
      <c r="B14" s="133"/>
      <c r="C14" s="133"/>
      <c r="D14" s="134"/>
      <c r="E14" s="158"/>
      <c r="F14" s="158"/>
      <c r="G14" s="158"/>
      <c r="H14" s="158"/>
      <c r="I14" s="159"/>
      <c r="J14" s="158"/>
      <c r="K14" s="160">
        <f>ROUND(SUM(J10:J14),0)</f>
        <v>0</v>
      </c>
      <c r="L14" s="160">
        <f>SUM(G10:G14)+K14</f>
        <v>0</v>
      </c>
    </row>
    <row r="15" spans="1:12" s="58" customFormat="1" x14ac:dyDescent="0.3">
      <c r="B15" s="136" t="str">
        <f>FAS!J15</f>
        <v>Building on Freehold Land</v>
      </c>
      <c r="C15" s="136" t="s">
        <v>615</v>
      </c>
      <c r="D15" s="149">
        <f>Cover!$I$6</f>
        <v>44743</v>
      </c>
      <c r="E15" s="150">
        <f>FAS!J64</f>
        <v>0</v>
      </c>
      <c r="F15" s="150"/>
      <c r="G15" s="150">
        <f>E15+F15</f>
        <v>0</v>
      </c>
      <c r="H15" s="150">
        <f>IF(YEAR(D15)=2022,19-MONTH(D15),IF(YEAR(D15)=2023,7-MONTH(D15),IF(D15="","","Date Error")))</f>
        <v>12</v>
      </c>
      <c r="I15" s="151">
        <f>FAS!J62</f>
        <v>0</v>
      </c>
      <c r="J15" s="150">
        <f>IF(G15=0,0,-G15*H15*I15/12)</f>
        <v>0</v>
      </c>
      <c r="K15" s="150"/>
      <c r="L15" s="150"/>
    </row>
    <row r="16" spans="1:12" x14ac:dyDescent="0.3">
      <c r="B16" s="117"/>
      <c r="C16" s="117"/>
      <c r="D16" s="130"/>
      <c r="E16" s="152"/>
      <c r="F16" s="152"/>
      <c r="G16" s="150">
        <f>E16+F16</f>
        <v>0</v>
      </c>
      <c r="H16" s="150" t="str">
        <f>IF(YEAR(D16)=2022,19-MONTH(D16),IF(YEAR(D16)=2023,7-MONTH(D16),IF(D16="","","Date Error")))</f>
        <v/>
      </c>
      <c r="I16" s="153" t="str">
        <f>IF(H16="","",I15)</f>
        <v/>
      </c>
      <c r="J16" s="152">
        <f>IF(G16=0,0,-G16*H16*I16/12)</f>
        <v>0</v>
      </c>
      <c r="K16" s="152"/>
      <c r="L16" s="152"/>
    </row>
    <row r="17" spans="2:12" x14ac:dyDescent="0.3">
      <c r="B17" s="117"/>
      <c r="C17" s="117"/>
      <c r="D17" s="130"/>
      <c r="E17" s="152"/>
      <c r="F17" s="152"/>
      <c r="G17" s="150">
        <f>E17+F17</f>
        <v>0</v>
      </c>
      <c r="H17" s="150" t="str">
        <f>IF(YEAR(D17)=2022,19-MONTH(D17),IF(YEAR(D17)=2023,7-MONTH(D17),IF(D17="","","Date Error")))</f>
        <v/>
      </c>
      <c r="I17" s="153"/>
      <c r="J17" s="152">
        <f>IF(G17=0,0,-G17*H17*I17/12)</f>
        <v>0</v>
      </c>
      <c r="K17" s="152"/>
      <c r="L17" s="152"/>
    </row>
    <row r="18" spans="2:12" x14ac:dyDescent="0.3">
      <c r="B18" s="154" t="s">
        <v>624</v>
      </c>
      <c r="C18" s="154"/>
      <c r="D18" s="155"/>
      <c r="E18" s="156"/>
      <c r="F18" s="156"/>
      <c r="G18" s="156">
        <f>-O73</f>
        <v>0</v>
      </c>
      <c r="H18" s="156"/>
      <c r="I18" s="157"/>
      <c r="J18" s="156">
        <f>R73</f>
        <v>0</v>
      </c>
      <c r="K18" s="156"/>
      <c r="L18" s="156"/>
    </row>
    <row r="19" spans="2:12" s="58" customFormat="1" x14ac:dyDescent="0.3">
      <c r="B19" s="133"/>
      <c r="C19" s="133"/>
      <c r="D19" s="134"/>
      <c r="E19" s="158"/>
      <c r="F19" s="158"/>
      <c r="G19" s="156"/>
      <c r="H19" s="156"/>
      <c r="I19" s="157"/>
      <c r="J19" s="156"/>
      <c r="K19" s="160">
        <f>ROUND(SUM(J15:J19),0)</f>
        <v>0</v>
      </c>
      <c r="L19" s="160">
        <f>SUM(G15:G19)+K19</f>
        <v>0</v>
      </c>
    </row>
    <row r="20" spans="2:12" s="58" customFormat="1" x14ac:dyDescent="0.3">
      <c r="B20" s="136" t="str">
        <f>FAS!L15</f>
        <v>Plant and Machinery</v>
      </c>
      <c r="C20" s="136" t="s">
        <v>615</v>
      </c>
      <c r="D20" s="149">
        <f>Cover!$I$6</f>
        <v>44743</v>
      </c>
      <c r="E20" s="150">
        <f>FAS!L64</f>
        <v>0</v>
      </c>
      <c r="F20" s="150"/>
      <c r="G20" s="150">
        <f>E20+F20</f>
        <v>0</v>
      </c>
      <c r="H20" s="150">
        <f>IF(YEAR(D20)=2022,19-MONTH(D20),IF(YEAR(D20)=2023,7-MONTH(D20),IF(D20="","","Date Error")))</f>
        <v>12</v>
      </c>
      <c r="I20" s="151">
        <f>FAS!L62</f>
        <v>0</v>
      </c>
      <c r="J20" s="150">
        <f>IF(G20=0,0,-G20*H20*I20/12)</f>
        <v>0</v>
      </c>
      <c r="K20" s="150"/>
      <c r="L20" s="150"/>
    </row>
    <row r="21" spans="2:12" x14ac:dyDescent="0.3">
      <c r="B21" s="117"/>
      <c r="C21" s="117"/>
      <c r="D21" s="130"/>
      <c r="E21" s="152"/>
      <c r="F21" s="152"/>
      <c r="G21" s="150">
        <f>E21+F21</f>
        <v>0</v>
      </c>
      <c r="H21" s="150" t="str">
        <f>IF(YEAR(D21)=2022,19-MONTH(D21),IF(YEAR(D21)=2023,7-MONTH(D21),IF(D21="","","Date Error")))</f>
        <v/>
      </c>
      <c r="I21" s="153" t="str">
        <f>IF(H21="","",I20)</f>
        <v/>
      </c>
      <c r="J21" s="152">
        <f>IF(G21=0,0,-G21*H21*I21/12)</f>
        <v>0</v>
      </c>
      <c r="K21" s="152"/>
      <c r="L21" s="152"/>
    </row>
    <row r="22" spans="2:12" x14ac:dyDescent="0.3">
      <c r="B22" s="117"/>
      <c r="C22" s="117"/>
      <c r="D22" s="130"/>
      <c r="E22" s="152"/>
      <c r="F22" s="152"/>
      <c r="G22" s="150">
        <f>E22+F22</f>
        <v>0</v>
      </c>
      <c r="H22" s="150" t="str">
        <f>IF(YEAR(D22)=2022,19-MONTH(D22),IF(YEAR(D22)=2023,7-MONTH(D22),IF(D22="","","Date Error")))</f>
        <v/>
      </c>
      <c r="I22" s="153" t="str">
        <f>IF(H22="","",I21)</f>
        <v/>
      </c>
      <c r="J22" s="152">
        <f>IF(G22=0,0,-G22*H22*I22/12)</f>
        <v>0</v>
      </c>
      <c r="K22" s="152"/>
      <c r="L22" s="152"/>
    </row>
    <row r="23" spans="2:12" x14ac:dyDescent="0.3">
      <c r="B23" s="154" t="s">
        <v>624</v>
      </c>
      <c r="C23" s="154"/>
      <c r="D23" s="155"/>
      <c r="E23" s="156"/>
      <c r="F23" s="156"/>
      <c r="G23" s="156">
        <f>-O77</f>
        <v>0</v>
      </c>
      <c r="H23" s="156"/>
      <c r="I23" s="157"/>
      <c r="J23" s="156">
        <f>R77</f>
        <v>0</v>
      </c>
      <c r="K23" s="156"/>
      <c r="L23" s="156"/>
    </row>
    <row r="24" spans="2:12" s="58" customFormat="1" x14ac:dyDescent="0.3">
      <c r="B24" s="133"/>
      <c r="C24" s="133"/>
      <c r="D24" s="134"/>
      <c r="E24" s="156"/>
      <c r="F24" s="156"/>
      <c r="G24" s="156"/>
      <c r="H24" s="156"/>
      <c r="I24" s="157"/>
      <c r="J24" s="156"/>
      <c r="K24" s="160">
        <f>ROUND(SUM(J20:J24),0)</f>
        <v>0</v>
      </c>
      <c r="L24" s="160">
        <f>SUM(G20:G24)+K24</f>
        <v>0</v>
      </c>
    </row>
    <row r="25" spans="2:12" s="58" customFormat="1" x14ac:dyDescent="0.3">
      <c r="B25" s="136" t="str">
        <f>FAS!N15</f>
        <v>Generator</v>
      </c>
      <c r="C25" s="136" t="s">
        <v>615</v>
      </c>
      <c r="D25" s="149">
        <f>Cover!$I$6</f>
        <v>44743</v>
      </c>
      <c r="E25" s="150">
        <f>FAS!N64</f>
        <v>0</v>
      </c>
      <c r="F25" s="150"/>
      <c r="G25" s="150">
        <f>E25+F25</f>
        <v>0</v>
      </c>
      <c r="H25" s="150">
        <f>IF(YEAR(D25)=2022,19-MONTH(D25),IF(YEAR(D25)=2023,7-MONTH(D25),IF(D25="","","Date Error")))</f>
        <v>12</v>
      </c>
      <c r="I25" s="151">
        <f>FAS!N62</f>
        <v>0</v>
      </c>
      <c r="J25" s="150">
        <f>IF(G25=0,0,-G25*H25*I25/12)</f>
        <v>0</v>
      </c>
      <c r="K25" s="150"/>
      <c r="L25" s="150"/>
    </row>
    <row r="26" spans="2:12" x14ac:dyDescent="0.3">
      <c r="B26" s="117"/>
      <c r="C26" s="117"/>
      <c r="D26" s="130"/>
      <c r="E26" s="152"/>
      <c r="F26" s="152"/>
      <c r="G26" s="150">
        <f>E26+F26</f>
        <v>0</v>
      </c>
      <c r="H26" s="150" t="str">
        <f>IF(YEAR(D26)=2022,19-MONTH(D26),IF(YEAR(D26)=2023,7-MONTH(D26),IF(D26="","","Date Error")))</f>
        <v/>
      </c>
      <c r="I26" s="153" t="str">
        <f>IF(H26="","",I25)</f>
        <v/>
      </c>
      <c r="J26" s="152">
        <f>IF(G26=0,0,-G26*H26*I26/12)</f>
        <v>0</v>
      </c>
      <c r="K26" s="152"/>
      <c r="L26" s="152"/>
    </row>
    <row r="27" spans="2:12" x14ac:dyDescent="0.3">
      <c r="B27" s="117"/>
      <c r="C27" s="117"/>
      <c r="D27" s="130"/>
      <c r="E27" s="152"/>
      <c r="F27" s="152"/>
      <c r="G27" s="150">
        <f>E27+F27</f>
        <v>0</v>
      </c>
      <c r="H27" s="150" t="str">
        <f>IF(YEAR(D27)=2022,19-MONTH(D27),IF(YEAR(D27)=2023,7-MONTH(D27),IF(D27="","","Date Error")))</f>
        <v/>
      </c>
      <c r="I27" s="153" t="str">
        <f>IF(H27="","",I26)</f>
        <v/>
      </c>
      <c r="J27" s="152">
        <f>IF(G27=0,0,-G27*H27*I27/12)</f>
        <v>0</v>
      </c>
      <c r="K27" s="152"/>
      <c r="L27" s="152"/>
    </row>
    <row r="28" spans="2:12" x14ac:dyDescent="0.3">
      <c r="B28" s="154" t="s">
        <v>624</v>
      </c>
      <c r="C28" s="154"/>
      <c r="D28" s="155"/>
      <c r="E28" s="156"/>
      <c r="F28" s="156"/>
      <c r="G28" s="156">
        <f>-O81</f>
        <v>0</v>
      </c>
      <c r="H28" s="156"/>
      <c r="I28" s="157"/>
      <c r="J28" s="156">
        <f>R81</f>
        <v>0</v>
      </c>
      <c r="K28" s="156"/>
      <c r="L28" s="156"/>
    </row>
    <row r="29" spans="2:12" s="58" customFormat="1" x14ac:dyDescent="0.3">
      <c r="B29" s="133"/>
      <c r="C29" s="133"/>
      <c r="D29" s="134"/>
      <c r="E29" s="156"/>
      <c r="F29" s="156"/>
      <c r="G29" s="156"/>
      <c r="H29" s="156"/>
      <c r="I29" s="157"/>
      <c r="J29" s="156"/>
      <c r="K29" s="160">
        <f>ROUND(SUM(J25:J29),0)</f>
        <v>0</v>
      </c>
      <c r="L29" s="160">
        <f>SUM(G25:G29)+K29</f>
        <v>0</v>
      </c>
    </row>
    <row r="30" spans="2:12" s="58" customFormat="1" x14ac:dyDescent="0.3">
      <c r="B30" s="136" t="str">
        <f>FAS!P15</f>
        <v>Office Equipment</v>
      </c>
      <c r="C30" s="136" t="s">
        <v>615</v>
      </c>
      <c r="D30" s="149">
        <f>Cover!$I$6</f>
        <v>44743</v>
      </c>
      <c r="E30" s="150">
        <f>FAS!P64</f>
        <v>0</v>
      </c>
      <c r="F30" s="150"/>
      <c r="G30" s="150">
        <f>E30+F30</f>
        <v>0</v>
      </c>
      <c r="H30" s="150">
        <f>IF(YEAR(D30)=2022,19-MONTH(D30),IF(YEAR(D30)=2023,7-MONTH(D30),IF(D30="","","Date Error")))</f>
        <v>12</v>
      </c>
      <c r="I30" s="151">
        <f>FAS!P62</f>
        <v>0</v>
      </c>
      <c r="J30" s="150">
        <f>IF(G30=0,0,-G30*H30*I30/12)</f>
        <v>0</v>
      </c>
      <c r="K30" s="150"/>
      <c r="L30" s="150"/>
    </row>
    <row r="31" spans="2:12" x14ac:dyDescent="0.3">
      <c r="B31" s="117"/>
      <c r="C31" s="117"/>
      <c r="D31" s="130"/>
      <c r="E31" s="152"/>
      <c r="F31" s="152"/>
      <c r="G31" s="150">
        <f>E31+F31</f>
        <v>0</v>
      </c>
      <c r="H31" s="150" t="str">
        <f>IF(YEAR(D31)=2022,19-MONTH(D31),IF(YEAR(D31)=2023,7-MONTH(D31),IF(D31="","","Date Error")))</f>
        <v/>
      </c>
      <c r="I31" s="153" t="str">
        <f>IF(H31="","",I30)</f>
        <v/>
      </c>
      <c r="J31" s="152">
        <f>IF(G31=0,0,-G31*H31*I31/12)</f>
        <v>0</v>
      </c>
      <c r="K31" s="152"/>
      <c r="L31" s="152"/>
    </row>
    <row r="32" spans="2:12" x14ac:dyDescent="0.3">
      <c r="B32" s="117"/>
      <c r="C32" s="117"/>
      <c r="D32" s="130"/>
      <c r="E32" s="152"/>
      <c r="F32" s="152"/>
      <c r="G32" s="150">
        <f>E32+F32</f>
        <v>0</v>
      </c>
      <c r="H32" s="150" t="str">
        <f>IF(YEAR(D32)=2022,19-MONTH(D32),IF(YEAR(D32)=2023,7-MONTH(D32),IF(D32="","","Date Error")))</f>
        <v/>
      </c>
      <c r="I32" s="153" t="str">
        <f>IF(H32="","",I31)</f>
        <v/>
      </c>
      <c r="J32" s="152">
        <f>IF(G32=0,0,-G32*H32*I32/12)</f>
        <v>0</v>
      </c>
      <c r="K32" s="152"/>
      <c r="L32" s="152"/>
    </row>
    <row r="33" spans="2:12" x14ac:dyDescent="0.3">
      <c r="B33" s="154" t="s">
        <v>624</v>
      </c>
      <c r="C33" s="154"/>
      <c r="D33" s="155"/>
      <c r="E33" s="156"/>
      <c r="F33" s="156"/>
      <c r="G33" s="156">
        <f>-O85</f>
        <v>0</v>
      </c>
      <c r="H33" s="156"/>
      <c r="I33" s="157"/>
      <c r="J33" s="156">
        <f>R85</f>
        <v>0</v>
      </c>
      <c r="K33" s="156"/>
      <c r="L33" s="156"/>
    </row>
    <row r="34" spans="2:12" s="58" customFormat="1" x14ac:dyDescent="0.3">
      <c r="B34" s="133"/>
      <c r="C34" s="133"/>
      <c r="D34" s="134"/>
      <c r="E34" s="156"/>
      <c r="F34" s="156"/>
      <c r="G34" s="156"/>
      <c r="H34" s="156"/>
      <c r="I34" s="157"/>
      <c r="J34" s="156"/>
      <c r="K34" s="160">
        <f>ROUND(SUM(J30:J34),0)</f>
        <v>0</v>
      </c>
      <c r="L34" s="160">
        <f>SUM(G30:G34)+K34</f>
        <v>0</v>
      </c>
    </row>
    <row r="35" spans="2:12" s="58" customFormat="1" x14ac:dyDescent="0.3">
      <c r="B35" s="136" t="str">
        <f>FAS!R15</f>
        <v>Computers</v>
      </c>
      <c r="C35" s="136" t="s">
        <v>615</v>
      </c>
      <c r="D35" s="149">
        <f>Cover!$I$6</f>
        <v>44743</v>
      </c>
      <c r="E35" s="150">
        <f>FAS!R64</f>
        <v>0</v>
      </c>
      <c r="F35" s="150"/>
      <c r="G35" s="150">
        <f>E35+F35</f>
        <v>0</v>
      </c>
      <c r="H35" s="150">
        <f>IF(YEAR(D35)=2022,19-MONTH(D35),IF(YEAR(D35)=2023,7-MONTH(D35),IF(D35="","","Date Error")))</f>
        <v>12</v>
      </c>
      <c r="I35" s="151">
        <f>FAS!R62</f>
        <v>0</v>
      </c>
      <c r="J35" s="150">
        <f>IF(G35=0,0,-G35*H35*I35/12)</f>
        <v>0</v>
      </c>
      <c r="K35" s="150"/>
      <c r="L35" s="150"/>
    </row>
    <row r="36" spans="2:12" x14ac:dyDescent="0.3">
      <c r="B36" s="117"/>
      <c r="C36" s="117"/>
      <c r="D36" s="130"/>
      <c r="E36" s="152"/>
      <c r="F36" s="152"/>
      <c r="G36" s="150">
        <f>E36+F36</f>
        <v>0</v>
      </c>
      <c r="H36" s="150" t="str">
        <f>IF(YEAR(D36)=2022,19-MONTH(D36),IF(YEAR(D36)=2023,7-MONTH(D36),IF(D36="","","Date Error")))</f>
        <v/>
      </c>
      <c r="I36" s="153" t="str">
        <f>IF(H36="","",I35)</f>
        <v/>
      </c>
      <c r="J36" s="152">
        <f>IF(G36=0,0,-G36*H36*I36/12)</f>
        <v>0</v>
      </c>
      <c r="K36" s="152"/>
      <c r="L36" s="152"/>
    </row>
    <row r="37" spans="2:12" x14ac:dyDescent="0.3">
      <c r="B37" s="117"/>
      <c r="C37" s="117"/>
      <c r="D37" s="130"/>
      <c r="E37" s="152"/>
      <c r="F37" s="152"/>
      <c r="G37" s="150">
        <f>E37+F37</f>
        <v>0</v>
      </c>
      <c r="H37" s="150" t="str">
        <f>IF(YEAR(D37)=2022,19-MONTH(D37),IF(YEAR(D37)=2023,7-MONTH(D37),IF(D37="","","Date Error")))</f>
        <v/>
      </c>
      <c r="I37" s="153" t="str">
        <f>IF(H37="","",I36)</f>
        <v/>
      </c>
      <c r="J37" s="152">
        <f>IF(G37=0,0,-G37*H37*I37/12)</f>
        <v>0</v>
      </c>
      <c r="K37" s="152"/>
      <c r="L37" s="152"/>
    </row>
    <row r="38" spans="2:12" x14ac:dyDescent="0.3">
      <c r="B38" s="154" t="s">
        <v>624</v>
      </c>
      <c r="C38" s="154"/>
      <c r="D38" s="155"/>
      <c r="E38" s="156"/>
      <c r="F38" s="156"/>
      <c r="G38" s="156">
        <f>-O89</f>
        <v>0</v>
      </c>
      <c r="H38" s="156"/>
      <c r="I38" s="157"/>
      <c r="J38" s="156">
        <f>R89</f>
        <v>0</v>
      </c>
      <c r="K38" s="156"/>
      <c r="L38" s="156"/>
    </row>
    <row r="39" spans="2:12" s="58" customFormat="1" x14ac:dyDescent="0.3">
      <c r="B39" s="133"/>
      <c r="C39" s="133"/>
      <c r="D39" s="134"/>
      <c r="E39" s="156"/>
      <c r="F39" s="156"/>
      <c r="G39" s="156"/>
      <c r="H39" s="156"/>
      <c r="I39" s="157"/>
      <c r="J39" s="156"/>
      <c r="K39" s="160">
        <f>ROUND(SUM(J35:J39),0)</f>
        <v>0</v>
      </c>
      <c r="L39" s="160">
        <f>SUM(G35:G39)+K39</f>
        <v>0</v>
      </c>
    </row>
    <row r="40" spans="2:12" s="58" customFormat="1" x14ac:dyDescent="0.3">
      <c r="B40" s="136" t="str">
        <f>FAS!T15</f>
        <v>Electric Equipment &amp; Installations</v>
      </c>
      <c r="C40" s="136" t="s">
        <v>615</v>
      </c>
      <c r="D40" s="149">
        <f>Cover!$I$6</f>
        <v>44743</v>
      </c>
      <c r="E40" s="150">
        <f>FAS!T64</f>
        <v>0</v>
      </c>
      <c r="F40" s="150"/>
      <c r="G40" s="150">
        <f>E40+F40</f>
        <v>0</v>
      </c>
      <c r="H40" s="150">
        <f>IF(YEAR(D40)=2022,19-MONTH(D40),IF(YEAR(D40)=2023,7-MONTH(D40),IF(D40="","","Date Error")))</f>
        <v>12</v>
      </c>
      <c r="I40" s="151">
        <f>FAS!T62</f>
        <v>0</v>
      </c>
      <c r="J40" s="150">
        <f>IF(G40=0,0,-G40*H40*I40/12)</f>
        <v>0</v>
      </c>
      <c r="K40" s="150"/>
      <c r="L40" s="150"/>
    </row>
    <row r="41" spans="2:12" x14ac:dyDescent="0.3">
      <c r="B41" s="117"/>
      <c r="C41" s="117"/>
      <c r="D41" s="130"/>
      <c r="E41" s="152"/>
      <c r="F41" s="152"/>
      <c r="G41" s="150">
        <f>E41+F41</f>
        <v>0</v>
      </c>
      <c r="H41" s="150" t="str">
        <f>IF(YEAR(D41)=2022,19-MONTH(D41),IF(YEAR(D41)=2023,7-MONTH(D41),IF(D41="","","Date Error")))</f>
        <v/>
      </c>
      <c r="I41" s="153" t="str">
        <f>IF(H41="","",I40)</f>
        <v/>
      </c>
      <c r="J41" s="152">
        <f>IF(G41=0,0,-G41*H41*I41/12)</f>
        <v>0</v>
      </c>
      <c r="K41" s="152"/>
      <c r="L41" s="152"/>
    </row>
    <row r="42" spans="2:12" x14ac:dyDescent="0.3">
      <c r="B42" s="117"/>
      <c r="C42" s="117"/>
      <c r="D42" s="130"/>
      <c r="E42" s="152"/>
      <c r="F42" s="152"/>
      <c r="G42" s="150">
        <f>E42+F42</f>
        <v>0</v>
      </c>
      <c r="H42" s="150" t="str">
        <f>IF(YEAR(D42)=2022,19-MONTH(D42),IF(YEAR(D42)=2023,7-MONTH(D42),IF(D42="","","Date Error")))</f>
        <v/>
      </c>
      <c r="I42" s="153" t="str">
        <f>IF(H42="","",I41)</f>
        <v/>
      </c>
      <c r="J42" s="152">
        <f>IF(G42=0,0,-G42*H42*I42/12)</f>
        <v>0</v>
      </c>
      <c r="K42" s="161"/>
      <c r="L42" s="152"/>
    </row>
    <row r="43" spans="2:12" x14ac:dyDescent="0.3">
      <c r="B43" s="154" t="s">
        <v>624</v>
      </c>
      <c r="C43" s="154"/>
      <c r="D43" s="155"/>
      <c r="E43" s="156"/>
      <c r="F43" s="156"/>
      <c r="G43" s="156">
        <f>-O93</f>
        <v>0</v>
      </c>
      <c r="H43" s="156"/>
      <c r="I43" s="157"/>
      <c r="J43" s="156">
        <f>R93</f>
        <v>0</v>
      </c>
      <c r="K43" s="156"/>
      <c r="L43" s="162"/>
    </row>
    <row r="44" spans="2:12" s="58" customFormat="1" x14ac:dyDescent="0.3">
      <c r="B44" s="133"/>
      <c r="C44" s="133"/>
      <c r="D44" s="134"/>
      <c r="E44" s="156"/>
      <c r="F44" s="156"/>
      <c r="G44" s="156"/>
      <c r="H44" s="156"/>
      <c r="I44" s="157"/>
      <c r="J44" s="156"/>
      <c r="K44" s="160">
        <f>ROUND(SUM(J40:J44),0)</f>
        <v>0</v>
      </c>
      <c r="L44" s="160">
        <f>SUM(G40:G44)+K44</f>
        <v>0</v>
      </c>
    </row>
    <row r="45" spans="2:12" s="58" customFormat="1" x14ac:dyDescent="0.3">
      <c r="B45" s="136" t="str">
        <f>FAS!V15</f>
        <v>Furniture and Fixture</v>
      </c>
      <c r="C45" s="136" t="s">
        <v>615</v>
      </c>
      <c r="D45" s="149">
        <f>Cover!$I$6</f>
        <v>44743</v>
      </c>
      <c r="E45" s="150">
        <f>FAS!V64</f>
        <v>0</v>
      </c>
      <c r="F45" s="150"/>
      <c r="G45" s="150">
        <f>E45+F45</f>
        <v>0</v>
      </c>
      <c r="H45" s="150">
        <f>IF(YEAR(D45)=2022,19-MONTH(D45),IF(YEAR(D45)=2023,7-MONTH(D45),IF(D45="","","Date Error")))</f>
        <v>12</v>
      </c>
      <c r="I45" s="151">
        <f>FAS!V62</f>
        <v>0</v>
      </c>
      <c r="J45" s="150">
        <f>IF(G45=0,0,-G45*H45*I45/12)</f>
        <v>0</v>
      </c>
      <c r="K45" s="150"/>
      <c r="L45" s="150"/>
    </row>
    <row r="46" spans="2:12" x14ac:dyDescent="0.3">
      <c r="B46" s="117"/>
      <c r="C46" s="117"/>
      <c r="D46" s="130"/>
      <c r="E46" s="152"/>
      <c r="F46" s="152"/>
      <c r="G46" s="150">
        <f>E46+F46</f>
        <v>0</v>
      </c>
      <c r="H46" s="150" t="str">
        <f>IF(YEAR(D46)=2022,19-MONTH(D46),IF(YEAR(D46)=2023,7-MONTH(D46),IF(D46="","","Date Error")))</f>
        <v/>
      </c>
      <c r="I46" s="153" t="str">
        <f>IF(H46="","",I45)</f>
        <v/>
      </c>
      <c r="J46" s="152">
        <f>IF(G46=0,0,-G46*H46*I46/12)</f>
        <v>0</v>
      </c>
      <c r="K46" s="152"/>
      <c r="L46" s="152"/>
    </row>
    <row r="47" spans="2:12" x14ac:dyDescent="0.3">
      <c r="B47" s="117"/>
      <c r="C47" s="117"/>
      <c r="D47" s="130"/>
      <c r="E47" s="152"/>
      <c r="F47" s="152"/>
      <c r="G47" s="150">
        <f>E47+F47</f>
        <v>0</v>
      </c>
      <c r="H47" s="150" t="str">
        <f>IF(YEAR(D47)=2022,19-MONTH(D47),IF(YEAR(D47)=2023,7-MONTH(D47),IF(D47="","","Date Error")))</f>
        <v/>
      </c>
      <c r="I47" s="153" t="str">
        <f>IF(H47="","",I46)</f>
        <v/>
      </c>
      <c r="J47" s="152">
        <f>IF(G47=0,0,-G47*H47*I47/12)</f>
        <v>0</v>
      </c>
      <c r="K47" s="152"/>
      <c r="L47" s="152"/>
    </row>
    <row r="48" spans="2:12" x14ac:dyDescent="0.3">
      <c r="B48" s="154" t="s">
        <v>624</v>
      </c>
      <c r="C48" s="154"/>
      <c r="D48" s="155"/>
      <c r="E48" s="156"/>
      <c r="F48" s="156"/>
      <c r="G48" s="156">
        <f>-O97</f>
        <v>0</v>
      </c>
      <c r="H48" s="156"/>
      <c r="I48" s="157"/>
      <c r="J48" s="156">
        <f>R97</f>
        <v>0</v>
      </c>
      <c r="K48" s="156"/>
      <c r="L48" s="156"/>
    </row>
    <row r="49" spans="2:20" s="58" customFormat="1" x14ac:dyDescent="0.3">
      <c r="B49" s="133"/>
      <c r="C49" s="133"/>
      <c r="D49" s="134"/>
      <c r="E49" s="156"/>
      <c r="F49" s="156"/>
      <c r="G49" s="156"/>
      <c r="H49" s="156"/>
      <c r="I49" s="157"/>
      <c r="J49" s="156"/>
      <c r="K49" s="160">
        <f>ROUND(SUM(J45:J49),0)</f>
        <v>0</v>
      </c>
      <c r="L49" s="160">
        <f>SUM(G45:G49)+K49</f>
        <v>0</v>
      </c>
    </row>
    <row r="50" spans="2:20" s="58" customFormat="1" x14ac:dyDescent="0.3">
      <c r="B50" s="136" t="str">
        <f>FAS!X15</f>
        <v>Vehicles</v>
      </c>
      <c r="C50" s="136" t="s">
        <v>615</v>
      </c>
      <c r="D50" s="149">
        <f>Cover!$I$6</f>
        <v>44743</v>
      </c>
      <c r="E50" s="150">
        <f>FAS!X64</f>
        <v>0</v>
      </c>
      <c r="F50" s="150"/>
      <c r="G50" s="150">
        <f>E50+F50</f>
        <v>0</v>
      </c>
      <c r="H50" s="150">
        <f>IF(YEAR(D50)=2022,19-MONTH(D50),IF(YEAR(D50)=2023,7-MONTH(D50),IF(D50="","","Date Error")))</f>
        <v>12</v>
      </c>
      <c r="I50" s="151">
        <f>FAS!X62</f>
        <v>0</v>
      </c>
      <c r="J50" s="150">
        <f>IF(G50=0,0,-G50*H50*I50/12)</f>
        <v>0</v>
      </c>
      <c r="K50" s="150"/>
      <c r="L50" s="150"/>
    </row>
    <row r="51" spans="2:20" x14ac:dyDescent="0.3">
      <c r="B51" s="117"/>
      <c r="C51" s="117"/>
      <c r="D51" s="130"/>
      <c r="E51" s="152"/>
      <c r="F51" s="152"/>
      <c r="G51" s="150">
        <f>E51+F51</f>
        <v>0</v>
      </c>
      <c r="H51" s="150" t="str">
        <f>IF(YEAR(D51)=2022,19-MONTH(D51),IF(YEAR(D51)=2023,7-MONTH(D51),IF(D51="","","Date Error")))</f>
        <v/>
      </c>
      <c r="I51" s="153" t="str">
        <f>IF(H51="","",I50)</f>
        <v/>
      </c>
      <c r="J51" s="152">
        <f>IF(G51=0,0,-G51*H51*I51/12)</f>
        <v>0</v>
      </c>
      <c r="K51" s="152"/>
      <c r="L51" s="152"/>
    </row>
    <row r="52" spans="2:20" x14ac:dyDescent="0.3">
      <c r="B52" s="117"/>
      <c r="C52" s="117"/>
      <c r="D52" s="130"/>
      <c r="E52" s="152"/>
      <c r="F52" s="152"/>
      <c r="G52" s="150">
        <f>E52+F52</f>
        <v>0</v>
      </c>
      <c r="H52" s="150" t="str">
        <f>IF(YEAR(D52)=2022,19-MONTH(D52),IF(YEAR(D52)=2023,7-MONTH(D52),IF(D52="","","Date Error")))</f>
        <v/>
      </c>
      <c r="I52" s="153" t="str">
        <f>IF(H52="","",I51)</f>
        <v/>
      </c>
      <c r="J52" s="152">
        <f>IF(G52=0,0,-G52*H52*I52/12)</f>
        <v>0</v>
      </c>
      <c r="K52" s="152"/>
      <c r="L52" s="152"/>
    </row>
    <row r="53" spans="2:20" x14ac:dyDescent="0.3">
      <c r="B53" s="154" t="s">
        <v>624</v>
      </c>
      <c r="C53" s="154"/>
      <c r="D53" s="155"/>
      <c r="E53" s="156"/>
      <c r="F53" s="156"/>
      <c r="G53" s="156">
        <f>-O101</f>
        <v>0</v>
      </c>
      <c r="H53" s="156"/>
      <c r="I53" s="157"/>
      <c r="J53" s="156">
        <f>R101</f>
        <v>0</v>
      </c>
      <c r="K53" s="156"/>
      <c r="L53" s="156"/>
    </row>
    <row r="54" spans="2:20" s="58" customFormat="1" x14ac:dyDescent="0.3">
      <c r="B54" s="133"/>
      <c r="C54" s="133"/>
      <c r="D54" s="134"/>
      <c r="E54" s="156"/>
      <c r="F54" s="156"/>
      <c r="G54" s="156"/>
      <c r="H54" s="156"/>
      <c r="I54" s="157"/>
      <c r="J54" s="156"/>
      <c r="K54" s="160">
        <f>ROUND(SUM(J50:J54),0)</f>
        <v>0</v>
      </c>
      <c r="L54" s="160">
        <f>SUM(G50:G54)+K54</f>
        <v>0</v>
      </c>
    </row>
    <row r="55" spans="2:20" x14ac:dyDescent="0.3">
      <c r="B55" s="117"/>
      <c r="C55" s="117"/>
      <c r="D55" s="130"/>
      <c r="E55" s="152"/>
      <c r="F55" s="152"/>
      <c r="G55" s="152"/>
      <c r="H55" s="152"/>
      <c r="I55" s="152"/>
      <c r="J55" s="152"/>
      <c r="K55" s="152"/>
      <c r="L55" s="152"/>
    </row>
    <row r="56" spans="2:20" x14ac:dyDescent="0.3">
      <c r="B56" s="117"/>
      <c r="C56" s="117"/>
      <c r="D56" s="130"/>
      <c r="E56" s="152"/>
      <c r="F56" s="152"/>
      <c r="G56" s="152"/>
      <c r="H56" s="152"/>
      <c r="I56" s="152"/>
      <c r="J56" s="152"/>
      <c r="K56" s="152"/>
      <c r="L56" s="152"/>
    </row>
    <row r="57" spans="2:20" x14ac:dyDescent="0.3">
      <c r="B57" s="117"/>
      <c r="C57" s="117"/>
      <c r="D57" s="130"/>
      <c r="E57" s="152"/>
      <c r="F57" s="152"/>
      <c r="G57" s="152"/>
      <c r="H57" s="152"/>
      <c r="I57" s="152"/>
      <c r="J57" s="152"/>
      <c r="K57" s="152"/>
      <c r="L57" s="152"/>
    </row>
    <row r="58" spans="2:20" x14ac:dyDescent="0.3">
      <c r="B58" s="117"/>
      <c r="C58" s="117"/>
      <c r="D58" s="130"/>
      <c r="E58" s="152"/>
      <c r="F58" s="152"/>
      <c r="G58" s="152"/>
      <c r="H58" s="152"/>
      <c r="I58" s="152"/>
      <c r="J58" s="152"/>
      <c r="K58" s="152"/>
      <c r="L58" s="152"/>
    </row>
    <row r="59" spans="2:20" ht="14.5" thickBot="1" x14ac:dyDescent="0.35">
      <c r="B59" s="121"/>
      <c r="C59" s="121" t="s">
        <v>242</v>
      </c>
      <c r="D59" s="163"/>
      <c r="E59" s="122">
        <f>SUM(E10:E58)</f>
        <v>0</v>
      </c>
      <c r="F59" s="122">
        <f>SUM(F10:F58)</f>
        <v>0</v>
      </c>
      <c r="G59" s="122">
        <f>SUM(G10:G58)</f>
        <v>0</v>
      </c>
      <c r="H59" s="122"/>
      <c r="I59" s="122"/>
      <c r="J59" s="164">
        <f>SUM(J10:J58)</f>
        <v>0</v>
      </c>
      <c r="K59" s="164">
        <f>SUM(K10:K58)</f>
        <v>0</v>
      </c>
      <c r="L59" s="164">
        <f>SUM(L10:L58)</f>
        <v>0</v>
      </c>
    </row>
    <row r="60" spans="2:20" ht="14.5" thickTop="1" x14ac:dyDescent="0.3">
      <c r="B60" s="6"/>
      <c r="C60" s="165"/>
      <c r="D60" s="15"/>
      <c r="E60" s="15"/>
      <c r="F60" s="15"/>
      <c r="G60" s="15"/>
      <c r="H60" s="15"/>
      <c r="I60" s="15"/>
      <c r="J60" s="15"/>
      <c r="K60" s="15"/>
      <c r="L60" s="15"/>
      <c r="M60" s="15"/>
      <c r="N60" s="15"/>
      <c r="O60" s="6"/>
    </row>
    <row r="61" spans="2:20" x14ac:dyDescent="0.3">
      <c r="B61" s="6"/>
      <c r="C61" s="165"/>
      <c r="D61" s="15"/>
      <c r="E61" s="15"/>
      <c r="F61" s="15"/>
      <c r="G61" s="15"/>
      <c r="H61" s="15"/>
      <c r="I61" s="15"/>
      <c r="J61" s="15"/>
      <c r="K61" s="15"/>
      <c r="L61" s="15"/>
      <c r="M61" s="15"/>
      <c r="N61" s="15"/>
      <c r="O61" s="6"/>
    </row>
    <row r="62" spans="2:20" x14ac:dyDescent="0.3">
      <c r="B62" s="166" t="s">
        <v>481</v>
      </c>
      <c r="C62" s="167"/>
      <c r="D62" s="167"/>
      <c r="E62" s="167"/>
      <c r="F62" s="167"/>
      <c r="G62" s="167"/>
      <c r="H62" s="167"/>
      <c r="I62" s="167"/>
      <c r="J62" s="167"/>
      <c r="K62" s="167"/>
      <c r="L62" s="167"/>
      <c r="M62" s="167"/>
      <c r="N62" s="167"/>
      <c r="O62" s="167"/>
      <c r="P62" s="168"/>
    </row>
    <row r="63" spans="2:20" ht="5.25" customHeight="1" x14ac:dyDescent="0.3">
      <c r="C63" s="28"/>
      <c r="D63" s="146"/>
    </row>
    <row r="64" spans="2:20" ht="84" x14ac:dyDescent="0.3">
      <c r="B64" s="63" t="s">
        <v>484</v>
      </c>
      <c r="C64" s="63" t="s">
        <v>267</v>
      </c>
      <c r="D64" s="125" t="s">
        <v>473</v>
      </c>
      <c r="E64" s="125" t="s">
        <v>474</v>
      </c>
      <c r="F64" s="125" t="s">
        <v>619</v>
      </c>
      <c r="G64" s="35" t="s">
        <v>622</v>
      </c>
      <c r="H64" s="35" t="s">
        <v>620</v>
      </c>
      <c r="I64" s="35" t="s">
        <v>472</v>
      </c>
      <c r="J64" s="35" t="s">
        <v>471</v>
      </c>
      <c r="K64" s="35" t="s">
        <v>475</v>
      </c>
      <c r="L64" s="35" t="s">
        <v>476</v>
      </c>
      <c r="M64" s="35" t="s">
        <v>477</v>
      </c>
      <c r="N64" s="35" t="s">
        <v>621</v>
      </c>
      <c r="O64" s="35" t="s">
        <v>478</v>
      </c>
      <c r="P64" s="35" t="s">
        <v>479</v>
      </c>
      <c r="Q64" s="35" t="s">
        <v>480</v>
      </c>
      <c r="R64" s="35" t="s">
        <v>623</v>
      </c>
      <c r="S64" s="169"/>
      <c r="T64" s="170"/>
    </row>
    <row r="65" spans="2:20" x14ac:dyDescent="0.3">
      <c r="B65" s="171"/>
      <c r="C65" s="172"/>
      <c r="D65" s="173"/>
      <c r="E65" s="173"/>
      <c r="F65" s="173"/>
      <c r="G65" s="173"/>
      <c r="H65" s="173"/>
      <c r="I65" s="174"/>
      <c r="J65" s="174"/>
      <c r="K65" s="174"/>
      <c r="L65" s="174"/>
      <c r="M65" s="174"/>
      <c r="N65" s="174"/>
      <c r="O65" s="174"/>
      <c r="P65" s="174"/>
      <c r="Q65" s="175"/>
      <c r="R65" s="175"/>
      <c r="S65" s="176"/>
      <c r="T65" s="6"/>
    </row>
    <row r="66" spans="2:20" s="58" customFormat="1" x14ac:dyDescent="0.3">
      <c r="B66" s="129" t="str">
        <f>B10</f>
        <v xml:space="preserve">Freehold Land </v>
      </c>
      <c r="C66" s="136"/>
      <c r="D66" s="130">
        <v>42644</v>
      </c>
      <c r="E66" s="130">
        <v>44743</v>
      </c>
      <c r="F66" s="177">
        <f>DATEDIF(D66,Cover!$J$7,"y")</f>
        <v>5</v>
      </c>
      <c r="G66" s="177">
        <f>DATEDIF(D66,Cover!$J$7,"ym")+1</f>
        <v>9</v>
      </c>
      <c r="H66" s="177">
        <f>DATEDIF(Cover!$I$6,E66,"m")+1</f>
        <v>1</v>
      </c>
      <c r="I66" s="148"/>
      <c r="J66" s="151">
        <f>I10</f>
        <v>0</v>
      </c>
      <c r="K66" s="178">
        <f>(I66-(I66*J66*G66/12))*(1-J66)^F66</f>
        <v>0</v>
      </c>
      <c r="L66" s="137">
        <f>I66-K66</f>
        <v>0</v>
      </c>
      <c r="M66" s="137">
        <f>K66*J66*H66/12</f>
        <v>0</v>
      </c>
      <c r="N66" s="137">
        <f>L66+M66</f>
        <v>0</v>
      </c>
      <c r="O66" s="128">
        <f>K66-M66</f>
        <v>0</v>
      </c>
      <c r="P66" s="137"/>
      <c r="Q66" s="179">
        <f>P66-O66</f>
        <v>0</v>
      </c>
      <c r="R66" s="179">
        <f>K66*J66*(12-H66)/12</f>
        <v>0</v>
      </c>
      <c r="S66" s="8"/>
      <c r="T66" s="180"/>
    </row>
    <row r="67" spans="2:20" x14ac:dyDescent="0.3">
      <c r="B67" s="127"/>
      <c r="C67" s="117"/>
      <c r="D67" s="130">
        <v>42644</v>
      </c>
      <c r="E67" s="130">
        <v>44743</v>
      </c>
      <c r="F67" s="177">
        <f>DATEDIF(D67,Cover!$J$7,"y")</f>
        <v>5</v>
      </c>
      <c r="G67" s="177">
        <f>DATEDIF(D67,Cover!$J$7,"ym")+1</f>
        <v>9</v>
      </c>
      <c r="H67" s="177">
        <f>DATEDIF(Cover!$I$6,E67,"m")+1</f>
        <v>1</v>
      </c>
      <c r="I67" s="148"/>
      <c r="J67" s="153">
        <f>J66</f>
        <v>0</v>
      </c>
      <c r="K67" s="178">
        <f>(I67-(I67*J67*G67/12))*(1-J67)^F67</f>
        <v>0</v>
      </c>
      <c r="L67" s="137">
        <f>I67-K67</f>
        <v>0</v>
      </c>
      <c r="M67" s="137">
        <f>K67*J67*H67/12</f>
        <v>0</v>
      </c>
      <c r="N67" s="137">
        <f>L67+M67</f>
        <v>0</v>
      </c>
      <c r="O67" s="128">
        <f>K67-M67</f>
        <v>0</v>
      </c>
      <c r="P67" s="137"/>
      <c r="Q67" s="179">
        <f>P67-O67</f>
        <v>0</v>
      </c>
      <c r="R67" s="179">
        <f>K67*J67*(12-H67)/12</f>
        <v>0</v>
      </c>
      <c r="S67" s="176"/>
      <c r="T67" s="181"/>
    </row>
    <row r="68" spans="2:20" x14ac:dyDescent="0.3">
      <c r="B68" s="127"/>
      <c r="C68" s="117"/>
      <c r="D68" s="130">
        <v>42644</v>
      </c>
      <c r="E68" s="130">
        <v>44743</v>
      </c>
      <c r="F68" s="177">
        <f>DATEDIF(D68,Cover!$J$7,"y")</f>
        <v>5</v>
      </c>
      <c r="G68" s="177">
        <f>DATEDIF(D68,Cover!$J$7,"ym")+1</f>
        <v>9</v>
      </c>
      <c r="H68" s="177">
        <f>DATEDIF(Cover!$I$6,E68,"m")+1</f>
        <v>1</v>
      </c>
      <c r="I68" s="148"/>
      <c r="J68" s="153">
        <f>J67</f>
        <v>0</v>
      </c>
      <c r="K68" s="178">
        <f>(I68-(I68*J68*G68/12))*(1-J68)^F68</f>
        <v>0</v>
      </c>
      <c r="L68" s="137">
        <f>I68-K68</f>
        <v>0</v>
      </c>
      <c r="M68" s="137">
        <f>K68*J68*H68/12</f>
        <v>0</v>
      </c>
      <c r="N68" s="137">
        <f>L68+M68</f>
        <v>0</v>
      </c>
      <c r="O68" s="128">
        <f>K68-M68</f>
        <v>0</v>
      </c>
      <c r="P68" s="137"/>
      <c r="Q68" s="179">
        <f>P68-O68</f>
        <v>0</v>
      </c>
      <c r="R68" s="179">
        <f>K68*J68*(12-H68)/12</f>
        <v>0</v>
      </c>
      <c r="S68" s="176"/>
      <c r="T68" s="181"/>
    </row>
    <row r="69" spans="2:20" s="58" customFormat="1" x14ac:dyDescent="0.3">
      <c r="B69" s="132"/>
      <c r="C69" s="133"/>
      <c r="D69" s="134"/>
      <c r="E69" s="134"/>
      <c r="F69" s="182"/>
      <c r="G69" s="182"/>
      <c r="H69" s="182"/>
      <c r="I69" s="183"/>
      <c r="J69" s="184"/>
      <c r="K69" s="185">
        <f t="shared" ref="K69:P69" si="0">SUM(K66:K68)</f>
        <v>0</v>
      </c>
      <c r="L69" s="185">
        <f t="shared" si="0"/>
        <v>0</v>
      </c>
      <c r="M69" s="185">
        <f t="shared" si="0"/>
        <v>0</v>
      </c>
      <c r="N69" s="185">
        <f t="shared" si="0"/>
        <v>0</v>
      </c>
      <c r="O69" s="185">
        <f t="shared" si="0"/>
        <v>0</v>
      </c>
      <c r="P69" s="185">
        <f t="shared" si="0"/>
        <v>0</v>
      </c>
      <c r="Q69" s="185">
        <f>SUM(Q66:Q68)</f>
        <v>0</v>
      </c>
      <c r="R69" s="185">
        <f>SUM(R66:R68)</f>
        <v>0</v>
      </c>
      <c r="S69" s="8"/>
      <c r="T69" s="180"/>
    </row>
    <row r="70" spans="2:20" s="58" customFormat="1" x14ac:dyDescent="0.3">
      <c r="B70" s="135" t="str">
        <f>B15</f>
        <v>Building on Freehold Land</v>
      </c>
      <c r="C70" s="136"/>
      <c r="D70" s="130">
        <v>42644</v>
      </c>
      <c r="E70" s="130">
        <v>44743</v>
      </c>
      <c r="F70" s="177">
        <f>DATEDIF(D70,Cover!$J$7,"y")</f>
        <v>5</v>
      </c>
      <c r="G70" s="177">
        <f>DATEDIF(D70,Cover!$J$7,"ym")+1</f>
        <v>9</v>
      </c>
      <c r="H70" s="177">
        <f>DATEDIF(Cover!$I$6,E70,"m")+1</f>
        <v>1</v>
      </c>
      <c r="I70" s="186"/>
      <c r="J70" s="151">
        <f>I15</f>
        <v>0</v>
      </c>
      <c r="K70" s="178">
        <f>(I70-(I70*J70*G70/12))*(1-J70)^F70</f>
        <v>0</v>
      </c>
      <c r="L70" s="137">
        <f>I70-K70</f>
        <v>0</v>
      </c>
      <c r="M70" s="137">
        <f>K70*J70*H70/12</f>
        <v>0</v>
      </c>
      <c r="N70" s="137">
        <f>L70+M70</f>
        <v>0</v>
      </c>
      <c r="O70" s="128">
        <f>K70-M70</f>
        <v>0</v>
      </c>
      <c r="P70" s="137"/>
      <c r="Q70" s="179">
        <f>P70-O70</f>
        <v>0</v>
      </c>
      <c r="R70" s="179">
        <f>K70*J70*(12-H70)/12</f>
        <v>0</v>
      </c>
      <c r="S70" s="8"/>
      <c r="T70" s="180"/>
    </row>
    <row r="71" spans="2:20" x14ac:dyDescent="0.3">
      <c r="B71" s="127"/>
      <c r="C71" s="117"/>
      <c r="D71" s="130">
        <v>42644</v>
      </c>
      <c r="E71" s="130">
        <v>44743</v>
      </c>
      <c r="F71" s="177">
        <f>DATEDIF(D71,Cover!$J$7,"y")</f>
        <v>5</v>
      </c>
      <c r="G71" s="177">
        <f>DATEDIF(D71,Cover!$J$7,"ym")+1</f>
        <v>9</v>
      </c>
      <c r="H71" s="177">
        <f>DATEDIF(Cover!$I$6,E71,"m")+1</f>
        <v>1</v>
      </c>
      <c r="I71" s="186"/>
      <c r="J71" s="153">
        <f>J70</f>
        <v>0</v>
      </c>
      <c r="K71" s="178">
        <f>(I71-(I71*J71*G71/12))*(1-J71)^F71</f>
        <v>0</v>
      </c>
      <c r="L71" s="137">
        <f>I71-K71</f>
        <v>0</v>
      </c>
      <c r="M71" s="137">
        <f>K71*J71*H71/12</f>
        <v>0</v>
      </c>
      <c r="N71" s="137">
        <f>L71+M71</f>
        <v>0</v>
      </c>
      <c r="O71" s="128">
        <f>K71-M71</f>
        <v>0</v>
      </c>
      <c r="P71" s="137"/>
      <c r="Q71" s="179">
        <f>P71-O71</f>
        <v>0</v>
      </c>
      <c r="R71" s="179">
        <f>K71*J71*(12-H71)/12</f>
        <v>0</v>
      </c>
      <c r="S71" s="176"/>
      <c r="T71" s="181"/>
    </row>
    <row r="72" spans="2:20" x14ac:dyDescent="0.3">
      <c r="B72" s="127"/>
      <c r="C72" s="117"/>
      <c r="D72" s="130">
        <v>42644</v>
      </c>
      <c r="E72" s="130">
        <v>44743</v>
      </c>
      <c r="F72" s="177">
        <f>DATEDIF(D72,Cover!$J$7,"y")</f>
        <v>5</v>
      </c>
      <c r="G72" s="177">
        <f>DATEDIF(D72,Cover!$J$7,"ym")+1</f>
        <v>9</v>
      </c>
      <c r="H72" s="177">
        <f>DATEDIF(Cover!$I$6,E72,"m")+1</f>
        <v>1</v>
      </c>
      <c r="I72" s="186"/>
      <c r="J72" s="153">
        <f>J71</f>
        <v>0</v>
      </c>
      <c r="K72" s="178">
        <f>(I72-(I72*J72*G72/12))*(1-J72)^F72</f>
        <v>0</v>
      </c>
      <c r="L72" s="137">
        <f>I72-K72</f>
        <v>0</v>
      </c>
      <c r="M72" s="137">
        <f>K72*J72*H72/12</f>
        <v>0</v>
      </c>
      <c r="N72" s="137">
        <f>L72+M72</f>
        <v>0</v>
      </c>
      <c r="O72" s="128">
        <f>K72-M72</f>
        <v>0</v>
      </c>
      <c r="P72" s="137"/>
      <c r="Q72" s="179">
        <f>P72-O72</f>
        <v>0</v>
      </c>
      <c r="R72" s="179">
        <f>K72*J72*(12-H72)/12</f>
        <v>0</v>
      </c>
      <c r="S72" s="176"/>
      <c r="T72" s="181"/>
    </row>
    <row r="73" spans="2:20" s="58" customFormat="1" x14ac:dyDescent="0.3">
      <c r="B73" s="132"/>
      <c r="C73" s="133"/>
      <c r="D73" s="134"/>
      <c r="E73" s="134"/>
      <c r="F73" s="182"/>
      <c r="G73" s="182"/>
      <c r="H73" s="182"/>
      <c r="I73" s="183"/>
      <c r="J73" s="184"/>
      <c r="K73" s="185">
        <f t="shared" ref="K73:P73" si="1">SUM(K70:K72)</f>
        <v>0</v>
      </c>
      <c r="L73" s="185">
        <f t="shared" si="1"/>
        <v>0</v>
      </c>
      <c r="M73" s="185">
        <f t="shared" si="1"/>
        <v>0</v>
      </c>
      <c r="N73" s="185">
        <f t="shared" si="1"/>
        <v>0</v>
      </c>
      <c r="O73" s="185">
        <f t="shared" si="1"/>
        <v>0</v>
      </c>
      <c r="P73" s="185">
        <f t="shared" si="1"/>
        <v>0</v>
      </c>
      <c r="Q73" s="185">
        <f>SUM(Q70:Q72)</f>
        <v>0</v>
      </c>
      <c r="R73" s="185">
        <f>SUM(R70:R72)</f>
        <v>0</v>
      </c>
      <c r="S73" s="8"/>
      <c r="T73" s="180"/>
    </row>
    <row r="74" spans="2:20" s="58" customFormat="1" x14ac:dyDescent="0.3">
      <c r="B74" s="135" t="str">
        <f>B20</f>
        <v>Plant and Machinery</v>
      </c>
      <c r="C74" s="136" t="s">
        <v>664</v>
      </c>
      <c r="D74" s="130">
        <v>43009</v>
      </c>
      <c r="E74" s="130">
        <v>44743</v>
      </c>
      <c r="F74" s="177">
        <f>DATEDIF(D74,Cover!$J$7,"y")</f>
        <v>4</v>
      </c>
      <c r="G74" s="177">
        <f>DATEDIF(D74,Cover!$J$7,"ym")+1</f>
        <v>9</v>
      </c>
      <c r="H74" s="177">
        <f>DATEDIF(Cover!$I$6,E74,"m")+1</f>
        <v>1</v>
      </c>
      <c r="I74" s="186">
        <f>-FAS!L36</f>
        <v>0</v>
      </c>
      <c r="J74" s="151">
        <f>I20</f>
        <v>0</v>
      </c>
      <c r="K74" s="178">
        <f>(I74-(I74*J74*G74/12))*(1-J74)^F74</f>
        <v>0</v>
      </c>
      <c r="L74" s="137">
        <f>I74-K74</f>
        <v>0</v>
      </c>
      <c r="M74" s="137">
        <f>K74*J74*H74/12</f>
        <v>0</v>
      </c>
      <c r="N74" s="137">
        <f>L74+M74</f>
        <v>0</v>
      </c>
      <c r="O74" s="128">
        <f>K74-M74</f>
        <v>0</v>
      </c>
      <c r="P74" s="137"/>
      <c r="Q74" s="179">
        <f>P74-O74</f>
        <v>0</v>
      </c>
      <c r="R74" s="179">
        <f>K74*J74*(12-H74)/12</f>
        <v>0</v>
      </c>
      <c r="S74" s="8"/>
      <c r="T74" s="180"/>
    </row>
    <row r="75" spans="2:20" x14ac:dyDescent="0.3">
      <c r="B75" s="127"/>
      <c r="C75" s="117"/>
      <c r="D75" s="130">
        <v>42644</v>
      </c>
      <c r="E75" s="130">
        <v>44743</v>
      </c>
      <c r="F75" s="177">
        <f>DATEDIF(D75,Cover!$J$7,"y")</f>
        <v>5</v>
      </c>
      <c r="G75" s="177">
        <f>DATEDIF(D75,Cover!$J$7,"ym")+1</f>
        <v>9</v>
      </c>
      <c r="H75" s="177">
        <f>DATEDIF(Cover!$I$6,E75,"m")+1</f>
        <v>1</v>
      </c>
      <c r="I75" s="186"/>
      <c r="J75" s="153">
        <f>J74</f>
        <v>0</v>
      </c>
      <c r="K75" s="178">
        <f>(I75-(I75*J75*G75/12))*(1-J75)^F75</f>
        <v>0</v>
      </c>
      <c r="L75" s="137">
        <f>I75-K75</f>
        <v>0</v>
      </c>
      <c r="M75" s="137">
        <f>K75*J75*H75/12</f>
        <v>0</v>
      </c>
      <c r="N75" s="137">
        <f>L75+M75</f>
        <v>0</v>
      </c>
      <c r="O75" s="128">
        <f>K75-M75</f>
        <v>0</v>
      </c>
      <c r="P75" s="137"/>
      <c r="Q75" s="179">
        <f>P75-O75</f>
        <v>0</v>
      </c>
      <c r="R75" s="179">
        <f>K75*J75*(12-H75)/12</f>
        <v>0</v>
      </c>
      <c r="S75" s="176"/>
      <c r="T75" s="181"/>
    </row>
    <row r="76" spans="2:20" x14ac:dyDescent="0.3">
      <c r="B76" s="127"/>
      <c r="C76" s="117"/>
      <c r="D76" s="130">
        <v>42644</v>
      </c>
      <c r="E76" s="130">
        <v>44743</v>
      </c>
      <c r="F76" s="177">
        <f>DATEDIF(D76,Cover!$J$7,"y")</f>
        <v>5</v>
      </c>
      <c r="G76" s="177">
        <f>DATEDIF(D76,Cover!$J$7,"ym")+1</f>
        <v>9</v>
      </c>
      <c r="H76" s="177">
        <f>DATEDIF(Cover!$I$6,E76,"m")+1</f>
        <v>1</v>
      </c>
      <c r="I76" s="186"/>
      <c r="J76" s="153">
        <f>J75</f>
        <v>0</v>
      </c>
      <c r="K76" s="178">
        <f>(I76-(I76*J76*G76/12))*(1-J76)^F76</f>
        <v>0</v>
      </c>
      <c r="L76" s="137">
        <f>I76-K76</f>
        <v>0</v>
      </c>
      <c r="M76" s="137">
        <f>K76*J76*H76/12</f>
        <v>0</v>
      </c>
      <c r="N76" s="137">
        <f>L76+M76</f>
        <v>0</v>
      </c>
      <c r="O76" s="128">
        <f>K76-M76</f>
        <v>0</v>
      </c>
      <c r="P76" s="137"/>
      <c r="Q76" s="179">
        <f>P76-O76</f>
        <v>0</v>
      </c>
      <c r="R76" s="179">
        <f>K76*J76*(12-H76)/12</f>
        <v>0</v>
      </c>
      <c r="S76" s="176"/>
      <c r="T76" s="181"/>
    </row>
    <row r="77" spans="2:20" s="58" customFormat="1" x14ac:dyDescent="0.3">
      <c r="B77" s="132"/>
      <c r="C77" s="133"/>
      <c r="D77" s="134"/>
      <c r="E77" s="134"/>
      <c r="F77" s="182"/>
      <c r="G77" s="182"/>
      <c r="H77" s="182"/>
      <c r="I77" s="183"/>
      <c r="J77" s="184"/>
      <c r="K77" s="185">
        <f t="shared" ref="K77:P77" si="2">SUM(K74:K76)</f>
        <v>0</v>
      </c>
      <c r="L77" s="185">
        <f t="shared" si="2"/>
        <v>0</v>
      </c>
      <c r="M77" s="185">
        <f t="shared" si="2"/>
        <v>0</v>
      </c>
      <c r="N77" s="185">
        <f t="shared" si="2"/>
        <v>0</v>
      </c>
      <c r="O77" s="185">
        <f t="shared" si="2"/>
        <v>0</v>
      </c>
      <c r="P77" s="185">
        <f t="shared" si="2"/>
        <v>0</v>
      </c>
      <c r="Q77" s="185">
        <f>SUM(Q74:Q76)</f>
        <v>0</v>
      </c>
      <c r="R77" s="185">
        <f>SUM(R74:R76)</f>
        <v>0</v>
      </c>
      <c r="S77" s="8"/>
      <c r="T77" s="180"/>
    </row>
    <row r="78" spans="2:20" s="58" customFormat="1" x14ac:dyDescent="0.3">
      <c r="B78" s="135" t="str">
        <f>B25</f>
        <v>Generator</v>
      </c>
      <c r="C78" s="136"/>
      <c r="D78" s="130">
        <v>42644</v>
      </c>
      <c r="E78" s="130">
        <v>44743</v>
      </c>
      <c r="F78" s="177">
        <f>DATEDIF(D78,Cover!$J$7,"y")</f>
        <v>5</v>
      </c>
      <c r="G78" s="177">
        <f>DATEDIF(D78,Cover!$J$7,"ym")+1</f>
        <v>9</v>
      </c>
      <c r="H78" s="177">
        <f>DATEDIF(Cover!$I$6,E78,"m")+1</f>
        <v>1</v>
      </c>
      <c r="I78" s="186"/>
      <c r="J78" s="151">
        <f>I25</f>
        <v>0</v>
      </c>
      <c r="K78" s="178">
        <f>(I78-(I78*J78*G78/12))*(1-J78)^F78</f>
        <v>0</v>
      </c>
      <c r="L78" s="137">
        <f>I78-K78</f>
        <v>0</v>
      </c>
      <c r="M78" s="137">
        <f>K78*J78*H78/12</f>
        <v>0</v>
      </c>
      <c r="N78" s="137">
        <f>L78+M78</f>
        <v>0</v>
      </c>
      <c r="O78" s="128">
        <f>K78-M78</f>
        <v>0</v>
      </c>
      <c r="P78" s="137"/>
      <c r="Q78" s="179">
        <f>P78-O78</f>
        <v>0</v>
      </c>
      <c r="R78" s="179">
        <f>K78*J78*(12-H78)/12</f>
        <v>0</v>
      </c>
      <c r="S78" s="8"/>
      <c r="T78" s="180"/>
    </row>
    <row r="79" spans="2:20" x14ac:dyDescent="0.3">
      <c r="B79" s="127"/>
      <c r="C79" s="117"/>
      <c r="D79" s="130">
        <v>42644</v>
      </c>
      <c r="E79" s="130">
        <v>44743</v>
      </c>
      <c r="F79" s="177">
        <f>DATEDIF(D79,Cover!$J$7,"y")</f>
        <v>5</v>
      </c>
      <c r="G79" s="177">
        <f>DATEDIF(D79,Cover!$J$7,"ym")+1</f>
        <v>9</v>
      </c>
      <c r="H79" s="177">
        <f>DATEDIF(Cover!$I$6,E79,"m")+1</f>
        <v>1</v>
      </c>
      <c r="I79" s="186"/>
      <c r="J79" s="153">
        <f>J78</f>
        <v>0</v>
      </c>
      <c r="K79" s="178">
        <f>(I79-(I79*J79*G79/12))*(1-J79)^F79</f>
        <v>0</v>
      </c>
      <c r="L79" s="137">
        <f>I79-K79</f>
        <v>0</v>
      </c>
      <c r="M79" s="137">
        <f>K79*J79*H79/12</f>
        <v>0</v>
      </c>
      <c r="N79" s="137">
        <f>L79+M79</f>
        <v>0</v>
      </c>
      <c r="O79" s="128">
        <f>K79-M79</f>
        <v>0</v>
      </c>
      <c r="P79" s="137"/>
      <c r="Q79" s="179">
        <f>P79-O79</f>
        <v>0</v>
      </c>
      <c r="R79" s="179">
        <f>K79*J79*(12-H79)/12</f>
        <v>0</v>
      </c>
      <c r="S79" s="176"/>
      <c r="T79" s="181"/>
    </row>
    <row r="80" spans="2:20" x14ac:dyDescent="0.3">
      <c r="B80" s="127"/>
      <c r="C80" s="117"/>
      <c r="D80" s="130">
        <v>42644</v>
      </c>
      <c r="E80" s="130">
        <v>44743</v>
      </c>
      <c r="F80" s="177">
        <f>DATEDIF(D80,Cover!$J$7,"y")</f>
        <v>5</v>
      </c>
      <c r="G80" s="177">
        <f>DATEDIF(D80,Cover!$J$7,"ym")+1</f>
        <v>9</v>
      </c>
      <c r="H80" s="177">
        <f>DATEDIF(Cover!$I$6,E80,"m")+1</f>
        <v>1</v>
      </c>
      <c r="I80" s="186"/>
      <c r="J80" s="153">
        <f>J79</f>
        <v>0</v>
      </c>
      <c r="K80" s="178">
        <f>(I80-(I80*J80*G80/12))*(1-J80)^F80</f>
        <v>0</v>
      </c>
      <c r="L80" s="137">
        <f>I80-K80</f>
        <v>0</v>
      </c>
      <c r="M80" s="137">
        <f>K80*J80*H80/12</f>
        <v>0</v>
      </c>
      <c r="N80" s="137">
        <f>L80+M80</f>
        <v>0</v>
      </c>
      <c r="O80" s="128">
        <f>K80-M80</f>
        <v>0</v>
      </c>
      <c r="P80" s="137"/>
      <c r="Q80" s="179">
        <f>P80-O80</f>
        <v>0</v>
      </c>
      <c r="R80" s="179">
        <f>K80*J80*(12-H80)/12</f>
        <v>0</v>
      </c>
      <c r="S80" s="176"/>
      <c r="T80" s="181"/>
    </row>
    <row r="81" spans="2:20" s="58" customFormat="1" x14ac:dyDescent="0.3">
      <c r="B81" s="132"/>
      <c r="C81" s="133"/>
      <c r="D81" s="134"/>
      <c r="E81" s="134"/>
      <c r="F81" s="182"/>
      <c r="G81" s="182"/>
      <c r="H81" s="182"/>
      <c r="I81" s="183"/>
      <c r="J81" s="184"/>
      <c r="K81" s="185">
        <f t="shared" ref="K81:P81" si="3">SUM(K78:K80)</f>
        <v>0</v>
      </c>
      <c r="L81" s="185">
        <f t="shared" si="3"/>
        <v>0</v>
      </c>
      <c r="M81" s="185">
        <f t="shared" si="3"/>
        <v>0</v>
      </c>
      <c r="N81" s="185">
        <f t="shared" si="3"/>
        <v>0</v>
      </c>
      <c r="O81" s="185">
        <f t="shared" si="3"/>
        <v>0</v>
      </c>
      <c r="P81" s="185">
        <f t="shared" si="3"/>
        <v>0</v>
      </c>
      <c r="Q81" s="185">
        <f>SUM(Q78:Q80)</f>
        <v>0</v>
      </c>
      <c r="R81" s="185">
        <f>SUM(R78:R80)</f>
        <v>0</v>
      </c>
      <c r="S81" s="8"/>
      <c r="T81" s="180"/>
    </row>
    <row r="82" spans="2:20" s="58" customFormat="1" x14ac:dyDescent="0.3">
      <c r="B82" s="135" t="str">
        <f>B30</f>
        <v>Office Equipment</v>
      </c>
      <c r="C82" s="136"/>
      <c r="D82" s="130">
        <v>42644</v>
      </c>
      <c r="E82" s="130">
        <v>44743</v>
      </c>
      <c r="F82" s="177">
        <f>DATEDIF(D82,Cover!$J$7,"y")</f>
        <v>5</v>
      </c>
      <c r="G82" s="177">
        <f>DATEDIF(D82,Cover!$J$7,"ym")+1</f>
        <v>9</v>
      </c>
      <c r="H82" s="177">
        <f>DATEDIF(Cover!$I$6,E82,"m")+1</f>
        <v>1</v>
      </c>
      <c r="I82" s="186"/>
      <c r="J82" s="151">
        <f>I30</f>
        <v>0</v>
      </c>
      <c r="K82" s="178">
        <f>(I82-(I82*J82*G82/12))*(1-J82)^F82</f>
        <v>0</v>
      </c>
      <c r="L82" s="137">
        <f>I82-K82</f>
        <v>0</v>
      </c>
      <c r="M82" s="137">
        <f>K82*J82*H82/12</f>
        <v>0</v>
      </c>
      <c r="N82" s="137">
        <f>L82+M82</f>
        <v>0</v>
      </c>
      <c r="O82" s="128">
        <f>K82-M82</f>
        <v>0</v>
      </c>
      <c r="P82" s="137"/>
      <c r="Q82" s="179">
        <f>P82-O82</f>
        <v>0</v>
      </c>
      <c r="R82" s="179">
        <f>K82*J82*(12-H82)/12</f>
        <v>0</v>
      </c>
      <c r="S82" s="8"/>
      <c r="T82" s="180"/>
    </row>
    <row r="83" spans="2:20" x14ac:dyDescent="0.3">
      <c r="B83" s="127"/>
      <c r="C83" s="117"/>
      <c r="D83" s="130">
        <v>42644</v>
      </c>
      <c r="E83" s="130">
        <v>44743</v>
      </c>
      <c r="F83" s="177">
        <f>DATEDIF(D83,Cover!$J$7,"y")</f>
        <v>5</v>
      </c>
      <c r="G83" s="177">
        <f>DATEDIF(D83,Cover!$J$7,"ym")+1</f>
        <v>9</v>
      </c>
      <c r="H83" s="177">
        <f>DATEDIF(Cover!$I$6,E83,"m")+1</f>
        <v>1</v>
      </c>
      <c r="I83" s="186"/>
      <c r="J83" s="153">
        <f>J82</f>
        <v>0</v>
      </c>
      <c r="K83" s="178">
        <f>(I83-(I83*J83*G83/12))*(1-J83)^F83</f>
        <v>0</v>
      </c>
      <c r="L83" s="137">
        <f>I83-K83</f>
        <v>0</v>
      </c>
      <c r="M83" s="137">
        <f>K83*J83*H83/12</f>
        <v>0</v>
      </c>
      <c r="N83" s="137">
        <f>L83+M83</f>
        <v>0</v>
      </c>
      <c r="O83" s="128">
        <f>K83-M83</f>
        <v>0</v>
      </c>
      <c r="P83" s="137"/>
      <c r="Q83" s="179">
        <f>P83-O83</f>
        <v>0</v>
      </c>
      <c r="R83" s="179">
        <f>K83*J83*(12-H83)/12</f>
        <v>0</v>
      </c>
      <c r="S83" s="176"/>
      <c r="T83" s="181"/>
    </row>
    <row r="84" spans="2:20" x14ac:dyDescent="0.3">
      <c r="B84" s="127"/>
      <c r="C84" s="117"/>
      <c r="D84" s="130">
        <v>42644</v>
      </c>
      <c r="E84" s="130">
        <v>44743</v>
      </c>
      <c r="F84" s="177">
        <f>DATEDIF(D84,Cover!$J$7,"y")</f>
        <v>5</v>
      </c>
      <c r="G84" s="177">
        <f>DATEDIF(D84,Cover!$J$7,"ym")+1</f>
        <v>9</v>
      </c>
      <c r="H84" s="177">
        <f>DATEDIF(Cover!$I$6,E84,"m")+1</f>
        <v>1</v>
      </c>
      <c r="I84" s="186"/>
      <c r="J84" s="153">
        <f>J83</f>
        <v>0</v>
      </c>
      <c r="K84" s="178">
        <f>(I84-(I84*J84*G84/12))*(1-J84)^F84</f>
        <v>0</v>
      </c>
      <c r="L84" s="137">
        <f>I84-K84</f>
        <v>0</v>
      </c>
      <c r="M84" s="137">
        <f>K84*J84*H84/12</f>
        <v>0</v>
      </c>
      <c r="N84" s="137">
        <f>L84+M84</f>
        <v>0</v>
      </c>
      <c r="O84" s="128">
        <f>K84-M84</f>
        <v>0</v>
      </c>
      <c r="P84" s="137"/>
      <c r="Q84" s="179">
        <f>P84-O84</f>
        <v>0</v>
      </c>
      <c r="R84" s="179">
        <f>K84*J84*(12-H84)/12</f>
        <v>0</v>
      </c>
      <c r="S84" s="176"/>
      <c r="T84" s="181"/>
    </row>
    <row r="85" spans="2:20" s="58" customFormat="1" x14ac:dyDescent="0.3">
      <c r="B85" s="132"/>
      <c r="C85" s="133"/>
      <c r="D85" s="134"/>
      <c r="E85" s="134"/>
      <c r="F85" s="182"/>
      <c r="G85" s="182"/>
      <c r="H85" s="182"/>
      <c r="I85" s="183"/>
      <c r="J85" s="184"/>
      <c r="K85" s="185">
        <f t="shared" ref="K85:P85" si="4">SUM(K82:K84)</f>
        <v>0</v>
      </c>
      <c r="L85" s="185">
        <f t="shared" si="4"/>
        <v>0</v>
      </c>
      <c r="M85" s="185">
        <f t="shared" si="4"/>
        <v>0</v>
      </c>
      <c r="N85" s="185">
        <f t="shared" si="4"/>
        <v>0</v>
      </c>
      <c r="O85" s="185">
        <f t="shared" si="4"/>
        <v>0</v>
      </c>
      <c r="P85" s="185">
        <f t="shared" si="4"/>
        <v>0</v>
      </c>
      <c r="Q85" s="185">
        <f>SUM(Q82:Q84)</f>
        <v>0</v>
      </c>
      <c r="R85" s="185">
        <f>SUM(R82:R84)</f>
        <v>0</v>
      </c>
      <c r="S85" s="8"/>
      <c r="T85" s="180"/>
    </row>
    <row r="86" spans="2:20" s="58" customFormat="1" x14ac:dyDescent="0.3">
      <c r="B86" s="135" t="str">
        <f>B35</f>
        <v>Computers</v>
      </c>
      <c r="C86" s="136"/>
      <c r="D86" s="130">
        <v>42644</v>
      </c>
      <c r="E86" s="130">
        <v>44743</v>
      </c>
      <c r="F86" s="177">
        <f>DATEDIF(D86,Cover!$J$7,"y")</f>
        <v>5</v>
      </c>
      <c r="G86" s="177">
        <f>DATEDIF(D86,Cover!$J$7,"ym")+1</f>
        <v>9</v>
      </c>
      <c r="H86" s="177">
        <f>DATEDIF(Cover!$I$6,E86,"m")+1</f>
        <v>1</v>
      </c>
      <c r="I86" s="186"/>
      <c r="J86" s="151">
        <f>I35</f>
        <v>0</v>
      </c>
      <c r="K86" s="178">
        <f>(I86-(I86*J86*G86/12))*(1-J86)^F86</f>
        <v>0</v>
      </c>
      <c r="L86" s="137">
        <f>I86-K86</f>
        <v>0</v>
      </c>
      <c r="M86" s="137">
        <f>K86*J86*H86/12</f>
        <v>0</v>
      </c>
      <c r="N86" s="137">
        <f>L86+M86</f>
        <v>0</v>
      </c>
      <c r="O86" s="128">
        <f>K86-M86</f>
        <v>0</v>
      </c>
      <c r="P86" s="137"/>
      <c r="Q86" s="179">
        <f>P86-O86</f>
        <v>0</v>
      </c>
      <c r="R86" s="179">
        <f>K86*J86*(12-H86)/12</f>
        <v>0</v>
      </c>
      <c r="S86" s="8"/>
      <c r="T86" s="180"/>
    </row>
    <row r="87" spans="2:20" x14ac:dyDescent="0.3">
      <c r="B87" s="127"/>
      <c r="C87" s="117"/>
      <c r="D87" s="130">
        <v>42644</v>
      </c>
      <c r="E87" s="130">
        <v>44743</v>
      </c>
      <c r="F87" s="177">
        <f>DATEDIF(D87,Cover!$J$7,"y")</f>
        <v>5</v>
      </c>
      <c r="G87" s="177">
        <f>DATEDIF(D87,Cover!$J$7,"ym")+1</f>
        <v>9</v>
      </c>
      <c r="H87" s="177">
        <f>DATEDIF(Cover!$I$6,E87,"m")+1</f>
        <v>1</v>
      </c>
      <c r="I87" s="186"/>
      <c r="J87" s="153">
        <f>J86</f>
        <v>0</v>
      </c>
      <c r="K87" s="178">
        <f>(I87-(I87*J87*G87/12))*(1-J87)^F87</f>
        <v>0</v>
      </c>
      <c r="L87" s="137">
        <f>I87-K87</f>
        <v>0</v>
      </c>
      <c r="M87" s="137">
        <f>K87*J87*H87/12</f>
        <v>0</v>
      </c>
      <c r="N87" s="137">
        <f>L87+M87</f>
        <v>0</v>
      </c>
      <c r="O87" s="128">
        <f>K87-M87</f>
        <v>0</v>
      </c>
      <c r="P87" s="137"/>
      <c r="Q87" s="179">
        <f>P87-O87</f>
        <v>0</v>
      </c>
      <c r="R87" s="179">
        <f>K87*J87*(12-H87)/12</f>
        <v>0</v>
      </c>
      <c r="S87" s="176"/>
      <c r="T87" s="181"/>
    </row>
    <row r="88" spans="2:20" x14ac:dyDescent="0.3">
      <c r="B88" s="127"/>
      <c r="C88" s="117"/>
      <c r="D88" s="130">
        <v>42644</v>
      </c>
      <c r="E88" s="130">
        <v>44743</v>
      </c>
      <c r="F88" s="177">
        <f>DATEDIF(D88,Cover!$J$7,"y")</f>
        <v>5</v>
      </c>
      <c r="G88" s="177">
        <f>DATEDIF(D88,Cover!$J$7,"ym")+1</f>
        <v>9</v>
      </c>
      <c r="H88" s="177">
        <f>DATEDIF(Cover!$I$6,E88,"m")+1</f>
        <v>1</v>
      </c>
      <c r="I88" s="186"/>
      <c r="J88" s="153">
        <f>J87</f>
        <v>0</v>
      </c>
      <c r="K88" s="178">
        <f>(I88-(I88*J88*G88/12))*(1-J88)^F88</f>
        <v>0</v>
      </c>
      <c r="L88" s="137">
        <f>I88-K88</f>
        <v>0</v>
      </c>
      <c r="M88" s="137">
        <f>K88*J88*H88/12</f>
        <v>0</v>
      </c>
      <c r="N88" s="137">
        <f>L88+M88</f>
        <v>0</v>
      </c>
      <c r="O88" s="128">
        <f>K88-M88</f>
        <v>0</v>
      </c>
      <c r="P88" s="137"/>
      <c r="Q88" s="179">
        <f>P88-O88</f>
        <v>0</v>
      </c>
      <c r="R88" s="179">
        <f>K88*J88*(12-H88)/12</f>
        <v>0</v>
      </c>
      <c r="S88" s="176"/>
      <c r="T88" s="181"/>
    </row>
    <row r="89" spans="2:20" s="58" customFormat="1" x14ac:dyDescent="0.3">
      <c r="B89" s="132"/>
      <c r="C89" s="133"/>
      <c r="D89" s="134"/>
      <c r="E89" s="134"/>
      <c r="F89" s="182"/>
      <c r="G89" s="182"/>
      <c r="H89" s="182"/>
      <c r="I89" s="183"/>
      <c r="J89" s="184"/>
      <c r="K89" s="185">
        <f t="shared" ref="K89:P89" si="5">SUM(K86:K88)</f>
        <v>0</v>
      </c>
      <c r="L89" s="185">
        <f t="shared" si="5"/>
        <v>0</v>
      </c>
      <c r="M89" s="185">
        <f t="shared" si="5"/>
        <v>0</v>
      </c>
      <c r="N89" s="185">
        <f t="shared" si="5"/>
        <v>0</v>
      </c>
      <c r="O89" s="185">
        <f t="shared" si="5"/>
        <v>0</v>
      </c>
      <c r="P89" s="185">
        <f t="shared" si="5"/>
        <v>0</v>
      </c>
      <c r="Q89" s="185">
        <f>SUM(Q86:Q88)</f>
        <v>0</v>
      </c>
      <c r="R89" s="185">
        <f>SUM(R86:R88)</f>
        <v>0</v>
      </c>
      <c r="S89" s="8"/>
      <c r="T89" s="180"/>
    </row>
    <row r="90" spans="2:20" s="58" customFormat="1" x14ac:dyDescent="0.3">
      <c r="B90" s="135" t="str">
        <f>B40</f>
        <v>Electric Equipment &amp; Installations</v>
      </c>
      <c r="C90" s="136"/>
      <c r="D90" s="130">
        <v>42644</v>
      </c>
      <c r="E90" s="130">
        <v>44743</v>
      </c>
      <c r="F90" s="177">
        <f>DATEDIF(D90,Cover!$J$7,"y")</f>
        <v>5</v>
      </c>
      <c r="G90" s="177">
        <f>DATEDIF(D90,Cover!$J$7,"ym")+1</f>
        <v>9</v>
      </c>
      <c r="H90" s="177">
        <f>DATEDIF(Cover!$I$6,E90,"m")+1</f>
        <v>1</v>
      </c>
      <c r="I90" s="186"/>
      <c r="J90" s="151">
        <f>I40</f>
        <v>0</v>
      </c>
      <c r="K90" s="178">
        <f>(I90-(I90*J90*G90/12))*(1-J90)^F90</f>
        <v>0</v>
      </c>
      <c r="L90" s="137">
        <f>I90-K90</f>
        <v>0</v>
      </c>
      <c r="M90" s="137">
        <f>K90*J90*H90/12</f>
        <v>0</v>
      </c>
      <c r="N90" s="137">
        <f>L90+M90</f>
        <v>0</v>
      </c>
      <c r="O90" s="128">
        <f>K90-M90</f>
        <v>0</v>
      </c>
      <c r="P90" s="137"/>
      <c r="Q90" s="179">
        <f>P90-O90</f>
        <v>0</v>
      </c>
      <c r="R90" s="179">
        <f>K90*J90*(12-H90)/12</f>
        <v>0</v>
      </c>
      <c r="S90" s="8"/>
      <c r="T90" s="180"/>
    </row>
    <row r="91" spans="2:20" x14ac:dyDescent="0.3">
      <c r="B91" s="127"/>
      <c r="C91" s="117"/>
      <c r="D91" s="130">
        <v>42644</v>
      </c>
      <c r="E91" s="130">
        <v>44743</v>
      </c>
      <c r="F91" s="177">
        <f>DATEDIF(D91,Cover!$J$7,"y")</f>
        <v>5</v>
      </c>
      <c r="G91" s="177">
        <f>DATEDIF(D91,Cover!$J$7,"ym")+1</f>
        <v>9</v>
      </c>
      <c r="H91" s="177">
        <f>DATEDIF(Cover!$I$6,E91,"m")+1</f>
        <v>1</v>
      </c>
      <c r="I91" s="186"/>
      <c r="J91" s="153">
        <f>J90</f>
        <v>0</v>
      </c>
      <c r="K91" s="178">
        <f>(I91-(I91*J91*G91/12))*(1-J91)^F91</f>
        <v>0</v>
      </c>
      <c r="L91" s="137">
        <f>I91-K91</f>
        <v>0</v>
      </c>
      <c r="M91" s="137">
        <f>K91*J91*H91/12</f>
        <v>0</v>
      </c>
      <c r="N91" s="137">
        <f>L91+M91</f>
        <v>0</v>
      </c>
      <c r="O91" s="128">
        <f>K91-M91</f>
        <v>0</v>
      </c>
      <c r="P91" s="137"/>
      <c r="Q91" s="179">
        <f>P91-O91</f>
        <v>0</v>
      </c>
      <c r="R91" s="179">
        <f>K91*J91*(12-H91)/12</f>
        <v>0</v>
      </c>
      <c r="S91" s="176"/>
      <c r="T91" s="181"/>
    </row>
    <row r="92" spans="2:20" x14ac:dyDescent="0.3">
      <c r="B92" s="127"/>
      <c r="C92" s="117"/>
      <c r="D92" s="130">
        <v>42644</v>
      </c>
      <c r="E92" s="130">
        <v>44743</v>
      </c>
      <c r="F92" s="177">
        <f>DATEDIF(D92,Cover!$J$7,"y")</f>
        <v>5</v>
      </c>
      <c r="G92" s="177">
        <f>DATEDIF(D92,Cover!$J$7,"ym")+1</f>
        <v>9</v>
      </c>
      <c r="H92" s="177">
        <f>DATEDIF(Cover!$I$6,E92,"m")+1</f>
        <v>1</v>
      </c>
      <c r="I92" s="186"/>
      <c r="J92" s="153">
        <f>J91</f>
        <v>0</v>
      </c>
      <c r="K92" s="178">
        <f>(I92-(I92*J92*G92/12))*(1-J92)^F92</f>
        <v>0</v>
      </c>
      <c r="L92" s="137">
        <f>I92-K92</f>
        <v>0</v>
      </c>
      <c r="M92" s="137">
        <f>K92*J92*H92/12</f>
        <v>0</v>
      </c>
      <c r="N92" s="137">
        <f>L92+M92</f>
        <v>0</v>
      </c>
      <c r="O92" s="128">
        <f>K92-M92</f>
        <v>0</v>
      </c>
      <c r="P92" s="137"/>
      <c r="Q92" s="179">
        <f>P92-O92</f>
        <v>0</v>
      </c>
      <c r="R92" s="179">
        <f>K92*J92*(12-H92)/12</f>
        <v>0</v>
      </c>
      <c r="S92" s="176"/>
      <c r="T92" s="181"/>
    </row>
    <row r="93" spans="2:20" s="58" customFormat="1" x14ac:dyDescent="0.3">
      <c r="B93" s="132"/>
      <c r="C93" s="133"/>
      <c r="D93" s="134"/>
      <c r="E93" s="134"/>
      <c r="F93" s="182"/>
      <c r="G93" s="182"/>
      <c r="H93" s="182"/>
      <c r="I93" s="183"/>
      <c r="J93" s="184"/>
      <c r="K93" s="185">
        <f t="shared" ref="K93:P93" si="6">SUM(K90:K92)</f>
        <v>0</v>
      </c>
      <c r="L93" s="185">
        <f t="shared" si="6"/>
        <v>0</v>
      </c>
      <c r="M93" s="185">
        <f t="shared" si="6"/>
        <v>0</v>
      </c>
      <c r="N93" s="185">
        <f t="shared" si="6"/>
        <v>0</v>
      </c>
      <c r="O93" s="185">
        <f t="shared" si="6"/>
        <v>0</v>
      </c>
      <c r="P93" s="185">
        <f t="shared" si="6"/>
        <v>0</v>
      </c>
      <c r="Q93" s="185">
        <f>SUM(Q90:Q92)</f>
        <v>0</v>
      </c>
      <c r="R93" s="185">
        <f>SUM(R90:R92)</f>
        <v>0</v>
      </c>
      <c r="S93" s="8"/>
      <c r="T93" s="180"/>
    </row>
    <row r="94" spans="2:20" s="58" customFormat="1" x14ac:dyDescent="0.3">
      <c r="B94" s="135" t="str">
        <f>B45</f>
        <v>Furniture and Fixture</v>
      </c>
      <c r="C94" s="136"/>
      <c r="D94" s="130">
        <v>42644</v>
      </c>
      <c r="E94" s="130">
        <v>44743</v>
      </c>
      <c r="F94" s="177">
        <f>DATEDIF(D94,Cover!$J$7,"y")</f>
        <v>5</v>
      </c>
      <c r="G94" s="177">
        <f>DATEDIF(D94,Cover!$J$7,"ym")+1</f>
        <v>9</v>
      </c>
      <c r="H94" s="177">
        <f>DATEDIF(Cover!$I$6,E94,"m")+1</f>
        <v>1</v>
      </c>
      <c r="I94" s="186"/>
      <c r="J94" s="151">
        <f>I45</f>
        <v>0</v>
      </c>
      <c r="K94" s="178">
        <f>(I94-(I94*J94*G94/12))*(1-J94)^F94</f>
        <v>0</v>
      </c>
      <c r="L94" s="137">
        <f>I94-K94</f>
        <v>0</v>
      </c>
      <c r="M94" s="137">
        <f>K94*J94*H94/12</f>
        <v>0</v>
      </c>
      <c r="N94" s="137">
        <f>L94+M94</f>
        <v>0</v>
      </c>
      <c r="O94" s="128">
        <f>K94-M94</f>
        <v>0</v>
      </c>
      <c r="P94" s="137"/>
      <c r="Q94" s="179">
        <f>P94-O94</f>
        <v>0</v>
      </c>
      <c r="R94" s="179">
        <f>K94*J94*(12-H94)/12</f>
        <v>0</v>
      </c>
      <c r="S94" s="8"/>
      <c r="T94" s="180"/>
    </row>
    <row r="95" spans="2:20" x14ac:dyDescent="0.3">
      <c r="B95" s="127"/>
      <c r="C95" s="117"/>
      <c r="D95" s="130">
        <v>42644</v>
      </c>
      <c r="E95" s="130">
        <v>44743</v>
      </c>
      <c r="F95" s="177">
        <f>DATEDIF(D95,Cover!$J$7,"y")</f>
        <v>5</v>
      </c>
      <c r="G95" s="177">
        <f>DATEDIF(D95,Cover!$J$7,"ym")+1</f>
        <v>9</v>
      </c>
      <c r="H95" s="177">
        <f>DATEDIF(Cover!$I$6,E95,"m")+1</f>
        <v>1</v>
      </c>
      <c r="I95" s="186"/>
      <c r="J95" s="153">
        <f>J94</f>
        <v>0</v>
      </c>
      <c r="K95" s="178">
        <f>(I95-(I95*J95*G95/12))*(1-J95)^F95</f>
        <v>0</v>
      </c>
      <c r="L95" s="137">
        <f>I95-K95</f>
        <v>0</v>
      </c>
      <c r="M95" s="137">
        <f>K95*J95*H95/12</f>
        <v>0</v>
      </c>
      <c r="N95" s="137">
        <f>L95+M95</f>
        <v>0</v>
      </c>
      <c r="O95" s="128">
        <f>K95-M95</f>
        <v>0</v>
      </c>
      <c r="P95" s="137"/>
      <c r="Q95" s="179">
        <f>P95-O95</f>
        <v>0</v>
      </c>
      <c r="R95" s="179">
        <f>K95*J95*(12-H95)/12</f>
        <v>0</v>
      </c>
      <c r="S95" s="176"/>
      <c r="T95" s="181"/>
    </row>
    <row r="96" spans="2:20" x14ac:dyDescent="0.3">
      <c r="B96" s="127"/>
      <c r="C96" s="117"/>
      <c r="D96" s="130">
        <v>42644</v>
      </c>
      <c r="E96" s="130">
        <v>44743</v>
      </c>
      <c r="F96" s="177">
        <f>DATEDIF(D96,Cover!$J$7,"y")</f>
        <v>5</v>
      </c>
      <c r="G96" s="177">
        <f>DATEDIF(D96,Cover!$J$7,"ym")+1</f>
        <v>9</v>
      </c>
      <c r="H96" s="177">
        <f>DATEDIF(Cover!$I$6,E96,"m")+1</f>
        <v>1</v>
      </c>
      <c r="I96" s="186"/>
      <c r="J96" s="153">
        <f>J95</f>
        <v>0</v>
      </c>
      <c r="K96" s="178">
        <f>(I96-(I96*J96*G96/12))*(1-J96)^F96</f>
        <v>0</v>
      </c>
      <c r="L96" s="137">
        <f>I96-K96</f>
        <v>0</v>
      </c>
      <c r="M96" s="137">
        <f>K96*J96*H96/12</f>
        <v>0</v>
      </c>
      <c r="N96" s="137">
        <f>L96+M96</f>
        <v>0</v>
      </c>
      <c r="O96" s="128">
        <f>K96-M96</f>
        <v>0</v>
      </c>
      <c r="P96" s="137"/>
      <c r="Q96" s="179">
        <f>P96-O96</f>
        <v>0</v>
      </c>
      <c r="R96" s="179">
        <f>K96*J96*(12-H96)/12</f>
        <v>0</v>
      </c>
      <c r="S96" s="176"/>
      <c r="T96" s="181"/>
    </row>
    <row r="97" spans="2:20" s="58" customFormat="1" x14ac:dyDescent="0.3">
      <c r="B97" s="132"/>
      <c r="C97" s="133"/>
      <c r="D97" s="134"/>
      <c r="E97" s="134"/>
      <c r="F97" s="182"/>
      <c r="G97" s="182"/>
      <c r="H97" s="182"/>
      <c r="I97" s="183"/>
      <c r="J97" s="184"/>
      <c r="K97" s="185">
        <f t="shared" ref="K97:P97" si="7">SUM(K94:K96)</f>
        <v>0</v>
      </c>
      <c r="L97" s="185">
        <f t="shared" si="7"/>
        <v>0</v>
      </c>
      <c r="M97" s="185">
        <f t="shared" si="7"/>
        <v>0</v>
      </c>
      <c r="N97" s="185">
        <f t="shared" si="7"/>
        <v>0</v>
      </c>
      <c r="O97" s="185">
        <f t="shared" si="7"/>
        <v>0</v>
      </c>
      <c r="P97" s="185">
        <f t="shared" si="7"/>
        <v>0</v>
      </c>
      <c r="Q97" s="185">
        <f>SUM(Q94:Q96)</f>
        <v>0</v>
      </c>
      <c r="R97" s="185">
        <f>SUM(R94:R96)</f>
        <v>0</v>
      </c>
      <c r="S97" s="8"/>
      <c r="T97" s="180"/>
    </row>
    <row r="98" spans="2:20" s="58" customFormat="1" x14ac:dyDescent="0.3">
      <c r="B98" s="135" t="str">
        <f>B50</f>
        <v>Vehicles</v>
      </c>
      <c r="C98" s="136"/>
      <c r="D98" s="130">
        <v>42644</v>
      </c>
      <c r="E98" s="130">
        <v>44743</v>
      </c>
      <c r="F98" s="177">
        <f>DATEDIF(D98,Cover!$J$7,"y")</f>
        <v>5</v>
      </c>
      <c r="G98" s="177">
        <f>DATEDIF(D98,Cover!$J$7,"ym")+1</f>
        <v>9</v>
      </c>
      <c r="H98" s="177">
        <f>DATEDIF(Cover!$I$6,E98,"m")+1</f>
        <v>1</v>
      </c>
      <c r="I98" s="186"/>
      <c r="J98" s="151">
        <f>I50</f>
        <v>0</v>
      </c>
      <c r="K98" s="178">
        <f>(I98-(I98*J98*G98/12))*(1-J98)^F98</f>
        <v>0</v>
      </c>
      <c r="L98" s="137">
        <f>I98-K98</f>
        <v>0</v>
      </c>
      <c r="M98" s="137">
        <f>K98*J98*H98/12</f>
        <v>0</v>
      </c>
      <c r="N98" s="137">
        <f>L98+M98</f>
        <v>0</v>
      </c>
      <c r="O98" s="128">
        <f>K98-M98</f>
        <v>0</v>
      </c>
      <c r="P98" s="137"/>
      <c r="Q98" s="179">
        <f>P98-O98</f>
        <v>0</v>
      </c>
      <c r="R98" s="179">
        <f>K98*J98*(12-H98)/12</f>
        <v>0</v>
      </c>
      <c r="S98" s="8"/>
      <c r="T98" s="180"/>
    </row>
    <row r="99" spans="2:20" x14ac:dyDescent="0.3">
      <c r="B99" s="127"/>
      <c r="C99" s="117"/>
      <c r="D99" s="130">
        <v>42644</v>
      </c>
      <c r="E99" s="130">
        <v>44743</v>
      </c>
      <c r="F99" s="177">
        <f>DATEDIF(D99,Cover!$J$7,"y")</f>
        <v>5</v>
      </c>
      <c r="G99" s="177">
        <f>DATEDIF(D99,Cover!$J$7,"ym")+1</f>
        <v>9</v>
      </c>
      <c r="H99" s="177">
        <f>DATEDIF(Cover!$I$6,E99,"m")+1</f>
        <v>1</v>
      </c>
      <c r="I99" s="186"/>
      <c r="J99" s="153">
        <f>J98</f>
        <v>0</v>
      </c>
      <c r="K99" s="178">
        <f>(I99-(I99*J99*G99/12))*(1-J99)^F99</f>
        <v>0</v>
      </c>
      <c r="L99" s="137">
        <f>I99-K99</f>
        <v>0</v>
      </c>
      <c r="M99" s="137">
        <f>K99*J99*H99/12</f>
        <v>0</v>
      </c>
      <c r="N99" s="137">
        <f>L99+M99</f>
        <v>0</v>
      </c>
      <c r="O99" s="128">
        <f>K99-M99</f>
        <v>0</v>
      </c>
      <c r="P99" s="137"/>
      <c r="Q99" s="179">
        <f>P99-O99</f>
        <v>0</v>
      </c>
      <c r="R99" s="179">
        <f>K99*J99*(12-H99)/12</f>
        <v>0</v>
      </c>
      <c r="S99" s="176"/>
      <c r="T99" s="181"/>
    </row>
    <row r="100" spans="2:20" x14ac:dyDescent="0.3">
      <c r="B100" s="127"/>
      <c r="C100" s="117"/>
      <c r="D100" s="130">
        <v>42644</v>
      </c>
      <c r="E100" s="130">
        <v>44743</v>
      </c>
      <c r="F100" s="177">
        <f>DATEDIF(D100,Cover!$J$7,"y")</f>
        <v>5</v>
      </c>
      <c r="G100" s="177">
        <f>DATEDIF(D100,Cover!$J$7,"ym")+1</f>
        <v>9</v>
      </c>
      <c r="H100" s="177">
        <f>DATEDIF(Cover!$I$6,E100,"m")+1</f>
        <v>1</v>
      </c>
      <c r="I100" s="186"/>
      <c r="J100" s="153">
        <f>J99</f>
        <v>0</v>
      </c>
      <c r="K100" s="178">
        <f>(I100-(I100*J100*G100/12))*(1-J100)^F100</f>
        <v>0</v>
      </c>
      <c r="L100" s="137">
        <f>I100-K100</f>
        <v>0</v>
      </c>
      <c r="M100" s="137">
        <f>K100*J100*H100/12</f>
        <v>0</v>
      </c>
      <c r="N100" s="137">
        <f>L100+M100</f>
        <v>0</v>
      </c>
      <c r="O100" s="128">
        <f>K100-M100</f>
        <v>0</v>
      </c>
      <c r="P100" s="137"/>
      <c r="Q100" s="179">
        <f>P100-O100</f>
        <v>0</v>
      </c>
      <c r="R100" s="179">
        <f>K100*J100*(12-H100)/12</f>
        <v>0</v>
      </c>
      <c r="S100" s="176"/>
      <c r="T100" s="181"/>
    </row>
    <row r="101" spans="2:20" x14ac:dyDescent="0.3">
      <c r="B101" s="138"/>
      <c r="C101" s="139"/>
      <c r="D101" s="140"/>
      <c r="E101" s="140"/>
      <c r="F101" s="187"/>
      <c r="G101" s="187"/>
      <c r="H101" s="187"/>
      <c r="I101" s="188"/>
      <c r="J101" s="189"/>
      <c r="K101" s="185">
        <f t="shared" ref="K101:P101" si="8">SUM(K98:K100)</f>
        <v>0</v>
      </c>
      <c r="L101" s="185">
        <f t="shared" si="8"/>
        <v>0</v>
      </c>
      <c r="M101" s="185">
        <f t="shared" si="8"/>
        <v>0</v>
      </c>
      <c r="N101" s="185">
        <f t="shared" si="8"/>
        <v>0</v>
      </c>
      <c r="O101" s="185">
        <f t="shared" si="8"/>
        <v>0</v>
      </c>
      <c r="P101" s="185">
        <f t="shared" si="8"/>
        <v>0</v>
      </c>
      <c r="Q101" s="185">
        <f>SUM(Q98:Q100)</f>
        <v>0</v>
      </c>
      <c r="R101" s="185">
        <f>SUM(R98:R100)</f>
        <v>0</v>
      </c>
      <c r="S101" s="176"/>
      <c r="T101" s="181"/>
    </row>
    <row r="102" spans="2:20" x14ac:dyDescent="0.3">
      <c r="B102" s="127"/>
      <c r="C102" s="117"/>
      <c r="D102" s="130"/>
      <c r="E102" s="130"/>
      <c r="F102" s="130"/>
      <c r="G102" s="130"/>
      <c r="H102" s="130"/>
      <c r="I102" s="152"/>
      <c r="J102" s="153"/>
      <c r="K102" s="152"/>
      <c r="L102" s="152"/>
      <c r="M102" s="152"/>
      <c r="N102" s="152"/>
      <c r="O102" s="152"/>
      <c r="P102" s="152"/>
      <c r="Q102" s="161"/>
      <c r="R102" s="161"/>
      <c r="S102" s="190"/>
      <c r="T102" s="6"/>
    </row>
    <row r="103" spans="2:20" ht="14.5" thickBot="1" x14ac:dyDescent="0.35">
      <c r="B103" s="141"/>
      <c r="C103" s="141"/>
      <c r="D103" s="142"/>
      <c r="E103" s="142"/>
      <c r="F103" s="142"/>
      <c r="G103" s="142"/>
      <c r="H103" s="142"/>
      <c r="I103" s="191">
        <f>SUM(I66:I102)</f>
        <v>0</v>
      </c>
      <c r="J103" s="191"/>
      <c r="K103" s="192">
        <f t="shared" ref="K103:R103" si="9">SUM(K66:K102)/2</f>
        <v>0</v>
      </c>
      <c r="L103" s="192">
        <f t="shared" si="9"/>
        <v>0</v>
      </c>
      <c r="M103" s="192">
        <f t="shared" si="9"/>
        <v>0</v>
      </c>
      <c r="N103" s="192">
        <f t="shared" si="9"/>
        <v>0</v>
      </c>
      <c r="O103" s="192">
        <f t="shared" si="9"/>
        <v>0</v>
      </c>
      <c r="P103" s="192">
        <f t="shared" si="9"/>
        <v>0</v>
      </c>
      <c r="Q103" s="192">
        <f t="shared" si="9"/>
        <v>0</v>
      </c>
      <c r="R103" s="192">
        <f t="shared" si="9"/>
        <v>0</v>
      </c>
      <c r="S103" s="193"/>
      <c r="T103" s="193"/>
    </row>
    <row r="104" spans="2:20" ht="14.5" thickTop="1" x14ac:dyDescent="0.3"/>
  </sheetData>
  <mergeCells count="2">
    <mergeCell ref="B62:P62"/>
    <mergeCell ref="B5:L5"/>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6"/>
  <sheetViews>
    <sheetView zoomScaleNormal="100" zoomScaleSheetLayoutView="100" workbookViewId="0">
      <selection activeCell="E13" sqref="E13"/>
    </sheetView>
  </sheetViews>
  <sheetFormatPr defaultColWidth="9.1796875" defaultRowHeight="14" x14ac:dyDescent="0.3"/>
  <cols>
    <col min="1" max="1" width="21.54296875" style="28" customWidth="1"/>
    <col min="2" max="2" width="20" style="28" customWidth="1"/>
    <col min="3" max="11" width="14.453125" style="28" customWidth="1"/>
    <col min="12" max="16384" width="9.1796875" style="101"/>
  </cols>
  <sheetData>
    <row r="1" spans="1:11" s="363" customFormat="1" ht="15" x14ac:dyDescent="0.3">
      <c r="A1" s="363" t="str">
        <f>Cover!C1</f>
        <v>ABC LIMITED</v>
      </c>
    </row>
    <row r="2" spans="1:11" s="363" customFormat="1" ht="15" x14ac:dyDescent="0.3">
      <c r="A2" s="363" t="s">
        <v>8</v>
      </c>
    </row>
    <row r="3" spans="1:11" s="383" customFormat="1" ht="15.5" thickBot="1" x14ac:dyDescent="0.35">
      <c r="A3" s="383" t="str">
        <f>Cover!C3</f>
        <v>FOR THE YEAR ENDED JUNE 30, 2023</v>
      </c>
    </row>
    <row r="4" spans="1:11" ht="14.5" thickTop="1" x14ac:dyDescent="0.3"/>
    <row r="5" spans="1:11" ht="28" x14ac:dyDescent="0.3">
      <c r="A5" s="63" t="s">
        <v>267</v>
      </c>
      <c r="B5" s="35" t="s">
        <v>268</v>
      </c>
      <c r="C5" s="35" t="s">
        <v>269</v>
      </c>
      <c r="D5" s="35" t="s">
        <v>270</v>
      </c>
      <c r="E5" s="35" t="s">
        <v>242</v>
      </c>
      <c r="F5" s="35" t="s">
        <v>271</v>
      </c>
      <c r="G5" s="35"/>
      <c r="H5" s="35" t="s">
        <v>112</v>
      </c>
      <c r="I5" s="35"/>
      <c r="J5" s="35" t="s">
        <v>272</v>
      </c>
      <c r="K5" s="35" t="s">
        <v>273</v>
      </c>
    </row>
    <row r="6" spans="1:11" x14ac:dyDescent="0.3">
      <c r="A6" s="117"/>
      <c r="B6" s="118"/>
      <c r="C6" s="118"/>
      <c r="D6" s="118"/>
      <c r="E6" s="118"/>
      <c r="F6" s="118" t="s">
        <v>274</v>
      </c>
      <c r="G6" s="118" t="s">
        <v>275</v>
      </c>
      <c r="H6" s="118" t="s">
        <v>274</v>
      </c>
      <c r="I6" s="118" t="s">
        <v>275</v>
      </c>
      <c r="J6" s="118"/>
      <c r="K6" s="118"/>
    </row>
    <row r="7" spans="1:11" x14ac:dyDescent="0.3">
      <c r="A7" s="117"/>
      <c r="B7" s="118"/>
      <c r="C7" s="118"/>
      <c r="D7" s="118"/>
      <c r="E7" s="118"/>
      <c r="F7" s="118"/>
      <c r="G7" s="118"/>
      <c r="H7" s="118"/>
      <c r="I7" s="118"/>
      <c r="J7" s="118"/>
      <c r="K7" s="118"/>
    </row>
    <row r="8" spans="1:11" x14ac:dyDescent="0.3">
      <c r="A8" s="117" t="s">
        <v>276</v>
      </c>
      <c r="B8" s="119"/>
      <c r="C8" s="119"/>
      <c r="D8" s="119"/>
      <c r="E8" s="119">
        <f>SUM(B8:D8)</f>
        <v>0</v>
      </c>
      <c r="F8" s="120">
        <v>0</v>
      </c>
      <c r="G8" s="119">
        <f>C8*F8</f>
        <v>0</v>
      </c>
      <c r="H8" s="120">
        <v>0.1</v>
      </c>
      <c r="I8" s="119">
        <f>(E8-G8)*H8</f>
        <v>0</v>
      </c>
      <c r="J8" s="119">
        <f>G8+I8</f>
        <v>0</v>
      </c>
      <c r="K8" s="119">
        <f>E8-J8</f>
        <v>0</v>
      </c>
    </row>
    <row r="9" spans="1:11" x14ac:dyDescent="0.3">
      <c r="A9" s="117" t="s">
        <v>277</v>
      </c>
      <c r="B9" s="119"/>
      <c r="C9" s="119"/>
      <c r="D9" s="119"/>
      <c r="E9" s="119">
        <f>SUM(B9:D9)</f>
        <v>0</v>
      </c>
      <c r="F9" s="120">
        <v>0.25</v>
      </c>
      <c r="G9" s="119">
        <f>C9*F9</f>
        <v>0</v>
      </c>
      <c r="H9" s="120">
        <v>0.15</v>
      </c>
      <c r="I9" s="119">
        <f>(E9-G9)*H9</f>
        <v>0</v>
      </c>
      <c r="J9" s="119">
        <f>G9+I9</f>
        <v>0</v>
      </c>
      <c r="K9" s="119">
        <f>E9-J9</f>
        <v>0</v>
      </c>
    </row>
    <row r="10" spans="1:11" x14ac:dyDescent="0.3">
      <c r="A10" s="117" t="s">
        <v>278</v>
      </c>
      <c r="B10" s="119"/>
      <c r="C10" s="119"/>
      <c r="D10" s="119"/>
      <c r="E10" s="119">
        <f>SUM(B10:D10)</f>
        <v>0</v>
      </c>
      <c r="F10" s="120">
        <v>0</v>
      </c>
      <c r="G10" s="119">
        <f>C10*F10</f>
        <v>0</v>
      </c>
      <c r="H10" s="120">
        <v>0.15</v>
      </c>
      <c r="I10" s="119">
        <f>(E10-G10)*H10</f>
        <v>0</v>
      </c>
      <c r="J10" s="119">
        <f>G10+I10</f>
        <v>0</v>
      </c>
      <c r="K10" s="119">
        <f>E10-J10</f>
        <v>0</v>
      </c>
    </row>
    <row r="11" spans="1:11" x14ac:dyDescent="0.3">
      <c r="A11" s="117" t="s">
        <v>279</v>
      </c>
      <c r="B11" s="119"/>
      <c r="C11" s="119"/>
      <c r="D11" s="119"/>
      <c r="E11" s="119">
        <f>SUM(B11:D11)</f>
        <v>0</v>
      </c>
      <c r="F11" s="120">
        <v>0</v>
      </c>
      <c r="G11" s="119">
        <f>C11*F11</f>
        <v>0</v>
      </c>
      <c r="H11" s="120">
        <v>0.15</v>
      </c>
      <c r="I11" s="119">
        <f>(E11-G11)*H11</f>
        <v>0</v>
      </c>
      <c r="J11" s="119">
        <f>G11+I11</f>
        <v>0</v>
      </c>
      <c r="K11" s="119">
        <f>E11-J11</f>
        <v>0</v>
      </c>
    </row>
    <row r="12" spans="1:11" x14ac:dyDescent="0.3">
      <c r="A12" s="117" t="s">
        <v>280</v>
      </c>
      <c r="B12" s="119"/>
      <c r="C12" s="119"/>
      <c r="D12" s="119"/>
      <c r="E12" s="119">
        <f>SUM(B12:D12)</f>
        <v>0</v>
      </c>
      <c r="F12" s="120">
        <v>0</v>
      </c>
      <c r="G12" s="119">
        <f>C12*F12</f>
        <v>0</v>
      </c>
      <c r="H12" s="120">
        <v>0.3</v>
      </c>
      <c r="I12" s="119">
        <f>(E12-G12)*H12</f>
        <v>0</v>
      </c>
      <c r="J12" s="119">
        <f>G12+I12</f>
        <v>0</v>
      </c>
      <c r="K12" s="119">
        <f>E12-J12</f>
        <v>0</v>
      </c>
    </row>
    <row r="13" spans="1:11" x14ac:dyDescent="0.3">
      <c r="A13" s="117"/>
      <c r="B13" s="119"/>
      <c r="C13" s="119"/>
      <c r="D13" s="119"/>
      <c r="E13" s="119"/>
      <c r="F13" s="119"/>
      <c r="G13" s="119"/>
      <c r="H13" s="119"/>
      <c r="I13" s="119"/>
      <c r="J13" s="119"/>
      <c r="K13" s="119"/>
    </row>
    <row r="14" spans="1:11" ht="14.5" thickBot="1" x14ac:dyDescent="0.35">
      <c r="A14" s="121" t="s">
        <v>242</v>
      </c>
      <c r="B14" s="122">
        <f>SUM(B7:B13)</f>
        <v>0</v>
      </c>
      <c r="C14" s="122">
        <f>SUM(C7:C13)</f>
        <v>0</v>
      </c>
      <c r="D14" s="122">
        <f>SUM(D7:D13)</f>
        <v>0</v>
      </c>
      <c r="E14" s="122">
        <f>SUM(E7:E13)</f>
        <v>0</v>
      </c>
      <c r="F14" s="122"/>
      <c r="G14" s="122">
        <f>SUM(G7:G13)</f>
        <v>0</v>
      </c>
      <c r="H14" s="122"/>
      <c r="I14" s="122">
        <f>SUM(I7:I13)</f>
        <v>0</v>
      </c>
      <c r="J14" s="122">
        <f>SUM(J7:J13)</f>
        <v>0</v>
      </c>
      <c r="K14" s="122">
        <f>SUM(K7:K13)</f>
        <v>0</v>
      </c>
    </row>
    <row r="15" spans="1:11" ht="14.5" thickTop="1" x14ac:dyDescent="0.3">
      <c r="A15" s="6"/>
      <c r="B15" s="15"/>
      <c r="C15" s="15"/>
      <c r="D15" s="15"/>
      <c r="E15" s="15"/>
      <c r="F15" s="15"/>
      <c r="G15" s="15"/>
      <c r="H15" s="15"/>
      <c r="I15" s="15"/>
      <c r="J15" s="15"/>
      <c r="K15" s="15"/>
    </row>
    <row r="16" spans="1:11" x14ac:dyDescent="0.3">
      <c r="A16" s="6"/>
      <c r="B16" s="15"/>
      <c r="C16" s="15"/>
      <c r="D16" s="15"/>
      <c r="E16" s="15"/>
      <c r="F16" s="15"/>
      <c r="G16" s="15"/>
      <c r="H16" s="15"/>
      <c r="I16" s="15"/>
      <c r="J16" s="15"/>
      <c r="K16" s="15"/>
    </row>
    <row r="17" spans="1:11" ht="28" x14ac:dyDescent="0.3">
      <c r="A17" s="63" t="s">
        <v>267</v>
      </c>
      <c r="B17" s="35" t="s">
        <v>281</v>
      </c>
      <c r="C17" s="35" t="s">
        <v>282</v>
      </c>
      <c r="D17" s="35" t="s">
        <v>283</v>
      </c>
      <c r="E17" s="35" t="s">
        <v>269</v>
      </c>
      <c r="F17" s="35" t="s">
        <v>270</v>
      </c>
      <c r="G17" s="35" t="s">
        <v>242</v>
      </c>
      <c r="H17" s="35" t="s">
        <v>284</v>
      </c>
      <c r="I17" s="35" t="s">
        <v>285</v>
      </c>
      <c r="J17" s="35" t="s">
        <v>286</v>
      </c>
      <c r="K17" s="35" t="s">
        <v>273</v>
      </c>
    </row>
    <row r="18" spans="1:11" x14ac:dyDescent="0.3">
      <c r="A18" s="117"/>
      <c r="B18" s="118"/>
      <c r="C18" s="118" t="s">
        <v>275</v>
      </c>
      <c r="D18" s="118" t="s">
        <v>275</v>
      </c>
      <c r="E18" s="118"/>
      <c r="F18" s="118"/>
      <c r="G18" s="118"/>
      <c r="H18" s="118" t="s">
        <v>287</v>
      </c>
      <c r="I18" s="118" t="s">
        <v>275</v>
      </c>
      <c r="J18" s="118"/>
      <c r="K18" s="118"/>
    </row>
    <row r="19" spans="1:11" x14ac:dyDescent="0.3">
      <c r="A19" s="117"/>
      <c r="B19" s="118"/>
      <c r="C19" s="118"/>
      <c r="D19" s="118"/>
      <c r="E19" s="118"/>
      <c r="F19" s="118"/>
      <c r="G19" s="118"/>
      <c r="H19" s="118"/>
      <c r="I19" s="118"/>
      <c r="J19" s="118"/>
      <c r="K19" s="118"/>
    </row>
    <row r="20" spans="1:11" x14ac:dyDescent="0.3">
      <c r="A20" s="117" t="s">
        <v>288</v>
      </c>
      <c r="B20" s="119">
        <v>0</v>
      </c>
      <c r="C20" s="119">
        <v>0</v>
      </c>
      <c r="D20" s="119">
        <f>B20-C20</f>
        <v>0</v>
      </c>
      <c r="E20" s="119">
        <v>0</v>
      </c>
      <c r="F20" s="119">
        <v>0</v>
      </c>
      <c r="G20" s="119">
        <f>SUM(D20:F20)</f>
        <v>0</v>
      </c>
      <c r="H20" s="123">
        <v>10</v>
      </c>
      <c r="I20" s="119">
        <f>B20/H20</f>
        <v>0</v>
      </c>
      <c r="J20" s="119">
        <f>C20+I20</f>
        <v>0</v>
      </c>
      <c r="K20" s="119">
        <f>G20-I20</f>
        <v>0</v>
      </c>
    </row>
    <row r="21" spans="1:11" x14ac:dyDescent="0.3">
      <c r="A21" s="117"/>
      <c r="B21" s="119"/>
      <c r="C21" s="119"/>
      <c r="D21" s="119"/>
      <c r="E21" s="119"/>
      <c r="F21" s="119"/>
      <c r="G21" s="119"/>
      <c r="H21" s="119"/>
      <c r="I21" s="119"/>
      <c r="J21" s="119"/>
      <c r="K21" s="119"/>
    </row>
    <row r="22" spans="1:11" ht="14.5" thickBot="1" x14ac:dyDescent="0.35">
      <c r="A22" s="121" t="s">
        <v>242</v>
      </c>
      <c r="B22" s="122">
        <f t="shared" ref="B22:G22" si="0">SUM(B19:B21)</f>
        <v>0</v>
      </c>
      <c r="C22" s="122">
        <f t="shared" si="0"/>
        <v>0</v>
      </c>
      <c r="D22" s="122">
        <f t="shared" si="0"/>
        <v>0</v>
      </c>
      <c r="E22" s="122">
        <f t="shared" si="0"/>
        <v>0</v>
      </c>
      <c r="F22" s="122">
        <f t="shared" si="0"/>
        <v>0</v>
      </c>
      <c r="G22" s="122">
        <f t="shared" si="0"/>
        <v>0</v>
      </c>
      <c r="H22" s="122"/>
      <c r="I22" s="122">
        <f>SUM(I19:I21)</f>
        <v>0</v>
      </c>
      <c r="J22" s="122">
        <f>SUM(J19:J21)</f>
        <v>0</v>
      </c>
      <c r="K22" s="122">
        <f>SUM(K19:K21)</f>
        <v>0</v>
      </c>
    </row>
    <row r="23" spans="1:11" ht="14.5" thickTop="1" x14ac:dyDescent="0.3"/>
    <row r="26" spans="1:11" ht="42" x14ac:dyDescent="0.3">
      <c r="A26" s="124" t="s">
        <v>484</v>
      </c>
      <c r="B26" s="63" t="s">
        <v>267</v>
      </c>
      <c r="C26" s="125" t="s">
        <v>473</v>
      </c>
      <c r="D26" s="126" t="s">
        <v>474</v>
      </c>
      <c r="E26" s="35" t="s">
        <v>472</v>
      </c>
      <c r="F26" s="35" t="s">
        <v>471</v>
      </c>
      <c r="G26" s="35" t="s">
        <v>619</v>
      </c>
      <c r="H26" s="35" t="s">
        <v>662</v>
      </c>
      <c r="I26" s="35" t="s">
        <v>479</v>
      </c>
      <c r="J26" s="63" t="s">
        <v>663</v>
      </c>
    </row>
    <row r="27" spans="1:11" x14ac:dyDescent="0.3">
      <c r="A27" s="127"/>
      <c r="B27" s="127"/>
      <c r="C27" s="127"/>
      <c r="D27" s="127"/>
      <c r="E27" s="128"/>
      <c r="F27" s="127"/>
      <c r="G27" s="127"/>
      <c r="H27" s="127"/>
      <c r="I27" s="127"/>
      <c r="J27" s="127"/>
    </row>
    <row r="28" spans="1:11" x14ac:dyDescent="0.3">
      <c r="A28" s="129" t="str">
        <f>IF(AD!B66=0,"",AD!B66)</f>
        <v xml:space="preserve">Freehold Land </v>
      </c>
      <c r="B28" s="129" t="str">
        <f>IF(AD!C66=0,"",AD!C66)</f>
        <v/>
      </c>
      <c r="C28" s="130" t="str">
        <f>IF(B28="","",AD!D66)</f>
        <v/>
      </c>
      <c r="D28" s="130" t="str">
        <f>IF(B28="","",AD!E66)</f>
        <v/>
      </c>
      <c r="E28" s="128" t="str">
        <f>IF(B28="","",AD!I66)</f>
        <v/>
      </c>
      <c r="F28" s="131">
        <v>0</v>
      </c>
      <c r="G28" s="43" t="e">
        <f t="shared" ref="G28:G34" si="1">YEAR(D28)-YEAR(C28)</f>
        <v>#VALUE!</v>
      </c>
      <c r="H28" s="127"/>
      <c r="I28" s="128">
        <f>IF(B28="",0,AD!P66)</f>
        <v>0</v>
      </c>
      <c r="J28" s="128">
        <f>I28-H28</f>
        <v>0</v>
      </c>
    </row>
    <row r="29" spans="1:11" x14ac:dyDescent="0.3">
      <c r="A29" s="127" t="str">
        <f>IF(AD!B67=0,"",AD!B67)</f>
        <v/>
      </c>
      <c r="B29" s="117" t="str">
        <f>IF(AD!C67=0,"",AD!C67)</f>
        <v/>
      </c>
      <c r="C29" s="130" t="str">
        <f>IF(B29="","",AD!D67)</f>
        <v/>
      </c>
      <c r="D29" s="130" t="str">
        <f>IF(B29="","",AD!E67)</f>
        <v/>
      </c>
      <c r="E29" s="128" t="str">
        <f>IF(B29="","",AD!I67)</f>
        <v/>
      </c>
      <c r="F29" s="131">
        <v>0</v>
      </c>
      <c r="G29" s="43" t="e">
        <f t="shared" si="1"/>
        <v>#VALUE!</v>
      </c>
      <c r="H29" s="127"/>
      <c r="I29" s="128">
        <f>IF(B29="",0,AD!P67)</f>
        <v>0</v>
      </c>
      <c r="J29" s="128">
        <f t="shared" ref="J29:J63" si="2">I29-H29</f>
        <v>0</v>
      </c>
    </row>
    <row r="30" spans="1:11" x14ac:dyDescent="0.3">
      <c r="A30" s="127" t="str">
        <f>IF(AD!B68=0,"",AD!B68)</f>
        <v/>
      </c>
      <c r="B30" s="117" t="str">
        <f>IF(AD!C68=0,"",AD!C68)</f>
        <v/>
      </c>
      <c r="C30" s="130" t="str">
        <f>IF(B30="","",AD!D68)</f>
        <v/>
      </c>
      <c r="D30" s="130" t="str">
        <f>IF(B30="","",AD!E68)</f>
        <v/>
      </c>
      <c r="E30" s="128" t="str">
        <f>IF(B30="","",AD!I68)</f>
        <v/>
      </c>
      <c r="F30" s="131">
        <v>0</v>
      </c>
      <c r="G30" s="43" t="e">
        <f t="shared" si="1"/>
        <v>#VALUE!</v>
      </c>
      <c r="H30" s="127"/>
      <c r="I30" s="128">
        <f>IF(B30="",0,AD!P68)</f>
        <v>0</v>
      </c>
      <c r="J30" s="128">
        <f t="shared" si="2"/>
        <v>0</v>
      </c>
    </row>
    <row r="31" spans="1:11" x14ac:dyDescent="0.3">
      <c r="A31" s="132" t="str">
        <f>IF(AD!B69=0,"",AD!B69)</f>
        <v/>
      </c>
      <c r="B31" s="133" t="str">
        <f>IF(AD!C69=0,"",AD!C69)</f>
        <v/>
      </c>
      <c r="C31" s="134" t="str">
        <f>IF(B31="","",AD!D69)</f>
        <v/>
      </c>
      <c r="D31" s="134" t="str">
        <f>IF(B31="","",AD!E69)</f>
        <v/>
      </c>
      <c r="E31" s="128" t="str">
        <f>IF(B31="","",AD!I69)</f>
        <v/>
      </c>
      <c r="F31" s="127"/>
      <c r="G31" s="127"/>
      <c r="H31" s="127"/>
      <c r="I31" s="128">
        <f>IF(B31="",0,AD!P69)</f>
        <v>0</v>
      </c>
      <c r="J31" s="128">
        <f t="shared" si="2"/>
        <v>0</v>
      </c>
    </row>
    <row r="32" spans="1:11" x14ac:dyDescent="0.3">
      <c r="A32" s="135" t="str">
        <f>IF(AD!B70=0,"",AD!B70)</f>
        <v>Building on Freehold Land</v>
      </c>
      <c r="B32" s="136" t="str">
        <f>IF(AD!C70=0,"",AD!C70)</f>
        <v/>
      </c>
      <c r="C32" s="130" t="str">
        <f>IF(B32="","",AD!D70)</f>
        <v/>
      </c>
      <c r="D32" s="130" t="str">
        <f>IF(B32="","",AD!E70)</f>
        <v/>
      </c>
      <c r="E32" s="128" t="str">
        <f>IF(B32="","",AD!I70)</f>
        <v/>
      </c>
      <c r="F32" s="131">
        <f>H8</f>
        <v>0.1</v>
      </c>
      <c r="G32" s="43" t="e">
        <f t="shared" si="1"/>
        <v>#VALUE!</v>
      </c>
      <c r="H32" s="127"/>
      <c r="I32" s="128">
        <f>IF(B32="",0,AD!P70)</f>
        <v>0</v>
      </c>
      <c r="J32" s="128">
        <f t="shared" si="2"/>
        <v>0</v>
      </c>
    </row>
    <row r="33" spans="1:10" x14ac:dyDescent="0.3">
      <c r="A33" s="127" t="str">
        <f>IF(AD!B71=0,"",AD!B71)</f>
        <v/>
      </c>
      <c r="B33" s="117" t="str">
        <f>IF(AD!C71=0,"",AD!C71)</f>
        <v/>
      </c>
      <c r="C33" s="130" t="str">
        <f>IF(B33="","",AD!D71)</f>
        <v/>
      </c>
      <c r="D33" s="130" t="str">
        <f>IF(B33="","",AD!E71)</f>
        <v/>
      </c>
      <c r="E33" s="128" t="str">
        <f>IF(B33="","",AD!I71)</f>
        <v/>
      </c>
      <c r="F33" s="131">
        <f>F32</f>
        <v>0.1</v>
      </c>
      <c r="G33" s="43" t="e">
        <f t="shared" si="1"/>
        <v>#VALUE!</v>
      </c>
      <c r="H33" s="127"/>
      <c r="I33" s="128">
        <f>IF(B33="",0,AD!P71)</f>
        <v>0</v>
      </c>
      <c r="J33" s="128">
        <f t="shared" si="2"/>
        <v>0</v>
      </c>
    </row>
    <row r="34" spans="1:10" x14ac:dyDescent="0.3">
      <c r="A34" s="127" t="str">
        <f>IF(AD!B72=0,"",AD!B72)</f>
        <v/>
      </c>
      <c r="B34" s="117" t="str">
        <f>IF(AD!C72=0,"",AD!C72)</f>
        <v/>
      </c>
      <c r="C34" s="130" t="str">
        <f>IF(B34="","",AD!D72)</f>
        <v/>
      </c>
      <c r="D34" s="130" t="str">
        <f>IF(B34="","",AD!E72)</f>
        <v/>
      </c>
      <c r="E34" s="128" t="str">
        <f>IF(B34="","",AD!I72)</f>
        <v/>
      </c>
      <c r="F34" s="131">
        <f>F33</f>
        <v>0.1</v>
      </c>
      <c r="G34" s="43" t="e">
        <f t="shared" si="1"/>
        <v>#VALUE!</v>
      </c>
      <c r="H34" s="127"/>
      <c r="I34" s="128">
        <f>IF(B34="",0,AD!P72)</f>
        <v>0</v>
      </c>
      <c r="J34" s="128">
        <f t="shared" si="2"/>
        <v>0</v>
      </c>
    </row>
    <row r="35" spans="1:10" x14ac:dyDescent="0.3">
      <c r="A35" s="132" t="str">
        <f>IF(AD!B73=0,"",AD!B73)</f>
        <v/>
      </c>
      <c r="B35" s="133" t="str">
        <f>IF(AD!C73=0,"",AD!C73)</f>
        <v/>
      </c>
      <c r="C35" s="134" t="str">
        <f>IF(B35="","",AD!D73)</f>
        <v/>
      </c>
      <c r="D35" s="134" t="str">
        <f>IF(B35="","",AD!E73)</f>
        <v/>
      </c>
      <c r="E35" s="128" t="str">
        <f>IF(B35="","",AD!I73)</f>
        <v/>
      </c>
      <c r="F35" s="127"/>
      <c r="G35" s="127"/>
      <c r="H35" s="127"/>
      <c r="I35" s="128">
        <f>IF(B35="",0,AD!P73)</f>
        <v>0</v>
      </c>
      <c r="J35" s="128">
        <f t="shared" si="2"/>
        <v>0</v>
      </c>
    </row>
    <row r="36" spans="1:10" x14ac:dyDescent="0.3">
      <c r="A36" s="135" t="str">
        <f>IF(AD!B74=0,"",AD!B74)</f>
        <v>Plant and Machinery</v>
      </c>
      <c r="B36" s="136" t="str">
        <f>IF(AD!C74=0,"",AD!C74)</f>
        <v>plant</v>
      </c>
      <c r="C36" s="130">
        <f>IF(B36="","",AD!D74)</f>
        <v>43009</v>
      </c>
      <c r="D36" s="130">
        <f>IF(B36="","",AD!E74)</f>
        <v>44743</v>
      </c>
      <c r="E36" s="128">
        <f>IF(B36="","",AD!I74)</f>
        <v>0</v>
      </c>
      <c r="F36" s="131">
        <f>H9</f>
        <v>0.15</v>
      </c>
      <c r="G36" s="43">
        <f>YEAR(D36)-YEAR(C36)</f>
        <v>5</v>
      </c>
      <c r="H36" s="137">
        <f>E36*(1-F36)^(SUM(G36))</f>
        <v>0</v>
      </c>
      <c r="I36" s="128">
        <f>IF(B36="",0,AD!P74)</f>
        <v>0</v>
      </c>
      <c r="J36" s="128">
        <f t="shared" si="2"/>
        <v>0</v>
      </c>
    </row>
    <row r="37" spans="1:10" x14ac:dyDescent="0.3">
      <c r="A37" s="127" t="str">
        <f>IF(AD!B75=0,"",AD!B75)</f>
        <v/>
      </c>
      <c r="B37" s="117" t="str">
        <f>IF(AD!C75=0,"",AD!C75)</f>
        <v/>
      </c>
      <c r="C37" s="130" t="str">
        <f>IF(B37="","",AD!D75)</f>
        <v/>
      </c>
      <c r="D37" s="130" t="str">
        <f>IF(B37="","",AD!E75)</f>
        <v/>
      </c>
      <c r="E37" s="128" t="str">
        <f>IF(B37="","",AD!I75)</f>
        <v/>
      </c>
      <c r="F37" s="131">
        <f>F36</f>
        <v>0.15</v>
      </c>
      <c r="G37" s="127"/>
      <c r="H37" s="127"/>
      <c r="I37" s="128">
        <f>IF(B37="",0,AD!P75)</f>
        <v>0</v>
      </c>
      <c r="J37" s="128">
        <f t="shared" si="2"/>
        <v>0</v>
      </c>
    </row>
    <row r="38" spans="1:10" x14ac:dyDescent="0.3">
      <c r="A38" s="127" t="str">
        <f>IF(AD!B76=0,"",AD!B76)</f>
        <v/>
      </c>
      <c r="B38" s="117" t="str">
        <f>IF(AD!C76=0,"",AD!C76)</f>
        <v/>
      </c>
      <c r="C38" s="130" t="str">
        <f>IF(B38="","",AD!D76)</f>
        <v/>
      </c>
      <c r="D38" s="130" t="str">
        <f>IF(B38="","",AD!E76)</f>
        <v/>
      </c>
      <c r="E38" s="128" t="str">
        <f>IF(B38="","",AD!I76)</f>
        <v/>
      </c>
      <c r="F38" s="131">
        <f>F37</f>
        <v>0.15</v>
      </c>
      <c r="G38" s="127"/>
      <c r="H38" s="127"/>
      <c r="I38" s="128">
        <f>IF(B38="",0,AD!P76)</f>
        <v>0</v>
      </c>
      <c r="J38" s="128">
        <f t="shared" si="2"/>
        <v>0</v>
      </c>
    </row>
    <row r="39" spans="1:10" x14ac:dyDescent="0.3">
      <c r="A39" s="132" t="str">
        <f>IF(AD!B77=0,"",AD!B77)</f>
        <v/>
      </c>
      <c r="B39" s="133" t="str">
        <f>IF(AD!C77=0,"",AD!C77)</f>
        <v/>
      </c>
      <c r="C39" s="134" t="str">
        <f>IF(B39="","",AD!D77)</f>
        <v/>
      </c>
      <c r="D39" s="134" t="str">
        <f>IF(B39="","",AD!E77)</f>
        <v/>
      </c>
      <c r="E39" s="128" t="str">
        <f>IF(B39="","",AD!I77)</f>
        <v/>
      </c>
      <c r="F39" s="127"/>
      <c r="G39" s="127"/>
      <c r="H39" s="127"/>
      <c r="I39" s="128">
        <f>IF(B39="",0,AD!P77)</f>
        <v>0</v>
      </c>
      <c r="J39" s="128">
        <f t="shared" si="2"/>
        <v>0</v>
      </c>
    </row>
    <row r="40" spans="1:10" x14ac:dyDescent="0.3">
      <c r="A40" s="135" t="str">
        <f>IF(AD!B78=0,"",AD!B78)</f>
        <v>Generator</v>
      </c>
      <c r="B40" s="136" t="str">
        <f>IF(AD!C78=0,"",AD!C78)</f>
        <v/>
      </c>
      <c r="C40" s="130" t="str">
        <f>IF(B40="","",AD!D78)</f>
        <v/>
      </c>
      <c r="D40" s="130" t="str">
        <f>IF(B40="","",AD!E78)</f>
        <v/>
      </c>
      <c r="E40" s="128" t="str">
        <f>IF(B40="","",AD!I78)</f>
        <v/>
      </c>
      <c r="F40" s="127"/>
      <c r="G40" s="127"/>
      <c r="H40" s="127"/>
      <c r="I40" s="128">
        <f>IF(B40="",0,AD!P78)</f>
        <v>0</v>
      </c>
      <c r="J40" s="128">
        <f t="shared" si="2"/>
        <v>0</v>
      </c>
    </row>
    <row r="41" spans="1:10" x14ac:dyDescent="0.3">
      <c r="A41" s="127" t="str">
        <f>IF(AD!B79=0,"",AD!B79)</f>
        <v/>
      </c>
      <c r="B41" s="117" t="str">
        <f>IF(AD!C79=0,"",AD!C79)</f>
        <v/>
      </c>
      <c r="C41" s="130" t="str">
        <f>IF(B41="","",AD!D79)</f>
        <v/>
      </c>
      <c r="D41" s="130" t="str">
        <f>IF(B41="","",AD!E79)</f>
        <v/>
      </c>
      <c r="E41" s="128" t="str">
        <f>IF(B41="","",AD!I79)</f>
        <v/>
      </c>
      <c r="F41" s="127"/>
      <c r="G41" s="127"/>
      <c r="H41" s="127"/>
      <c r="I41" s="128">
        <f>IF(B41="",0,AD!P79)</f>
        <v>0</v>
      </c>
      <c r="J41" s="128">
        <f t="shared" si="2"/>
        <v>0</v>
      </c>
    </row>
    <row r="42" spans="1:10" x14ac:dyDescent="0.3">
      <c r="A42" s="127" t="str">
        <f>IF(AD!B80=0,"",AD!B80)</f>
        <v/>
      </c>
      <c r="B42" s="117" t="str">
        <f>IF(AD!C80=0,"",AD!C80)</f>
        <v/>
      </c>
      <c r="C42" s="130" t="str">
        <f>IF(B42="","",AD!D80)</f>
        <v/>
      </c>
      <c r="D42" s="130" t="str">
        <f>IF(B42="","",AD!E80)</f>
        <v/>
      </c>
      <c r="E42" s="128" t="str">
        <f>IF(B42="","",AD!I80)</f>
        <v/>
      </c>
      <c r="F42" s="127"/>
      <c r="G42" s="127"/>
      <c r="H42" s="127"/>
      <c r="I42" s="128">
        <f>IF(B42="",0,AD!P80)</f>
        <v>0</v>
      </c>
      <c r="J42" s="128">
        <f t="shared" si="2"/>
        <v>0</v>
      </c>
    </row>
    <row r="43" spans="1:10" x14ac:dyDescent="0.3">
      <c r="A43" s="132" t="str">
        <f>IF(AD!B81=0,"",AD!B81)</f>
        <v/>
      </c>
      <c r="B43" s="133" t="str">
        <f>IF(AD!C81=0,"",AD!C81)</f>
        <v/>
      </c>
      <c r="C43" s="134" t="str">
        <f>IF(B43="","",AD!D81)</f>
        <v/>
      </c>
      <c r="D43" s="134" t="str">
        <f>IF(B43="","",AD!E81)</f>
        <v/>
      </c>
      <c r="E43" s="128" t="str">
        <f>IF(B43="","",AD!I81)</f>
        <v/>
      </c>
      <c r="F43" s="127"/>
      <c r="G43" s="127"/>
      <c r="H43" s="127"/>
      <c r="I43" s="128">
        <f>IF(B43="",0,AD!P81)</f>
        <v>0</v>
      </c>
      <c r="J43" s="128">
        <f t="shared" si="2"/>
        <v>0</v>
      </c>
    </row>
    <row r="44" spans="1:10" x14ac:dyDescent="0.3">
      <c r="A44" s="135" t="str">
        <f>IF(AD!B82=0,"",AD!B82)</f>
        <v>Office Equipment</v>
      </c>
      <c r="B44" s="136" t="str">
        <f>IF(AD!C82=0,"",AD!C82)</f>
        <v/>
      </c>
      <c r="C44" s="130" t="str">
        <f>IF(B44="","",AD!D82)</f>
        <v/>
      </c>
      <c r="D44" s="130" t="str">
        <f>IF(B44="","",AD!E82)</f>
        <v/>
      </c>
      <c r="E44" s="128" t="str">
        <f>IF(B44="","",AD!I82)</f>
        <v/>
      </c>
      <c r="F44" s="127"/>
      <c r="G44" s="127"/>
      <c r="H44" s="127"/>
      <c r="I44" s="128">
        <f>IF(B44="",0,AD!P82)</f>
        <v>0</v>
      </c>
      <c r="J44" s="128">
        <f t="shared" si="2"/>
        <v>0</v>
      </c>
    </row>
    <row r="45" spans="1:10" x14ac:dyDescent="0.3">
      <c r="A45" s="127" t="str">
        <f>IF(AD!B83=0,"",AD!B83)</f>
        <v/>
      </c>
      <c r="B45" s="117" t="str">
        <f>IF(AD!C83=0,"",AD!C83)</f>
        <v/>
      </c>
      <c r="C45" s="130" t="str">
        <f>IF(B45="","",AD!D83)</f>
        <v/>
      </c>
      <c r="D45" s="130" t="str">
        <f>IF(B45="","",AD!E83)</f>
        <v/>
      </c>
      <c r="E45" s="128" t="str">
        <f>IF(B45="","",AD!I83)</f>
        <v/>
      </c>
      <c r="F45" s="127"/>
      <c r="G45" s="127"/>
      <c r="H45" s="127"/>
      <c r="I45" s="128">
        <f>IF(B45="",0,AD!P83)</f>
        <v>0</v>
      </c>
      <c r="J45" s="128">
        <f t="shared" si="2"/>
        <v>0</v>
      </c>
    </row>
    <row r="46" spans="1:10" x14ac:dyDescent="0.3">
      <c r="A46" s="127" t="str">
        <f>IF(AD!B84=0,"",AD!B84)</f>
        <v/>
      </c>
      <c r="B46" s="117" t="str">
        <f>IF(AD!C84=0,"",AD!C84)</f>
        <v/>
      </c>
      <c r="C46" s="130" t="str">
        <f>IF(B46="","",AD!D84)</f>
        <v/>
      </c>
      <c r="D46" s="130" t="str">
        <f>IF(B46="","",AD!E84)</f>
        <v/>
      </c>
      <c r="E46" s="128" t="str">
        <f>IF(B46="","",AD!I84)</f>
        <v/>
      </c>
      <c r="F46" s="127"/>
      <c r="G46" s="127"/>
      <c r="H46" s="127"/>
      <c r="I46" s="128">
        <f>IF(B46="",0,AD!P84)</f>
        <v>0</v>
      </c>
      <c r="J46" s="128">
        <f t="shared" si="2"/>
        <v>0</v>
      </c>
    </row>
    <row r="47" spans="1:10" x14ac:dyDescent="0.3">
      <c r="A47" s="132" t="str">
        <f>IF(AD!B85=0,"",AD!B85)</f>
        <v/>
      </c>
      <c r="B47" s="133" t="str">
        <f>IF(AD!C85=0,"",AD!C85)</f>
        <v/>
      </c>
      <c r="C47" s="134" t="str">
        <f>IF(B47="","",AD!D85)</f>
        <v/>
      </c>
      <c r="D47" s="134" t="str">
        <f>IF(B47="","",AD!E85)</f>
        <v/>
      </c>
      <c r="E47" s="128" t="str">
        <f>IF(B47="","",AD!I85)</f>
        <v/>
      </c>
      <c r="F47" s="127"/>
      <c r="G47" s="127"/>
      <c r="H47" s="127"/>
      <c r="I47" s="128">
        <f>IF(B47="",0,AD!P85)</f>
        <v>0</v>
      </c>
      <c r="J47" s="128">
        <f t="shared" si="2"/>
        <v>0</v>
      </c>
    </row>
    <row r="48" spans="1:10" x14ac:dyDescent="0.3">
      <c r="A48" s="135" t="str">
        <f>IF(AD!B86=0,"",AD!B86)</f>
        <v>Computers</v>
      </c>
      <c r="B48" s="136" t="str">
        <f>IF(AD!C86=0,"",AD!C86)</f>
        <v/>
      </c>
      <c r="C48" s="130" t="str">
        <f>IF(B48="","",AD!D86)</f>
        <v/>
      </c>
      <c r="D48" s="130" t="str">
        <f>IF(B48="","",AD!E86)</f>
        <v/>
      </c>
      <c r="E48" s="128" t="str">
        <f>IF(B48="","",AD!I86)</f>
        <v/>
      </c>
      <c r="F48" s="127"/>
      <c r="G48" s="127"/>
      <c r="H48" s="127"/>
      <c r="I48" s="128">
        <f>IF(B48="",0,AD!P86)</f>
        <v>0</v>
      </c>
      <c r="J48" s="128">
        <f t="shared" si="2"/>
        <v>0</v>
      </c>
    </row>
    <row r="49" spans="1:10" x14ac:dyDescent="0.3">
      <c r="A49" s="127" t="str">
        <f>IF(AD!B87=0,"",AD!B87)</f>
        <v/>
      </c>
      <c r="B49" s="117" t="str">
        <f>IF(AD!C87=0,"",AD!C87)</f>
        <v/>
      </c>
      <c r="C49" s="130" t="str">
        <f>IF(B49="","",AD!D87)</f>
        <v/>
      </c>
      <c r="D49" s="130" t="str">
        <f>IF(B49="","",AD!E87)</f>
        <v/>
      </c>
      <c r="E49" s="128" t="str">
        <f>IF(B49="","",AD!I87)</f>
        <v/>
      </c>
      <c r="F49" s="127"/>
      <c r="G49" s="127"/>
      <c r="H49" s="127"/>
      <c r="I49" s="128">
        <f>IF(B49="",0,AD!P87)</f>
        <v>0</v>
      </c>
      <c r="J49" s="128">
        <f t="shared" si="2"/>
        <v>0</v>
      </c>
    </row>
    <row r="50" spans="1:10" x14ac:dyDescent="0.3">
      <c r="A50" s="127" t="str">
        <f>IF(AD!B88=0,"",AD!B88)</f>
        <v/>
      </c>
      <c r="B50" s="117" t="str">
        <f>IF(AD!C88=0,"",AD!C88)</f>
        <v/>
      </c>
      <c r="C50" s="130" t="str">
        <f>IF(B50="","",AD!D88)</f>
        <v/>
      </c>
      <c r="D50" s="130" t="str">
        <f>IF(B50="","",AD!E88)</f>
        <v/>
      </c>
      <c r="E50" s="128" t="str">
        <f>IF(B50="","",AD!I88)</f>
        <v/>
      </c>
      <c r="F50" s="127"/>
      <c r="G50" s="127"/>
      <c r="H50" s="127"/>
      <c r="I50" s="128">
        <f>IF(B50="",0,AD!P88)</f>
        <v>0</v>
      </c>
      <c r="J50" s="128">
        <f t="shared" si="2"/>
        <v>0</v>
      </c>
    </row>
    <row r="51" spans="1:10" x14ac:dyDescent="0.3">
      <c r="A51" s="132" t="str">
        <f>IF(AD!B89=0,"",AD!B89)</f>
        <v/>
      </c>
      <c r="B51" s="133" t="str">
        <f>IF(AD!C89=0,"",AD!C89)</f>
        <v/>
      </c>
      <c r="C51" s="134" t="str">
        <f>IF(B51="","",AD!D89)</f>
        <v/>
      </c>
      <c r="D51" s="134" t="str">
        <f>IF(B51="","",AD!E89)</f>
        <v/>
      </c>
      <c r="E51" s="128" t="str">
        <f>IF(B51="","",AD!I89)</f>
        <v/>
      </c>
      <c r="F51" s="127"/>
      <c r="G51" s="127"/>
      <c r="H51" s="127"/>
      <c r="I51" s="128">
        <f>IF(B51="",0,AD!P89)</f>
        <v>0</v>
      </c>
      <c r="J51" s="128">
        <f t="shared" si="2"/>
        <v>0</v>
      </c>
    </row>
    <row r="52" spans="1:10" x14ac:dyDescent="0.3">
      <c r="A52" s="135" t="str">
        <f>IF(AD!B90=0,"",AD!B90)</f>
        <v>Electric Equipment &amp; Installations</v>
      </c>
      <c r="B52" s="136" t="str">
        <f>IF(AD!C90=0,"",AD!C90)</f>
        <v/>
      </c>
      <c r="C52" s="130" t="str">
        <f>IF(B52="","",AD!D90)</f>
        <v/>
      </c>
      <c r="D52" s="130" t="str">
        <f>IF(B52="","",AD!E90)</f>
        <v/>
      </c>
      <c r="E52" s="128" t="str">
        <f>IF(B52="","",AD!I90)</f>
        <v/>
      </c>
      <c r="F52" s="127"/>
      <c r="G52" s="127"/>
      <c r="H52" s="127"/>
      <c r="I52" s="128">
        <f>IF(B52="",0,AD!P90)</f>
        <v>0</v>
      </c>
      <c r="J52" s="128">
        <f t="shared" si="2"/>
        <v>0</v>
      </c>
    </row>
    <row r="53" spans="1:10" x14ac:dyDescent="0.3">
      <c r="A53" s="127" t="str">
        <f>IF(AD!B91=0,"",AD!B91)</f>
        <v/>
      </c>
      <c r="B53" s="117" t="str">
        <f>IF(AD!C91=0,"",AD!C91)</f>
        <v/>
      </c>
      <c r="C53" s="130" t="str">
        <f>IF(B53="","",AD!D91)</f>
        <v/>
      </c>
      <c r="D53" s="130" t="str">
        <f>IF(B53="","",AD!E91)</f>
        <v/>
      </c>
      <c r="E53" s="128" t="str">
        <f>IF(B53="","",AD!I91)</f>
        <v/>
      </c>
      <c r="F53" s="127"/>
      <c r="G53" s="127"/>
      <c r="H53" s="127"/>
      <c r="I53" s="128">
        <f>IF(B53="",0,AD!P91)</f>
        <v>0</v>
      </c>
      <c r="J53" s="128">
        <f t="shared" si="2"/>
        <v>0</v>
      </c>
    </row>
    <row r="54" spans="1:10" x14ac:dyDescent="0.3">
      <c r="A54" s="127" t="str">
        <f>IF(AD!B92=0,"",AD!B92)</f>
        <v/>
      </c>
      <c r="B54" s="117" t="str">
        <f>IF(AD!C92=0,"",AD!C92)</f>
        <v/>
      </c>
      <c r="C54" s="130" t="str">
        <f>IF(B54="","",AD!D92)</f>
        <v/>
      </c>
      <c r="D54" s="130" t="str">
        <f>IF(B54="","",AD!E92)</f>
        <v/>
      </c>
      <c r="E54" s="128" t="str">
        <f>IF(B54="","",AD!I92)</f>
        <v/>
      </c>
      <c r="F54" s="127"/>
      <c r="G54" s="127"/>
      <c r="H54" s="127"/>
      <c r="I54" s="128">
        <f>IF(B54="",0,AD!P92)</f>
        <v>0</v>
      </c>
      <c r="J54" s="128">
        <f t="shared" si="2"/>
        <v>0</v>
      </c>
    </row>
    <row r="55" spans="1:10" x14ac:dyDescent="0.3">
      <c r="A55" s="132" t="str">
        <f>IF(AD!B93=0,"",AD!B93)</f>
        <v/>
      </c>
      <c r="B55" s="133" t="str">
        <f>IF(AD!C93=0,"",AD!C93)</f>
        <v/>
      </c>
      <c r="C55" s="134" t="str">
        <f>IF(B55="","",AD!D93)</f>
        <v/>
      </c>
      <c r="D55" s="134" t="str">
        <f>IF(B55="","",AD!E93)</f>
        <v/>
      </c>
      <c r="E55" s="128" t="str">
        <f>IF(B55="","",AD!I93)</f>
        <v/>
      </c>
      <c r="F55" s="127"/>
      <c r="G55" s="127"/>
      <c r="H55" s="127"/>
      <c r="I55" s="128">
        <f>IF(B55="",0,AD!P93)</f>
        <v>0</v>
      </c>
      <c r="J55" s="128">
        <f t="shared" si="2"/>
        <v>0</v>
      </c>
    </row>
    <row r="56" spans="1:10" x14ac:dyDescent="0.3">
      <c r="A56" s="135" t="str">
        <f>IF(AD!B94=0,"",AD!B94)</f>
        <v>Furniture and Fixture</v>
      </c>
      <c r="B56" s="136" t="str">
        <f>IF(AD!C94=0,"",AD!C94)</f>
        <v/>
      </c>
      <c r="C56" s="130" t="str">
        <f>IF(B56="","",AD!D94)</f>
        <v/>
      </c>
      <c r="D56" s="130" t="str">
        <f>IF(B56="","",AD!E94)</f>
        <v/>
      </c>
      <c r="E56" s="128" t="str">
        <f>IF(B56="","",AD!I94)</f>
        <v/>
      </c>
      <c r="F56" s="127"/>
      <c r="G56" s="127"/>
      <c r="H56" s="127"/>
      <c r="I56" s="128">
        <f>IF(B56="",0,AD!P94)</f>
        <v>0</v>
      </c>
      <c r="J56" s="128">
        <f t="shared" si="2"/>
        <v>0</v>
      </c>
    </row>
    <row r="57" spans="1:10" x14ac:dyDescent="0.3">
      <c r="A57" s="127" t="str">
        <f>IF(AD!B95=0,"",AD!B95)</f>
        <v/>
      </c>
      <c r="B57" s="117" t="str">
        <f>IF(AD!C95=0,"",AD!C95)</f>
        <v/>
      </c>
      <c r="C57" s="130" t="str">
        <f>IF(B57="","",AD!D95)</f>
        <v/>
      </c>
      <c r="D57" s="130" t="str">
        <f>IF(B57="","",AD!E95)</f>
        <v/>
      </c>
      <c r="E57" s="128" t="str">
        <f>IF(B57="","",AD!I95)</f>
        <v/>
      </c>
      <c r="F57" s="127"/>
      <c r="G57" s="127"/>
      <c r="H57" s="127"/>
      <c r="I57" s="128">
        <f>IF(B57="",0,AD!P95)</f>
        <v>0</v>
      </c>
      <c r="J57" s="128">
        <f t="shared" si="2"/>
        <v>0</v>
      </c>
    </row>
    <row r="58" spans="1:10" x14ac:dyDescent="0.3">
      <c r="A58" s="127" t="str">
        <f>IF(AD!B96=0,"",AD!B96)</f>
        <v/>
      </c>
      <c r="B58" s="117" t="str">
        <f>IF(AD!C96=0,"",AD!C96)</f>
        <v/>
      </c>
      <c r="C58" s="130" t="str">
        <f>IF(B58="","",AD!D96)</f>
        <v/>
      </c>
      <c r="D58" s="130" t="str">
        <f>IF(B58="","",AD!E96)</f>
        <v/>
      </c>
      <c r="E58" s="128" t="str">
        <f>IF(B58="","",AD!I96)</f>
        <v/>
      </c>
      <c r="F58" s="127"/>
      <c r="G58" s="127"/>
      <c r="H58" s="127"/>
      <c r="I58" s="128">
        <f>IF(B58="",0,AD!P96)</f>
        <v>0</v>
      </c>
      <c r="J58" s="128">
        <f t="shared" si="2"/>
        <v>0</v>
      </c>
    </row>
    <row r="59" spans="1:10" x14ac:dyDescent="0.3">
      <c r="A59" s="132" t="str">
        <f>IF(AD!B97=0,"",AD!B97)</f>
        <v/>
      </c>
      <c r="B59" s="133" t="str">
        <f>IF(AD!C97=0,"",AD!C97)</f>
        <v/>
      </c>
      <c r="C59" s="134" t="str">
        <f>IF(B59="","",AD!D97)</f>
        <v/>
      </c>
      <c r="D59" s="134" t="str">
        <f>IF(B59="","",AD!E97)</f>
        <v/>
      </c>
      <c r="E59" s="128" t="str">
        <f>IF(B59="","",AD!I97)</f>
        <v/>
      </c>
      <c r="F59" s="127"/>
      <c r="G59" s="127"/>
      <c r="H59" s="127"/>
      <c r="I59" s="128">
        <f>IF(B59="",0,AD!P97)</f>
        <v>0</v>
      </c>
      <c r="J59" s="128">
        <f t="shared" si="2"/>
        <v>0</v>
      </c>
    </row>
    <row r="60" spans="1:10" x14ac:dyDescent="0.3">
      <c r="A60" s="135" t="str">
        <f>IF(AD!B98=0,"",AD!B98)</f>
        <v>Vehicles</v>
      </c>
      <c r="B60" s="136" t="str">
        <f>IF(AD!C98=0,"",AD!C98)</f>
        <v/>
      </c>
      <c r="C60" s="130" t="str">
        <f>IF(B60="","",AD!D98)</f>
        <v/>
      </c>
      <c r="D60" s="130" t="str">
        <f>IF(B60="","",AD!E98)</f>
        <v/>
      </c>
      <c r="E60" s="128" t="str">
        <f>IF(B60="","",AD!I98)</f>
        <v/>
      </c>
      <c r="F60" s="127"/>
      <c r="G60" s="127"/>
      <c r="H60" s="127"/>
      <c r="I60" s="128">
        <f>IF(B60="",0,AD!P98)</f>
        <v>0</v>
      </c>
      <c r="J60" s="128">
        <f t="shared" si="2"/>
        <v>0</v>
      </c>
    </row>
    <row r="61" spans="1:10" x14ac:dyDescent="0.3">
      <c r="A61" s="127" t="str">
        <f>IF(AD!B99=0,"",AD!B99)</f>
        <v/>
      </c>
      <c r="B61" s="117" t="str">
        <f>IF(AD!C99=0,"",AD!C99)</f>
        <v/>
      </c>
      <c r="C61" s="130" t="str">
        <f>IF(B61="","",AD!D99)</f>
        <v/>
      </c>
      <c r="D61" s="130" t="str">
        <f>IF(B61="","",AD!E99)</f>
        <v/>
      </c>
      <c r="E61" s="128" t="str">
        <f>IF(B61="","",AD!I99)</f>
        <v/>
      </c>
      <c r="F61" s="127"/>
      <c r="G61" s="127"/>
      <c r="H61" s="127"/>
      <c r="I61" s="128">
        <f>IF(B61="",0,AD!P99)</f>
        <v>0</v>
      </c>
      <c r="J61" s="128">
        <f t="shared" si="2"/>
        <v>0</v>
      </c>
    </row>
    <row r="62" spans="1:10" x14ac:dyDescent="0.3">
      <c r="A62" s="127" t="str">
        <f>IF(AD!B100=0,"",AD!B100)</f>
        <v/>
      </c>
      <c r="B62" s="117" t="str">
        <f>IF(AD!C100=0,"",AD!C100)</f>
        <v/>
      </c>
      <c r="C62" s="130" t="str">
        <f>IF(B62="","",AD!D100)</f>
        <v/>
      </c>
      <c r="D62" s="130" t="str">
        <f>IF(B62="","",AD!E100)</f>
        <v/>
      </c>
      <c r="E62" s="128" t="str">
        <f>IF(B62="","",AD!I100)</f>
        <v/>
      </c>
      <c r="F62" s="127"/>
      <c r="G62" s="127"/>
      <c r="H62" s="127"/>
      <c r="I62" s="128">
        <f>IF(B62="",0,AD!P100)</f>
        <v>0</v>
      </c>
      <c r="J62" s="128">
        <f t="shared" si="2"/>
        <v>0</v>
      </c>
    </row>
    <row r="63" spans="1:10" x14ac:dyDescent="0.3">
      <c r="A63" s="138" t="str">
        <f>IF(AD!B101=0,"",AD!B101)</f>
        <v/>
      </c>
      <c r="B63" s="139" t="str">
        <f>IF(AD!C101=0,"",AD!C101)</f>
        <v/>
      </c>
      <c r="C63" s="140" t="str">
        <f>IF(B63="","",AD!D101)</f>
        <v/>
      </c>
      <c r="D63" s="140" t="str">
        <f>IF(B63="","",AD!E101)</f>
        <v/>
      </c>
      <c r="E63" s="128" t="str">
        <f>IF(B63="","",AD!I101)</f>
        <v/>
      </c>
      <c r="F63" s="127"/>
      <c r="G63" s="127"/>
      <c r="H63" s="127"/>
      <c r="I63" s="128">
        <f>IF(B63="",0,AD!P101)</f>
        <v>0</v>
      </c>
      <c r="J63" s="128">
        <f t="shared" si="2"/>
        <v>0</v>
      </c>
    </row>
    <row r="64" spans="1:10" x14ac:dyDescent="0.3">
      <c r="A64" s="127" t="str">
        <f>IF(AD!B102=0,"",AD!B102)</f>
        <v/>
      </c>
      <c r="B64" s="117" t="str">
        <f>IF(AD!C102=0,"",AD!C102)</f>
        <v/>
      </c>
      <c r="C64" s="130"/>
      <c r="D64" s="130"/>
      <c r="E64" s="127"/>
      <c r="F64" s="127"/>
      <c r="G64" s="127"/>
      <c r="H64" s="127"/>
      <c r="I64" s="127"/>
      <c r="J64" s="127"/>
    </row>
    <row r="65" spans="1:10" ht="14.5" thickBot="1" x14ac:dyDescent="0.35">
      <c r="A65" s="141" t="str">
        <f>IF(AD!B103=0,"",AD!B103)</f>
        <v/>
      </c>
      <c r="B65" s="141"/>
      <c r="C65" s="142"/>
      <c r="D65" s="142"/>
      <c r="E65" s="127"/>
      <c r="F65" s="127"/>
      <c r="G65" s="127"/>
      <c r="H65" s="127"/>
      <c r="I65" s="127"/>
      <c r="J65" s="127"/>
    </row>
    <row r="66" spans="1:10" ht="14.5" thickTop="1" x14ac:dyDescent="0.3"/>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6"/>
  <sheetViews>
    <sheetView zoomScaleNormal="100" zoomScaleSheetLayoutView="100" workbookViewId="0">
      <selection activeCell="K5" sqref="K5:K6"/>
    </sheetView>
  </sheetViews>
  <sheetFormatPr defaultColWidth="9.1796875" defaultRowHeight="14" x14ac:dyDescent="0.3"/>
  <cols>
    <col min="1" max="1" width="1.54296875" style="101" customWidth="1"/>
    <col min="2" max="2" width="1.26953125" style="101" customWidth="1"/>
    <col min="3" max="3" width="45.7265625" style="101" customWidth="1"/>
    <col min="4" max="4" width="0.81640625" style="101" customWidth="1"/>
    <col min="5" max="5" width="7.453125" style="102" customWidth="1"/>
    <col min="6" max="6" width="0.81640625" style="101" customWidth="1"/>
    <col min="7" max="7" width="16.7265625" style="104" customWidth="1"/>
    <col min="8" max="8" width="0.81640625" style="104" customWidth="1"/>
    <col min="9" max="9" width="16.7265625" style="104" customWidth="1"/>
    <col min="10" max="10" width="0.81640625" style="104" customWidth="1"/>
    <col min="11" max="11" width="16.7265625" style="104" customWidth="1"/>
    <col min="12" max="16384" width="9.1796875" style="101"/>
  </cols>
  <sheetData>
    <row r="1" spans="1:11" s="363" customFormat="1" ht="15" x14ac:dyDescent="0.3">
      <c r="A1" s="363" t="str">
        <f>Cover!C1</f>
        <v>ABC LIMITED</v>
      </c>
      <c r="E1" s="364"/>
      <c r="G1" s="365"/>
      <c r="H1" s="365"/>
      <c r="I1" s="365"/>
      <c r="J1" s="365"/>
      <c r="K1" s="365"/>
    </row>
    <row r="2" spans="1:11" s="363" customFormat="1" ht="15" x14ac:dyDescent="0.3">
      <c r="A2" s="363" t="s">
        <v>11</v>
      </c>
      <c r="E2" s="364"/>
      <c r="G2" s="365"/>
      <c r="H2" s="365"/>
      <c r="I2" s="365"/>
      <c r="J2" s="365"/>
      <c r="K2" s="365"/>
    </row>
    <row r="3" spans="1:11" s="383" customFormat="1" ht="15.5" thickBot="1" x14ac:dyDescent="0.35">
      <c r="A3" s="383" t="str">
        <f>Cover!C3</f>
        <v>FOR THE YEAR ENDED JUNE 30, 2023</v>
      </c>
      <c r="E3" s="384"/>
      <c r="G3" s="385"/>
      <c r="H3" s="385"/>
      <c r="I3" s="385"/>
      <c r="J3" s="385"/>
      <c r="K3" s="385"/>
    </row>
    <row r="4" spans="1:11" ht="14.5" thickTop="1" x14ac:dyDescent="0.3">
      <c r="A4" s="28"/>
      <c r="B4" s="28"/>
      <c r="C4" s="28"/>
      <c r="D4" s="28"/>
      <c r="E4" s="53"/>
      <c r="F4" s="28"/>
      <c r="G4" s="100"/>
      <c r="H4" s="100"/>
      <c r="I4" s="100"/>
      <c r="J4" s="100"/>
      <c r="K4" s="100"/>
    </row>
    <row r="5" spans="1:11" x14ac:dyDescent="0.3">
      <c r="A5" s="28"/>
      <c r="B5" s="28"/>
      <c r="C5" s="28"/>
      <c r="D5" s="28"/>
      <c r="E5" s="53"/>
      <c r="F5" s="28"/>
      <c r="G5" s="441" t="s">
        <v>243</v>
      </c>
      <c r="H5" s="443"/>
      <c r="I5" s="441" t="s">
        <v>244</v>
      </c>
      <c r="J5" s="445"/>
      <c r="K5" s="447" t="s">
        <v>245</v>
      </c>
    </row>
    <row r="6" spans="1:11" x14ac:dyDescent="0.3">
      <c r="A6" s="28"/>
      <c r="B6" s="28"/>
      <c r="C6" s="28"/>
      <c r="D6" s="28"/>
      <c r="E6" s="53"/>
      <c r="F6" s="28"/>
      <c r="G6" s="442">
        <f>G18/K18</f>
        <v>0</v>
      </c>
      <c r="H6" s="444"/>
      <c r="I6" s="442">
        <f>I18/K18</f>
        <v>1</v>
      </c>
      <c r="J6" s="446"/>
      <c r="K6" s="442">
        <f>G6+I6</f>
        <v>1</v>
      </c>
    </row>
    <row r="7" spans="1:11" x14ac:dyDescent="0.3">
      <c r="B7" s="2" t="s">
        <v>246</v>
      </c>
      <c r="G7" s="103"/>
      <c r="H7" s="103"/>
      <c r="I7" s="103"/>
      <c r="K7" s="103"/>
    </row>
    <row r="8" spans="1:11" x14ac:dyDescent="0.3">
      <c r="C8" s="2" t="s">
        <v>364</v>
      </c>
      <c r="G8" s="103"/>
      <c r="H8" s="103"/>
      <c r="I8" s="103"/>
      <c r="K8" s="103"/>
    </row>
    <row r="9" spans="1:11" x14ac:dyDescent="0.3">
      <c r="C9" s="101" t="s">
        <v>360</v>
      </c>
      <c r="G9" s="103">
        <v>0</v>
      </c>
      <c r="H9" s="103"/>
      <c r="I9" s="103"/>
      <c r="K9" s="103">
        <f>G9+I9</f>
        <v>0</v>
      </c>
    </row>
    <row r="10" spans="1:11" x14ac:dyDescent="0.3">
      <c r="C10" s="101" t="s">
        <v>361</v>
      </c>
      <c r="G10" s="103">
        <v>0</v>
      </c>
      <c r="H10" s="103"/>
      <c r="I10" s="103"/>
      <c r="K10" s="103">
        <f t="shared" ref="K10:K16" si="0">G10+I10</f>
        <v>0</v>
      </c>
    </row>
    <row r="11" spans="1:11" x14ac:dyDescent="0.3">
      <c r="C11" s="101" t="s">
        <v>362</v>
      </c>
      <c r="G11" s="103">
        <v>0</v>
      </c>
      <c r="H11" s="103"/>
      <c r="I11" s="103"/>
      <c r="K11" s="103">
        <f>G11+I11</f>
        <v>0</v>
      </c>
    </row>
    <row r="12" spans="1:11" x14ac:dyDescent="0.3">
      <c r="G12" s="103"/>
      <c r="H12" s="103"/>
      <c r="I12" s="103"/>
      <c r="K12" s="103"/>
    </row>
    <row r="13" spans="1:11" x14ac:dyDescent="0.3">
      <c r="C13" s="2" t="s">
        <v>365</v>
      </c>
      <c r="G13" s="103"/>
      <c r="H13" s="103"/>
      <c r="I13" s="103"/>
      <c r="K13" s="103"/>
    </row>
    <row r="14" spans="1:11" x14ac:dyDescent="0.3">
      <c r="C14" s="101" t="s">
        <v>359</v>
      </c>
      <c r="G14" s="103"/>
      <c r="H14" s="103"/>
      <c r="I14" s="103">
        <v>0.01</v>
      </c>
      <c r="K14" s="103">
        <f t="shared" si="0"/>
        <v>0.01</v>
      </c>
    </row>
    <row r="15" spans="1:11" x14ac:dyDescent="0.3">
      <c r="C15" s="101" t="s">
        <v>247</v>
      </c>
      <c r="G15" s="103"/>
      <c r="H15" s="103"/>
      <c r="I15" s="103">
        <v>0</v>
      </c>
      <c r="K15" s="103">
        <f t="shared" si="0"/>
        <v>0</v>
      </c>
    </row>
    <row r="16" spans="1:11" x14ac:dyDescent="0.3">
      <c r="C16" s="101" t="s">
        <v>248</v>
      </c>
      <c r="G16" s="103"/>
      <c r="H16" s="103"/>
      <c r="I16" s="103">
        <v>0</v>
      </c>
      <c r="K16" s="103">
        <f t="shared" si="0"/>
        <v>0</v>
      </c>
    </row>
    <row r="17" spans="2:11" x14ac:dyDescent="0.3">
      <c r="C17" s="101" t="s">
        <v>249</v>
      </c>
      <c r="G17" s="103"/>
      <c r="H17" s="103"/>
      <c r="I17" s="103">
        <v>0</v>
      </c>
      <c r="K17" s="103">
        <f>G17+I17</f>
        <v>0</v>
      </c>
    </row>
    <row r="18" spans="2:11" x14ac:dyDescent="0.3">
      <c r="G18" s="105">
        <f>SUM(G9:G17)</f>
        <v>0</v>
      </c>
      <c r="H18" s="103"/>
      <c r="I18" s="105">
        <f>SUM(I9:I17)</f>
        <v>0.01</v>
      </c>
      <c r="K18" s="105">
        <f>G18+I18</f>
        <v>0.01</v>
      </c>
    </row>
    <row r="19" spans="2:11" x14ac:dyDescent="0.3">
      <c r="G19" s="103"/>
      <c r="H19" s="103"/>
      <c r="I19" s="103"/>
      <c r="K19" s="103"/>
    </row>
    <row r="20" spans="2:11" x14ac:dyDescent="0.3">
      <c r="B20" s="2" t="s">
        <v>250</v>
      </c>
      <c r="G20" s="103">
        <f>K20*$G$6</f>
        <v>0</v>
      </c>
      <c r="H20" s="103"/>
      <c r="I20" s="103">
        <f>K20*$I$6</f>
        <v>0</v>
      </c>
      <c r="K20" s="103">
        <v>0</v>
      </c>
    </row>
    <row r="21" spans="2:11" x14ac:dyDescent="0.3">
      <c r="G21" s="103"/>
      <c r="H21" s="103"/>
      <c r="I21" s="103"/>
      <c r="K21" s="103"/>
    </row>
    <row r="22" spans="2:11" x14ac:dyDescent="0.3">
      <c r="B22" s="14" t="str">
        <f>IF(K22&gt;=0,"Gross Profit","Gross Loss")</f>
        <v>Gross Profit</v>
      </c>
      <c r="G22" s="105">
        <f>G18+G20</f>
        <v>0</v>
      </c>
      <c r="H22" s="103"/>
      <c r="I22" s="105">
        <f>I18+I20</f>
        <v>0.01</v>
      </c>
      <c r="K22" s="105">
        <f>K18+K20</f>
        <v>0.01</v>
      </c>
    </row>
    <row r="23" spans="2:11" x14ac:dyDescent="0.3">
      <c r="G23" s="103"/>
      <c r="H23" s="103"/>
      <c r="I23" s="103"/>
      <c r="K23" s="103"/>
    </row>
    <row r="24" spans="2:11" x14ac:dyDescent="0.3">
      <c r="B24" s="101" t="str">
        <f>SOPL!B14</f>
        <v>Distribution costs</v>
      </c>
      <c r="G24" s="103">
        <f>K24*$G$6</f>
        <v>0</v>
      </c>
      <c r="H24" s="103"/>
      <c r="I24" s="103">
        <f>K24*$I$6</f>
        <v>0</v>
      </c>
      <c r="K24" s="103">
        <v>0</v>
      </c>
    </row>
    <row r="25" spans="2:11" x14ac:dyDescent="0.3">
      <c r="B25" s="101" t="str">
        <f>SOPL!B15</f>
        <v>Administrative expenses</v>
      </c>
      <c r="G25" s="103">
        <f>K25*$G$6</f>
        <v>0</v>
      </c>
      <c r="H25" s="103"/>
      <c r="I25" s="103">
        <f>K25*$I$6</f>
        <v>0</v>
      </c>
      <c r="K25" s="103">
        <v>0</v>
      </c>
    </row>
    <row r="26" spans="2:11" x14ac:dyDescent="0.3">
      <c r="B26" s="101" t="str">
        <f>SOPL!B16</f>
        <v>Other operating income / (expenses)</v>
      </c>
      <c r="G26" s="103">
        <f>K26*$G$6</f>
        <v>0</v>
      </c>
      <c r="H26" s="103"/>
      <c r="I26" s="103">
        <f>K26*$I$6</f>
        <v>0</v>
      </c>
      <c r="K26" s="103">
        <v>0</v>
      </c>
    </row>
    <row r="27" spans="2:11" x14ac:dyDescent="0.3">
      <c r="B27" s="101" t="str">
        <f>SOPL!B17</f>
        <v>Other gains/(losses)</v>
      </c>
      <c r="G27" s="103">
        <f>K27*$G$6</f>
        <v>0</v>
      </c>
      <c r="H27" s="103"/>
      <c r="I27" s="103">
        <f>K27*$I$6</f>
        <v>0</v>
      </c>
      <c r="K27" s="103">
        <v>0</v>
      </c>
    </row>
    <row r="28" spans="2:11" x14ac:dyDescent="0.3">
      <c r="G28" s="103"/>
      <c r="H28" s="103"/>
      <c r="I28" s="103"/>
      <c r="K28" s="103"/>
    </row>
    <row r="29" spans="2:11" x14ac:dyDescent="0.3">
      <c r="B29" s="14" t="str">
        <f>IF(K29&gt;=0,"Operating Profit","Operating Loss")</f>
        <v>Operating Profit</v>
      </c>
      <c r="G29" s="105">
        <f>SUM(G22:G28)</f>
        <v>0</v>
      </c>
      <c r="H29" s="103"/>
      <c r="I29" s="105">
        <f>SUM(I22:I28)</f>
        <v>0.01</v>
      </c>
      <c r="K29" s="105">
        <f>SUM(K22:K28)</f>
        <v>0.01</v>
      </c>
    </row>
    <row r="30" spans="2:11" x14ac:dyDescent="0.3">
      <c r="G30" s="103"/>
      <c r="H30" s="103"/>
      <c r="I30" s="103"/>
      <c r="K30" s="103"/>
    </row>
    <row r="31" spans="2:11" x14ac:dyDescent="0.3">
      <c r="B31" s="101" t="str">
        <f>SOPL!B23</f>
        <v>Other income</v>
      </c>
      <c r="G31" s="103">
        <f>K31*$G$6</f>
        <v>0</v>
      </c>
      <c r="H31" s="103"/>
      <c r="I31" s="103">
        <f>K31*$I$6</f>
        <v>0</v>
      </c>
      <c r="K31" s="103">
        <v>0</v>
      </c>
    </row>
    <row r="32" spans="2:11" x14ac:dyDescent="0.3">
      <c r="B32" s="101" t="str">
        <f>SOPL!B24</f>
        <v xml:space="preserve">Finance costs </v>
      </c>
      <c r="G32" s="103">
        <f>K32*$G$6</f>
        <v>0</v>
      </c>
      <c r="H32" s="103"/>
      <c r="I32" s="103">
        <f>K32*$I$6</f>
        <v>0</v>
      </c>
      <c r="K32" s="103">
        <v>0</v>
      </c>
    </row>
    <row r="33" spans="2:11" x14ac:dyDescent="0.3">
      <c r="G33" s="103"/>
      <c r="H33" s="103"/>
      <c r="I33" s="103"/>
      <c r="K33" s="103"/>
    </row>
    <row r="34" spans="2:11" x14ac:dyDescent="0.3">
      <c r="B34" s="14" t="str">
        <f>IF(K34&gt;=0,"Accounting Profit before WPPF and WWF","Accounting Loss before WPPF and WWF")</f>
        <v>Accounting Profit before WPPF and WWF</v>
      </c>
      <c r="G34" s="105">
        <f>SUM(G29:G33)</f>
        <v>0</v>
      </c>
      <c r="H34" s="103"/>
      <c r="I34" s="105">
        <f>SUM(I29:I33)</f>
        <v>0.01</v>
      </c>
      <c r="K34" s="105">
        <f>SUM(K29:K33)</f>
        <v>0.01</v>
      </c>
    </row>
    <row r="35" spans="2:11" x14ac:dyDescent="0.3">
      <c r="G35" s="103"/>
      <c r="H35" s="103"/>
      <c r="I35" s="103"/>
      <c r="K35" s="103"/>
    </row>
    <row r="36" spans="2:11" x14ac:dyDescent="0.3">
      <c r="B36" s="101" t="s">
        <v>251</v>
      </c>
      <c r="G36" s="103"/>
      <c r="H36" s="103"/>
      <c r="I36" s="103"/>
      <c r="K36" s="103"/>
    </row>
    <row r="37" spans="2:11" x14ac:dyDescent="0.3">
      <c r="C37" s="101" t="s">
        <v>252</v>
      </c>
      <c r="G37" s="106">
        <f>K37*$G$6</f>
        <v>0</v>
      </c>
      <c r="H37" s="107"/>
      <c r="I37" s="106">
        <f>K37*$I$6</f>
        <v>0</v>
      </c>
      <c r="J37" s="108"/>
      <c r="K37" s="106">
        <v>0</v>
      </c>
    </row>
    <row r="38" spans="2:11" x14ac:dyDescent="0.3">
      <c r="C38" s="101" t="s">
        <v>253</v>
      </c>
      <c r="G38" s="109">
        <f>K38*$G$6</f>
        <v>0</v>
      </c>
      <c r="H38" s="103"/>
      <c r="I38" s="109">
        <f>K38*$I$6</f>
        <v>0</v>
      </c>
      <c r="K38" s="109">
        <v>0</v>
      </c>
    </row>
    <row r="39" spans="2:11" x14ac:dyDescent="0.3">
      <c r="C39" s="101" t="s">
        <v>254</v>
      </c>
      <c r="G39" s="109">
        <f>K39*$G$6</f>
        <v>0</v>
      </c>
      <c r="H39" s="103"/>
      <c r="I39" s="109">
        <f>K39*$I$6</f>
        <v>0</v>
      </c>
      <c r="K39" s="109">
        <v>0</v>
      </c>
    </row>
    <row r="40" spans="2:11" x14ac:dyDescent="0.3">
      <c r="C40" s="101" t="s">
        <v>357</v>
      </c>
      <c r="G40" s="109">
        <f t="shared" ref="G40:G45" si="1">K40*$G$6</f>
        <v>0</v>
      </c>
      <c r="H40" s="103"/>
      <c r="I40" s="109">
        <f t="shared" ref="I40:I45" si="2">K40*$I$6</f>
        <v>0</v>
      </c>
      <c r="K40" s="109">
        <v>0</v>
      </c>
    </row>
    <row r="41" spans="2:11" x14ac:dyDescent="0.3">
      <c r="C41" s="101" t="s">
        <v>358</v>
      </c>
      <c r="G41" s="109">
        <f t="shared" si="1"/>
        <v>0</v>
      </c>
      <c r="H41" s="103"/>
      <c r="I41" s="109">
        <f t="shared" si="2"/>
        <v>0</v>
      </c>
      <c r="K41" s="109">
        <v>0</v>
      </c>
    </row>
    <row r="42" spans="2:11" x14ac:dyDescent="0.3">
      <c r="C42" s="101" t="s">
        <v>356</v>
      </c>
      <c r="G42" s="109">
        <f t="shared" si="1"/>
        <v>0</v>
      </c>
      <c r="H42" s="103"/>
      <c r="I42" s="109">
        <f t="shared" si="2"/>
        <v>0</v>
      </c>
      <c r="K42" s="109">
        <v>0</v>
      </c>
    </row>
    <row r="43" spans="2:11" x14ac:dyDescent="0.3">
      <c r="C43" s="101" t="s">
        <v>351</v>
      </c>
      <c r="G43" s="109">
        <f t="shared" si="1"/>
        <v>0</v>
      </c>
      <c r="H43" s="103"/>
      <c r="I43" s="109">
        <f t="shared" si="2"/>
        <v>0</v>
      </c>
      <c r="K43" s="109">
        <v>0</v>
      </c>
    </row>
    <row r="44" spans="2:11" x14ac:dyDescent="0.3">
      <c r="C44" s="101" t="s">
        <v>348</v>
      </c>
      <c r="G44" s="109">
        <f t="shared" si="1"/>
        <v>0</v>
      </c>
      <c r="H44" s="103"/>
      <c r="I44" s="109">
        <f t="shared" si="2"/>
        <v>0</v>
      </c>
      <c r="K44" s="109">
        <v>0</v>
      </c>
    </row>
    <row r="45" spans="2:11" x14ac:dyDescent="0.3">
      <c r="C45" s="101" t="s">
        <v>255</v>
      </c>
      <c r="G45" s="109">
        <f t="shared" si="1"/>
        <v>0</v>
      </c>
      <c r="H45" s="103"/>
      <c r="I45" s="109">
        <f t="shared" si="2"/>
        <v>0</v>
      </c>
      <c r="K45" s="109">
        <v>0</v>
      </c>
    </row>
    <row r="46" spans="2:11" x14ac:dyDescent="0.3">
      <c r="G46" s="110"/>
      <c r="H46" s="103"/>
      <c r="I46" s="110"/>
      <c r="K46" s="110"/>
    </row>
    <row r="47" spans="2:11" x14ac:dyDescent="0.3">
      <c r="G47" s="103">
        <f>SUM(G37:G46)</f>
        <v>0</v>
      </c>
      <c r="H47" s="103"/>
      <c r="I47" s="103">
        <f>SUM(I37:I46)</f>
        <v>0</v>
      </c>
      <c r="K47" s="103">
        <f>SUM(K37:K46)</f>
        <v>0</v>
      </c>
    </row>
    <row r="48" spans="2:11" x14ac:dyDescent="0.3">
      <c r="G48" s="103"/>
      <c r="H48" s="103"/>
      <c r="I48" s="103"/>
      <c r="K48" s="103"/>
    </row>
    <row r="49" spans="2:11" x14ac:dyDescent="0.3">
      <c r="G49" s="103"/>
      <c r="H49" s="103"/>
      <c r="I49" s="103"/>
      <c r="K49" s="103"/>
    </row>
    <row r="50" spans="2:11" x14ac:dyDescent="0.3">
      <c r="B50" s="101" t="s">
        <v>256</v>
      </c>
      <c r="G50" s="103"/>
      <c r="H50" s="103"/>
      <c r="I50" s="103"/>
      <c r="K50" s="103"/>
    </row>
    <row r="51" spans="2:11" x14ac:dyDescent="0.3">
      <c r="C51" s="101" t="s">
        <v>257</v>
      </c>
      <c r="G51" s="106">
        <f>K51*$G$6</f>
        <v>0</v>
      </c>
      <c r="H51" s="103"/>
      <c r="I51" s="106">
        <f>K51*$I$6</f>
        <v>0</v>
      </c>
      <c r="K51" s="106">
        <v>0</v>
      </c>
    </row>
    <row r="52" spans="2:11" x14ac:dyDescent="0.3">
      <c r="C52" s="101" t="s">
        <v>372</v>
      </c>
      <c r="G52" s="109">
        <f>K52*$G$6</f>
        <v>0</v>
      </c>
      <c r="H52" s="103"/>
      <c r="I52" s="109">
        <f>K52*$I$6</f>
        <v>0</v>
      </c>
      <c r="K52" s="109">
        <v>0</v>
      </c>
    </row>
    <row r="53" spans="2:11" x14ac:dyDescent="0.3">
      <c r="C53" s="101" t="s">
        <v>260</v>
      </c>
      <c r="G53" s="109">
        <f>K53*$G$6</f>
        <v>0</v>
      </c>
      <c r="H53" s="103"/>
      <c r="I53" s="109">
        <f>K53*$I$6</f>
        <v>0</v>
      </c>
      <c r="K53" s="109">
        <v>0</v>
      </c>
    </row>
    <row r="54" spans="2:11" x14ac:dyDescent="0.3">
      <c r="C54" s="101" t="s">
        <v>258</v>
      </c>
      <c r="G54" s="109">
        <f>K54*$G$6</f>
        <v>0</v>
      </c>
      <c r="H54" s="103"/>
      <c r="I54" s="109">
        <f>K54*$I$6</f>
        <v>0</v>
      </c>
      <c r="K54" s="109">
        <v>0</v>
      </c>
    </row>
    <row r="55" spans="2:11" x14ac:dyDescent="0.3">
      <c r="C55" s="101" t="s">
        <v>259</v>
      </c>
      <c r="G55" s="109">
        <f t="shared" ref="G55:G60" si="3">K55*$G$6</f>
        <v>0</v>
      </c>
      <c r="H55" s="103"/>
      <c r="I55" s="109">
        <f t="shared" ref="I55:I60" si="4">K55*$I$6</f>
        <v>0</v>
      </c>
      <c r="K55" s="109">
        <v>0</v>
      </c>
    </row>
    <row r="56" spans="2:11" x14ac:dyDescent="0.3">
      <c r="C56" s="101" t="s">
        <v>355</v>
      </c>
      <c r="G56" s="109">
        <f t="shared" si="3"/>
        <v>0</v>
      </c>
      <c r="H56" s="103"/>
      <c r="I56" s="109">
        <f t="shared" si="4"/>
        <v>0</v>
      </c>
      <c r="K56" s="109">
        <v>0</v>
      </c>
    </row>
    <row r="57" spans="2:11" x14ac:dyDescent="0.3">
      <c r="C57" s="101" t="s">
        <v>352</v>
      </c>
      <c r="G57" s="109">
        <f t="shared" si="3"/>
        <v>0</v>
      </c>
      <c r="H57" s="103"/>
      <c r="I57" s="109">
        <f t="shared" si="4"/>
        <v>0</v>
      </c>
      <c r="K57" s="109">
        <v>0</v>
      </c>
    </row>
    <row r="58" spans="2:11" x14ac:dyDescent="0.3">
      <c r="C58" s="101" t="s">
        <v>354</v>
      </c>
      <c r="G58" s="109">
        <f t="shared" si="3"/>
        <v>0</v>
      </c>
      <c r="H58" s="103"/>
      <c r="I58" s="109">
        <f t="shared" si="4"/>
        <v>0</v>
      </c>
      <c r="K58" s="109">
        <v>0</v>
      </c>
    </row>
    <row r="59" spans="2:11" x14ac:dyDescent="0.3">
      <c r="C59" s="101" t="s">
        <v>349</v>
      </c>
      <c r="G59" s="109">
        <f t="shared" si="3"/>
        <v>0</v>
      </c>
      <c r="H59" s="103"/>
      <c r="I59" s="109">
        <f t="shared" si="4"/>
        <v>0</v>
      </c>
      <c r="K59" s="109">
        <v>0</v>
      </c>
    </row>
    <row r="60" spans="2:11" x14ac:dyDescent="0.3">
      <c r="C60" s="101" t="s">
        <v>353</v>
      </c>
      <c r="G60" s="109">
        <f t="shared" si="3"/>
        <v>0</v>
      </c>
      <c r="H60" s="103"/>
      <c r="I60" s="109">
        <f t="shared" si="4"/>
        <v>0</v>
      </c>
      <c r="K60" s="109">
        <v>0</v>
      </c>
    </row>
    <row r="61" spans="2:11" x14ac:dyDescent="0.3">
      <c r="G61" s="110"/>
      <c r="H61" s="103"/>
      <c r="I61" s="110"/>
      <c r="K61" s="110"/>
    </row>
    <row r="62" spans="2:11" x14ac:dyDescent="0.3">
      <c r="G62" s="103">
        <f>SUM(G51:G61)</f>
        <v>0</v>
      </c>
      <c r="H62" s="103"/>
      <c r="I62" s="103">
        <f>SUM(I51:I61)</f>
        <v>0</v>
      </c>
      <c r="K62" s="103">
        <f>SUM(K51:K61)</f>
        <v>0</v>
      </c>
    </row>
    <row r="63" spans="2:11" x14ac:dyDescent="0.3">
      <c r="G63" s="103"/>
      <c r="H63" s="103"/>
      <c r="I63" s="103"/>
      <c r="K63" s="103"/>
    </row>
    <row r="64" spans="2:11" x14ac:dyDescent="0.3">
      <c r="B64" s="14" t="str">
        <f>IF(K64&gt;=0,"Taxable Profit before WPPF and WWF","Taxable Loss before WPPF and WWF")</f>
        <v>Taxable Profit before WPPF and WWF</v>
      </c>
      <c r="G64" s="105">
        <f>G34+G47+G62</f>
        <v>0</v>
      </c>
      <c r="H64" s="103"/>
      <c r="I64" s="105">
        <f>I34+I47+I62</f>
        <v>0.01</v>
      </c>
      <c r="K64" s="105">
        <f>K34+K47+K62</f>
        <v>0.01</v>
      </c>
    </row>
    <row r="65" spans="2:11" x14ac:dyDescent="0.3">
      <c r="G65" s="103"/>
      <c r="H65" s="103"/>
      <c r="I65" s="103"/>
      <c r="K65" s="103"/>
    </row>
    <row r="66" spans="2:11" x14ac:dyDescent="0.3">
      <c r="G66" s="103"/>
      <c r="H66" s="103"/>
      <c r="I66" s="103"/>
      <c r="K66" s="103"/>
    </row>
    <row r="67" spans="2:11" x14ac:dyDescent="0.3">
      <c r="C67" s="101" t="s">
        <v>233</v>
      </c>
      <c r="G67" s="106">
        <f>K67*$G$6</f>
        <v>0</v>
      </c>
      <c r="H67" s="103"/>
      <c r="I67" s="106">
        <f>K67*$I$6</f>
        <v>-5.0000000000000001E-4</v>
      </c>
      <c r="K67" s="106">
        <f>-K34*0.05</f>
        <v>-5.0000000000000001E-4</v>
      </c>
    </row>
    <row r="68" spans="2:11" x14ac:dyDescent="0.3">
      <c r="C68" s="101" t="s">
        <v>261</v>
      </c>
      <c r="G68" s="110">
        <f>K68*$G$6</f>
        <v>0</v>
      </c>
      <c r="H68" s="103"/>
      <c r="I68" s="110">
        <f>K68*$I$6</f>
        <v>-2.0000000000000001E-4</v>
      </c>
      <c r="K68" s="110">
        <f>-K64*0.02</f>
        <v>-2.0000000000000001E-4</v>
      </c>
    </row>
    <row r="69" spans="2:11" x14ac:dyDescent="0.3">
      <c r="G69" s="103">
        <f>SUM(G67:G68)</f>
        <v>0</v>
      </c>
      <c r="H69" s="103"/>
      <c r="I69" s="103">
        <f>SUM(I67:I68)</f>
        <v>-6.9999999999999999E-4</v>
      </c>
      <c r="K69" s="103">
        <f>SUM(K67:K68)</f>
        <v>-6.9999999999999999E-4</v>
      </c>
    </row>
    <row r="70" spans="2:11" x14ac:dyDescent="0.3">
      <c r="G70" s="103"/>
      <c r="H70" s="103"/>
      <c r="I70" s="103"/>
      <c r="K70" s="103"/>
    </row>
    <row r="71" spans="2:11" x14ac:dyDescent="0.3">
      <c r="B71" s="14" t="str">
        <f>IF(K71&gt;=0,"Taxable Profit after WPPF and WWF","Taxable Loss after WPPF and WWF")</f>
        <v>Taxable Profit after WPPF and WWF</v>
      </c>
      <c r="G71" s="105">
        <f>G64+G69</f>
        <v>0</v>
      </c>
      <c r="H71" s="103"/>
      <c r="I71" s="105">
        <f>I64+I69</f>
        <v>9.300000000000001E-3</v>
      </c>
      <c r="K71" s="105">
        <f>K64+K69</f>
        <v>9.300000000000001E-3</v>
      </c>
    </row>
    <row r="72" spans="2:11" x14ac:dyDescent="0.3">
      <c r="G72" s="103"/>
      <c r="H72" s="103"/>
      <c r="I72" s="103"/>
      <c r="K72" s="103"/>
    </row>
    <row r="73" spans="2:11" x14ac:dyDescent="0.3">
      <c r="C73" s="101" t="s">
        <v>262</v>
      </c>
      <c r="G73" s="106">
        <f>K73*$G$6</f>
        <v>0</v>
      </c>
      <c r="H73" s="103"/>
      <c r="I73" s="106">
        <f>K73*$I$6</f>
        <v>0</v>
      </c>
      <c r="K73" s="106">
        <v>0</v>
      </c>
    </row>
    <row r="74" spans="2:11" x14ac:dyDescent="0.3">
      <c r="C74" s="101" t="s">
        <v>263</v>
      </c>
      <c r="G74" s="110">
        <f>-G67</f>
        <v>0</v>
      </c>
      <c r="H74" s="103"/>
      <c r="I74" s="110">
        <f>-I67</f>
        <v>5.0000000000000001E-4</v>
      </c>
      <c r="K74" s="110">
        <f>-K67</f>
        <v>5.0000000000000001E-4</v>
      </c>
    </row>
    <row r="75" spans="2:11" x14ac:dyDescent="0.3">
      <c r="G75" s="103">
        <f>SUM(G73:G74)</f>
        <v>0</v>
      </c>
      <c r="H75" s="103"/>
      <c r="I75" s="103">
        <f>SUM(I73:I74)</f>
        <v>5.0000000000000001E-4</v>
      </c>
      <c r="K75" s="103">
        <f>SUM(K73:K74)</f>
        <v>5.0000000000000001E-4</v>
      </c>
    </row>
    <row r="76" spans="2:11" x14ac:dyDescent="0.3">
      <c r="G76" s="103"/>
      <c r="H76" s="103"/>
      <c r="I76" s="103"/>
      <c r="K76" s="103"/>
    </row>
    <row r="77" spans="2:11" x14ac:dyDescent="0.3">
      <c r="B77" s="14" t="str">
        <f>IF(K77&gt;=0,"Taxable Profit subject to Taxation","Taxable Loss subject to Taxation")</f>
        <v>Taxable Profit subject to Taxation</v>
      </c>
      <c r="G77" s="111">
        <f>G71+G75</f>
        <v>0</v>
      </c>
      <c r="H77" s="103"/>
      <c r="I77" s="111">
        <f>I71+I75</f>
        <v>9.8000000000000014E-3</v>
      </c>
      <c r="K77" s="111">
        <f>K71+K75</f>
        <v>9.8000000000000014E-3</v>
      </c>
    </row>
    <row r="78" spans="2:11" x14ac:dyDescent="0.3">
      <c r="G78" s="103"/>
      <c r="H78" s="103"/>
      <c r="I78" s="103"/>
      <c r="K78" s="103"/>
    </row>
    <row r="79" spans="2:11" x14ac:dyDescent="0.3">
      <c r="B79" s="2" t="s">
        <v>264</v>
      </c>
      <c r="G79" s="103"/>
      <c r="H79" s="103"/>
      <c r="I79" s="103"/>
      <c r="K79" s="103"/>
    </row>
    <row r="80" spans="2:11" x14ac:dyDescent="0.3">
      <c r="B80" s="2"/>
      <c r="C80" s="2" t="s">
        <v>364</v>
      </c>
      <c r="G80" s="103"/>
      <c r="H80" s="103"/>
      <c r="I80" s="103"/>
      <c r="K80" s="103"/>
    </row>
    <row r="81" spans="2:11" x14ac:dyDescent="0.3">
      <c r="C81" s="101" t="str">
        <f>E81*100&amp;"% of Tax on "&amp;C9</f>
        <v>1% of Tax on Export Sales</v>
      </c>
      <c r="E81" s="112">
        <v>0.01</v>
      </c>
      <c r="G81" s="103">
        <f>K102*E81</f>
        <v>0</v>
      </c>
      <c r="H81" s="103"/>
      <c r="I81" s="103"/>
      <c r="K81" s="103"/>
    </row>
    <row r="82" spans="2:11" x14ac:dyDescent="0.3">
      <c r="C82" s="101" t="str">
        <f>E82*100&amp;"% of Tax on "&amp;C10</f>
        <v>7% of Tax on Contract income</v>
      </c>
      <c r="E82" s="112">
        <v>7.0000000000000007E-2</v>
      </c>
      <c r="G82" s="103">
        <f>K10*E82</f>
        <v>0</v>
      </c>
      <c r="H82" s="103"/>
      <c r="I82" s="103"/>
      <c r="K82" s="103"/>
    </row>
    <row r="83" spans="2:11" x14ac:dyDescent="0.3">
      <c r="C83" s="101" t="str">
        <f>E83*100&amp;"% of Tax on "&amp;C11</f>
        <v>0% of Tax on Indenting Commission</v>
      </c>
      <c r="E83" s="112">
        <v>0</v>
      </c>
      <c r="G83" s="103">
        <f>K11*E83</f>
        <v>0</v>
      </c>
      <c r="H83" s="103"/>
      <c r="I83" s="103"/>
      <c r="K83" s="103"/>
    </row>
    <row r="84" spans="2:11" x14ac:dyDescent="0.3">
      <c r="E84" s="112"/>
      <c r="G84" s="103"/>
      <c r="H84" s="103"/>
      <c r="I84" s="103"/>
      <c r="K84" s="103"/>
    </row>
    <row r="85" spans="2:11" x14ac:dyDescent="0.3">
      <c r="C85" s="2" t="s">
        <v>365</v>
      </c>
      <c r="E85" s="112"/>
      <c r="G85" s="103"/>
      <c r="H85" s="103"/>
      <c r="I85" s="103"/>
      <c r="K85" s="103"/>
    </row>
    <row r="86" spans="2:11" x14ac:dyDescent="0.3">
      <c r="C86" s="101" t="str">
        <f>E86*100&amp;"% of Revenue"</f>
        <v>1.5% of Revenue</v>
      </c>
      <c r="E86" s="113">
        <v>1.4999999999999999E-2</v>
      </c>
      <c r="G86" s="103"/>
      <c r="H86" s="103"/>
      <c r="I86" s="103">
        <f>IF(I18&gt;0,I18*E86,0)</f>
        <v>1.4999999999999999E-4</v>
      </c>
      <c r="K86" s="103"/>
    </row>
    <row r="87" spans="2:11" x14ac:dyDescent="0.3">
      <c r="C87" s="101" t="str">
        <f>E87*100&amp;"% of taxable income"</f>
        <v>29% of taxable income</v>
      </c>
      <c r="E87" s="112">
        <v>0.28999999999999998</v>
      </c>
      <c r="G87" s="103"/>
      <c r="H87" s="103"/>
      <c r="I87" s="103">
        <f>IF(I77&gt;0,I77*E87,0)</f>
        <v>2.8420000000000003E-3</v>
      </c>
      <c r="K87" s="103"/>
    </row>
    <row r="88" spans="2:11" x14ac:dyDescent="0.3">
      <c r="C88" s="101" t="str">
        <f>E88*100&amp;"% of Accounting Profit before WWF"</f>
        <v>17% of Accounting Profit before WWF</v>
      </c>
      <c r="E88" s="112">
        <v>0.17</v>
      </c>
      <c r="G88" s="103"/>
      <c r="H88" s="103"/>
      <c r="I88" s="103">
        <f>IF((K34-K67)&gt;0,(K34-K67)*E88,0)</f>
        <v>1.7850000000000003E-3</v>
      </c>
      <c r="K88" s="103"/>
    </row>
    <row r="89" spans="2:11" x14ac:dyDescent="0.3">
      <c r="E89" s="112"/>
      <c r="G89" s="103"/>
      <c r="H89" s="103"/>
      <c r="I89" s="103"/>
      <c r="K89" s="103"/>
    </row>
    <row r="90" spans="2:11" x14ac:dyDescent="0.3">
      <c r="B90" s="2" t="s">
        <v>376</v>
      </c>
      <c r="G90" s="105">
        <f>SUM(G81:G88)</f>
        <v>0</v>
      </c>
      <c r="H90" s="107"/>
      <c r="I90" s="105">
        <f>MAX(I81:I88)</f>
        <v>2.8420000000000003E-3</v>
      </c>
      <c r="J90" s="108"/>
      <c r="K90" s="105">
        <f>G90+I90</f>
        <v>2.8420000000000003E-3</v>
      </c>
    </row>
    <row r="91" spans="2:11" x14ac:dyDescent="0.3">
      <c r="G91" s="103"/>
      <c r="H91" s="103"/>
      <c r="I91" s="103"/>
      <c r="K91" s="103"/>
    </row>
    <row r="92" spans="2:11" x14ac:dyDescent="0.3">
      <c r="B92" s="2" t="s">
        <v>377</v>
      </c>
      <c r="G92" s="103"/>
      <c r="H92" s="103"/>
      <c r="I92" s="103"/>
      <c r="K92" s="103"/>
    </row>
    <row r="93" spans="2:11" x14ac:dyDescent="0.3">
      <c r="C93" s="101" t="s">
        <v>265</v>
      </c>
      <c r="G93" s="103"/>
      <c r="H93" s="103"/>
      <c r="I93" s="103"/>
      <c r="K93" s="106">
        <v>0</v>
      </c>
    </row>
    <row r="94" spans="2:11" x14ac:dyDescent="0.3">
      <c r="C94" s="101" t="s">
        <v>266</v>
      </c>
      <c r="G94" s="103"/>
      <c r="H94" s="103"/>
      <c r="I94" s="103"/>
      <c r="K94" s="109">
        <v>0</v>
      </c>
    </row>
    <row r="95" spans="2:11" x14ac:dyDescent="0.3">
      <c r="G95" s="103"/>
      <c r="H95" s="103"/>
      <c r="I95" s="103"/>
      <c r="K95" s="110">
        <v>0</v>
      </c>
    </row>
    <row r="96" spans="2:11" x14ac:dyDescent="0.3">
      <c r="G96" s="103"/>
      <c r="H96" s="103"/>
      <c r="I96" s="103"/>
      <c r="K96" s="103">
        <f>SUM(K93:K95)</f>
        <v>0</v>
      </c>
    </row>
    <row r="97" spans="2:11" x14ac:dyDescent="0.3">
      <c r="G97" s="103"/>
      <c r="H97" s="103"/>
      <c r="I97" s="103"/>
      <c r="K97" s="103"/>
    </row>
    <row r="98" spans="2:11" x14ac:dyDescent="0.3">
      <c r="B98" s="2" t="s">
        <v>378</v>
      </c>
      <c r="G98" s="103"/>
      <c r="H98" s="103"/>
      <c r="I98" s="103"/>
      <c r="K98" s="103"/>
    </row>
    <row r="99" spans="2:11" x14ac:dyDescent="0.3">
      <c r="C99" s="114" t="s">
        <v>374</v>
      </c>
      <c r="G99" s="103"/>
      <c r="H99" s="103"/>
      <c r="I99" s="103"/>
      <c r="K99" s="106">
        <v>0</v>
      </c>
    </row>
    <row r="100" spans="2:11" x14ac:dyDescent="0.3">
      <c r="C100" s="114" t="s">
        <v>373</v>
      </c>
      <c r="G100" s="103"/>
      <c r="H100" s="103"/>
      <c r="I100" s="103"/>
      <c r="K100" s="109">
        <v>0</v>
      </c>
    </row>
    <row r="101" spans="2:11" x14ac:dyDescent="0.3">
      <c r="C101" s="114" t="s">
        <v>371</v>
      </c>
      <c r="G101" s="103"/>
      <c r="H101" s="103"/>
      <c r="I101" s="103"/>
      <c r="K101" s="109">
        <v>0</v>
      </c>
    </row>
    <row r="102" spans="2:11" x14ac:dyDescent="0.3">
      <c r="C102" s="114" t="s">
        <v>350</v>
      </c>
      <c r="G102" s="103"/>
      <c r="H102" s="103"/>
      <c r="I102" s="103"/>
      <c r="K102" s="109">
        <v>0</v>
      </c>
    </row>
    <row r="103" spans="2:11" x14ac:dyDescent="0.3">
      <c r="C103" s="114" t="s">
        <v>366</v>
      </c>
      <c r="G103" s="103"/>
      <c r="H103" s="103"/>
      <c r="I103" s="103"/>
      <c r="K103" s="109">
        <v>0</v>
      </c>
    </row>
    <row r="104" spans="2:11" x14ac:dyDescent="0.3">
      <c r="C104" s="114" t="s">
        <v>369</v>
      </c>
      <c r="G104" s="103"/>
      <c r="H104" s="103"/>
      <c r="I104" s="103"/>
      <c r="K104" s="109">
        <v>0</v>
      </c>
    </row>
    <row r="105" spans="2:11" x14ac:dyDescent="0.3">
      <c r="C105" s="114" t="s">
        <v>370</v>
      </c>
      <c r="G105" s="103"/>
      <c r="H105" s="103"/>
      <c r="I105" s="103"/>
      <c r="K105" s="109">
        <v>0</v>
      </c>
    </row>
    <row r="106" spans="2:11" x14ac:dyDescent="0.3">
      <c r="C106" s="114" t="s">
        <v>350</v>
      </c>
      <c r="G106" s="103"/>
      <c r="H106" s="103"/>
      <c r="I106" s="103"/>
      <c r="K106" s="109">
        <v>0</v>
      </c>
    </row>
    <row r="107" spans="2:11" x14ac:dyDescent="0.3">
      <c r="C107" s="114" t="s">
        <v>367</v>
      </c>
      <c r="G107" s="103"/>
      <c r="H107" s="103"/>
      <c r="I107" s="103"/>
      <c r="K107" s="109">
        <v>0</v>
      </c>
    </row>
    <row r="108" spans="2:11" x14ac:dyDescent="0.3">
      <c r="C108" s="114" t="s">
        <v>368</v>
      </c>
      <c r="G108" s="103"/>
      <c r="H108" s="103"/>
      <c r="I108" s="103"/>
      <c r="K108" s="109">
        <v>0</v>
      </c>
    </row>
    <row r="109" spans="2:11" x14ac:dyDescent="0.3">
      <c r="C109" s="114" t="s">
        <v>375</v>
      </c>
      <c r="G109" s="103"/>
      <c r="H109" s="103"/>
      <c r="I109" s="103"/>
      <c r="K109" s="109">
        <v>0</v>
      </c>
    </row>
    <row r="110" spans="2:11" x14ac:dyDescent="0.3">
      <c r="C110" s="115"/>
      <c r="G110" s="103"/>
      <c r="H110" s="103"/>
      <c r="I110" s="103"/>
      <c r="K110" s="110">
        <v>0</v>
      </c>
    </row>
    <row r="111" spans="2:11" x14ac:dyDescent="0.3">
      <c r="C111" s="115"/>
      <c r="G111" s="103"/>
      <c r="H111" s="103"/>
      <c r="I111" s="103"/>
      <c r="K111" s="103">
        <f>-SUM(K99:K110)</f>
        <v>0</v>
      </c>
    </row>
    <row r="112" spans="2:11" x14ac:dyDescent="0.3">
      <c r="G112" s="103"/>
      <c r="H112" s="103"/>
      <c r="I112" s="103"/>
      <c r="K112" s="103"/>
    </row>
    <row r="113" spans="2:11" ht="14.5" thickBot="1" x14ac:dyDescent="0.35">
      <c r="B113" s="2" t="str">
        <f>IF(K113&gt;=0,"Tax Payable with Return","Tax Refundable with Return")</f>
        <v>Tax Payable with Return</v>
      </c>
      <c r="G113" s="103"/>
      <c r="H113" s="103"/>
      <c r="I113" s="103"/>
      <c r="K113" s="116">
        <f>K90+K111+K96</f>
        <v>2.8420000000000003E-3</v>
      </c>
    </row>
    <row r="114" spans="2:11" ht="14.5" thickTop="1" x14ac:dyDescent="0.3">
      <c r="G114" s="103"/>
      <c r="H114" s="103"/>
      <c r="I114" s="103"/>
      <c r="K114" s="107"/>
    </row>
    <row r="115" spans="2:11" ht="14.5" thickBot="1" x14ac:dyDescent="0.35">
      <c r="B115" s="2" t="str">
        <f>IF(K115&gt;=0,"Tax Payable with Return including WWF","Tax Refundable with Return including WWF")</f>
        <v>Tax Payable with Return including WWF</v>
      </c>
      <c r="G115" s="103"/>
      <c r="H115" s="103"/>
      <c r="I115" s="103"/>
      <c r="K115" s="116">
        <f>K113-K68</f>
        <v>3.0420000000000004E-3</v>
      </c>
    </row>
    <row r="116" spans="2:11" ht="14.5" thickTop="1" x14ac:dyDescent="0.3"/>
  </sheetData>
  <mergeCells count="2">
    <mergeCell ref="H5:H6"/>
    <mergeCell ref="J5:J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56"/>
  <sheetViews>
    <sheetView zoomScale="80" zoomScaleNormal="80" zoomScaleSheetLayoutView="100" workbookViewId="0">
      <selection activeCell="E5" sqref="E5"/>
    </sheetView>
  </sheetViews>
  <sheetFormatPr defaultColWidth="9.1796875" defaultRowHeight="14" x14ac:dyDescent="0.3"/>
  <cols>
    <col min="1" max="1" width="35.54296875" style="28" customWidth="1"/>
    <col min="2" max="2" width="1" style="28" customWidth="1"/>
    <col min="3" max="8" width="22.54296875" style="28" customWidth="1"/>
    <col min="9" max="9" width="9.1796875" style="28"/>
    <col min="10" max="18" width="17.54296875" style="28" customWidth="1"/>
    <col min="19" max="16384" width="9.1796875" style="28"/>
  </cols>
  <sheetData>
    <row r="1" spans="1:18" s="363" customFormat="1" ht="15" x14ac:dyDescent="0.3">
      <c r="A1" s="363" t="str">
        <f>Cover!C1</f>
        <v>ABC LIMITED</v>
      </c>
    </row>
    <row r="2" spans="1:18" s="363" customFormat="1" ht="15" x14ac:dyDescent="0.3">
      <c r="A2" s="363" t="s">
        <v>12</v>
      </c>
    </row>
    <row r="3" spans="1:18" s="383" customFormat="1" ht="15.5" thickBot="1" x14ac:dyDescent="0.35">
      <c r="A3" s="383" t="str">
        <f>Cover!C3</f>
        <v>FOR THE YEAR ENDED JUNE 30, 2023</v>
      </c>
    </row>
    <row r="4" spans="1:18" ht="14.5" thickTop="1" x14ac:dyDescent="0.3"/>
    <row r="5" spans="1:18" ht="42" x14ac:dyDescent="0.3">
      <c r="A5" s="25" t="s">
        <v>238</v>
      </c>
      <c r="B5" s="25"/>
      <c r="C5" s="26" t="s">
        <v>228</v>
      </c>
      <c r="D5" s="26" t="s">
        <v>239</v>
      </c>
      <c r="E5" s="27" t="s">
        <v>240</v>
      </c>
      <c r="F5" s="27" t="s">
        <v>229</v>
      </c>
      <c r="G5" s="27" t="s">
        <v>230</v>
      </c>
      <c r="H5" s="26" t="s">
        <v>231</v>
      </c>
      <c r="J5" s="29" t="s">
        <v>529</v>
      </c>
      <c r="K5" s="30"/>
      <c r="L5" s="31" t="s">
        <v>530</v>
      </c>
      <c r="M5" s="32" t="s">
        <v>275</v>
      </c>
      <c r="N5" s="33" t="s">
        <v>531</v>
      </c>
      <c r="O5" s="29" t="s">
        <v>532</v>
      </c>
      <c r="P5" s="30"/>
      <c r="Q5" s="29" t="s">
        <v>533</v>
      </c>
      <c r="R5" s="30"/>
    </row>
    <row r="6" spans="1:18" x14ac:dyDescent="0.3">
      <c r="A6" s="25"/>
      <c r="B6" s="25"/>
      <c r="C6" s="26"/>
      <c r="D6" s="26"/>
      <c r="E6" s="27"/>
      <c r="F6" s="27"/>
      <c r="G6" s="34"/>
      <c r="H6" s="35"/>
      <c r="J6" s="36" t="s">
        <v>534</v>
      </c>
      <c r="K6" s="37" t="s">
        <v>535</v>
      </c>
      <c r="L6" s="38"/>
      <c r="M6" s="39"/>
      <c r="N6" s="40"/>
      <c r="O6" s="36" t="s">
        <v>534</v>
      </c>
      <c r="P6" s="41" t="s">
        <v>536</v>
      </c>
      <c r="Q6" s="36" t="s">
        <v>534</v>
      </c>
      <c r="R6" s="41" t="s">
        <v>536</v>
      </c>
    </row>
    <row r="7" spans="1:18" x14ac:dyDescent="0.3">
      <c r="A7" s="42" t="s">
        <v>241</v>
      </c>
      <c r="B7" s="25"/>
      <c r="C7" s="26"/>
      <c r="D7" s="26"/>
      <c r="E7" s="27"/>
      <c r="F7" s="27"/>
      <c r="G7" s="34"/>
      <c r="H7" s="35"/>
      <c r="J7" s="43">
        <v>2015</v>
      </c>
      <c r="K7" s="44">
        <v>0</v>
      </c>
      <c r="L7" s="44"/>
      <c r="M7" s="44"/>
      <c r="N7" s="44">
        <f t="shared" ref="N7:N13" si="0">SUM(K7:M7)</f>
        <v>0</v>
      </c>
      <c r="O7" s="45" t="s">
        <v>734</v>
      </c>
      <c r="P7" s="44"/>
      <c r="Q7" s="45" t="s">
        <v>734</v>
      </c>
      <c r="R7" s="44"/>
    </row>
    <row r="8" spans="1:18" x14ac:dyDescent="0.3">
      <c r="A8" s="46"/>
      <c r="B8" s="46"/>
      <c r="C8" s="46">
        <f>E8-D8</f>
        <v>0</v>
      </c>
      <c r="D8" s="46"/>
      <c r="E8" s="47"/>
      <c r="F8" s="47"/>
      <c r="G8" s="48">
        <f t="shared" ref="G8:G13" si="1">-IF(E8-F8&lt;0,E8-F8,0)</f>
        <v>0</v>
      </c>
      <c r="H8" s="49">
        <f t="shared" ref="H8:H13" si="2">IF((E8-F8)&gt;0,(E8-F8),0)</f>
        <v>0</v>
      </c>
      <c r="J8" s="43">
        <f t="shared" ref="J8:J13" si="3">J7+1</f>
        <v>2016</v>
      </c>
      <c r="K8" s="44">
        <f t="shared" ref="K8:K13" si="4">N7</f>
        <v>0</v>
      </c>
      <c r="L8" s="44"/>
      <c r="M8" s="44"/>
      <c r="N8" s="44">
        <f t="shared" si="0"/>
        <v>0</v>
      </c>
      <c r="O8" s="43">
        <v>2016</v>
      </c>
      <c r="P8" s="44"/>
      <c r="Q8" s="43">
        <v>2016</v>
      </c>
      <c r="R8" s="44"/>
    </row>
    <row r="9" spans="1:18" x14ac:dyDescent="0.3">
      <c r="A9" s="46"/>
      <c r="B9" s="46"/>
      <c r="C9" s="46">
        <f t="shared" ref="C9:C16" si="5">E9-D9</f>
        <v>0</v>
      </c>
      <c r="D9" s="46"/>
      <c r="E9" s="47"/>
      <c r="F9" s="47"/>
      <c r="G9" s="48">
        <f t="shared" si="1"/>
        <v>0</v>
      </c>
      <c r="H9" s="49">
        <f t="shared" si="2"/>
        <v>0</v>
      </c>
      <c r="J9" s="43">
        <f t="shared" si="3"/>
        <v>2017</v>
      </c>
      <c r="K9" s="44">
        <f t="shared" si="4"/>
        <v>0</v>
      </c>
      <c r="L9" s="44"/>
      <c r="M9" s="44"/>
      <c r="N9" s="44">
        <f t="shared" si="0"/>
        <v>0</v>
      </c>
      <c r="O9" s="43">
        <f>O8+1</f>
        <v>2017</v>
      </c>
      <c r="P9" s="44"/>
      <c r="Q9" s="43">
        <f>Q8+1</f>
        <v>2017</v>
      </c>
      <c r="R9" s="44"/>
    </row>
    <row r="10" spans="1:18" x14ac:dyDescent="0.3">
      <c r="A10" s="46"/>
      <c r="B10" s="46"/>
      <c r="C10" s="46">
        <f t="shared" si="5"/>
        <v>0</v>
      </c>
      <c r="D10" s="46"/>
      <c r="E10" s="47"/>
      <c r="F10" s="47"/>
      <c r="G10" s="48">
        <f t="shared" si="1"/>
        <v>0</v>
      </c>
      <c r="H10" s="49">
        <f t="shared" si="2"/>
        <v>0</v>
      </c>
      <c r="J10" s="43">
        <f t="shared" si="3"/>
        <v>2018</v>
      </c>
      <c r="K10" s="44">
        <f t="shared" si="4"/>
        <v>0</v>
      </c>
      <c r="L10" s="44"/>
      <c r="M10" s="44"/>
      <c r="N10" s="44">
        <f t="shared" si="0"/>
        <v>0</v>
      </c>
      <c r="O10" s="43">
        <f>O9+1</f>
        <v>2018</v>
      </c>
      <c r="P10" s="44"/>
      <c r="Q10" s="43">
        <f>Q9+1</f>
        <v>2018</v>
      </c>
      <c r="R10" s="44"/>
    </row>
    <row r="11" spans="1:18" x14ac:dyDescent="0.3">
      <c r="A11" s="46"/>
      <c r="B11" s="46"/>
      <c r="C11" s="46">
        <f t="shared" si="5"/>
        <v>0</v>
      </c>
      <c r="D11" s="46"/>
      <c r="E11" s="47"/>
      <c r="F11" s="47"/>
      <c r="G11" s="48">
        <f t="shared" si="1"/>
        <v>0</v>
      </c>
      <c r="H11" s="49">
        <f t="shared" si="2"/>
        <v>0</v>
      </c>
      <c r="J11" s="43">
        <f t="shared" si="3"/>
        <v>2019</v>
      </c>
      <c r="K11" s="44">
        <f t="shared" si="4"/>
        <v>0</v>
      </c>
      <c r="L11" s="44"/>
      <c r="M11" s="44"/>
      <c r="N11" s="44">
        <f t="shared" si="0"/>
        <v>0</v>
      </c>
      <c r="O11" s="43">
        <f>O10+1</f>
        <v>2019</v>
      </c>
      <c r="P11" s="44"/>
      <c r="Q11" s="43">
        <f>Q10+1</f>
        <v>2019</v>
      </c>
      <c r="R11" s="44"/>
    </row>
    <row r="12" spans="1:18" x14ac:dyDescent="0.3">
      <c r="A12" s="46"/>
      <c r="B12" s="46"/>
      <c r="C12" s="46">
        <f t="shared" si="5"/>
        <v>0</v>
      </c>
      <c r="D12" s="46"/>
      <c r="E12" s="47"/>
      <c r="F12" s="47"/>
      <c r="G12" s="48">
        <f t="shared" si="1"/>
        <v>0</v>
      </c>
      <c r="H12" s="49">
        <f t="shared" si="2"/>
        <v>0</v>
      </c>
      <c r="J12" s="43">
        <f t="shared" si="3"/>
        <v>2020</v>
      </c>
      <c r="K12" s="44">
        <f t="shared" si="4"/>
        <v>0</v>
      </c>
      <c r="L12" s="44"/>
      <c r="M12" s="44"/>
      <c r="N12" s="44">
        <f t="shared" si="0"/>
        <v>0</v>
      </c>
      <c r="O12" s="43">
        <f>O11+1</f>
        <v>2020</v>
      </c>
      <c r="P12" s="44"/>
      <c r="Q12" s="43">
        <f>Q11+1</f>
        <v>2020</v>
      </c>
      <c r="R12" s="44"/>
    </row>
    <row r="13" spans="1:18" x14ac:dyDescent="0.3">
      <c r="A13" s="46"/>
      <c r="B13" s="46"/>
      <c r="C13" s="46">
        <f t="shared" si="5"/>
        <v>0</v>
      </c>
      <c r="D13" s="46"/>
      <c r="E13" s="47"/>
      <c r="F13" s="47"/>
      <c r="G13" s="48">
        <f t="shared" si="1"/>
        <v>0</v>
      </c>
      <c r="H13" s="49">
        <f t="shared" si="2"/>
        <v>0</v>
      </c>
      <c r="J13" s="43">
        <f t="shared" si="3"/>
        <v>2021</v>
      </c>
      <c r="K13" s="44">
        <f t="shared" si="4"/>
        <v>0</v>
      </c>
      <c r="L13" s="44"/>
      <c r="M13" s="44"/>
      <c r="N13" s="44">
        <f t="shared" si="0"/>
        <v>0</v>
      </c>
      <c r="O13" s="43">
        <f>O12+1</f>
        <v>2021</v>
      </c>
      <c r="P13" s="44"/>
      <c r="Q13" s="43">
        <f>Q12+1</f>
        <v>2021</v>
      </c>
      <c r="R13" s="44"/>
    </row>
    <row r="14" spans="1:18" x14ac:dyDescent="0.3">
      <c r="A14" s="46"/>
      <c r="B14" s="46"/>
      <c r="C14" s="46">
        <f t="shared" si="5"/>
        <v>0</v>
      </c>
      <c r="D14" s="46"/>
      <c r="E14" s="47"/>
      <c r="F14" s="47"/>
      <c r="G14" s="48">
        <f>-IF(E14-F14&lt;0,E14-F14,0)</f>
        <v>0</v>
      </c>
      <c r="H14" s="49">
        <f>IF((E14-F14)&gt;0,(E14-F14),0)</f>
        <v>0</v>
      </c>
      <c r="J14" s="43"/>
      <c r="K14" s="44"/>
      <c r="L14" s="44"/>
      <c r="M14" s="44"/>
      <c r="N14" s="44"/>
      <c r="O14" s="43"/>
      <c r="P14" s="44"/>
      <c r="Q14" s="43"/>
      <c r="R14" s="44"/>
    </row>
    <row r="15" spans="1:18" x14ac:dyDescent="0.3">
      <c r="A15" s="46"/>
      <c r="B15" s="46"/>
      <c r="C15" s="46">
        <f t="shared" si="5"/>
        <v>0</v>
      </c>
      <c r="D15" s="46"/>
      <c r="E15" s="47"/>
      <c r="F15" s="47"/>
      <c r="G15" s="48">
        <f>-IF(E15-F15&lt;0,E15-F15,0)</f>
        <v>0</v>
      </c>
      <c r="H15" s="49">
        <f>IF((E15-F15)&gt;0,(E15-F15),0)</f>
        <v>0</v>
      </c>
      <c r="J15" s="43"/>
      <c r="K15" s="44"/>
      <c r="L15" s="44"/>
      <c r="M15" s="44"/>
      <c r="N15" s="44"/>
      <c r="O15" s="43"/>
      <c r="P15" s="44"/>
      <c r="Q15" s="43"/>
      <c r="R15" s="44"/>
    </row>
    <row r="16" spans="1:18" x14ac:dyDescent="0.3">
      <c r="A16" s="46"/>
      <c r="B16" s="46"/>
      <c r="C16" s="46">
        <f t="shared" si="5"/>
        <v>0</v>
      </c>
      <c r="D16" s="46"/>
      <c r="E16" s="47"/>
      <c r="F16" s="47"/>
      <c r="G16" s="48">
        <f>-IF(E16-F16&lt;0,E16-F16,0)</f>
        <v>0</v>
      </c>
      <c r="H16" s="49">
        <f>IF((E16-F16)&gt;0,(E16-F16),0)</f>
        <v>0</v>
      </c>
      <c r="J16" s="43"/>
      <c r="K16" s="44"/>
      <c r="L16" s="44"/>
      <c r="M16" s="44"/>
      <c r="N16" s="44"/>
      <c r="O16" s="45"/>
      <c r="P16" s="44"/>
      <c r="Q16" s="45"/>
      <c r="R16" s="44"/>
    </row>
    <row r="17" spans="1:22" x14ac:dyDescent="0.3">
      <c r="A17" s="46"/>
      <c r="B17" s="46"/>
      <c r="C17" s="46"/>
      <c r="D17" s="46"/>
      <c r="E17" s="47"/>
      <c r="F17" s="47"/>
      <c r="G17" s="48"/>
      <c r="H17" s="49"/>
      <c r="J17" s="43"/>
      <c r="K17" s="44"/>
      <c r="L17" s="44"/>
      <c r="M17" s="44"/>
      <c r="N17" s="44"/>
      <c r="O17" s="45"/>
      <c r="P17" s="44"/>
      <c r="Q17" s="45"/>
      <c r="R17" s="44"/>
    </row>
    <row r="18" spans="1:22" x14ac:dyDescent="0.3">
      <c r="A18" s="50" t="s">
        <v>232</v>
      </c>
      <c r="B18" s="46"/>
      <c r="C18" s="46"/>
      <c r="D18" s="46"/>
      <c r="E18" s="47"/>
      <c r="F18" s="47"/>
      <c r="G18" s="48"/>
      <c r="H18" s="49"/>
      <c r="J18" s="43"/>
      <c r="K18" s="44"/>
      <c r="L18" s="44"/>
      <c r="M18" s="44"/>
      <c r="N18" s="44"/>
      <c r="O18" s="45"/>
      <c r="P18" s="44"/>
      <c r="Q18" s="45"/>
      <c r="R18" s="44"/>
    </row>
    <row r="19" spans="1:22" x14ac:dyDescent="0.3">
      <c r="A19" s="46"/>
      <c r="B19" s="46"/>
      <c r="C19" s="46">
        <f>E19-D19</f>
        <v>0</v>
      </c>
      <c r="D19" s="46"/>
      <c r="E19" s="47"/>
      <c r="F19" s="47"/>
      <c r="G19" s="48">
        <f>IF(E19-F19&gt;0,E19,0)</f>
        <v>0</v>
      </c>
      <c r="H19" s="49">
        <f>-IF(E19-F19&lt;0,E19,0)</f>
        <v>0</v>
      </c>
      <c r="J19" s="43"/>
      <c r="K19" s="44"/>
      <c r="L19" s="44"/>
      <c r="M19" s="44"/>
      <c r="N19" s="44"/>
      <c r="O19" s="45"/>
      <c r="P19" s="44"/>
      <c r="Q19" s="45"/>
      <c r="R19" s="44"/>
    </row>
    <row r="20" spans="1:22" x14ac:dyDescent="0.3">
      <c r="A20" s="46"/>
      <c r="B20" s="46"/>
      <c r="C20" s="46">
        <f>E20-D20</f>
        <v>0</v>
      </c>
      <c r="D20" s="46"/>
      <c r="E20" s="47"/>
      <c r="F20" s="47"/>
      <c r="G20" s="48">
        <f>IF(E20-F20&gt;0,E20,0)</f>
        <v>0</v>
      </c>
      <c r="H20" s="49">
        <f>-IF(E20-F20&lt;0,E20,0)</f>
        <v>0</v>
      </c>
      <c r="J20" s="43"/>
      <c r="K20" s="44"/>
      <c r="L20" s="44"/>
      <c r="M20" s="44"/>
      <c r="N20" s="44"/>
      <c r="O20" s="45"/>
      <c r="P20" s="44"/>
      <c r="Q20" s="45"/>
      <c r="R20" s="44"/>
    </row>
    <row r="21" spans="1:22" x14ac:dyDescent="0.3">
      <c r="A21" s="46"/>
      <c r="B21" s="46"/>
      <c r="C21" s="46">
        <f>E21-D21</f>
        <v>0</v>
      </c>
      <c r="D21" s="46"/>
      <c r="E21" s="47"/>
      <c r="F21" s="47"/>
      <c r="G21" s="48">
        <f>IF(E21-F21&gt;0,E21,0)</f>
        <v>0</v>
      </c>
      <c r="H21" s="49">
        <f>-IF(E21-F21&lt;0,E21,0)</f>
        <v>0</v>
      </c>
      <c r="J21" s="43"/>
      <c r="K21" s="44"/>
      <c r="L21" s="44"/>
      <c r="M21" s="44"/>
      <c r="N21" s="44"/>
      <c r="O21" s="45"/>
      <c r="P21" s="44"/>
      <c r="Q21" s="45"/>
      <c r="R21" s="44"/>
    </row>
    <row r="22" spans="1:22" x14ac:dyDescent="0.3">
      <c r="A22" s="46"/>
      <c r="B22" s="46"/>
      <c r="C22" s="46">
        <f>E22-D22</f>
        <v>0</v>
      </c>
      <c r="D22" s="46"/>
      <c r="E22" s="47"/>
      <c r="F22" s="47"/>
      <c r="G22" s="48">
        <f>IF(E22-F22&gt;0,E22,0)</f>
        <v>0</v>
      </c>
      <c r="H22" s="49">
        <f>-IF(E22-F22&lt;0,E22,0)</f>
        <v>0</v>
      </c>
      <c r="J22" s="51" t="s">
        <v>242</v>
      </c>
      <c r="K22" s="52"/>
      <c r="L22" s="52">
        <f>SUM(L7:L21)</f>
        <v>0</v>
      </c>
      <c r="M22" s="52">
        <f>SUM(M7:M21)</f>
        <v>0</v>
      </c>
      <c r="N22" s="52"/>
      <c r="O22" s="52"/>
      <c r="P22" s="52">
        <f>SUM(P7:P21)</f>
        <v>0</v>
      </c>
      <c r="Q22" s="52"/>
      <c r="R22" s="52">
        <f>SUM(R7:R21)</f>
        <v>0</v>
      </c>
    </row>
    <row r="23" spans="1:22" x14ac:dyDescent="0.3">
      <c r="A23" s="46"/>
      <c r="B23" s="46"/>
      <c r="C23" s="46"/>
      <c r="D23" s="46"/>
      <c r="E23" s="47"/>
      <c r="F23" s="47"/>
      <c r="G23" s="48"/>
      <c r="H23" s="49"/>
      <c r="J23" s="53"/>
      <c r="K23" s="54"/>
      <c r="L23" s="54"/>
      <c r="M23" s="54"/>
      <c r="N23" s="54"/>
      <c r="O23" s="54"/>
      <c r="P23" s="54"/>
      <c r="Q23" s="54"/>
      <c r="R23" s="54"/>
    </row>
    <row r="24" spans="1:22" x14ac:dyDescent="0.3">
      <c r="A24" s="50" t="s">
        <v>242</v>
      </c>
      <c r="B24" s="55"/>
      <c r="C24" s="56"/>
      <c r="D24" s="56"/>
      <c r="E24" s="56"/>
      <c r="F24" s="56"/>
      <c r="G24" s="56">
        <f>SUM(G8:G22)</f>
        <v>0</v>
      </c>
      <c r="H24" s="57">
        <f>SUM(H8:H22)</f>
        <v>0</v>
      </c>
      <c r="J24" s="58" t="s">
        <v>537</v>
      </c>
      <c r="K24" s="59"/>
      <c r="L24" s="59"/>
      <c r="M24" s="59"/>
      <c r="N24" s="59"/>
      <c r="O24" s="59"/>
      <c r="P24" s="59"/>
      <c r="Q24" s="59"/>
      <c r="R24" s="59"/>
    </row>
    <row r="25" spans="1:22" ht="42" x14ac:dyDescent="0.3">
      <c r="A25" s="60"/>
      <c r="B25" s="60"/>
      <c r="C25" s="60"/>
      <c r="D25" s="60"/>
      <c r="E25" s="61"/>
      <c r="F25" s="61"/>
      <c r="G25" s="61"/>
      <c r="H25" s="62"/>
      <c r="J25" s="63" t="s">
        <v>534</v>
      </c>
      <c r="K25" s="63" t="s">
        <v>656</v>
      </c>
      <c r="L25" s="63" t="s">
        <v>657</v>
      </c>
      <c r="M25" s="63" t="s">
        <v>658</v>
      </c>
      <c r="N25" s="34" t="s">
        <v>660</v>
      </c>
      <c r="O25" s="34" t="s">
        <v>661</v>
      </c>
      <c r="P25" s="34" t="s">
        <v>538</v>
      </c>
      <c r="Q25" s="64" t="s">
        <v>659</v>
      </c>
      <c r="R25" s="65" t="s">
        <v>531</v>
      </c>
      <c r="S25" s="66"/>
      <c r="T25" s="66"/>
      <c r="U25" s="66"/>
      <c r="V25" s="66"/>
    </row>
    <row r="26" spans="1:22" x14ac:dyDescent="0.3">
      <c r="A26" s="67" t="str">
        <f>IF(H26&gt;=0,"Net Taxable temporary difference","Net Deductible temporary difference")</f>
        <v>Net Taxable temporary difference</v>
      </c>
      <c r="B26" s="67"/>
      <c r="C26" s="67"/>
      <c r="D26" s="67"/>
      <c r="E26" s="68"/>
      <c r="F26" s="68"/>
      <c r="G26" s="69"/>
      <c r="H26" s="70">
        <f>(H24-G24)</f>
        <v>0</v>
      </c>
      <c r="J26" s="43">
        <v>2012</v>
      </c>
      <c r="K26" s="71"/>
      <c r="L26" s="71"/>
      <c r="M26" s="71"/>
      <c r="N26" s="72">
        <f>IF(T26=K26,0,IF(T26=L26,L26-M26,0))</f>
        <v>0</v>
      </c>
      <c r="O26" s="72">
        <f t="shared" ref="O26:O29" si="6">IF(M26-K26-N26&gt;0,M26-K26,0)</f>
        <v>0</v>
      </c>
      <c r="P26" s="73"/>
      <c r="Q26" s="72">
        <v>0</v>
      </c>
      <c r="R26" s="72">
        <f>N26+O26+Q26</f>
        <v>0</v>
      </c>
      <c r="S26" s="59"/>
      <c r="T26" s="59">
        <f>MAX(K26:M26)</f>
        <v>0</v>
      </c>
      <c r="U26" s="59"/>
      <c r="V26" s="59"/>
    </row>
    <row r="27" spans="1:22" x14ac:dyDescent="0.3">
      <c r="A27" s="67"/>
      <c r="B27" s="67"/>
      <c r="C27" s="67"/>
      <c r="D27" s="67"/>
      <c r="E27" s="68"/>
      <c r="F27" s="68"/>
      <c r="G27" s="69"/>
      <c r="H27" s="70"/>
      <c r="J27" s="43">
        <f>J26+1</f>
        <v>2013</v>
      </c>
      <c r="K27" s="71"/>
      <c r="L27" s="71"/>
      <c r="M27" s="71"/>
      <c r="N27" s="72">
        <f t="shared" ref="N27:N35" si="7">IF(T27=K27,0,IF(T27=L27,L27-M27,0))</f>
        <v>0</v>
      </c>
      <c r="O27" s="72">
        <f t="shared" si="6"/>
        <v>0</v>
      </c>
      <c r="P27" s="73"/>
      <c r="Q27" s="72">
        <v>0</v>
      </c>
      <c r="R27" s="72">
        <f>R26+N27+O27+Q27</f>
        <v>0</v>
      </c>
      <c r="S27" s="59"/>
      <c r="T27" s="59">
        <f t="shared" ref="T27:T35" si="8">MAX(K27:M27)</f>
        <v>0</v>
      </c>
      <c r="U27" s="59"/>
      <c r="V27" s="59"/>
    </row>
    <row r="28" spans="1:22" x14ac:dyDescent="0.3">
      <c r="A28" s="67" t="s">
        <v>733</v>
      </c>
      <c r="B28" s="67"/>
      <c r="C28" s="67"/>
      <c r="D28" s="67"/>
      <c r="E28" s="68"/>
      <c r="F28" s="68"/>
      <c r="G28" s="69"/>
      <c r="H28" s="70">
        <f>H26*100%</f>
        <v>0</v>
      </c>
      <c r="J28" s="43">
        <f t="shared" ref="J28:J35" si="9">J27+1</f>
        <v>2014</v>
      </c>
      <c r="K28" s="71"/>
      <c r="L28" s="71"/>
      <c r="M28" s="71"/>
      <c r="N28" s="72">
        <f t="shared" si="7"/>
        <v>0</v>
      </c>
      <c r="O28" s="72">
        <f t="shared" si="6"/>
        <v>0</v>
      </c>
      <c r="P28" s="73"/>
      <c r="Q28" s="72">
        <v>0</v>
      </c>
      <c r="R28" s="72">
        <f t="shared" ref="R28:R35" si="10">R27+N28+O28+Q28</f>
        <v>0</v>
      </c>
      <c r="S28" s="59"/>
      <c r="T28" s="59">
        <f t="shared" si="8"/>
        <v>0</v>
      </c>
      <c r="U28" s="59"/>
      <c r="V28" s="59"/>
    </row>
    <row r="29" spans="1:22" x14ac:dyDescent="0.3">
      <c r="A29" s="67"/>
      <c r="B29" s="67"/>
      <c r="C29" s="67"/>
      <c r="D29" s="67"/>
      <c r="E29" s="68"/>
      <c r="F29" s="68"/>
      <c r="G29" s="69"/>
      <c r="H29" s="70"/>
      <c r="J29" s="43">
        <f t="shared" si="9"/>
        <v>2015</v>
      </c>
      <c r="K29" s="71"/>
      <c r="L29" s="71"/>
      <c r="M29" s="71"/>
      <c r="N29" s="72">
        <f t="shared" si="7"/>
        <v>0</v>
      </c>
      <c r="O29" s="72">
        <f t="shared" si="6"/>
        <v>0</v>
      </c>
      <c r="P29" s="73"/>
      <c r="Q29" s="72">
        <v>0</v>
      </c>
      <c r="R29" s="72">
        <f t="shared" si="10"/>
        <v>0</v>
      </c>
      <c r="S29" s="59"/>
      <c r="T29" s="59">
        <f t="shared" si="8"/>
        <v>0</v>
      </c>
      <c r="U29" s="59"/>
      <c r="V29" s="59"/>
    </row>
    <row r="30" spans="1:22" x14ac:dyDescent="0.3">
      <c r="A30" s="67" t="s">
        <v>234</v>
      </c>
      <c r="B30" s="67"/>
      <c r="C30" s="67"/>
      <c r="D30" s="67"/>
      <c r="E30" s="68"/>
      <c r="F30" s="68"/>
      <c r="G30" s="69"/>
      <c r="H30" s="70">
        <f>N13+R22+P22</f>
        <v>0</v>
      </c>
      <c r="J30" s="43">
        <f t="shared" si="9"/>
        <v>2016</v>
      </c>
      <c r="K30" s="71"/>
      <c r="L30" s="71"/>
      <c r="M30" s="71"/>
      <c r="N30" s="72">
        <f t="shared" si="7"/>
        <v>0</v>
      </c>
      <c r="O30" s="72">
        <f>IF(M30-K30-N30&gt;0,M30-K30,0)</f>
        <v>0</v>
      </c>
      <c r="P30" s="73"/>
      <c r="Q30" s="72">
        <v>0</v>
      </c>
      <c r="R30" s="72">
        <f t="shared" si="10"/>
        <v>0</v>
      </c>
      <c r="S30" s="59"/>
      <c r="T30" s="59">
        <f t="shared" si="8"/>
        <v>0</v>
      </c>
      <c r="U30" s="59"/>
      <c r="V30" s="59"/>
    </row>
    <row r="31" spans="1:22" x14ac:dyDescent="0.3">
      <c r="A31" s="67"/>
      <c r="B31" s="67"/>
      <c r="C31" s="67"/>
      <c r="D31" s="67"/>
      <c r="E31" s="68"/>
      <c r="F31" s="68"/>
      <c r="G31" s="69"/>
      <c r="H31" s="70"/>
      <c r="J31" s="43">
        <f t="shared" si="9"/>
        <v>2017</v>
      </c>
      <c r="K31" s="71"/>
      <c r="L31" s="71"/>
      <c r="M31" s="71"/>
      <c r="N31" s="72">
        <f t="shared" si="7"/>
        <v>0</v>
      </c>
      <c r="O31" s="72">
        <f t="shared" ref="O31:O35" si="11">IF(M31-K31-N31&gt;0,M31-K31,0)</f>
        <v>0</v>
      </c>
      <c r="P31" s="73"/>
      <c r="Q31" s="72">
        <f>-O26</f>
        <v>0</v>
      </c>
      <c r="R31" s="72">
        <f t="shared" si="10"/>
        <v>0</v>
      </c>
      <c r="S31" s="59"/>
      <c r="T31" s="59">
        <f t="shared" si="8"/>
        <v>0</v>
      </c>
      <c r="U31" s="59"/>
      <c r="V31" s="59"/>
    </row>
    <row r="32" spans="1:22" x14ac:dyDescent="0.3">
      <c r="A32" s="67" t="s">
        <v>539</v>
      </c>
      <c r="B32" s="67"/>
      <c r="C32" s="67"/>
      <c r="D32" s="67"/>
      <c r="E32" s="68"/>
      <c r="F32" s="68"/>
      <c r="G32" s="69"/>
      <c r="H32" s="74">
        <f>SUM(H28:H31)*29%</f>
        <v>0</v>
      </c>
      <c r="J32" s="43">
        <f t="shared" si="9"/>
        <v>2018</v>
      </c>
      <c r="K32" s="71"/>
      <c r="L32" s="71"/>
      <c r="M32" s="71"/>
      <c r="N32" s="72">
        <f t="shared" si="7"/>
        <v>0</v>
      </c>
      <c r="O32" s="72">
        <f t="shared" si="11"/>
        <v>0</v>
      </c>
      <c r="P32" s="73"/>
      <c r="Q32" s="72">
        <f>-O27</f>
        <v>0</v>
      </c>
      <c r="R32" s="72">
        <f t="shared" si="10"/>
        <v>0</v>
      </c>
      <c r="S32" s="59"/>
      <c r="T32" s="59">
        <f t="shared" si="8"/>
        <v>0</v>
      </c>
      <c r="U32" s="59"/>
      <c r="V32" s="59"/>
    </row>
    <row r="33" spans="1:20" x14ac:dyDescent="0.3">
      <c r="A33" s="75"/>
      <c r="B33" s="75"/>
      <c r="C33" s="75"/>
      <c r="D33" s="75"/>
      <c r="E33" s="68"/>
      <c r="F33" s="68"/>
      <c r="G33" s="69"/>
      <c r="H33" s="70"/>
      <c r="J33" s="43">
        <f t="shared" si="9"/>
        <v>2019</v>
      </c>
      <c r="K33" s="71"/>
      <c r="L33" s="71"/>
      <c r="M33" s="71"/>
      <c r="N33" s="72">
        <f t="shared" si="7"/>
        <v>0</v>
      </c>
      <c r="O33" s="72">
        <f t="shared" si="11"/>
        <v>0</v>
      </c>
      <c r="P33" s="73"/>
      <c r="Q33" s="72">
        <f>-O28</f>
        <v>0</v>
      </c>
      <c r="R33" s="72">
        <f t="shared" si="10"/>
        <v>0</v>
      </c>
      <c r="T33" s="59">
        <f t="shared" si="8"/>
        <v>0</v>
      </c>
    </row>
    <row r="34" spans="1:20" x14ac:dyDescent="0.3">
      <c r="A34" s="75" t="s">
        <v>235</v>
      </c>
      <c r="B34" s="75"/>
      <c r="C34" s="75"/>
      <c r="D34" s="75"/>
      <c r="E34" s="68"/>
      <c r="F34" s="68"/>
      <c r="G34" s="69"/>
      <c r="H34" s="70">
        <f>R35</f>
        <v>0</v>
      </c>
      <c r="J34" s="43">
        <f t="shared" si="9"/>
        <v>2020</v>
      </c>
      <c r="K34" s="71"/>
      <c r="L34" s="71"/>
      <c r="M34" s="71"/>
      <c r="N34" s="72">
        <f t="shared" si="7"/>
        <v>0</v>
      </c>
      <c r="O34" s="72">
        <f t="shared" si="11"/>
        <v>0</v>
      </c>
      <c r="P34" s="73"/>
      <c r="Q34" s="72">
        <f>-O29</f>
        <v>0</v>
      </c>
      <c r="R34" s="72">
        <f t="shared" si="10"/>
        <v>0</v>
      </c>
      <c r="T34" s="59">
        <f t="shared" si="8"/>
        <v>0</v>
      </c>
    </row>
    <row r="35" spans="1:20" x14ac:dyDescent="0.3">
      <c r="A35" s="75"/>
      <c r="B35" s="75"/>
      <c r="C35" s="75"/>
      <c r="D35" s="75"/>
      <c r="E35" s="68"/>
      <c r="F35" s="68"/>
      <c r="G35" s="69"/>
      <c r="H35" s="70"/>
      <c r="J35" s="43">
        <f t="shared" si="9"/>
        <v>2021</v>
      </c>
      <c r="K35" s="71">
        <f>CT!I87</f>
        <v>2.8420000000000003E-3</v>
      </c>
      <c r="L35" s="71">
        <f>CT!I88</f>
        <v>1.7850000000000003E-3</v>
      </c>
      <c r="M35" s="71">
        <f>CT!I86</f>
        <v>1.4999999999999999E-4</v>
      </c>
      <c r="N35" s="72">
        <f t="shared" si="7"/>
        <v>0</v>
      </c>
      <c r="O35" s="72">
        <f t="shared" si="11"/>
        <v>0</v>
      </c>
      <c r="P35" s="73"/>
      <c r="Q35" s="72">
        <f>-O30</f>
        <v>0</v>
      </c>
      <c r="R35" s="72">
        <f t="shared" si="10"/>
        <v>0</v>
      </c>
      <c r="T35" s="59">
        <f t="shared" si="8"/>
        <v>2.8420000000000003E-3</v>
      </c>
    </row>
    <row r="36" spans="1:20" ht="14.5" thickBot="1" x14ac:dyDescent="0.35">
      <c r="A36" s="67" t="s">
        <v>236</v>
      </c>
      <c r="B36" s="75"/>
      <c r="C36" s="75"/>
      <c r="D36" s="75"/>
      <c r="E36" s="68"/>
      <c r="F36" s="68"/>
      <c r="G36" s="69"/>
      <c r="H36" s="76">
        <f>SUM(H32:H35)</f>
        <v>0</v>
      </c>
      <c r="J36" s="43"/>
      <c r="K36" s="72"/>
      <c r="L36" s="71"/>
      <c r="M36" s="71"/>
      <c r="N36" s="72"/>
      <c r="O36" s="72"/>
      <c r="P36" s="77"/>
      <c r="Q36" s="72"/>
      <c r="R36" s="72"/>
    </row>
    <row r="37" spans="1:20" ht="14.5" thickTop="1" x14ac:dyDescent="0.3">
      <c r="A37" s="78"/>
      <c r="B37" s="78"/>
      <c r="C37" s="78"/>
      <c r="D37" s="78"/>
      <c r="E37" s="75"/>
      <c r="F37" s="68"/>
      <c r="G37" s="68"/>
      <c r="H37" s="79"/>
      <c r="J37" s="51" t="s">
        <v>242</v>
      </c>
      <c r="K37" s="80">
        <f>SUM(N26:N31)</f>
        <v>0</v>
      </c>
      <c r="L37" s="81"/>
      <c r="M37" s="81"/>
      <c r="N37" s="80">
        <f>SUM(N26:N36)</f>
        <v>0</v>
      </c>
      <c r="O37" s="80">
        <f>SUM(O26:O36)</f>
        <v>0</v>
      </c>
      <c r="P37" s="82"/>
      <c r="Q37" s="72"/>
      <c r="R37" s="72"/>
    </row>
    <row r="38" spans="1:20" x14ac:dyDescent="0.3">
      <c r="A38" s="78"/>
      <c r="B38" s="75"/>
      <c r="C38" s="75"/>
      <c r="D38" s="75"/>
      <c r="E38" s="68"/>
      <c r="F38" s="68"/>
      <c r="G38" s="68"/>
      <c r="H38" s="83"/>
    </row>
    <row r="39" spans="1:20" x14ac:dyDescent="0.3">
      <c r="A39" s="78"/>
      <c r="B39" s="78"/>
      <c r="C39" s="78"/>
      <c r="D39" s="78"/>
      <c r="E39" s="84" t="s">
        <v>746</v>
      </c>
      <c r="F39" s="84"/>
      <c r="G39" s="84"/>
      <c r="H39" s="84"/>
    </row>
    <row r="40" spans="1:20" x14ac:dyDescent="0.3">
      <c r="A40" s="78"/>
      <c r="B40" s="78"/>
      <c r="C40" s="78"/>
      <c r="D40" s="78"/>
      <c r="E40" s="85" t="s">
        <v>741</v>
      </c>
      <c r="F40" s="86">
        <f>R34</f>
        <v>0</v>
      </c>
      <c r="G40" s="87" t="s">
        <v>735</v>
      </c>
      <c r="H40" s="88"/>
    </row>
    <row r="41" spans="1:20" x14ac:dyDescent="0.3">
      <c r="A41" s="78"/>
      <c r="B41" s="78"/>
      <c r="C41" s="78"/>
      <c r="D41" s="78"/>
      <c r="E41" s="89" t="s">
        <v>742</v>
      </c>
      <c r="F41" s="90"/>
      <c r="G41" s="89" t="s">
        <v>736</v>
      </c>
      <c r="H41" s="88"/>
    </row>
    <row r="42" spans="1:20" x14ac:dyDescent="0.3">
      <c r="A42" s="78"/>
      <c r="B42" s="78"/>
      <c r="C42" s="78"/>
      <c r="D42" s="78"/>
      <c r="E42" s="89"/>
      <c r="F42" s="90"/>
      <c r="G42" s="89" t="s">
        <v>737</v>
      </c>
      <c r="H42" s="88"/>
    </row>
    <row r="43" spans="1:20" x14ac:dyDescent="0.3">
      <c r="A43" s="78"/>
      <c r="B43" s="78"/>
      <c r="C43" s="78"/>
      <c r="D43" s="78"/>
      <c r="E43" s="89"/>
      <c r="F43" s="90"/>
      <c r="G43" s="89"/>
      <c r="H43" s="88"/>
    </row>
    <row r="44" spans="1:20" x14ac:dyDescent="0.3">
      <c r="A44" s="78"/>
      <c r="B44" s="78"/>
      <c r="C44" s="78"/>
      <c r="D44" s="78"/>
      <c r="E44" s="91" t="s">
        <v>237</v>
      </c>
      <c r="F44" s="92">
        <f>H51-F40</f>
        <v>0</v>
      </c>
      <c r="G44" s="93"/>
      <c r="H44" s="88"/>
    </row>
    <row r="45" spans="1:20" x14ac:dyDescent="0.3">
      <c r="A45" s="78"/>
      <c r="B45" s="78"/>
      <c r="C45" s="78"/>
      <c r="D45" s="78"/>
      <c r="E45" s="91"/>
      <c r="F45" s="92"/>
      <c r="G45" s="93"/>
      <c r="H45" s="88"/>
    </row>
    <row r="46" spans="1:20" x14ac:dyDescent="0.3">
      <c r="A46" s="78"/>
      <c r="B46" s="78"/>
      <c r="C46" s="78"/>
      <c r="D46" s="78"/>
      <c r="E46" s="91" t="s">
        <v>745</v>
      </c>
      <c r="F46" s="92"/>
      <c r="G46" s="91" t="s">
        <v>745</v>
      </c>
      <c r="H46" s="94"/>
    </row>
    <row r="47" spans="1:20" x14ac:dyDescent="0.3">
      <c r="A47" s="78"/>
      <c r="B47" s="78"/>
      <c r="C47" s="78"/>
      <c r="D47" s="78"/>
      <c r="E47" s="91" t="s">
        <v>743</v>
      </c>
      <c r="F47" s="92"/>
      <c r="G47" s="91" t="s">
        <v>743</v>
      </c>
      <c r="H47" s="94"/>
    </row>
    <row r="48" spans="1:20" x14ac:dyDescent="0.3">
      <c r="A48" s="78"/>
      <c r="B48" s="78"/>
      <c r="C48" s="78"/>
      <c r="D48" s="78"/>
      <c r="E48" s="91" t="s">
        <v>744</v>
      </c>
      <c r="F48" s="92"/>
      <c r="G48" s="91" t="s">
        <v>744</v>
      </c>
      <c r="H48" s="94"/>
    </row>
    <row r="49" spans="1:8" x14ac:dyDescent="0.3">
      <c r="A49" s="78"/>
      <c r="B49" s="78"/>
      <c r="C49" s="78"/>
      <c r="D49" s="78"/>
      <c r="E49" s="91"/>
      <c r="F49" s="92"/>
      <c r="G49" s="95"/>
    </row>
    <row r="50" spans="1:8" x14ac:dyDescent="0.3">
      <c r="A50" s="78"/>
      <c r="B50" s="78"/>
      <c r="C50" s="78"/>
      <c r="D50" s="78"/>
      <c r="E50" s="93" t="s">
        <v>738</v>
      </c>
      <c r="F50" s="92"/>
      <c r="G50" s="95"/>
    </row>
    <row r="51" spans="1:8" x14ac:dyDescent="0.3">
      <c r="A51" s="78"/>
      <c r="B51" s="78"/>
      <c r="C51" s="78"/>
      <c r="D51" s="78"/>
      <c r="E51" s="93" t="s">
        <v>739</v>
      </c>
      <c r="F51" s="92"/>
      <c r="G51" s="95" t="s">
        <v>741</v>
      </c>
      <c r="H51" s="88">
        <f>R35</f>
        <v>0</v>
      </c>
    </row>
    <row r="52" spans="1:8" x14ac:dyDescent="0.3">
      <c r="A52" s="78"/>
      <c r="B52" s="78"/>
      <c r="C52" s="78"/>
      <c r="D52" s="78"/>
      <c r="E52" s="93" t="s">
        <v>740</v>
      </c>
      <c r="F52" s="90">
        <f>IF(H32&gt;0,H32,0)</f>
        <v>0</v>
      </c>
      <c r="G52" s="93" t="s">
        <v>742</v>
      </c>
      <c r="H52" s="88">
        <f>IF(H32&lt;0,-H32,0)</f>
        <v>0</v>
      </c>
    </row>
    <row r="53" spans="1:8" x14ac:dyDescent="0.3">
      <c r="A53" s="78"/>
      <c r="B53" s="78"/>
      <c r="C53" s="78"/>
      <c r="D53" s="78"/>
      <c r="E53" s="93"/>
      <c r="F53" s="90"/>
      <c r="G53" s="93"/>
    </row>
    <row r="54" spans="1:8" x14ac:dyDescent="0.3">
      <c r="A54" s="78"/>
      <c r="B54" s="78"/>
      <c r="C54" s="78"/>
      <c r="D54" s="78"/>
      <c r="E54" s="89"/>
      <c r="F54" s="92"/>
      <c r="G54" s="96"/>
      <c r="H54" s="94"/>
    </row>
    <row r="55" spans="1:8" ht="14.5" thickBot="1" x14ac:dyDescent="0.35">
      <c r="A55" s="78"/>
      <c r="B55" s="78"/>
      <c r="C55" s="78"/>
      <c r="D55" s="78"/>
      <c r="E55" s="75"/>
      <c r="F55" s="97">
        <f>SUM(F40:F54)</f>
        <v>0</v>
      </c>
      <c r="G55" s="98"/>
      <c r="H55" s="99">
        <f>SUM(H40:H54)</f>
        <v>0</v>
      </c>
    </row>
    <row r="56" spans="1:8" ht="14.5" thickTop="1" x14ac:dyDescent="0.3"/>
  </sheetData>
  <mergeCells count="5">
    <mergeCell ref="E39:H39"/>
    <mergeCell ref="J5:K5"/>
    <mergeCell ref="O5:P5"/>
    <mergeCell ref="Q5:R5"/>
    <mergeCell ref="K6:N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12</vt:i4>
      </vt:variant>
    </vt:vector>
  </HeadingPairs>
  <TitlesOfParts>
    <vt:vector size="28" baseType="lpstr">
      <vt:lpstr>Cover</vt:lpstr>
      <vt:lpstr>SOFP</vt:lpstr>
      <vt:lpstr>SOPL</vt:lpstr>
      <vt:lpstr>SOCI</vt:lpstr>
      <vt:lpstr>SOCF</vt:lpstr>
      <vt:lpstr>SOCIE</vt:lpstr>
      <vt:lpstr>Policies</vt:lpstr>
      <vt:lpstr>FAS</vt:lpstr>
      <vt:lpstr>Notes</vt:lpstr>
      <vt:lpstr>CS</vt:lpstr>
      <vt:lpstr>ATB</vt:lpstr>
      <vt:lpstr>AE</vt:lpstr>
      <vt:lpstr>AD</vt:lpstr>
      <vt:lpstr>TD</vt:lpstr>
      <vt:lpstr>CT</vt:lpstr>
      <vt:lpstr>DT</vt:lpstr>
      <vt:lpstr>ATB!Print_Area</vt:lpstr>
      <vt:lpstr>FAS!Print_Area</vt:lpstr>
      <vt:lpstr>Notes!Print_Area</vt:lpstr>
      <vt:lpstr>Policies!Print_Area</vt:lpstr>
      <vt:lpstr>SOCF!Print_Area</vt:lpstr>
      <vt:lpstr>SOCI!Print_Area</vt:lpstr>
      <vt:lpstr>SOCIE!Print_Area</vt:lpstr>
      <vt:lpstr>SOFP!Print_Area</vt:lpstr>
      <vt:lpstr>SOPL!Print_Area</vt:lpstr>
      <vt:lpstr>Notes!Print_Titles</vt:lpstr>
      <vt:lpstr>Policies!Print_Titles</vt:lpstr>
      <vt:lpstr>SOFP!Print_Titles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dc:creator>
  <cp:lastModifiedBy>Zahid Arshad</cp:lastModifiedBy>
  <cp:lastPrinted>2021-06-08T11:56:43Z</cp:lastPrinted>
  <dcterms:created xsi:type="dcterms:W3CDTF">2018-01-18T10:31:59Z</dcterms:created>
  <dcterms:modified xsi:type="dcterms:W3CDTF">2024-03-04T08:30:09Z</dcterms:modified>
</cp:coreProperties>
</file>