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501"/>
  <workbookPr codeName="ThisWorkbook" defaultThemeVersion="124226"/>
  <mc:AlternateContent xmlns:mc="http://schemas.openxmlformats.org/markup-compatibility/2006">
    <mc:Choice Requires="x15">
      <x15ac:absPath xmlns:x15ac="http://schemas.microsoft.com/office/spreadsheetml/2010/11/ac" url="C:\Users\hamid\OneDrive\Desktop\"/>
    </mc:Choice>
  </mc:AlternateContent>
  <xr:revisionPtr revIDLastSave="0" documentId="13_ncr:1_{0531A3D1-9606-4AFA-83E4-39C76F0693E1}" xr6:coauthVersionLast="47" xr6:coauthVersionMax="47" xr10:uidLastSave="{00000000-0000-0000-0000-000000000000}"/>
  <bookViews>
    <workbookView xWindow="-120" yWindow="-120" windowWidth="20730" windowHeight="11760" tabRatio="857" xr2:uid="{00000000-000D-0000-FFFF-FFFF00000000}"/>
  </bookViews>
  <sheets>
    <sheet name="Index" sheetId="6" r:id="rId1"/>
    <sheet name="AOC" sheetId="7" r:id="rId2"/>
    <sheet name="Lead" sheetId="3" r:id="rId3"/>
    <sheet name="SubLead" sheetId="10" r:id="rId4"/>
    <sheet name="Loan Obtained-Vouching" sheetId="12" r:id="rId5"/>
    <sheet name="Repayment-Vouching" sheetId="13" r:id="rId6"/>
    <sheet name="Interest-AP" sheetId="14" r:id="rId7"/>
    <sheet name="Adjusting Entries" sheetId="22" r:id="rId8"/>
  </sheets>
  <definedNames>
    <definedName name="_xlnm.Print_Area" localSheetId="7">'Adjusting Entries'!$A$1:$F$25</definedName>
    <definedName name="_xlnm.Print_Area" localSheetId="1">AOC!$A$1:$F$28</definedName>
    <definedName name="_xlnm.Print_Area" localSheetId="0">Index!$A$1:$G$36</definedName>
    <definedName name="_xlnm.Print_Area" localSheetId="6">'Interest-AP'!$A$1:$J$36</definedName>
    <definedName name="_xlnm.Print_Area" localSheetId="2">Lead!$A$1:$J$55</definedName>
    <definedName name="_xlnm.Print_Area" localSheetId="4">'Loan Obtained-Vouching'!$A$1:$P$39</definedName>
    <definedName name="_xlnm.Print_Area" localSheetId="5">'Repayment-Vouching'!$A$1:$P$39</definedName>
    <definedName name="_xlnm.Print_Area" localSheetId="3">SubLead!$A$1:$I$64</definedName>
  </definedNames>
  <calcPr calcId="181029"/>
</workbook>
</file>

<file path=xl/calcChain.xml><?xml version="1.0" encoding="utf-8"?>
<calcChain xmlns="http://schemas.openxmlformats.org/spreadsheetml/2006/main">
  <c r="H48" i="3" l="1"/>
  <c r="H50" i="3"/>
  <c r="E7" i="22"/>
  <c r="D7" i="22"/>
  <c r="E6" i="22"/>
  <c r="D6" i="22"/>
  <c r="E5" i="22"/>
  <c r="D5" i="22"/>
  <c r="E4" i="22"/>
  <c r="D4" i="22"/>
  <c r="G7" i="14"/>
  <c r="F7" i="14"/>
  <c r="G6" i="14"/>
  <c r="F6" i="14"/>
  <c r="G5" i="14"/>
  <c r="F5" i="14"/>
  <c r="G4" i="14"/>
  <c r="F4" i="14"/>
  <c r="L8" i="13"/>
  <c r="K8" i="13"/>
  <c r="L7" i="13"/>
  <c r="K7" i="13"/>
  <c r="L6" i="13"/>
  <c r="K6" i="13"/>
  <c r="L5" i="13"/>
  <c r="K5" i="13"/>
  <c r="N8" i="12"/>
  <c r="M8" i="12"/>
  <c r="N7" i="12"/>
  <c r="M7" i="12"/>
  <c r="N6" i="12"/>
  <c r="M6" i="12"/>
  <c r="N5" i="12"/>
  <c r="M5" i="12"/>
  <c r="F7" i="10"/>
  <c r="E7" i="10"/>
  <c r="F6" i="10"/>
  <c r="E6" i="10"/>
  <c r="F5" i="10"/>
  <c r="E5" i="10"/>
  <c r="F4" i="10"/>
  <c r="E4" i="10"/>
  <c r="I7" i="3"/>
  <c r="H7" i="3"/>
  <c r="I6" i="3"/>
  <c r="H6" i="3"/>
  <c r="I5" i="3"/>
  <c r="H5" i="3"/>
  <c r="I4" i="3"/>
  <c r="H4" i="3"/>
  <c r="C6" i="22"/>
  <c r="B6" i="22"/>
  <c r="C5" i="22"/>
  <c r="B5" i="22"/>
  <c r="C4" i="22"/>
  <c r="B4" i="22"/>
  <c r="B2" i="22"/>
  <c r="B1" i="22"/>
  <c r="C6" i="14"/>
  <c r="B6" i="14"/>
  <c r="C5" i="14"/>
  <c r="B5" i="14"/>
  <c r="C4" i="14"/>
  <c r="B4" i="14"/>
  <c r="B2" i="14"/>
  <c r="B1" i="14"/>
  <c r="C7" i="14"/>
  <c r="C6" i="13"/>
  <c r="B6" i="13"/>
  <c r="C5" i="13"/>
  <c r="B5" i="13"/>
  <c r="C4" i="13"/>
  <c r="B4" i="13"/>
  <c r="B2" i="13"/>
  <c r="B1" i="13"/>
  <c r="C6" i="12"/>
  <c r="B6" i="12"/>
  <c r="C5" i="12"/>
  <c r="B5" i="12"/>
  <c r="C4" i="12"/>
  <c r="B4" i="12"/>
  <c r="B2" i="12"/>
  <c r="B1" i="12"/>
  <c r="C6" i="10"/>
  <c r="B6" i="10"/>
  <c r="C5" i="10"/>
  <c r="B5" i="10"/>
  <c r="C4" i="10"/>
  <c r="B4" i="10"/>
  <c r="B2" i="10"/>
  <c r="B1" i="10"/>
  <c r="C6" i="3"/>
  <c r="B6" i="3"/>
  <c r="C5" i="3"/>
  <c r="B5" i="3"/>
  <c r="C4" i="3"/>
  <c r="B4" i="3"/>
  <c r="B2" i="3"/>
  <c r="B1" i="3"/>
  <c r="E7" i="7"/>
  <c r="E6" i="7"/>
  <c r="E5" i="7"/>
  <c r="E4" i="7"/>
  <c r="D7" i="7"/>
  <c r="D6" i="7"/>
  <c r="D5" i="7"/>
  <c r="D4" i="7"/>
  <c r="C6" i="7"/>
  <c r="C5" i="7"/>
  <c r="C4" i="7"/>
  <c r="B6" i="7"/>
  <c r="B5" i="7"/>
  <c r="B4" i="7"/>
  <c r="B2" i="7"/>
  <c r="B1" i="7"/>
  <c r="B14" i="6"/>
  <c r="D12" i="6" l="1"/>
  <c r="B25" i="7"/>
  <c r="B26" i="7" s="1"/>
  <c r="B24" i="7"/>
  <c r="B17" i="7"/>
  <c r="B16" i="7"/>
  <c r="B15" i="7"/>
  <c r="B14" i="7"/>
  <c r="B16" i="6"/>
  <c r="D16" i="6" l="1"/>
  <c r="B18" i="6"/>
  <c r="D14" i="6"/>
  <c r="D18" i="6" l="1"/>
  <c r="B20" i="6"/>
  <c r="D20" i="6" l="1"/>
  <c r="B22" i="6"/>
  <c r="B24" i="6" l="1"/>
  <c r="D22" i="6"/>
  <c r="B26" i="6" l="1"/>
  <c r="D24" i="6"/>
  <c r="D26" i="6" l="1"/>
  <c r="B28" i="6"/>
  <c r="D28" i="6" s="1"/>
  <c r="F48" i="10" l="1"/>
  <c r="H48" i="10" s="1"/>
  <c r="F43" i="3"/>
  <c r="G50" i="3" l="1"/>
  <c r="G48" i="3"/>
  <c r="B56" i="10" l="1"/>
  <c r="E22" i="14" s="1"/>
  <c r="B50" i="10"/>
  <c r="D22" i="14" s="1"/>
  <c r="E1" i="22" l="1"/>
  <c r="I1" i="14"/>
  <c r="L1" i="13"/>
  <c r="O1" i="12"/>
  <c r="H1" i="10"/>
  <c r="I1" i="3"/>
  <c r="E1" i="7"/>
  <c r="H37" i="13" l="1"/>
  <c r="B8" i="7"/>
  <c r="G53" i="3" l="1"/>
  <c r="E53" i="3" l="1"/>
  <c r="F53" i="3" l="1"/>
</calcChain>
</file>

<file path=xl/sharedStrings.xml><?xml version="1.0" encoding="utf-8"?>
<sst xmlns="http://schemas.openxmlformats.org/spreadsheetml/2006/main" count="205" uniqueCount="172">
  <si>
    <t xml:space="preserve">Client: </t>
  </si>
  <si>
    <t>Period:</t>
  </si>
  <si>
    <t>Head:</t>
  </si>
  <si>
    <t xml:space="preserve"> </t>
  </si>
  <si>
    <t>T O T A L</t>
  </si>
  <si>
    <t>INDEX</t>
  </si>
  <si>
    <t>Sr. #</t>
  </si>
  <si>
    <t>Whether Placed in File</t>
  </si>
  <si>
    <t>Initials of Reviewer</t>
  </si>
  <si>
    <t>LEAD SCHEDULE</t>
  </si>
  <si>
    <t>Prepared by:</t>
  </si>
  <si>
    <t>Reviewed by:</t>
  </si>
  <si>
    <t>Variance</t>
  </si>
  <si>
    <t>Reason for Variance</t>
  </si>
  <si>
    <t>Audit Objectives</t>
  </si>
  <si>
    <t>%</t>
  </si>
  <si>
    <t>SUB-LEAD SCHEDULE</t>
  </si>
  <si>
    <t>Test of Details</t>
  </si>
  <si>
    <t>Work Performed</t>
  </si>
  <si>
    <t>Checked proper authorization and approval.</t>
  </si>
  <si>
    <t>Work performed</t>
  </si>
  <si>
    <t>Ensure that closing balances as per our working paper file are in match with closing balance as per general ledger.</t>
  </si>
  <si>
    <t>Audit Objectives and Conclusions</t>
  </si>
  <si>
    <t>Date</t>
  </si>
  <si>
    <t>Voucher #</t>
  </si>
  <si>
    <t>Description of Transaction</t>
  </si>
  <si>
    <t>Lead Schedule</t>
  </si>
  <si>
    <t>W.P. Ref.</t>
  </si>
  <si>
    <t>Description</t>
  </si>
  <si>
    <t>The audit has been completed in accordance with Audit program.</t>
  </si>
  <si>
    <t>The working papers demonstrate that adequate work has been undertaken.</t>
  </si>
  <si>
    <t>Objective Met</t>
  </si>
  <si>
    <t>Satisfactory</t>
  </si>
  <si>
    <t>Conclusion</t>
  </si>
  <si>
    <t>Yes/No</t>
  </si>
  <si>
    <t>Initials</t>
  </si>
  <si>
    <t>Compared current year balances with last year balances and ensured that any significant variation has been properly and logically reasoned.</t>
  </si>
  <si>
    <t>Rupees</t>
  </si>
  <si>
    <t>Sub Head:</t>
  </si>
  <si>
    <t>Proper Classification</t>
  </si>
  <si>
    <t>Cheque #</t>
  </si>
  <si>
    <t>Traced in Bank</t>
  </si>
  <si>
    <t>Performed the above mentioned procedures to ensure various assertions</t>
  </si>
  <si>
    <t>Difference</t>
  </si>
  <si>
    <t>Opening balance</t>
  </si>
  <si>
    <t>Closing balance</t>
  </si>
  <si>
    <t>Compare current year expenses with last year expenses and ensure that any significant variation should be properly and logically reasoned</t>
  </si>
  <si>
    <t>Analytical Procedures</t>
  </si>
  <si>
    <t xml:space="preserve">Ensured that none of the assets has been impaired or the recoverable amount of an asset is not less than its carrying amount. </t>
  </si>
  <si>
    <t>Checked proper posting in general ledger.</t>
  </si>
  <si>
    <t>Ensured receipts are reflected in the bank statements.</t>
  </si>
  <si>
    <t>Sub-Lead Schedule</t>
  </si>
  <si>
    <t>Determine that client's accounting policies for amortization are appropriate and applied consistently. See that intangible assets with indefinite life are subject to impairment review.</t>
  </si>
  <si>
    <t>The working papers contain sufficient information, details of significant features and notes of unusual matters to enable us to form an opinion on financial statements.</t>
  </si>
  <si>
    <t>In my opinion above amounts are fairly stated and on a consistent basis with the previous period.</t>
  </si>
  <si>
    <t>Total</t>
  </si>
  <si>
    <t>Determined the reasonableness of accounting policy and amortization method, rates and their consistency with prior years.</t>
  </si>
  <si>
    <t>Checked calculation of amortization of selected assets.</t>
  </si>
  <si>
    <t>Ensured that any subsequent addition has been amortized over remaining useful life and not simply depreciated by applying the amortization rate.</t>
  </si>
  <si>
    <t>Related information</t>
  </si>
  <si>
    <t>Board minutes for major additions/deletions</t>
  </si>
  <si>
    <t>ADJUSTING ENTRIES</t>
  </si>
  <si>
    <t>Amount</t>
  </si>
  <si>
    <t>Debit</t>
  </si>
  <si>
    <t>Credit</t>
  </si>
  <si>
    <t>Entry Proposed</t>
  </si>
  <si>
    <t>Adjusting Entries</t>
  </si>
  <si>
    <t>To ensure that all goods and services received by the entity have been accounted for in the books of the company on a timely basis.</t>
  </si>
  <si>
    <t>To ensure that liability is recorded at the correct amount.</t>
  </si>
  <si>
    <t>Interest and finance cost has been accurately calculated and appropriately disclosed.</t>
  </si>
  <si>
    <t>Obtained assurance about the completeness of the schedule:</t>
  </si>
  <si>
    <t>(a) Made inquiries of knowledgeable management.</t>
  </si>
  <si>
    <t>(b) Considered any evidence of additional debt obtained through examination of minutes of the board, (when testing payables), and other documents.</t>
  </si>
  <si>
    <t>Tested the summarization and traced the ending balances to the general ledger.</t>
  </si>
  <si>
    <t>For each lender (or, in some circumstances, selected lenders) with which the client had debt outstanding at the prior year end or during the current year, prepare, or have the client prepare, a confirmation request for the amount(s) owed to the lender, and performed the following:</t>
  </si>
  <si>
    <t>Sent second requests for non-replies.</t>
  </si>
  <si>
    <t>Compared replies to requests. Prepare, or have the client prepare, reconciliations of exceptions. Traced reconciling items to supporting documents.</t>
  </si>
  <si>
    <t>W.P. Ref</t>
  </si>
  <si>
    <t>Obtained during the period</t>
  </si>
  <si>
    <t>Less: Repaid during the period</t>
  </si>
  <si>
    <t>Interest accrued</t>
  </si>
  <si>
    <t>Traced opening balances from loan register, general ledger and last year’s working papers.</t>
  </si>
  <si>
    <t>Obtained a schedule of long term financing (including debt outstanding at the end of the prior year, as well as any new debt) showing beginning and ending balances and borrowings and repayments during the year, and performed the following:</t>
  </si>
  <si>
    <t>Closing Total</t>
  </si>
  <si>
    <t>Made a selection of debt instruments tested in Procedure 1 and, for each item selected, performed the following:</t>
  </si>
  <si>
    <t>If the information needed to re-compute the amount was not confirmed:</t>
  </si>
  <si>
    <t>Examined the debt agreement evidencing the interest rate.</t>
  </si>
  <si>
    <t>Obtained and examined cash disbursement records (usually the paid check) evidencing the most recent payment of interest.</t>
  </si>
  <si>
    <t>Re-computed the amount of accrued interest.</t>
  </si>
  <si>
    <t>Evaluated results of the tests.</t>
  </si>
  <si>
    <t>INTEREST EXPENSE - ANALYTICAL PROCEDURE</t>
  </si>
  <si>
    <t>Opening principal loan amount</t>
  </si>
  <si>
    <t>Opening accumulated interest cost</t>
  </si>
  <si>
    <t>Opening loan amount</t>
  </si>
  <si>
    <t>Rate of interest</t>
  </si>
  <si>
    <t>Interest on opening balance for the whole year</t>
  </si>
  <si>
    <t>Interest on loan obtained during the year</t>
  </si>
  <si>
    <t>Interest not charged on the loan repaid during the year</t>
  </si>
  <si>
    <t xml:space="preserve">Expected interest cost for the year </t>
  </si>
  <si>
    <t>Interest as per General Ledger</t>
  </si>
  <si>
    <t>Calculated overall interest expense on loans for the year, and compared with recorded interest expense.</t>
  </si>
  <si>
    <t>Determined that the following items, if any, are properly recorded, classified, and/or disclosed, as appropriate:</t>
  </si>
  <si>
    <t>Long-term debt and current portion of long term debt.</t>
  </si>
  <si>
    <t>Short-term obligations expected to be refinanced</t>
  </si>
  <si>
    <t>Imputed interest (e.g., when there is no stated interest rate).</t>
  </si>
  <si>
    <t>Read the provisions in loan and debt agreements (and update descriptions thereof contained in our permanent files, if applicable) and performed the following:</t>
  </si>
  <si>
    <t>Ensured that the debt agreement made between the Company and the lender is adequate and that:</t>
  </si>
  <si>
    <t>b) It is duly authorized by the notary public;</t>
  </si>
  <si>
    <t>c) It is signed by both the parties to the agreement and witnessed;</t>
  </si>
  <si>
    <t>d) Official stamp of both the parties to the agreement;</t>
  </si>
  <si>
    <t>e) Agreement is not expired during the period  under review;</t>
  </si>
  <si>
    <t>f) The terms and conditions of such loans are compatible with normal business norms;</t>
  </si>
  <si>
    <t>g) Adequate security is provided by the Company to the lender;</t>
  </si>
  <si>
    <t>h) The terms and conditions are not vague;</t>
  </si>
  <si>
    <t>i) It is approved by persons authorized by the Company to do so.</t>
  </si>
  <si>
    <t>If agreement contains security against mortgaged charges are:</t>
  </si>
  <si>
    <t>Tested that the client is in compliance with loan covenants and other significant provisions of the agreements.</t>
  </si>
  <si>
    <t>Reviewed refinancing/restructuring agreements subsequent to the balance sheet date to determine their effects on balance sheet classifications or on disclosures.</t>
  </si>
  <si>
    <t>Determined that the accounting policies and methods of recording debt are appropriate and applied consistently.</t>
  </si>
  <si>
    <t>----------- Rupees -----------</t>
  </si>
  <si>
    <t>VOUCHING FOR LOAN OBTAINED</t>
  </si>
  <si>
    <t>Bank Name</t>
  </si>
  <si>
    <t>Board Approval</t>
  </si>
  <si>
    <t>Minutes of Meetings</t>
  </si>
  <si>
    <t>Loan Agreement</t>
  </si>
  <si>
    <t>Loan Amount as per Agreement</t>
  </si>
  <si>
    <t>Loan amount as per ledger</t>
  </si>
  <si>
    <t>Date of Receipt</t>
  </si>
  <si>
    <t>Interest charged?</t>
  </si>
  <si>
    <t>Interest amount</t>
  </si>
  <si>
    <t>Checked supporting documents like loan agreements, minutes of the meetings and other evidences.</t>
  </si>
  <si>
    <t>VOUCHING FOR LOAN REPAID</t>
  </si>
  <si>
    <t>Date of Payment</t>
  </si>
  <si>
    <t>Approved by</t>
  </si>
  <si>
    <t>Difference in A and B</t>
  </si>
  <si>
    <t>Repayment Amount (A)</t>
  </si>
  <si>
    <t>Cheque Amount (B)</t>
  </si>
  <si>
    <t>Ensured payments are reflected in the bank statements.</t>
  </si>
  <si>
    <t>Vouching for Loan obtained</t>
  </si>
  <si>
    <t>Vouching for Loan repaid</t>
  </si>
  <si>
    <t>Interest cost - Analytical procedures</t>
  </si>
  <si>
    <t>B.S.18</t>
  </si>
  <si>
    <t>Long term financing - Related parties</t>
  </si>
  <si>
    <t>All long term financing on the balance sheet represent valid claims by related parties.</t>
  </si>
  <si>
    <t>Financing from Related Parties</t>
  </si>
  <si>
    <t>Party A</t>
  </si>
  <si>
    <t>Party B</t>
  </si>
  <si>
    <t>Analytical Procedures:</t>
  </si>
  <si>
    <t>a) It is made on the stamp paper; It is made on the stamp paper;</t>
  </si>
  <si>
    <t>Long term financing is presented and all disclosures have been given in accordance with the Fifth Schedules of the Companies Act, 2017 and relevant IASs/IFRSs.</t>
  </si>
  <si>
    <t>Determined and ensured that disclosures have been made in accordance with the requirements of Fifth Schedule to the Companies Act, 2017 and the applicable IASs / IFRSs.</t>
  </si>
  <si>
    <t>a) Recorded in register of mortgages charges under section 125 of the Companies Act, 2017; and</t>
  </si>
  <si>
    <t>b) Registered under certificate of registration of mortgages charges as per section 127 of the Companies Act, 2017.</t>
  </si>
  <si>
    <t>ABC &amp; Co.</t>
  </si>
  <si>
    <t>(Chartered Accountants)</t>
  </si>
  <si>
    <t>ABC Limited</t>
  </si>
  <si>
    <t>Year ended June 30, 2023</t>
  </si>
  <si>
    <t>Date prepared:</t>
  </si>
  <si>
    <t>Date reviewed:</t>
  </si>
  <si>
    <t>Obtained a schedule(s) of amounts due to be repaid in the next five years under the terms of long-term debt agreements.</t>
  </si>
  <si>
    <t xml:space="preserve">This includes, separately, amounts due under capitalized leases and/or unconditional purchase obligations, if any. </t>
  </si>
  <si>
    <t>Tested the summarization of the schedule and re-compute (possibly on test basis) the amounts.</t>
  </si>
  <si>
    <t>If there are any provisions with which the client is not in compliance, determined whether the debt should be classified as current.</t>
  </si>
  <si>
    <t xml:space="preserve"> If enforcement of the provisions has been waived by the lender, obtained confirmation of the waiver from the lender.</t>
  </si>
  <si>
    <t>Obtained a schedule of accrued interest expense (which may be prepared in connection with the schedule of debt in Procedure 1 above).</t>
  </si>
  <si>
    <t xml:space="preserve"> Tested the summarization and trace the total or the individual amounts, as applicable, to the general ledger.</t>
  </si>
  <si>
    <t>Based on the information in the confirmation concerning the date through which interest was paid and the applicable interest rate.</t>
  </si>
  <si>
    <t>Recomputed the amount of accrued interest.</t>
  </si>
  <si>
    <t>Ascertained that the confirmation asks for all information likely to be relevant to our tests of debt and related interest balances.</t>
  </si>
  <si>
    <t>For Example, applicable interest rates, due dates, the date to which interest has been paid, collateral and security interests).</t>
  </si>
  <si>
    <t>Mailed the requests under our control to a person within the lending institution who would be expected to be knowledgeable about the client's obligations.</t>
  </si>
  <si>
    <t>This includes any contingent liabilities, guarantees, letters of credit, security agreements, or similar matters with which the lender may be involved.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</si>
</sst>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_(* #,##0_);_(* \(#,##0\);_(* &quot;-&quot;??_);_(@_)"/>
    <numFmt numFmtId="166" formatCode="&quot;Rs.&quot;#,##0"/>
    <numFmt numFmtId="167" formatCode="&quot;£&quot;#,##0_);\(&quot;£&quot;#,##0\)"/>
    <numFmt numFmtId="168" formatCode="[$-409]d/mmm/yy;@"/>
    <numFmt numFmtId="169" formatCode="[$]dd\-mmm\-yyyy;@" x16r2:formatCode16="[$-en-PK,1]dd\-mmm\-yyyy;@"/>
  </numFmts>
  <fonts count="35">
    <font>
      <sz val="11"/>
      <color theme="1"/>
      <name val="Calibri"/>
      <family val="2"/>
      <scheme val="minor"/>
    </font>
    <font>
      <sz val="11"/>
      <color theme="1"/>
      <name val="Calibri"/>
      <family val="2"/>
      <scheme val="minor"/>
    </font>
    <font>
      <sz val="10"/>
      <name val="Arial Narrow"/>
      <family val="2"/>
    </font>
    <font>
      <sz val="10"/>
      <name val="Arial"/>
      <family val="2"/>
    </font>
    <font>
      <sz val="11"/>
      <color indexed="8"/>
      <name val="Calibri"/>
      <family val="2"/>
    </font>
    <font>
      <sz val="12"/>
      <name val="Times New Roman"/>
      <family val="1"/>
    </font>
    <font>
      <sz val="11"/>
      <color indexed="9"/>
      <name val="Calibri"/>
      <family val="2"/>
    </font>
    <font>
      <sz val="11"/>
      <color indexed="20"/>
      <name val="Calibri"/>
      <family val="2"/>
    </font>
    <font>
      <b/>
      <sz val="11"/>
      <color indexed="52"/>
      <name val="Calibri"/>
      <family val="2"/>
    </font>
    <font>
      <b/>
      <sz val="11"/>
      <color indexed="9"/>
      <name val="Calibri"/>
      <family val="2"/>
    </font>
    <font>
      <sz val="8"/>
      <color theme="1"/>
      <name val="Arial"/>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sz val="10"/>
      <color indexed="8"/>
      <name val="MS Sans Serif"/>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2"/>
      <name val="SWISS"/>
    </font>
    <font>
      <b/>
      <sz val="10"/>
      <name val="Book Antiqua"/>
      <family val="1"/>
    </font>
    <font>
      <sz val="10"/>
      <name val="Book Antiqua"/>
      <family val="1"/>
    </font>
    <font>
      <sz val="10"/>
      <color theme="1"/>
      <name val="Book Antiqua"/>
      <family val="1"/>
    </font>
    <font>
      <b/>
      <sz val="10"/>
      <color indexed="8"/>
      <name val="Book Antiqua"/>
      <family val="1"/>
    </font>
    <font>
      <b/>
      <sz val="10"/>
      <color theme="1"/>
      <name val="Book Antiqua"/>
      <family val="1"/>
    </font>
    <font>
      <sz val="10"/>
      <color indexed="8"/>
      <name val="Book Antiqua"/>
      <family val="1"/>
    </font>
    <font>
      <sz val="10"/>
      <color rgb="FF000000"/>
      <name val="Book Antiqua"/>
      <family val="1"/>
    </font>
    <font>
      <b/>
      <sz val="10"/>
      <color theme="0"/>
      <name val="Book Antiqua"/>
      <family val="1"/>
    </font>
    <font>
      <b/>
      <u/>
      <sz val="10"/>
      <color theme="1"/>
      <name val="Book Antiqua"/>
      <family val="1"/>
    </font>
    <font>
      <b/>
      <sz val="10"/>
      <color rgb="FF000000"/>
      <name val="Book Antiqua"/>
      <family val="1"/>
    </font>
  </fonts>
  <fills count="26">
    <fill>
      <patternFill patternType="none"/>
    </fill>
    <fill>
      <patternFill patternType="gray125"/>
    </fill>
    <fill>
      <patternFill patternType="solid">
        <fgColor indexed="9"/>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0"/>
        <bgColor indexed="64"/>
      </patternFill>
    </fill>
  </fills>
  <borders count="25">
    <border>
      <left/>
      <right/>
      <top/>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bottom style="thin">
        <color indexed="64"/>
      </bottom>
      <diagonal/>
    </border>
    <border>
      <left style="double">
        <color theme="0"/>
      </left>
      <right style="double">
        <color theme="0"/>
      </right>
      <top/>
      <bottom/>
      <diagonal/>
    </border>
    <border>
      <left style="double">
        <color theme="0"/>
      </left>
      <right/>
      <top/>
      <bottom/>
      <diagonal/>
    </border>
    <border>
      <left style="thin">
        <color rgb="FFC00000"/>
      </left>
      <right style="thin">
        <color rgb="FFC00000"/>
      </right>
      <top style="thin">
        <color rgb="FFC00000"/>
      </top>
      <bottom style="thin">
        <color rgb="FFC00000"/>
      </bottom>
      <diagonal/>
    </border>
    <border>
      <left style="dotted">
        <color rgb="FFC00000"/>
      </left>
      <right style="dotted">
        <color rgb="FFC00000"/>
      </right>
      <top style="thin">
        <color rgb="FFC00000"/>
      </top>
      <bottom style="dotted">
        <color rgb="FFC00000"/>
      </bottom>
      <diagonal/>
    </border>
    <border>
      <left style="dotted">
        <color rgb="FFC00000"/>
      </left>
      <right style="dotted">
        <color rgb="FFC00000"/>
      </right>
      <top style="dotted">
        <color rgb="FFC00000"/>
      </top>
      <bottom style="dotted">
        <color rgb="FFC00000"/>
      </bottom>
      <diagonal/>
    </border>
    <border>
      <left style="thin">
        <color rgb="FFC00000"/>
      </left>
      <right style="thin">
        <color rgb="FFC00000"/>
      </right>
      <top style="thin">
        <color rgb="FFC00000"/>
      </top>
      <bottom/>
      <diagonal/>
    </border>
    <border>
      <left style="thin">
        <color rgb="FFC00000"/>
      </left>
      <right style="thin">
        <color rgb="FFC00000"/>
      </right>
      <top/>
      <bottom style="thin">
        <color rgb="FFC00000"/>
      </bottom>
      <diagonal/>
    </border>
    <border>
      <left style="thin">
        <color rgb="FFC00000"/>
      </left>
      <right style="thin">
        <color rgb="FFC00000"/>
      </right>
      <top/>
      <bottom/>
      <diagonal/>
    </border>
    <border>
      <left/>
      <right/>
      <top style="thin">
        <color rgb="FFC00000"/>
      </top>
      <bottom style="thin">
        <color rgb="FFC00000"/>
      </bottom>
      <diagonal/>
    </border>
    <border>
      <left/>
      <right/>
      <top style="thin">
        <color rgb="FFC00000"/>
      </top>
      <bottom style="double">
        <color rgb="FFC00000"/>
      </bottom>
      <diagonal/>
    </border>
    <border>
      <left/>
      <right/>
      <top style="thin">
        <color rgb="FFC00000"/>
      </top>
      <bottom style="dotted">
        <color rgb="FFC00000"/>
      </bottom>
      <diagonal/>
    </border>
    <border>
      <left style="dotted">
        <color rgb="FFC00000"/>
      </left>
      <right style="dotted">
        <color rgb="FFC00000"/>
      </right>
      <top/>
      <bottom style="dotted">
        <color rgb="FFC00000"/>
      </bottom>
      <diagonal/>
    </border>
    <border>
      <left/>
      <right/>
      <top style="thin">
        <color rgb="FFC00000"/>
      </top>
      <bottom/>
      <diagonal/>
    </border>
  </borders>
  <cellStyleXfs count="75">
    <xf numFmtId="0" fontId="0" fillId="0" borderId="0"/>
    <xf numFmtId="164" fontId="1"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4" fillId="0" borderId="0"/>
    <xf numFmtId="0" fontId="3" fillId="0" borderId="0"/>
    <xf numFmtId="0" fontId="3" fillId="0" borderId="0"/>
    <xf numFmtId="0" fontId="5" fillId="0" borderId="0"/>
    <xf numFmtId="0" fontId="4" fillId="3"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6" borderId="0" applyNumberFormat="0" applyBorder="0" applyAlignment="0" applyProtection="0"/>
    <xf numFmtId="0" fontId="4" fillId="9" borderId="0" applyNumberFormat="0" applyBorder="0" applyAlignment="0" applyProtection="0"/>
    <xf numFmtId="0" fontId="4" fillId="12" borderId="0" applyNumberFormat="0" applyBorder="0" applyAlignment="0" applyProtection="0"/>
    <xf numFmtId="0" fontId="6" fillId="13" borderId="0" applyNumberFormat="0" applyBorder="0" applyAlignment="0" applyProtection="0"/>
    <xf numFmtId="0" fontId="6" fillId="10" borderId="0" applyNumberFormat="0" applyBorder="0" applyAlignment="0" applyProtection="0"/>
    <xf numFmtId="0" fontId="6" fillId="11" borderId="0" applyNumberFormat="0" applyBorder="0" applyAlignment="0" applyProtection="0"/>
    <xf numFmtId="0" fontId="6" fillId="14"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7" borderId="0" applyNumberFormat="0" applyBorder="0" applyAlignment="0" applyProtection="0"/>
    <xf numFmtId="0" fontId="6" fillId="18" borderId="0" applyNumberFormat="0" applyBorder="0" applyAlignment="0" applyProtection="0"/>
    <xf numFmtId="0" fontId="6" fillId="19" borderId="0" applyNumberFormat="0" applyBorder="0" applyAlignment="0" applyProtection="0"/>
    <xf numFmtId="0" fontId="6" fillId="14" borderId="0" applyNumberFormat="0" applyBorder="0" applyAlignment="0" applyProtection="0"/>
    <xf numFmtId="0" fontId="6" fillId="15" borderId="0" applyNumberFormat="0" applyBorder="0" applyAlignment="0" applyProtection="0"/>
    <xf numFmtId="0" fontId="6" fillId="20" borderId="0" applyNumberFormat="0" applyBorder="0" applyAlignment="0" applyProtection="0"/>
    <xf numFmtId="0" fontId="7" fillId="4" borderId="0" applyNumberFormat="0" applyBorder="0" applyAlignment="0" applyProtection="0"/>
    <xf numFmtId="0" fontId="8" fillId="21" borderId="2" applyNumberFormat="0" applyAlignment="0" applyProtection="0"/>
    <xf numFmtId="0" fontId="9" fillId="22" borderId="3" applyNumberFormat="0" applyAlignment="0" applyProtection="0"/>
    <xf numFmtId="164" fontId="3" fillId="0" borderId="0" applyFont="0" applyFill="0" applyBorder="0" applyAlignment="0" applyProtection="0"/>
    <xf numFmtId="164" fontId="2" fillId="0" borderId="0" applyFont="0" applyFill="0" applyBorder="0" applyAlignment="0" applyProtection="0"/>
    <xf numFmtId="164" fontId="4" fillId="0" borderId="0" applyFont="0" applyFill="0" applyBorder="0" applyAlignment="0" applyProtection="0"/>
    <xf numFmtId="167" fontId="10" fillId="0" borderId="0" applyFont="0" applyFill="0" applyBorder="0" applyAlignment="0" applyProtection="0"/>
    <xf numFmtId="0" fontId="11" fillId="0" borderId="0" applyNumberFormat="0" applyFill="0" applyBorder="0" applyAlignment="0" applyProtection="0"/>
    <xf numFmtId="0" fontId="12" fillId="5" borderId="0" applyNumberFormat="0" applyBorder="0" applyAlignment="0" applyProtection="0"/>
    <xf numFmtId="0" fontId="13" fillId="0" borderId="4" applyNumberFormat="0" applyFill="0" applyAlignment="0" applyProtection="0"/>
    <xf numFmtId="0" fontId="14" fillId="0" borderId="5" applyNumberFormat="0" applyFill="0" applyAlignment="0" applyProtection="0"/>
    <xf numFmtId="0" fontId="15" fillId="0" borderId="6" applyNumberFormat="0" applyFill="0" applyAlignment="0" applyProtection="0"/>
    <xf numFmtId="0" fontId="15" fillId="0" borderId="0" applyNumberFormat="0" applyFill="0" applyBorder="0" applyAlignment="0" applyProtection="0"/>
    <xf numFmtId="0" fontId="16" fillId="8" borderId="2" applyNumberFormat="0" applyAlignment="0" applyProtection="0"/>
    <xf numFmtId="0" fontId="17" fillId="0" borderId="7" applyNumberFormat="0" applyFill="0" applyAlignment="0" applyProtection="0"/>
    <xf numFmtId="0" fontId="18" fillId="23" borderId="0" applyNumberFormat="0" applyBorder="0" applyAlignment="0" applyProtection="0"/>
    <xf numFmtId="0" fontId="19" fillId="0" borderId="0"/>
    <xf numFmtId="0" fontId="2" fillId="0" borderId="0"/>
    <xf numFmtId="0" fontId="2" fillId="0" borderId="0"/>
    <xf numFmtId="0" fontId="19" fillId="0" borderId="0"/>
    <xf numFmtId="0" fontId="1" fillId="0" borderId="0"/>
    <xf numFmtId="0" fontId="4" fillId="24" borderId="8" applyNumberFormat="0" applyFont="0" applyAlignment="0" applyProtection="0"/>
    <xf numFmtId="0" fontId="20" fillId="21" borderId="9" applyNumberFormat="0" applyAlignment="0" applyProtection="0"/>
    <xf numFmtId="9" fontId="4" fillId="0" borderId="0" applyFont="0" applyFill="0" applyBorder="0" applyAlignment="0" applyProtection="0"/>
    <xf numFmtId="0" fontId="21" fillId="0" borderId="0" applyNumberFormat="0" applyFill="0" applyBorder="0" applyAlignment="0" applyProtection="0"/>
    <xf numFmtId="0" fontId="22" fillId="0" borderId="10" applyNumberFormat="0" applyFill="0" applyAlignment="0" applyProtection="0"/>
    <xf numFmtId="0" fontId="23" fillId="0" borderId="0" applyNumberFormat="0" applyFill="0" applyBorder="0" applyAlignment="0" applyProtection="0"/>
    <xf numFmtId="164" fontId="3" fillId="0" borderId="0" applyFont="0" applyFill="0" applyBorder="0" applyAlignment="0" applyProtection="0"/>
    <xf numFmtId="166" fontId="2"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9" fontId="1" fillId="0" borderId="0" applyFont="0" applyFill="0" applyBorder="0" applyAlignment="0" applyProtection="0"/>
    <xf numFmtId="168" fontId="3" fillId="0" borderId="0"/>
    <xf numFmtId="168" fontId="3" fillId="0" borderId="0"/>
    <xf numFmtId="37" fontId="24" fillId="0" borderId="0"/>
    <xf numFmtId="168" fontId="3" fillId="0" borderId="0"/>
  </cellStyleXfs>
  <cellXfs count="184">
    <xf numFmtId="0" fontId="0" fillId="0" borderId="0" xfId="0"/>
    <xf numFmtId="0" fontId="25" fillId="0" borderId="0" xfId="4" applyFont="1"/>
    <xf numFmtId="0" fontId="26" fillId="0" borderId="0" xfId="4" applyFont="1"/>
    <xf numFmtId="0" fontId="26" fillId="0" borderId="0" xfId="4" applyFont="1" applyAlignment="1">
      <alignment horizontal="center"/>
    </xf>
    <xf numFmtId="0" fontId="25" fillId="0" borderId="0" xfId="4" quotePrefix="1" applyFont="1" applyAlignment="1">
      <alignment horizontal="right" vertical="center"/>
    </xf>
    <xf numFmtId="0" fontId="26" fillId="0" borderId="0" xfId="4" applyFont="1" applyAlignment="1">
      <alignment vertical="center"/>
    </xf>
    <xf numFmtId="0" fontId="27" fillId="0" borderId="0" xfId="0" applyFont="1" applyAlignment="1">
      <alignment vertical="center"/>
    </xf>
    <xf numFmtId="0" fontId="28" fillId="0" borderId="0" xfId="3" applyNumberFormat="1" applyFont="1" applyFill="1" applyBorder="1" applyAlignment="1" applyProtection="1">
      <alignment vertical="center"/>
    </xf>
    <xf numFmtId="0" fontId="28" fillId="0" borderId="0" xfId="3" applyNumberFormat="1" applyFont="1" applyAlignment="1">
      <alignment vertical="center"/>
    </xf>
    <xf numFmtId="0" fontId="28" fillId="0" borderId="0" xfId="3" applyNumberFormat="1" applyFont="1" applyAlignment="1">
      <alignment horizontal="center" vertical="center"/>
    </xf>
    <xf numFmtId="0" fontId="28" fillId="0" borderId="0" xfId="4" applyFont="1" applyAlignment="1">
      <alignment horizontal="left" vertical="center"/>
    </xf>
    <xf numFmtId="0" fontId="25" fillId="0" borderId="0" xfId="3" applyNumberFormat="1" applyFont="1" applyAlignment="1">
      <alignment horizontal="center" vertical="center"/>
    </xf>
    <xf numFmtId="0" fontId="25" fillId="0" borderId="0" xfId="0" applyFont="1" applyAlignment="1">
      <alignment vertical="center"/>
    </xf>
    <xf numFmtId="0" fontId="26" fillId="0" borderId="0" xfId="4" applyFont="1" applyAlignment="1">
      <alignment horizontal="center" vertical="center"/>
    </xf>
    <xf numFmtId="0" fontId="25" fillId="0" borderId="0" xfId="4" applyFont="1" applyAlignment="1"/>
    <xf numFmtId="0" fontId="25" fillId="0" borderId="0" xfId="4" applyFont="1" applyAlignment="1">
      <alignment horizontal="center"/>
    </xf>
    <xf numFmtId="0" fontId="29" fillId="0" borderId="14" xfId="4" applyFont="1" applyFill="1" applyBorder="1" applyAlignment="1">
      <alignment horizontal="center" vertical="center"/>
    </xf>
    <xf numFmtId="0" fontId="29" fillId="0" borderId="14" xfId="4" applyFont="1" applyFill="1" applyBorder="1" applyAlignment="1">
      <alignment horizontal="center" vertical="center" wrapText="1"/>
    </xf>
    <xf numFmtId="0" fontId="26" fillId="0" borderId="22" xfId="4" applyFont="1" applyBorder="1" applyAlignment="1">
      <alignment horizontal="center" vertical="center"/>
    </xf>
    <xf numFmtId="0" fontId="26" fillId="0" borderId="22" xfId="4" applyFont="1" applyBorder="1" applyAlignment="1">
      <alignment vertical="center"/>
    </xf>
    <xf numFmtId="0" fontId="26" fillId="0" borderId="22" xfId="4" applyFont="1" applyBorder="1"/>
    <xf numFmtId="0" fontId="26" fillId="0" borderId="16" xfId="4" applyFont="1" applyBorder="1" applyAlignment="1">
      <alignment horizontal="center" vertical="center"/>
    </xf>
    <xf numFmtId="0" fontId="26" fillId="0" borderId="16" xfId="4" applyFont="1" applyBorder="1" applyAlignment="1">
      <alignment vertical="center"/>
    </xf>
    <xf numFmtId="0" fontId="26" fillId="0" borderId="16" xfId="4" applyFont="1" applyBorder="1"/>
    <xf numFmtId="0" fontId="26" fillId="0" borderId="16" xfId="4" applyFont="1" applyBorder="1" applyAlignment="1">
      <alignment horizontal="left" vertical="center"/>
    </xf>
    <xf numFmtId="0" fontId="25" fillId="0" borderId="0" xfId="4" applyFont="1" applyAlignment="1">
      <alignment vertical="center"/>
    </xf>
    <xf numFmtId="0" fontId="25" fillId="2" borderId="0" xfId="2" applyFont="1" applyFill="1" applyAlignment="1">
      <alignment horizontal="left" vertical="center"/>
    </xf>
    <xf numFmtId="0" fontId="25" fillId="0" borderId="0" xfId="4" applyFont="1" applyAlignment="1">
      <alignment horizontal="right" vertical="center"/>
    </xf>
    <xf numFmtId="0" fontId="29" fillId="0" borderId="14" xfId="0" quotePrefix="1" applyFont="1" applyFill="1" applyBorder="1" applyAlignment="1">
      <alignment horizontal="center" vertical="center" wrapText="1"/>
    </xf>
    <xf numFmtId="0" fontId="29" fillId="0" borderId="14" xfId="0" applyFont="1" applyFill="1" applyBorder="1" applyAlignment="1">
      <alignment horizontal="center" vertical="top"/>
    </xf>
    <xf numFmtId="0" fontId="29" fillId="0" borderId="0" xfId="0" applyFont="1" applyAlignment="1">
      <alignment horizontal="center" vertical="top"/>
    </xf>
    <xf numFmtId="0" fontId="27" fillId="0" borderId="0" xfId="0" applyFont="1" applyAlignment="1">
      <alignment vertical="top"/>
    </xf>
    <xf numFmtId="0" fontId="29" fillId="0" borderId="14" xfId="0" applyFont="1" applyFill="1" applyBorder="1" applyAlignment="1">
      <alignment horizontal="center" vertical="center"/>
    </xf>
    <xf numFmtId="0" fontId="29" fillId="0" borderId="14" xfId="0" applyFont="1" applyFill="1" applyBorder="1" applyAlignment="1">
      <alignment horizontal="center" vertical="center" wrapText="1"/>
    </xf>
    <xf numFmtId="0" fontId="29" fillId="0" borderId="0" xfId="0" applyFont="1" applyAlignment="1">
      <alignment horizontal="center" vertical="center"/>
    </xf>
    <xf numFmtId="0" fontId="29" fillId="0" borderId="24" xfId="0" quotePrefix="1" applyFont="1" applyFill="1" applyBorder="1" applyAlignment="1">
      <alignment horizontal="center" vertical="center" wrapText="1"/>
    </xf>
    <xf numFmtId="0" fontId="29" fillId="0" borderId="24" xfId="0" applyFont="1" applyFill="1" applyBorder="1" applyAlignment="1">
      <alignment horizontal="center" vertical="center"/>
    </xf>
    <xf numFmtId="0" fontId="29" fillId="0" borderId="24" xfId="0" applyFont="1" applyFill="1" applyBorder="1" applyAlignment="1">
      <alignment horizontal="center" vertical="center" wrapText="1"/>
    </xf>
    <xf numFmtId="0" fontId="27" fillId="0" borderId="15" xfId="0" quotePrefix="1" applyFont="1" applyBorder="1" applyAlignment="1">
      <alignment horizontal="center" vertical="center" wrapText="1"/>
    </xf>
    <xf numFmtId="0" fontId="27" fillId="0" borderId="15" xfId="0" applyFont="1" applyBorder="1" applyAlignment="1">
      <alignment vertical="center" wrapText="1"/>
    </xf>
    <xf numFmtId="0" fontId="27" fillId="0" borderId="15" xfId="0" applyFont="1" applyBorder="1" applyAlignment="1">
      <alignment vertical="center"/>
    </xf>
    <xf numFmtId="0" fontId="27" fillId="0" borderId="16" xfId="0" quotePrefix="1" applyFont="1" applyBorder="1" applyAlignment="1">
      <alignment horizontal="center" vertical="center" wrapText="1"/>
    </xf>
    <xf numFmtId="0" fontId="27" fillId="0" borderId="16" xfId="0" applyFont="1" applyBorder="1" applyAlignment="1">
      <alignment vertical="center" wrapText="1"/>
    </xf>
    <xf numFmtId="0" fontId="27" fillId="0" borderId="16" xfId="0" applyFont="1" applyBorder="1" applyAlignment="1">
      <alignment vertical="center"/>
    </xf>
    <xf numFmtId="0" fontId="27" fillId="0" borderId="0" xfId="0" applyFont="1" applyAlignment="1">
      <alignment vertical="center" wrapText="1"/>
    </xf>
    <xf numFmtId="0" fontId="27" fillId="0" borderId="16" xfId="0" applyFont="1" applyBorder="1" applyAlignment="1">
      <alignment horizontal="center" vertical="center" wrapText="1"/>
    </xf>
    <xf numFmtId="0" fontId="27" fillId="0" borderId="0" xfId="0" quotePrefix="1" applyFont="1" applyAlignment="1">
      <alignment horizontal="center" vertical="top" wrapText="1"/>
    </xf>
    <xf numFmtId="0" fontId="27" fillId="0" borderId="0" xfId="0" applyFont="1" applyAlignment="1">
      <alignment wrapText="1"/>
    </xf>
    <xf numFmtId="0" fontId="27" fillId="0" borderId="0" xfId="0" applyFont="1" applyAlignment="1">
      <alignment vertical="top" wrapText="1"/>
    </xf>
    <xf numFmtId="0" fontId="27" fillId="0" borderId="0" xfId="0" applyFont="1" applyAlignment="1">
      <alignment vertical="justify" wrapText="1"/>
    </xf>
    <xf numFmtId="0" fontId="29" fillId="0" borderId="14" xfId="0" applyFont="1" applyFill="1" applyBorder="1" applyAlignment="1">
      <alignment horizontal="center" vertical="top" wrapText="1"/>
    </xf>
    <xf numFmtId="0" fontId="26" fillId="2" borderId="0" xfId="2" applyFont="1" applyFill="1" applyAlignment="1">
      <alignment vertical="center"/>
    </xf>
    <xf numFmtId="0" fontId="26" fillId="2" borderId="15" xfId="2" quotePrefix="1" applyFont="1" applyFill="1" applyBorder="1" applyAlignment="1">
      <alignment horizontal="center" vertical="center" wrapText="1"/>
    </xf>
    <xf numFmtId="0" fontId="26" fillId="2" borderId="15" xfId="2" applyFont="1" applyFill="1" applyBorder="1" applyAlignment="1">
      <alignment vertical="center" wrapText="1"/>
    </xf>
    <xf numFmtId="0" fontId="26" fillId="2" borderId="0" xfId="2" applyFont="1" applyFill="1" applyAlignment="1">
      <alignment vertical="center" wrapText="1"/>
    </xf>
    <xf numFmtId="0" fontId="26" fillId="2" borderId="16" xfId="2" quotePrefix="1" applyFont="1" applyFill="1" applyBorder="1" applyAlignment="1">
      <alignment horizontal="center" vertical="center" wrapText="1"/>
    </xf>
    <xf numFmtId="0" fontId="26" fillId="2" borderId="16" xfId="2" applyFont="1" applyFill="1" applyBorder="1" applyAlignment="1">
      <alignment vertical="center" wrapText="1"/>
    </xf>
    <xf numFmtId="0" fontId="26" fillId="2" borderId="0" xfId="2" quotePrefix="1" applyFont="1" applyFill="1" applyAlignment="1">
      <alignment horizontal="center" vertical="center"/>
    </xf>
    <xf numFmtId="0" fontId="26" fillId="2" borderId="0" xfId="2" applyFont="1" applyFill="1" applyAlignment="1">
      <alignment vertical="justify"/>
    </xf>
    <xf numFmtId="0" fontId="25" fillId="2" borderId="0" xfId="2" applyFont="1" applyFill="1" applyAlignment="1">
      <alignment vertical="center"/>
    </xf>
    <xf numFmtId="0" fontId="25" fillId="2" borderId="0" xfId="2" applyFont="1" applyFill="1" applyAlignment="1">
      <alignment horizontal="right" vertical="center"/>
    </xf>
    <xf numFmtId="0" fontId="26" fillId="2" borderId="0" xfId="2" applyFont="1" applyFill="1" applyAlignment="1">
      <alignment horizontal="center" vertical="center"/>
    </xf>
    <xf numFmtId="0" fontId="30" fillId="0" borderId="0" xfId="3" applyNumberFormat="1" applyFont="1" applyFill="1" applyBorder="1" applyAlignment="1" applyProtection="1">
      <alignment vertical="center"/>
    </xf>
    <xf numFmtId="0" fontId="25" fillId="2" borderId="0" xfId="2" applyFont="1" applyFill="1" applyAlignment="1">
      <alignment horizontal="left" vertical="center" indent="1"/>
    </xf>
    <xf numFmtId="0" fontId="26" fillId="2" borderId="0" xfId="2" applyFont="1" applyFill="1" applyAlignment="1">
      <alignment horizontal="left" vertical="top" wrapText="1" indent="2"/>
    </xf>
    <xf numFmtId="0" fontId="26" fillId="2" borderId="0" xfId="2" applyFont="1" applyFill="1" applyAlignment="1">
      <alignment horizontal="left" vertical="top" wrapText="1"/>
    </xf>
    <xf numFmtId="0" fontId="26" fillId="2" borderId="0" xfId="2" applyFont="1" applyFill="1" applyAlignment="1">
      <alignment horizontal="left" vertical="center" indent="2"/>
    </xf>
    <xf numFmtId="0" fontId="26" fillId="0" borderId="0" xfId="0" applyFont="1" applyAlignment="1">
      <alignment horizontal="left" vertical="center" wrapText="1" indent="2"/>
    </xf>
    <xf numFmtId="0" fontId="26" fillId="0" borderId="0" xfId="0" applyFont="1" applyAlignment="1">
      <alignment horizontal="left" vertical="center" indent="2"/>
    </xf>
    <xf numFmtId="0" fontId="26" fillId="0" borderId="0" xfId="0" applyFont="1" applyAlignment="1">
      <alignment horizontal="left" vertical="center" wrapText="1" indent="3"/>
    </xf>
    <xf numFmtId="0" fontId="26" fillId="0" borderId="0" xfId="0" applyFont="1" applyAlignment="1">
      <alignment vertical="center"/>
    </xf>
    <xf numFmtId="0" fontId="27" fillId="0" borderId="0" xfId="0" applyFont="1" applyAlignment="1">
      <alignment horizontal="left" vertical="center" indent="2"/>
    </xf>
    <xf numFmtId="0" fontId="29" fillId="0" borderId="14" xfId="2" applyFont="1" applyFill="1" applyBorder="1" applyAlignment="1">
      <alignment horizontal="center" vertical="center" wrapText="1"/>
    </xf>
    <xf numFmtId="0" fontId="29" fillId="0" borderId="14" xfId="2" applyFont="1" applyFill="1" applyBorder="1" applyAlignment="1">
      <alignment horizontal="center" vertical="center"/>
    </xf>
    <xf numFmtId="0" fontId="29" fillId="0" borderId="17" xfId="2" applyFont="1" applyFill="1" applyBorder="1" applyAlignment="1">
      <alignment horizontal="center" vertical="center"/>
    </xf>
    <xf numFmtId="0" fontId="27" fillId="0" borderId="0" xfId="0" applyFont="1" applyBorder="1" applyAlignment="1">
      <alignment vertical="center"/>
    </xf>
    <xf numFmtId="0" fontId="26" fillId="2" borderId="22" xfId="2" applyFont="1" applyFill="1" applyBorder="1" applyAlignment="1">
      <alignment horizontal="left" vertical="center" indent="1"/>
    </xf>
    <xf numFmtId="0" fontId="26" fillId="2" borderId="22" xfId="2" applyFont="1" applyFill="1" applyBorder="1" applyAlignment="1">
      <alignment vertical="center"/>
    </xf>
    <xf numFmtId="165" fontId="25" fillId="2" borderId="22" xfId="1" applyNumberFormat="1" applyFont="1" applyFill="1" applyBorder="1" applyAlignment="1">
      <alignment horizontal="right" vertical="center"/>
    </xf>
    <xf numFmtId="165" fontId="26" fillId="2" borderId="22" xfId="1" applyNumberFormat="1" applyFont="1" applyFill="1" applyBorder="1" applyAlignment="1">
      <alignment horizontal="right" vertical="center"/>
    </xf>
    <xf numFmtId="0" fontId="25" fillId="2" borderId="23" xfId="2" applyFont="1" applyFill="1" applyBorder="1" applyAlignment="1">
      <alignment horizontal="left" vertical="center" wrapText="1" indent="1"/>
    </xf>
    <xf numFmtId="0" fontId="26" fillId="2" borderId="23" xfId="2" applyFont="1" applyFill="1" applyBorder="1" applyAlignment="1">
      <alignment vertical="center"/>
    </xf>
    <xf numFmtId="165" fontId="26" fillId="2" borderId="23" xfId="1" applyNumberFormat="1" applyFont="1" applyFill="1" applyBorder="1" applyAlignment="1">
      <alignment horizontal="right" vertical="center"/>
    </xf>
    <xf numFmtId="0" fontId="26" fillId="2" borderId="16" xfId="2" applyFont="1" applyFill="1" applyBorder="1" applyAlignment="1">
      <alignment horizontal="left" vertical="center" indent="3"/>
    </xf>
    <xf numFmtId="0" fontId="26" fillId="2" borderId="16" xfId="2" applyFont="1" applyFill="1" applyBorder="1" applyAlignment="1">
      <alignment vertical="center"/>
    </xf>
    <xf numFmtId="165" fontId="26" fillId="2" borderId="16" xfId="1" applyNumberFormat="1" applyFont="1" applyFill="1" applyBorder="1" applyAlignment="1">
      <alignment horizontal="center" vertical="center"/>
    </xf>
    <xf numFmtId="165" fontId="26" fillId="2" borderId="16" xfId="1" applyNumberFormat="1" applyFont="1" applyFill="1" applyBorder="1" applyAlignment="1">
      <alignment horizontal="right" vertical="center"/>
    </xf>
    <xf numFmtId="0" fontId="26" fillId="2" borderId="16" xfId="2" applyFont="1" applyFill="1" applyBorder="1" applyAlignment="1">
      <alignment horizontal="left" vertical="center" indent="2"/>
    </xf>
    <xf numFmtId="9" fontId="26" fillId="2" borderId="16" xfId="70" applyFont="1" applyFill="1" applyBorder="1" applyAlignment="1">
      <alignment horizontal="center" vertical="center"/>
    </xf>
    <xf numFmtId="0" fontId="26" fillId="2" borderId="16" xfId="2" applyFont="1" applyFill="1" applyBorder="1" applyAlignment="1">
      <alignment horizontal="left" vertical="center"/>
    </xf>
    <xf numFmtId="0" fontId="25" fillId="2" borderId="16" xfId="2" applyFont="1" applyFill="1" applyBorder="1" applyAlignment="1">
      <alignment horizontal="center" vertical="center"/>
    </xf>
    <xf numFmtId="0" fontId="26" fillId="0" borderId="0" xfId="2" applyFont="1" applyAlignment="1">
      <alignment horizontal="left" vertical="center"/>
    </xf>
    <xf numFmtId="0" fontId="26" fillId="0" borderId="0" xfId="2" applyFont="1" applyAlignment="1">
      <alignment horizontal="center" vertical="center" wrapText="1"/>
    </xf>
    <xf numFmtId="0" fontId="25" fillId="0" borderId="0" xfId="2" applyFont="1" applyAlignment="1">
      <alignment horizontal="right" vertical="center" wrapText="1"/>
    </xf>
    <xf numFmtId="0" fontId="26" fillId="0" borderId="0" xfId="2" applyFont="1" applyAlignment="1">
      <alignment vertical="center"/>
    </xf>
    <xf numFmtId="0" fontId="25" fillId="0" borderId="0" xfId="2" applyFont="1" applyAlignment="1">
      <alignment horizontal="center" vertical="center" wrapText="1"/>
    </xf>
    <xf numFmtId="0" fontId="25" fillId="0" borderId="0" xfId="3" applyNumberFormat="1" applyFont="1" applyFill="1" applyBorder="1" applyAlignment="1" applyProtection="1">
      <alignment vertical="center"/>
    </xf>
    <xf numFmtId="0" fontId="25" fillId="0" borderId="0" xfId="3" applyNumberFormat="1" applyFont="1" applyFill="1" applyAlignment="1">
      <alignment horizontal="left" vertical="center"/>
    </xf>
    <xf numFmtId="0" fontId="26" fillId="0" borderId="0" xfId="4" applyFont="1" applyAlignment="1">
      <alignment horizontal="center" wrapText="1"/>
    </xf>
    <xf numFmtId="0" fontId="25" fillId="0" borderId="0" xfId="2" applyFont="1" applyAlignment="1">
      <alignment vertical="center"/>
    </xf>
    <xf numFmtId="0" fontId="25" fillId="0" borderId="0" xfId="2" applyFont="1" applyAlignment="1">
      <alignment horizontal="left" vertical="center"/>
    </xf>
    <xf numFmtId="0" fontId="25" fillId="25" borderId="0" xfId="10" applyFont="1" applyFill="1" applyAlignment="1">
      <alignment horizontal="center" vertical="center" wrapText="1"/>
    </xf>
    <xf numFmtId="0" fontId="25" fillId="0" borderId="0" xfId="10" applyFont="1" applyAlignment="1">
      <alignment horizontal="center" vertical="center" wrapText="1"/>
    </xf>
    <xf numFmtId="37" fontId="29" fillId="0" borderId="14" xfId="73" applyFont="1" applyFill="1" applyBorder="1" applyAlignment="1">
      <alignment horizontal="center" vertical="center" wrapText="1"/>
    </xf>
    <xf numFmtId="0" fontId="29" fillId="0" borderId="14" xfId="1" applyNumberFormat="1" applyFont="1" applyFill="1" applyBorder="1" applyAlignment="1" applyProtection="1">
      <alignment horizontal="center" vertical="center" wrapText="1"/>
    </xf>
    <xf numFmtId="0" fontId="25" fillId="25" borderId="0" xfId="10" applyFont="1" applyFill="1" applyAlignment="1">
      <alignment horizontal="left" vertical="center"/>
    </xf>
    <xf numFmtId="0" fontId="25" fillId="25" borderId="0" xfId="10" applyFont="1" applyFill="1" applyAlignment="1">
      <alignment horizontal="center" vertical="center" wrapText="1"/>
    </xf>
    <xf numFmtId="37" fontId="29" fillId="0" borderId="14" xfId="73" applyFont="1" applyFill="1" applyBorder="1" applyAlignment="1">
      <alignment horizontal="center" vertical="center" wrapText="1"/>
    </xf>
    <xf numFmtId="168" fontId="29" fillId="0" borderId="14" xfId="72" applyFont="1" applyFill="1" applyBorder="1" applyAlignment="1">
      <alignment horizontal="center" vertical="center" textRotation="90"/>
    </xf>
    <xf numFmtId="37" fontId="32" fillId="0" borderId="0" xfId="73" applyFont="1" applyAlignment="1">
      <alignment horizontal="center" vertical="center" wrapText="1"/>
    </xf>
    <xf numFmtId="0" fontId="26" fillId="25" borderId="15" xfId="10" applyFont="1" applyFill="1" applyBorder="1" applyAlignment="1">
      <alignment horizontal="center" vertical="center" wrapText="1"/>
    </xf>
    <xf numFmtId="0" fontId="25" fillId="0" borderId="0" xfId="10" applyFont="1" applyAlignment="1">
      <alignment horizontal="left" vertical="center"/>
    </xf>
    <xf numFmtId="165" fontId="26" fillId="0" borderId="16" xfId="69" applyNumberFormat="1" applyFont="1" applyFill="1" applyBorder="1" applyAlignment="1">
      <alignment horizontal="center" vertical="center" wrapText="1"/>
    </xf>
    <xf numFmtId="168" fontId="32" fillId="0" borderId="12" xfId="72" applyFont="1" applyFill="1" applyBorder="1" applyAlignment="1">
      <alignment horizontal="center" vertical="center"/>
    </xf>
    <xf numFmtId="37" fontId="32" fillId="0" borderId="12" xfId="73" applyFont="1" applyFill="1" applyBorder="1" applyAlignment="1">
      <alignment horizontal="center" vertical="center" wrapText="1"/>
    </xf>
    <xf numFmtId="0" fontId="26" fillId="0" borderId="16" xfId="10" applyFont="1" applyBorder="1" applyAlignment="1">
      <alignment horizontal="center" vertical="center" wrapText="1"/>
    </xf>
    <xf numFmtId="168" fontId="32" fillId="0" borderId="13" xfId="72" applyFont="1" applyFill="1" applyBorder="1" applyAlignment="1">
      <alignment horizontal="center" vertical="center"/>
    </xf>
    <xf numFmtId="37" fontId="29" fillId="0" borderId="0" xfId="73" applyFont="1" applyFill="1" applyAlignment="1">
      <alignment horizontal="center" vertical="center" wrapText="1"/>
    </xf>
    <xf numFmtId="165" fontId="26" fillId="0" borderId="0" xfId="69" applyNumberFormat="1" applyFont="1" applyFill="1" applyBorder="1" applyAlignment="1">
      <alignment horizontal="center" vertical="center" wrapText="1"/>
    </xf>
    <xf numFmtId="165" fontId="26" fillId="0" borderId="21" xfId="69" applyNumberFormat="1" applyFont="1" applyFill="1" applyBorder="1" applyAlignment="1">
      <alignment horizontal="center" vertical="center" wrapText="1"/>
    </xf>
    <xf numFmtId="0" fontId="26" fillId="0" borderId="0" xfId="10" applyFont="1" applyAlignment="1">
      <alignment vertical="center"/>
    </xf>
    <xf numFmtId="0" fontId="26" fillId="0" borderId="0" xfId="10" applyFont="1" applyAlignment="1">
      <alignment vertical="center"/>
    </xf>
    <xf numFmtId="0" fontId="29" fillId="0" borderId="0" xfId="0" applyFont="1"/>
    <xf numFmtId="0" fontId="27" fillId="0" borderId="0" xfId="0" applyFont="1"/>
    <xf numFmtId="0" fontId="27" fillId="0" borderId="0" xfId="0" applyFont="1" applyAlignment="1">
      <alignment horizontal="center" vertical="center" wrapText="1"/>
    </xf>
    <xf numFmtId="0" fontId="29" fillId="0" borderId="0" xfId="0" applyFont="1" applyAlignment="1">
      <alignment horizontal="right"/>
    </xf>
    <xf numFmtId="0" fontId="27" fillId="0" borderId="0" xfId="0" applyFont="1" applyAlignment="1">
      <alignment horizontal="left" vertical="center" wrapText="1"/>
    </xf>
    <xf numFmtId="0" fontId="27" fillId="0" borderId="11" xfId="0" applyFont="1" applyBorder="1" applyAlignment="1">
      <alignment horizontal="center" vertical="center" wrapText="1"/>
    </xf>
    <xf numFmtId="0" fontId="29" fillId="0" borderId="0" xfId="0" applyFont="1" applyAlignment="1"/>
    <xf numFmtId="0" fontId="29" fillId="0" borderId="0" xfId="2" applyFont="1" applyAlignment="1">
      <alignment vertical="center"/>
    </xf>
    <xf numFmtId="0" fontId="27" fillId="0" borderId="0" xfId="2" applyFont="1" applyAlignment="1">
      <alignment horizontal="left" vertical="center" indent="1"/>
    </xf>
    <xf numFmtId="0" fontId="29" fillId="0" borderId="17" xfId="0" applyFont="1" applyFill="1" applyBorder="1" applyAlignment="1">
      <alignment horizontal="center" vertical="center"/>
    </xf>
    <xf numFmtId="0" fontId="29" fillId="0" borderId="17" xfId="0" applyFont="1" applyFill="1" applyBorder="1" applyAlignment="1">
      <alignment horizontal="center" vertical="center" wrapText="1"/>
    </xf>
    <xf numFmtId="0" fontId="27" fillId="0" borderId="0" xfId="0" applyFont="1" applyBorder="1"/>
    <xf numFmtId="0" fontId="27" fillId="0" borderId="22" xfId="0" applyFont="1" applyBorder="1"/>
    <xf numFmtId="0" fontId="27" fillId="0" borderId="22" xfId="0" applyFont="1" applyBorder="1" applyAlignment="1">
      <alignment horizontal="center" vertical="center" wrapText="1"/>
    </xf>
    <xf numFmtId="0" fontId="27" fillId="0" borderId="23" xfId="0" applyFont="1" applyBorder="1"/>
    <xf numFmtId="0" fontId="27" fillId="0" borderId="23" xfId="0" applyFont="1" applyBorder="1" applyAlignment="1">
      <alignment horizontal="center" vertical="center" wrapText="1"/>
    </xf>
    <xf numFmtId="0" fontId="27" fillId="0" borderId="16" xfId="0" applyFont="1" applyBorder="1"/>
    <xf numFmtId="165" fontId="27" fillId="0" borderId="0" xfId="1" applyNumberFormat="1" applyFont="1"/>
    <xf numFmtId="165" fontId="29" fillId="0" borderId="17" xfId="1" applyNumberFormat="1" applyFont="1" applyFill="1" applyBorder="1" applyAlignment="1">
      <alignment horizontal="center" vertical="center" wrapText="1"/>
    </xf>
    <xf numFmtId="0" fontId="29" fillId="0" borderId="0" xfId="0" applyFont="1" applyFill="1" applyAlignment="1">
      <alignment horizontal="center" vertical="center"/>
    </xf>
    <xf numFmtId="165" fontId="27" fillId="0" borderId="22" xfId="1" applyNumberFormat="1" applyFont="1" applyBorder="1"/>
    <xf numFmtId="165" fontId="27" fillId="0" borderId="23" xfId="1" applyNumberFormat="1" applyFont="1" applyBorder="1"/>
    <xf numFmtId="165" fontId="27" fillId="0" borderId="16" xfId="1" applyNumberFormat="1" applyFont="1" applyBorder="1"/>
    <xf numFmtId="0" fontId="26" fillId="0" borderId="0" xfId="0" applyFont="1" applyAlignment="1">
      <alignment horizontal="left" vertical="center" indent="1"/>
    </xf>
    <xf numFmtId="0" fontId="27" fillId="0" borderId="0" xfId="2" applyFont="1" applyAlignment="1">
      <alignment vertical="center"/>
    </xf>
    <xf numFmtId="0" fontId="29" fillId="0" borderId="0" xfId="2" applyFont="1" applyAlignment="1">
      <alignment horizontal="right" vertical="center"/>
    </xf>
    <xf numFmtId="0" fontId="27" fillId="0" borderId="0" xfId="2" applyFont="1" applyAlignment="1">
      <alignment horizontal="center" vertical="center"/>
    </xf>
    <xf numFmtId="9" fontId="27" fillId="0" borderId="0" xfId="70" applyFont="1" applyFill="1" applyBorder="1" applyAlignment="1">
      <alignment vertical="center"/>
    </xf>
    <xf numFmtId="0" fontId="27" fillId="0" borderId="0" xfId="4" applyFont="1"/>
    <xf numFmtId="0" fontId="29" fillId="0" borderId="0" xfId="3" applyNumberFormat="1" applyFont="1" applyFill="1" applyBorder="1" applyAlignment="1" applyProtection="1">
      <alignment vertical="center"/>
    </xf>
    <xf numFmtId="0" fontId="29" fillId="0" borderId="0" xfId="3" applyNumberFormat="1" applyFont="1" applyFill="1" applyAlignment="1">
      <alignment horizontal="left" vertical="center"/>
    </xf>
    <xf numFmtId="164" fontId="29" fillId="0" borderId="0" xfId="3" applyFont="1" applyFill="1" applyAlignment="1">
      <alignment vertical="center"/>
    </xf>
    <xf numFmtId="164" fontId="29" fillId="0" borderId="0" xfId="3" applyFont="1" applyFill="1" applyAlignment="1"/>
    <xf numFmtId="0" fontId="33" fillId="0" borderId="0" xfId="0" applyFont="1" applyAlignment="1">
      <alignment vertical="center"/>
    </xf>
    <xf numFmtId="9" fontId="27" fillId="0" borderId="0" xfId="70" applyFont="1" applyFill="1" applyBorder="1"/>
    <xf numFmtId="9" fontId="27" fillId="0" borderId="0" xfId="70" applyFont="1" applyFill="1"/>
    <xf numFmtId="0" fontId="29" fillId="0" borderId="0" xfId="2" applyFont="1" applyAlignment="1">
      <alignment vertical="center" wrapText="1"/>
    </xf>
    <xf numFmtId="0" fontId="29" fillId="0" borderId="0" xfId="0" applyFont="1" applyAlignment="1">
      <alignment horizontal="left" indent="1"/>
    </xf>
    <xf numFmtId="0" fontId="29" fillId="0" borderId="0" xfId="2" applyFont="1" applyAlignment="1">
      <alignment horizontal="left" vertical="center" indent="1"/>
    </xf>
    <xf numFmtId="0" fontId="31" fillId="0" borderId="0" xfId="0" applyFont="1" applyAlignment="1">
      <alignment horizontal="left" vertical="center" indent="2"/>
    </xf>
    <xf numFmtId="0" fontId="29" fillId="0" borderId="0" xfId="2" applyFont="1" applyAlignment="1">
      <alignment horizontal="center" vertical="center" wrapText="1"/>
    </xf>
    <xf numFmtId="0" fontId="29" fillId="0" borderId="0" xfId="10" applyFont="1" applyAlignment="1">
      <alignment horizontal="left" vertical="center"/>
    </xf>
    <xf numFmtId="0" fontId="29" fillId="0" borderId="14" xfId="10" applyFont="1" applyFill="1" applyBorder="1" applyAlignment="1">
      <alignment horizontal="center" vertical="center" wrapText="1"/>
    </xf>
    <xf numFmtId="37" fontId="29" fillId="0" borderId="14" xfId="10" applyNumberFormat="1" applyFont="1" applyFill="1" applyBorder="1" applyAlignment="1">
      <alignment horizontal="center" vertical="center" wrapText="1"/>
    </xf>
    <xf numFmtId="0" fontId="29" fillId="0" borderId="17" xfId="0" applyFont="1" applyBorder="1"/>
    <xf numFmtId="0" fontId="29" fillId="0" borderId="18" xfId="0" applyFont="1" applyBorder="1"/>
    <xf numFmtId="0" fontId="29" fillId="0" borderId="20" xfId="0" applyFont="1" applyBorder="1"/>
    <xf numFmtId="0" fontId="29" fillId="0" borderId="19" xfId="0" applyFont="1" applyBorder="1"/>
    <xf numFmtId="0" fontId="29" fillId="0" borderId="21" xfId="0" applyFont="1" applyBorder="1"/>
    <xf numFmtId="0" fontId="34" fillId="0" borderId="0" xfId="0" applyFont="1" applyAlignment="1">
      <alignment horizontal="left" vertical="center" indent="2"/>
    </xf>
    <xf numFmtId="0" fontId="27" fillId="0" borderId="22" xfId="0" quotePrefix="1" applyFont="1" applyBorder="1" applyAlignment="1">
      <alignment horizontal="center" vertical="center" wrapText="1"/>
    </xf>
    <xf numFmtId="0" fontId="27" fillId="0" borderId="22" xfId="0" applyFont="1" applyBorder="1" applyAlignment="1">
      <alignment vertical="center"/>
    </xf>
    <xf numFmtId="0" fontId="27" fillId="0" borderId="16" xfId="0" applyFont="1" applyBorder="1" applyAlignment="1">
      <alignment horizontal="center" vertical="center"/>
    </xf>
    <xf numFmtId="0" fontId="28" fillId="0" borderId="0" xfId="3" applyNumberFormat="1" applyFont="1" applyFill="1" applyAlignment="1">
      <alignment vertical="center"/>
    </xf>
    <xf numFmtId="169" fontId="26" fillId="0" borderId="1" xfId="4" applyNumberFormat="1" applyFont="1" applyBorder="1" applyAlignment="1">
      <alignment horizontal="center" vertical="center"/>
    </xf>
    <xf numFmtId="0" fontId="26" fillId="0" borderId="1" xfId="4" applyFont="1" applyBorder="1" applyAlignment="1">
      <alignment horizontal="center" vertical="center"/>
    </xf>
    <xf numFmtId="0" fontId="27" fillId="0" borderId="0" xfId="0" applyFont="1" applyBorder="1" applyAlignment="1">
      <alignment horizontal="center" vertical="center" wrapText="1"/>
    </xf>
    <xf numFmtId="0" fontId="27" fillId="0" borderId="1" xfId="0" applyFont="1" applyBorder="1" applyAlignment="1">
      <alignment horizontal="center" vertical="center" wrapText="1"/>
    </xf>
    <xf numFmtId="0" fontId="26" fillId="0" borderId="0" xfId="4" applyFont="1" applyBorder="1" applyAlignment="1">
      <alignment horizontal="center" wrapText="1"/>
    </xf>
    <xf numFmtId="0" fontId="26" fillId="2" borderId="0" xfId="2" applyFont="1" applyFill="1" applyAlignment="1">
      <alignment vertical="top" wrapText="1"/>
    </xf>
    <xf numFmtId="0" fontId="26" fillId="2" borderId="0" xfId="2" applyFont="1" applyFill="1" applyAlignment="1">
      <alignment vertical="top"/>
    </xf>
    <xf numFmtId="0" fontId="31" fillId="0" borderId="0" xfId="0" applyFont="1" applyAlignment="1">
      <alignment vertical="top"/>
    </xf>
  </cellXfs>
  <cellStyles count="75">
    <cellStyle name="20% - Accent1 2" xfId="15" xr:uid="{00000000-0005-0000-0000-000000000000}"/>
    <cellStyle name="20% - Accent2 2" xfId="16" xr:uid="{00000000-0005-0000-0000-000001000000}"/>
    <cellStyle name="20% - Accent3 2" xfId="17" xr:uid="{00000000-0005-0000-0000-000002000000}"/>
    <cellStyle name="20% - Accent4 2" xfId="18" xr:uid="{00000000-0005-0000-0000-000003000000}"/>
    <cellStyle name="20% - Accent5 2" xfId="19" xr:uid="{00000000-0005-0000-0000-000004000000}"/>
    <cellStyle name="20% - Accent6 2" xfId="20" xr:uid="{00000000-0005-0000-0000-000005000000}"/>
    <cellStyle name="40% - Accent1 2" xfId="21" xr:uid="{00000000-0005-0000-0000-000006000000}"/>
    <cellStyle name="40% - Accent2 2" xfId="22" xr:uid="{00000000-0005-0000-0000-000007000000}"/>
    <cellStyle name="40% - Accent3 2" xfId="23" xr:uid="{00000000-0005-0000-0000-000008000000}"/>
    <cellStyle name="40% - Accent4 2" xfId="24" xr:uid="{00000000-0005-0000-0000-000009000000}"/>
    <cellStyle name="40% - Accent5 2" xfId="25" xr:uid="{00000000-0005-0000-0000-00000A000000}"/>
    <cellStyle name="40% - Accent6 2" xfId="26" xr:uid="{00000000-0005-0000-0000-00000B000000}"/>
    <cellStyle name="60% - Accent1 2" xfId="27" xr:uid="{00000000-0005-0000-0000-00000C000000}"/>
    <cellStyle name="60% - Accent2 2" xfId="28" xr:uid="{00000000-0005-0000-0000-00000D000000}"/>
    <cellStyle name="60% - Accent3 2" xfId="29" xr:uid="{00000000-0005-0000-0000-00000E000000}"/>
    <cellStyle name="60% - Accent4 2" xfId="30" xr:uid="{00000000-0005-0000-0000-00000F000000}"/>
    <cellStyle name="60% - Accent5 2" xfId="31" xr:uid="{00000000-0005-0000-0000-000010000000}"/>
    <cellStyle name="60% - Accent6 2" xfId="32" xr:uid="{00000000-0005-0000-0000-000011000000}"/>
    <cellStyle name="Accent1 2" xfId="33" xr:uid="{00000000-0005-0000-0000-000012000000}"/>
    <cellStyle name="Accent2 2" xfId="34" xr:uid="{00000000-0005-0000-0000-000013000000}"/>
    <cellStyle name="Accent3 2" xfId="35" xr:uid="{00000000-0005-0000-0000-000014000000}"/>
    <cellStyle name="Accent4 2" xfId="36" xr:uid="{00000000-0005-0000-0000-000015000000}"/>
    <cellStyle name="Accent5 2" xfId="37" xr:uid="{00000000-0005-0000-0000-000016000000}"/>
    <cellStyle name="Accent6 2" xfId="38" xr:uid="{00000000-0005-0000-0000-000017000000}"/>
    <cellStyle name="Bad 2" xfId="39" xr:uid="{00000000-0005-0000-0000-000018000000}"/>
    <cellStyle name="Calculation 2" xfId="40" xr:uid="{00000000-0005-0000-0000-000019000000}"/>
    <cellStyle name="Check Cell 2" xfId="41" xr:uid="{00000000-0005-0000-0000-00001A000000}"/>
    <cellStyle name="Comma" xfId="1" builtinId="3"/>
    <cellStyle name="Comma 19" xfId="69" xr:uid="{00000000-0005-0000-0000-00001C000000}"/>
    <cellStyle name="Comma 2" xfId="5" xr:uid="{00000000-0005-0000-0000-00001D000000}"/>
    <cellStyle name="Comma 2 2" xfId="42" xr:uid="{00000000-0005-0000-0000-00001E000000}"/>
    <cellStyle name="Comma 2 2 4" xfId="68" xr:uid="{00000000-0005-0000-0000-00001F000000}"/>
    <cellStyle name="Comma 3" xfId="3" xr:uid="{00000000-0005-0000-0000-000020000000}"/>
    <cellStyle name="Comma 3 2" xfId="43" xr:uid="{00000000-0005-0000-0000-000021000000}"/>
    <cellStyle name="Comma 3 2 2" xfId="6" xr:uid="{00000000-0005-0000-0000-000022000000}"/>
    <cellStyle name="Comma 3 4" xfId="67" xr:uid="{00000000-0005-0000-0000-000023000000}"/>
    <cellStyle name="Comma 4" xfId="7" xr:uid="{00000000-0005-0000-0000-000024000000}"/>
    <cellStyle name="Comma 4 2" xfId="8" xr:uid="{00000000-0005-0000-0000-000025000000}"/>
    <cellStyle name="Comma 5" xfId="9" xr:uid="{00000000-0005-0000-0000-000026000000}"/>
    <cellStyle name="Comma 6" xfId="44" xr:uid="{00000000-0005-0000-0000-000027000000}"/>
    <cellStyle name="Comma 7" xfId="45" xr:uid="{00000000-0005-0000-0000-000028000000}"/>
    <cellStyle name="Comma 8" xfId="66" xr:uid="{00000000-0005-0000-0000-000029000000}"/>
    <cellStyle name="Explanatory Text 2" xfId="46" xr:uid="{00000000-0005-0000-0000-00002A000000}"/>
    <cellStyle name="Good 2" xfId="47" xr:uid="{00000000-0005-0000-0000-00002B000000}"/>
    <cellStyle name="Heading 1 2" xfId="48" xr:uid="{00000000-0005-0000-0000-00002C000000}"/>
    <cellStyle name="Heading 2 2" xfId="49" xr:uid="{00000000-0005-0000-0000-00002D000000}"/>
    <cellStyle name="Heading 3 2" xfId="50" xr:uid="{00000000-0005-0000-0000-00002E000000}"/>
    <cellStyle name="Heading 4 2" xfId="51" xr:uid="{00000000-0005-0000-0000-00002F000000}"/>
    <cellStyle name="Input 2" xfId="52" xr:uid="{00000000-0005-0000-0000-000030000000}"/>
    <cellStyle name="Linked Cell 2" xfId="53" xr:uid="{00000000-0005-0000-0000-000031000000}"/>
    <cellStyle name="Neutral 2" xfId="54" xr:uid="{00000000-0005-0000-0000-000032000000}"/>
    <cellStyle name="Normal" xfId="0" builtinId="0"/>
    <cellStyle name="Normal - Style1 2 2" xfId="71" xr:uid="{00000000-0005-0000-0000-000034000000}"/>
    <cellStyle name="Normal 2" xfId="10" xr:uid="{00000000-0005-0000-0000-000035000000}"/>
    <cellStyle name="Normal 2 2" xfId="55" xr:uid="{00000000-0005-0000-0000-000036000000}"/>
    <cellStyle name="Normal 29" xfId="74" xr:uid="{00000000-0005-0000-0000-000037000000}"/>
    <cellStyle name="Normal 3" xfId="2" xr:uid="{00000000-0005-0000-0000-000038000000}"/>
    <cellStyle name="Normal 3 2" xfId="56" xr:uid="{00000000-0005-0000-0000-000039000000}"/>
    <cellStyle name="Normal 3 2 2" xfId="72" xr:uid="{00000000-0005-0000-0000-00003A000000}"/>
    <cellStyle name="Normal 3 3" xfId="11" xr:uid="{00000000-0005-0000-0000-00003B000000}"/>
    <cellStyle name="Normal 4" xfId="4" xr:uid="{00000000-0005-0000-0000-00003C000000}"/>
    <cellStyle name="Normal 4 2" xfId="12" xr:uid="{00000000-0005-0000-0000-00003D000000}"/>
    <cellStyle name="Normal 4 3" xfId="57" xr:uid="{00000000-0005-0000-0000-00003E000000}"/>
    <cellStyle name="Normal 5" xfId="13" xr:uid="{00000000-0005-0000-0000-00003F000000}"/>
    <cellStyle name="Normal 5 2" xfId="58" xr:uid="{00000000-0005-0000-0000-000040000000}"/>
    <cellStyle name="Normal 7" xfId="59" xr:uid="{00000000-0005-0000-0000-000041000000}"/>
    <cellStyle name="Normal 9" xfId="14" xr:uid="{00000000-0005-0000-0000-000042000000}"/>
    <cellStyle name="Normal_depnote" xfId="73" xr:uid="{00000000-0005-0000-0000-000043000000}"/>
    <cellStyle name="Note 2" xfId="60" xr:uid="{00000000-0005-0000-0000-000044000000}"/>
    <cellStyle name="Output 2" xfId="61" xr:uid="{00000000-0005-0000-0000-000045000000}"/>
    <cellStyle name="Percent" xfId="70" builtinId="5"/>
    <cellStyle name="Percent 2" xfId="62" xr:uid="{00000000-0005-0000-0000-000047000000}"/>
    <cellStyle name="Title 2" xfId="63" xr:uid="{00000000-0005-0000-0000-000048000000}"/>
    <cellStyle name="Total 2" xfId="64" xr:uid="{00000000-0005-0000-0000-000049000000}"/>
    <cellStyle name="Warning Text 2" xfId="65" xr:uid="{00000000-0005-0000-0000-00004A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WVN38"/>
  <sheetViews>
    <sheetView showGridLines="0" tabSelected="1" zoomScaleNormal="100" zoomScaleSheetLayoutView="100" workbookViewId="0">
      <selection activeCell="D20" sqref="D20"/>
    </sheetView>
  </sheetViews>
  <sheetFormatPr defaultColWidth="0" defaultRowHeight="13.5" zeroHeight="1"/>
  <cols>
    <col min="1" max="1" width="1.28515625" style="5" customWidth="1"/>
    <col min="2" max="2" width="8.42578125" style="5" customWidth="1"/>
    <col min="3" max="3" width="44" style="5" customWidth="1"/>
    <col min="4" max="4" width="12.140625" style="13" customWidth="1"/>
    <col min="5" max="5" width="14.5703125" style="5" bestFit="1" customWidth="1"/>
    <col min="6" max="6" width="18.85546875" style="5" customWidth="1"/>
    <col min="7" max="7" width="1.42578125" style="5" customWidth="1"/>
    <col min="8" max="253" width="10.42578125" style="5" hidden="1"/>
    <col min="254" max="254" width="8.42578125" style="5" hidden="1"/>
    <col min="255" max="256" width="12.85546875" style="5" hidden="1"/>
    <col min="257" max="257" width="9.7109375" style="5" hidden="1"/>
    <col min="258" max="258" width="7.28515625" style="5" hidden="1"/>
    <col min="259" max="259" width="8.140625" style="5" hidden="1"/>
    <col min="260" max="260" width="12.85546875" style="5" hidden="1"/>
    <col min="261" max="262" width="13.28515625" style="5" hidden="1"/>
    <col min="263" max="509" width="10.42578125" style="5" hidden="1"/>
    <col min="510" max="510" width="8.42578125" style="5" hidden="1"/>
    <col min="511" max="512" width="12.85546875" style="5" hidden="1"/>
    <col min="513" max="513" width="9.7109375" style="5" hidden="1"/>
    <col min="514" max="514" width="7.28515625" style="5" hidden="1"/>
    <col min="515" max="515" width="8.140625" style="5" hidden="1"/>
    <col min="516" max="516" width="12.85546875" style="5" hidden="1"/>
    <col min="517" max="518" width="13.28515625" style="5" hidden="1"/>
    <col min="519" max="765" width="10.42578125" style="5" hidden="1"/>
    <col min="766" max="766" width="8.42578125" style="5" hidden="1"/>
    <col min="767" max="768" width="12.85546875" style="5" hidden="1"/>
    <col min="769" max="769" width="9.7109375" style="5" hidden="1"/>
    <col min="770" max="770" width="7.28515625" style="5" hidden="1"/>
    <col min="771" max="771" width="8.140625" style="5" hidden="1"/>
    <col min="772" max="772" width="12.85546875" style="5" hidden="1"/>
    <col min="773" max="774" width="13.28515625" style="5" hidden="1"/>
    <col min="775" max="1021" width="10.42578125" style="5" hidden="1"/>
    <col min="1022" max="1022" width="8.42578125" style="5" hidden="1"/>
    <col min="1023" max="1024" width="12.85546875" style="5" hidden="1"/>
    <col min="1025" max="1025" width="9.7109375" style="5" hidden="1"/>
    <col min="1026" max="1026" width="7.28515625" style="5" hidden="1"/>
    <col min="1027" max="1027" width="8.140625" style="5" hidden="1"/>
    <col min="1028" max="1028" width="12.85546875" style="5" hidden="1"/>
    <col min="1029" max="1030" width="13.28515625" style="5" hidden="1"/>
    <col min="1031" max="1277" width="10.42578125" style="5" hidden="1"/>
    <col min="1278" max="1278" width="8.42578125" style="5" hidden="1"/>
    <col min="1279" max="1280" width="12.85546875" style="5" hidden="1"/>
    <col min="1281" max="1281" width="9.7109375" style="5" hidden="1"/>
    <col min="1282" max="1282" width="7.28515625" style="5" hidden="1"/>
    <col min="1283" max="1283" width="8.140625" style="5" hidden="1"/>
    <col min="1284" max="1284" width="12.85546875" style="5" hidden="1"/>
    <col min="1285" max="1286" width="13.28515625" style="5" hidden="1"/>
    <col min="1287" max="1533" width="10.42578125" style="5" hidden="1"/>
    <col min="1534" max="1534" width="8.42578125" style="5" hidden="1"/>
    <col min="1535" max="1536" width="12.85546875" style="5" hidden="1"/>
    <col min="1537" max="1537" width="9.7109375" style="5" hidden="1"/>
    <col min="1538" max="1538" width="7.28515625" style="5" hidden="1"/>
    <col min="1539" max="1539" width="8.140625" style="5" hidden="1"/>
    <col min="1540" max="1540" width="12.85546875" style="5" hidden="1"/>
    <col min="1541" max="1542" width="13.28515625" style="5" hidden="1"/>
    <col min="1543" max="1789" width="10.42578125" style="5" hidden="1"/>
    <col min="1790" max="1790" width="8.42578125" style="5" hidden="1"/>
    <col min="1791" max="1792" width="12.85546875" style="5" hidden="1"/>
    <col min="1793" max="1793" width="9.7109375" style="5" hidden="1"/>
    <col min="1794" max="1794" width="7.28515625" style="5" hidden="1"/>
    <col min="1795" max="1795" width="8.140625" style="5" hidden="1"/>
    <col min="1796" max="1796" width="12.85546875" style="5" hidden="1"/>
    <col min="1797" max="1798" width="13.28515625" style="5" hidden="1"/>
    <col min="1799" max="2045" width="10.42578125" style="5" hidden="1"/>
    <col min="2046" max="2046" width="8.42578125" style="5" hidden="1"/>
    <col min="2047" max="2048" width="12.85546875" style="5" hidden="1"/>
    <col min="2049" max="2049" width="9.7109375" style="5" hidden="1"/>
    <col min="2050" max="2050" width="7.28515625" style="5" hidden="1"/>
    <col min="2051" max="2051" width="8.140625" style="5" hidden="1"/>
    <col min="2052" max="2052" width="12.85546875" style="5" hidden="1"/>
    <col min="2053" max="2054" width="13.28515625" style="5" hidden="1"/>
    <col min="2055" max="2301" width="10.42578125" style="5" hidden="1"/>
    <col min="2302" max="2302" width="8.42578125" style="5" hidden="1"/>
    <col min="2303" max="2304" width="12.85546875" style="5" hidden="1"/>
    <col min="2305" max="2305" width="9.7109375" style="5" hidden="1"/>
    <col min="2306" max="2306" width="7.28515625" style="5" hidden="1"/>
    <col min="2307" max="2307" width="8.140625" style="5" hidden="1"/>
    <col min="2308" max="2308" width="12.85546875" style="5" hidden="1"/>
    <col min="2309" max="2310" width="13.28515625" style="5" hidden="1"/>
    <col min="2311" max="2557" width="10.42578125" style="5" hidden="1"/>
    <col min="2558" max="2558" width="8.42578125" style="5" hidden="1"/>
    <col min="2559" max="2560" width="12.85546875" style="5" hidden="1"/>
    <col min="2561" max="2561" width="9.7109375" style="5" hidden="1"/>
    <col min="2562" max="2562" width="7.28515625" style="5" hidden="1"/>
    <col min="2563" max="2563" width="8.140625" style="5" hidden="1"/>
    <col min="2564" max="2564" width="12.85546875" style="5" hidden="1"/>
    <col min="2565" max="2566" width="13.28515625" style="5" hidden="1"/>
    <col min="2567" max="2813" width="10.42578125" style="5" hidden="1"/>
    <col min="2814" max="2814" width="8.42578125" style="5" hidden="1"/>
    <col min="2815" max="2816" width="12.85546875" style="5" hidden="1"/>
    <col min="2817" max="2817" width="9.7109375" style="5" hidden="1"/>
    <col min="2818" max="2818" width="7.28515625" style="5" hidden="1"/>
    <col min="2819" max="2819" width="8.140625" style="5" hidden="1"/>
    <col min="2820" max="2820" width="12.85546875" style="5" hidden="1"/>
    <col min="2821" max="2822" width="13.28515625" style="5" hidden="1"/>
    <col min="2823" max="3069" width="10.42578125" style="5" hidden="1"/>
    <col min="3070" max="3070" width="8.42578125" style="5" hidden="1"/>
    <col min="3071" max="3072" width="12.85546875" style="5" hidden="1"/>
    <col min="3073" max="3073" width="9.7109375" style="5" hidden="1"/>
    <col min="3074" max="3074" width="7.28515625" style="5" hidden="1"/>
    <col min="3075" max="3075" width="8.140625" style="5" hidden="1"/>
    <col min="3076" max="3076" width="12.85546875" style="5" hidden="1"/>
    <col min="3077" max="3078" width="13.28515625" style="5" hidden="1"/>
    <col min="3079" max="3325" width="10.42578125" style="5" hidden="1"/>
    <col min="3326" max="3326" width="8.42578125" style="5" hidden="1"/>
    <col min="3327" max="3328" width="12.85546875" style="5" hidden="1"/>
    <col min="3329" max="3329" width="9.7109375" style="5" hidden="1"/>
    <col min="3330" max="3330" width="7.28515625" style="5" hidden="1"/>
    <col min="3331" max="3331" width="8.140625" style="5" hidden="1"/>
    <col min="3332" max="3332" width="12.85546875" style="5" hidden="1"/>
    <col min="3333" max="3334" width="13.28515625" style="5" hidden="1"/>
    <col min="3335" max="3581" width="10.42578125" style="5" hidden="1"/>
    <col min="3582" max="3582" width="8.42578125" style="5" hidden="1"/>
    <col min="3583" max="3584" width="12.85546875" style="5" hidden="1"/>
    <col min="3585" max="3585" width="9.7109375" style="5" hidden="1"/>
    <col min="3586" max="3586" width="7.28515625" style="5" hidden="1"/>
    <col min="3587" max="3587" width="8.140625" style="5" hidden="1"/>
    <col min="3588" max="3588" width="12.85546875" style="5" hidden="1"/>
    <col min="3589" max="3590" width="13.28515625" style="5" hidden="1"/>
    <col min="3591" max="3837" width="10.42578125" style="5" hidden="1"/>
    <col min="3838" max="3838" width="8.42578125" style="5" hidden="1"/>
    <col min="3839" max="3840" width="12.85546875" style="5" hidden="1"/>
    <col min="3841" max="3841" width="9.7109375" style="5" hidden="1"/>
    <col min="3842" max="3842" width="7.28515625" style="5" hidden="1"/>
    <col min="3843" max="3843" width="8.140625" style="5" hidden="1"/>
    <col min="3844" max="3844" width="12.85546875" style="5" hidden="1"/>
    <col min="3845" max="3846" width="13.28515625" style="5" hidden="1"/>
    <col min="3847" max="4093" width="10.42578125" style="5" hidden="1"/>
    <col min="4094" max="4094" width="8.42578125" style="5" hidden="1"/>
    <col min="4095" max="4096" width="12.85546875" style="5" hidden="1"/>
    <col min="4097" max="4097" width="9.7109375" style="5" hidden="1"/>
    <col min="4098" max="4098" width="7.28515625" style="5" hidden="1"/>
    <col min="4099" max="4099" width="8.140625" style="5" hidden="1"/>
    <col min="4100" max="4100" width="12.85546875" style="5" hidden="1"/>
    <col min="4101" max="4102" width="13.28515625" style="5" hidden="1"/>
    <col min="4103" max="4349" width="10.42578125" style="5" hidden="1"/>
    <col min="4350" max="4350" width="8.42578125" style="5" hidden="1"/>
    <col min="4351" max="4352" width="12.85546875" style="5" hidden="1"/>
    <col min="4353" max="4353" width="9.7109375" style="5" hidden="1"/>
    <col min="4354" max="4354" width="7.28515625" style="5" hidden="1"/>
    <col min="4355" max="4355" width="8.140625" style="5" hidden="1"/>
    <col min="4356" max="4356" width="12.85546875" style="5" hidden="1"/>
    <col min="4357" max="4358" width="13.28515625" style="5" hidden="1"/>
    <col min="4359" max="4605" width="10.42578125" style="5" hidden="1"/>
    <col min="4606" max="4606" width="8.42578125" style="5" hidden="1"/>
    <col min="4607" max="4608" width="12.85546875" style="5" hidden="1"/>
    <col min="4609" max="4609" width="9.7109375" style="5" hidden="1"/>
    <col min="4610" max="4610" width="7.28515625" style="5" hidden="1"/>
    <col min="4611" max="4611" width="8.140625" style="5" hidden="1"/>
    <col min="4612" max="4612" width="12.85546875" style="5" hidden="1"/>
    <col min="4613" max="4614" width="13.28515625" style="5" hidden="1"/>
    <col min="4615" max="4861" width="10.42578125" style="5" hidden="1"/>
    <col min="4862" max="4862" width="8.42578125" style="5" hidden="1"/>
    <col min="4863" max="4864" width="12.85546875" style="5" hidden="1"/>
    <col min="4865" max="4865" width="9.7109375" style="5" hidden="1"/>
    <col min="4866" max="4866" width="7.28515625" style="5" hidden="1"/>
    <col min="4867" max="4867" width="8.140625" style="5" hidden="1"/>
    <col min="4868" max="4868" width="12.85546875" style="5" hidden="1"/>
    <col min="4869" max="4870" width="13.28515625" style="5" hidden="1"/>
    <col min="4871" max="5117" width="10.42578125" style="5" hidden="1"/>
    <col min="5118" max="5118" width="8.42578125" style="5" hidden="1"/>
    <col min="5119" max="5120" width="12.85546875" style="5" hidden="1"/>
    <col min="5121" max="5121" width="9.7109375" style="5" hidden="1"/>
    <col min="5122" max="5122" width="7.28515625" style="5" hidden="1"/>
    <col min="5123" max="5123" width="8.140625" style="5" hidden="1"/>
    <col min="5124" max="5124" width="12.85546875" style="5" hidden="1"/>
    <col min="5125" max="5126" width="13.28515625" style="5" hidden="1"/>
    <col min="5127" max="5373" width="10.42578125" style="5" hidden="1"/>
    <col min="5374" max="5374" width="8.42578125" style="5" hidden="1"/>
    <col min="5375" max="5376" width="12.85546875" style="5" hidden="1"/>
    <col min="5377" max="5377" width="9.7109375" style="5" hidden="1"/>
    <col min="5378" max="5378" width="7.28515625" style="5" hidden="1"/>
    <col min="5379" max="5379" width="8.140625" style="5" hidden="1"/>
    <col min="5380" max="5380" width="12.85546875" style="5" hidden="1"/>
    <col min="5381" max="5382" width="13.28515625" style="5" hidden="1"/>
    <col min="5383" max="5629" width="10.42578125" style="5" hidden="1"/>
    <col min="5630" max="5630" width="8.42578125" style="5" hidden="1"/>
    <col min="5631" max="5632" width="12.85546875" style="5" hidden="1"/>
    <col min="5633" max="5633" width="9.7109375" style="5" hidden="1"/>
    <col min="5634" max="5634" width="7.28515625" style="5" hidden="1"/>
    <col min="5635" max="5635" width="8.140625" style="5" hidden="1"/>
    <col min="5636" max="5636" width="12.85546875" style="5" hidden="1"/>
    <col min="5637" max="5638" width="13.28515625" style="5" hidden="1"/>
    <col min="5639" max="5885" width="10.42578125" style="5" hidden="1"/>
    <col min="5886" max="5886" width="8.42578125" style="5" hidden="1"/>
    <col min="5887" max="5888" width="12.85546875" style="5" hidden="1"/>
    <col min="5889" max="5889" width="9.7109375" style="5" hidden="1"/>
    <col min="5890" max="5890" width="7.28515625" style="5" hidden="1"/>
    <col min="5891" max="5891" width="8.140625" style="5" hidden="1"/>
    <col min="5892" max="5892" width="12.85546875" style="5" hidden="1"/>
    <col min="5893" max="5894" width="13.28515625" style="5" hidden="1"/>
    <col min="5895" max="6141" width="10.42578125" style="5" hidden="1"/>
    <col min="6142" max="6142" width="8.42578125" style="5" hidden="1"/>
    <col min="6143" max="6144" width="12.85546875" style="5" hidden="1"/>
    <col min="6145" max="6145" width="9.7109375" style="5" hidden="1"/>
    <col min="6146" max="6146" width="7.28515625" style="5" hidden="1"/>
    <col min="6147" max="6147" width="8.140625" style="5" hidden="1"/>
    <col min="6148" max="6148" width="12.85546875" style="5" hidden="1"/>
    <col min="6149" max="6150" width="13.28515625" style="5" hidden="1"/>
    <col min="6151" max="6397" width="10.42578125" style="5" hidden="1"/>
    <col min="6398" max="6398" width="8.42578125" style="5" hidden="1"/>
    <col min="6399" max="6400" width="12.85546875" style="5" hidden="1"/>
    <col min="6401" max="6401" width="9.7109375" style="5" hidden="1"/>
    <col min="6402" max="6402" width="7.28515625" style="5" hidden="1"/>
    <col min="6403" max="6403" width="8.140625" style="5" hidden="1"/>
    <col min="6404" max="6404" width="12.85546875" style="5" hidden="1"/>
    <col min="6405" max="6406" width="13.28515625" style="5" hidden="1"/>
    <col min="6407" max="6653" width="10.42578125" style="5" hidden="1"/>
    <col min="6654" max="6654" width="8.42578125" style="5" hidden="1"/>
    <col min="6655" max="6656" width="12.85546875" style="5" hidden="1"/>
    <col min="6657" max="6657" width="9.7109375" style="5" hidden="1"/>
    <col min="6658" max="6658" width="7.28515625" style="5" hidden="1"/>
    <col min="6659" max="6659" width="8.140625" style="5" hidden="1"/>
    <col min="6660" max="6660" width="12.85546875" style="5" hidden="1"/>
    <col min="6661" max="6662" width="13.28515625" style="5" hidden="1"/>
    <col min="6663" max="6909" width="10.42578125" style="5" hidden="1"/>
    <col min="6910" max="6910" width="8.42578125" style="5" hidden="1"/>
    <col min="6911" max="6912" width="12.85546875" style="5" hidden="1"/>
    <col min="6913" max="6913" width="9.7109375" style="5" hidden="1"/>
    <col min="6914" max="6914" width="7.28515625" style="5" hidden="1"/>
    <col min="6915" max="6915" width="8.140625" style="5" hidden="1"/>
    <col min="6916" max="6916" width="12.85546875" style="5" hidden="1"/>
    <col min="6917" max="6918" width="13.28515625" style="5" hidden="1"/>
    <col min="6919" max="7165" width="10.42578125" style="5" hidden="1"/>
    <col min="7166" max="7166" width="8.42578125" style="5" hidden="1"/>
    <col min="7167" max="7168" width="12.85546875" style="5" hidden="1"/>
    <col min="7169" max="7169" width="9.7109375" style="5" hidden="1"/>
    <col min="7170" max="7170" width="7.28515625" style="5" hidden="1"/>
    <col min="7171" max="7171" width="8.140625" style="5" hidden="1"/>
    <col min="7172" max="7172" width="12.85546875" style="5" hidden="1"/>
    <col min="7173" max="7174" width="13.28515625" style="5" hidden="1"/>
    <col min="7175" max="7421" width="10.42578125" style="5" hidden="1"/>
    <col min="7422" max="7422" width="8.42578125" style="5" hidden="1"/>
    <col min="7423" max="7424" width="12.85546875" style="5" hidden="1"/>
    <col min="7425" max="7425" width="9.7109375" style="5" hidden="1"/>
    <col min="7426" max="7426" width="7.28515625" style="5" hidden="1"/>
    <col min="7427" max="7427" width="8.140625" style="5" hidden="1"/>
    <col min="7428" max="7428" width="12.85546875" style="5" hidden="1"/>
    <col min="7429" max="7430" width="13.28515625" style="5" hidden="1"/>
    <col min="7431" max="7677" width="10.42578125" style="5" hidden="1"/>
    <col min="7678" max="7678" width="8.42578125" style="5" hidden="1"/>
    <col min="7679" max="7680" width="12.85546875" style="5" hidden="1"/>
    <col min="7681" max="7681" width="9.7109375" style="5" hidden="1"/>
    <col min="7682" max="7682" width="7.28515625" style="5" hidden="1"/>
    <col min="7683" max="7683" width="8.140625" style="5" hidden="1"/>
    <col min="7684" max="7684" width="12.85546875" style="5" hidden="1"/>
    <col min="7685" max="7686" width="13.28515625" style="5" hidden="1"/>
    <col min="7687" max="7933" width="10.42578125" style="5" hidden="1"/>
    <col min="7934" max="7934" width="8.42578125" style="5" hidden="1"/>
    <col min="7935" max="7936" width="12.85546875" style="5" hidden="1"/>
    <col min="7937" max="7937" width="9.7109375" style="5" hidden="1"/>
    <col min="7938" max="7938" width="7.28515625" style="5" hidden="1"/>
    <col min="7939" max="7939" width="8.140625" style="5" hidden="1"/>
    <col min="7940" max="7940" width="12.85546875" style="5" hidden="1"/>
    <col min="7941" max="7942" width="13.28515625" style="5" hidden="1"/>
    <col min="7943" max="8189" width="10.42578125" style="5" hidden="1"/>
    <col min="8190" max="8190" width="8.42578125" style="5" hidden="1"/>
    <col min="8191" max="8192" width="12.85546875" style="5" hidden="1"/>
    <col min="8193" max="8193" width="9.7109375" style="5" hidden="1"/>
    <col min="8194" max="8194" width="7.28515625" style="5" hidden="1"/>
    <col min="8195" max="8195" width="8.140625" style="5" hidden="1"/>
    <col min="8196" max="8196" width="12.85546875" style="5" hidden="1"/>
    <col min="8197" max="8198" width="13.28515625" style="5" hidden="1"/>
    <col min="8199" max="8445" width="10.42578125" style="5" hidden="1"/>
    <col min="8446" max="8446" width="8.42578125" style="5" hidden="1"/>
    <col min="8447" max="8448" width="12.85546875" style="5" hidden="1"/>
    <col min="8449" max="8449" width="9.7109375" style="5" hidden="1"/>
    <col min="8450" max="8450" width="7.28515625" style="5" hidden="1"/>
    <col min="8451" max="8451" width="8.140625" style="5" hidden="1"/>
    <col min="8452" max="8452" width="12.85546875" style="5" hidden="1"/>
    <col min="8453" max="8454" width="13.28515625" style="5" hidden="1"/>
    <col min="8455" max="8701" width="10.42578125" style="5" hidden="1"/>
    <col min="8702" max="8702" width="8.42578125" style="5" hidden="1"/>
    <col min="8703" max="8704" width="12.85546875" style="5" hidden="1"/>
    <col min="8705" max="8705" width="9.7109375" style="5" hidden="1"/>
    <col min="8706" max="8706" width="7.28515625" style="5" hidden="1"/>
    <col min="8707" max="8707" width="8.140625" style="5" hidden="1"/>
    <col min="8708" max="8708" width="12.85546875" style="5" hidden="1"/>
    <col min="8709" max="8710" width="13.28515625" style="5" hidden="1"/>
    <col min="8711" max="8957" width="10.42578125" style="5" hidden="1"/>
    <col min="8958" max="8958" width="8.42578125" style="5" hidden="1"/>
    <col min="8959" max="8960" width="12.85546875" style="5" hidden="1"/>
    <col min="8961" max="8961" width="9.7109375" style="5" hidden="1"/>
    <col min="8962" max="8962" width="7.28515625" style="5" hidden="1"/>
    <col min="8963" max="8963" width="8.140625" style="5" hidden="1"/>
    <col min="8964" max="8964" width="12.85546875" style="5" hidden="1"/>
    <col min="8965" max="8966" width="13.28515625" style="5" hidden="1"/>
    <col min="8967" max="9213" width="10.42578125" style="5" hidden="1"/>
    <col min="9214" max="9214" width="8.42578125" style="5" hidden="1"/>
    <col min="9215" max="9216" width="12.85546875" style="5" hidden="1"/>
    <col min="9217" max="9217" width="9.7109375" style="5" hidden="1"/>
    <col min="9218" max="9218" width="7.28515625" style="5" hidden="1"/>
    <col min="9219" max="9219" width="8.140625" style="5" hidden="1"/>
    <col min="9220" max="9220" width="12.85546875" style="5" hidden="1"/>
    <col min="9221" max="9222" width="13.28515625" style="5" hidden="1"/>
    <col min="9223" max="9469" width="10.42578125" style="5" hidden="1"/>
    <col min="9470" max="9470" width="8.42578125" style="5" hidden="1"/>
    <col min="9471" max="9472" width="12.85546875" style="5" hidden="1"/>
    <col min="9473" max="9473" width="9.7109375" style="5" hidden="1"/>
    <col min="9474" max="9474" width="7.28515625" style="5" hidden="1"/>
    <col min="9475" max="9475" width="8.140625" style="5" hidden="1"/>
    <col min="9476" max="9476" width="12.85546875" style="5" hidden="1"/>
    <col min="9477" max="9478" width="13.28515625" style="5" hidden="1"/>
    <col min="9479" max="9725" width="10.42578125" style="5" hidden="1"/>
    <col min="9726" max="9726" width="8.42578125" style="5" hidden="1"/>
    <col min="9727" max="9728" width="12.85546875" style="5" hidden="1"/>
    <col min="9729" max="9729" width="9.7109375" style="5" hidden="1"/>
    <col min="9730" max="9730" width="7.28515625" style="5" hidden="1"/>
    <col min="9731" max="9731" width="8.140625" style="5" hidden="1"/>
    <col min="9732" max="9732" width="12.85546875" style="5" hidden="1"/>
    <col min="9733" max="9734" width="13.28515625" style="5" hidden="1"/>
    <col min="9735" max="9981" width="10.42578125" style="5" hidden="1"/>
    <col min="9982" max="9982" width="8.42578125" style="5" hidden="1"/>
    <col min="9983" max="9984" width="12.85546875" style="5" hidden="1"/>
    <col min="9985" max="9985" width="9.7109375" style="5" hidden="1"/>
    <col min="9986" max="9986" width="7.28515625" style="5" hidden="1"/>
    <col min="9987" max="9987" width="8.140625" style="5" hidden="1"/>
    <col min="9988" max="9988" width="12.85546875" style="5" hidden="1"/>
    <col min="9989" max="9990" width="13.28515625" style="5" hidden="1"/>
    <col min="9991" max="10237" width="10.42578125" style="5" hidden="1"/>
    <col min="10238" max="10238" width="8.42578125" style="5" hidden="1"/>
    <col min="10239" max="10240" width="12.85546875" style="5" hidden="1"/>
    <col min="10241" max="10241" width="9.7109375" style="5" hidden="1"/>
    <col min="10242" max="10242" width="7.28515625" style="5" hidden="1"/>
    <col min="10243" max="10243" width="8.140625" style="5" hidden="1"/>
    <col min="10244" max="10244" width="12.85546875" style="5" hidden="1"/>
    <col min="10245" max="10246" width="13.28515625" style="5" hidden="1"/>
    <col min="10247" max="10493" width="10.42578125" style="5" hidden="1"/>
    <col min="10494" max="10494" width="8.42578125" style="5" hidden="1"/>
    <col min="10495" max="10496" width="12.85546875" style="5" hidden="1"/>
    <col min="10497" max="10497" width="9.7109375" style="5" hidden="1"/>
    <col min="10498" max="10498" width="7.28515625" style="5" hidden="1"/>
    <col min="10499" max="10499" width="8.140625" style="5" hidden="1"/>
    <col min="10500" max="10500" width="12.85546875" style="5" hidden="1"/>
    <col min="10501" max="10502" width="13.28515625" style="5" hidden="1"/>
    <col min="10503" max="10749" width="10.42578125" style="5" hidden="1"/>
    <col min="10750" max="10750" width="8.42578125" style="5" hidden="1"/>
    <col min="10751" max="10752" width="12.85546875" style="5" hidden="1"/>
    <col min="10753" max="10753" width="9.7109375" style="5" hidden="1"/>
    <col min="10754" max="10754" width="7.28515625" style="5" hidden="1"/>
    <col min="10755" max="10755" width="8.140625" style="5" hidden="1"/>
    <col min="10756" max="10756" width="12.85546875" style="5" hidden="1"/>
    <col min="10757" max="10758" width="13.28515625" style="5" hidden="1"/>
    <col min="10759" max="11005" width="10.42578125" style="5" hidden="1"/>
    <col min="11006" max="11006" width="8.42578125" style="5" hidden="1"/>
    <col min="11007" max="11008" width="12.85546875" style="5" hidden="1"/>
    <col min="11009" max="11009" width="9.7109375" style="5" hidden="1"/>
    <col min="11010" max="11010" width="7.28515625" style="5" hidden="1"/>
    <col min="11011" max="11011" width="8.140625" style="5" hidden="1"/>
    <col min="11012" max="11012" width="12.85546875" style="5" hidden="1"/>
    <col min="11013" max="11014" width="13.28515625" style="5" hidden="1"/>
    <col min="11015" max="11261" width="10.42578125" style="5" hidden="1"/>
    <col min="11262" max="11262" width="8.42578125" style="5" hidden="1"/>
    <col min="11263" max="11264" width="12.85546875" style="5" hidden="1"/>
    <col min="11265" max="11265" width="9.7109375" style="5" hidden="1"/>
    <col min="11266" max="11266" width="7.28515625" style="5" hidden="1"/>
    <col min="11267" max="11267" width="8.140625" style="5" hidden="1"/>
    <col min="11268" max="11268" width="12.85546875" style="5" hidden="1"/>
    <col min="11269" max="11270" width="13.28515625" style="5" hidden="1"/>
    <col min="11271" max="11517" width="10.42578125" style="5" hidden="1"/>
    <col min="11518" max="11518" width="8.42578125" style="5" hidden="1"/>
    <col min="11519" max="11520" width="12.85546875" style="5" hidden="1"/>
    <col min="11521" max="11521" width="9.7109375" style="5" hidden="1"/>
    <col min="11522" max="11522" width="7.28515625" style="5" hidden="1"/>
    <col min="11523" max="11523" width="8.140625" style="5" hidden="1"/>
    <col min="11524" max="11524" width="12.85546875" style="5" hidden="1"/>
    <col min="11525" max="11526" width="13.28515625" style="5" hidden="1"/>
    <col min="11527" max="11773" width="10.42578125" style="5" hidden="1"/>
    <col min="11774" max="11774" width="8.42578125" style="5" hidden="1"/>
    <col min="11775" max="11776" width="12.85546875" style="5" hidden="1"/>
    <col min="11777" max="11777" width="9.7109375" style="5" hidden="1"/>
    <col min="11778" max="11778" width="7.28515625" style="5" hidden="1"/>
    <col min="11779" max="11779" width="8.140625" style="5" hidden="1"/>
    <col min="11780" max="11780" width="12.85546875" style="5" hidden="1"/>
    <col min="11781" max="11782" width="13.28515625" style="5" hidden="1"/>
    <col min="11783" max="12029" width="10.42578125" style="5" hidden="1"/>
    <col min="12030" max="12030" width="8.42578125" style="5" hidden="1"/>
    <col min="12031" max="12032" width="12.85546875" style="5" hidden="1"/>
    <col min="12033" max="12033" width="9.7109375" style="5" hidden="1"/>
    <col min="12034" max="12034" width="7.28515625" style="5" hidden="1"/>
    <col min="12035" max="12035" width="8.140625" style="5" hidden="1"/>
    <col min="12036" max="12036" width="12.85546875" style="5" hidden="1"/>
    <col min="12037" max="12038" width="13.28515625" style="5" hidden="1"/>
    <col min="12039" max="12285" width="10.42578125" style="5" hidden="1"/>
    <col min="12286" max="12286" width="8.42578125" style="5" hidden="1"/>
    <col min="12287" max="12288" width="12.85546875" style="5" hidden="1"/>
    <col min="12289" max="12289" width="9.7109375" style="5" hidden="1"/>
    <col min="12290" max="12290" width="7.28515625" style="5" hidden="1"/>
    <col min="12291" max="12291" width="8.140625" style="5" hidden="1"/>
    <col min="12292" max="12292" width="12.85546875" style="5" hidden="1"/>
    <col min="12293" max="12294" width="13.28515625" style="5" hidden="1"/>
    <col min="12295" max="12541" width="10.42578125" style="5" hidden="1"/>
    <col min="12542" max="12542" width="8.42578125" style="5" hidden="1"/>
    <col min="12543" max="12544" width="12.85546875" style="5" hidden="1"/>
    <col min="12545" max="12545" width="9.7109375" style="5" hidden="1"/>
    <col min="12546" max="12546" width="7.28515625" style="5" hidden="1"/>
    <col min="12547" max="12547" width="8.140625" style="5" hidden="1"/>
    <col min="12548" max="12548" width="12.85546875" style="5" hidden="1"/>
    <col min="12549" max="12550" width="13.28515625" style="5" hidden="1"/>
    <col min="12551" max="12797" width="10.42578125" style="5" hidden="1"/>
    <col min="12798" max="12798" width="8.42578125" style="5" hidden="1"/>
    <col min="12799" max="12800" width="12.85546875" style="5" hidden="1"/>
    <col min="12801" max="12801" width="9.7109375" style="5" hidden="1"/>
    <col min="12802" max="12802" width="7.28515625" style="5" hidden="1"/>
    <col min="12803" max="12803" width="8.140625" style="5" hidden="1"/>
    <col min="12804" max="12804" width="12.85546875" style="5" hidden="1"/>
    <col min="12805" max="12806" width="13.28515625" style="5" hidden="1"/>
    <col min="12807" max="13053" width="10.42578125" style="5" hidden="1"/>
    <col min="13054" max="13054" width="8.42578125" style="5" hidden="1"/>
    <col min="13055" max="13056" width="12.85546875" style="5" hidden="1"/>
    <col min="13057" max="13057" width="9.7109375" style="5" hidden="1"/>
    <col min="13058" max="13058" width="7.28515625" style="5" hidden="1"/>
    <col min="13059" max="13059" width="8.140625" style="5" hidden="1"/>
    <col min="13060" max="13060" width="12.85546875" style="5" hidden="1"/>
    <col min="13061" max="13062" width="13.28515625" style="5" hidden="1"/>
    <col min="13063" max="13309" width="10.42578125" style="5" hidden="1"/>
    <col min="13310" max="13310" width="8.42578125" style="5" hidden="1"/>
    <col min="13311" max="13312" width="12.85546875" style="5" hidden="1"/>
    <col min="13313" max="13313" width="9.7109375" style="5" hidden="1"/>
    <col min="13314" max="13314" width="7.28515625" style="5" hidden="1"/>
    <col min="13315" max="13315" width="8.140625" style="5" hidden="1"/>
    <col min="13316" max="13316" width="12.85546875" style="5" hidden="1"/>
    <col min="13317" max="13318" width="13.28515625" style="5" hidden="1"/>
    <col min="13319" max="13565" width="10.42578125" style="5" hidden="1"/>
    <col min="13566" max="13566" width="8.42578125" style="5" hidden="1"/>
    <col min="13567" max="13568" width="12.85546875" style="5" hidden="1"/>
    <col min="13569" max="13569" width="9.7109375" style="5" hidden="1"/>
    <col min="13570" max="13570" width="7.28515625" style="5" hidden="1"/>
    <col min="13571" max="13571" width="8.140625" style="5" hidden="1"/>
    <col min="13572" max="13572" width="12.85546875" style="5" hidden="1"/>
    <col min="13573" max="13574" width="13.28515625" style="5" hidden="1"/>
    <col min="13575" max="13821" width="10.42578125" style="5" hidden="1"/>
    <col min="13822" max="13822" width="8.42578125" style="5" hidden="1"/>
    <col min="13823" max="13824" width="12.85546875" style="5" hidden="1"/>
    <col min="13825" max="13825" width="9.7109375" style="5" hidden="1"/>
    <col min="13826" max="13826" width="7.28515625" style="5" hidden="1"/>
    <col min="13827" max="13827" width="8.140625" style="5" hidden="1"/>
    <col min="13828" max="13828" width="12.85546875" style="5" hidden="1"/>
    <col min="13829" max="13830" width="13.28515625" style="5" hidden="1"/>
    <col min="13831" max="14077" width="10.42578125" style="5" hidden="1"/>
    <col min="14078" max="14078" width="8.42578125" style="5" hidden="1"/>
    <col min="14079" max="14080" width="12.85546875" style="5" hidden="1"/>
    <col min="14081" max="14081" width="9.7109375" style="5" hidden="1"/>
    <col min="14082" max="14082" width="7.28515625" style="5" hidden="1"/>
    <col min="14083" max="14083" width="8.140625" style="5" hidden="1"/>
    <col min="14084" max="14084" width="12.85546875" style="5" hidden="1"/>
    <col min="14085" max="14086" width="13.28515625" style="5" hidden="1"/>
    <col min="14087" max="14333" width="10.42578125" style="5" hidden="1"/>
    <col min="14334" max="14334" width="8.42578125" style="5" hidden="1"/>
    <col min="14335" max="14336" width="12.85546875" style="5" hidden="1"/>
    <col min="14337" max="14337" width="9.7109375" style="5" hidden="1"/>
    <col min="14338" max="14338" width="7.28515625" style="5" hidden="1"/>
    <col min="14339" max="14339" width="8.140625" style="5" hidden="1"/>
    <col min="14340" max="14340" width="12.85546875" style="5" hidden="1"/>
    <col min="14341" max="14342" width="13.28515625" style="5" hidden="1"/>
    <col min="14343" max="14589" width="10.42578125" style="5" hidden="1"/>
    <col min="14590" max="14590" width="8.42578125" style="5" hidden="1"/>
    <col min="14591" max="14592" width="12.85546875" style="5" hidden="1"/>
    <col min="14593" max="14593" width="9.7109375" style="5" hidden="1"/>
    <col min="14594" max="14594" width="7.28515625" style="5" hidden="1"/>
    <col min="14595" max="14595" width="8.140625" style="5" hidden="1"/>
    <col min="14596" max="14596" width="12.85546875" style="5" hidden="1"/>
    <col min="14597" max="14598" width="13.28515625" style="5" hidden="1"/>
    <col min="14599" max="14845" width="10.42578125" style="5" hidden="1"/>
    <col min="14846" max="14846" width="8.42578125" style="5" hidden="1"/>
    <col min="14847" max="14848" width="12.85546875" style="5" hidden="1"/>
    <col min="14849" max="14849" width="9.7109375" style="5" hidden="1"/>
    <col min="14850" max="14850" width="7.28515625" style="5" hidden="1"/>
    <col min="14851" max="14851" width="8.140625" style="5" hidden="1"/>
    <col min="14852" max="14852" width="12.85546875" style="5" hidden="1"/>
    <col min="14853" max="14854" width="13.28515625" style="5" hidden="1"/>
    <col min="14855" max="15101" width="10.42578125" style="5" hidden="1"/>
    <col min="15102" max="15102" width="8.42578125" style="5" hidden="1"/>
    <col min="15103" max="15104" width="12.85546875" style="5" hidden="1"/>
    <col min="15105" max="15105" width="9.7109375" style="5" hidden="1"/>
    <col min="15106" max="15106" width="7.28515625" style="5" hidden="1"/>
    <col min="15107" max="15107" width="8.140625" style="5" hidden="1"/>
    <col min="15108" max="15108" width="12.85546875" style="5" hidden="1"/>
    <col min="15109" max="15110" width="13.28515625" style="5" hidden="1"/>
    <col min="15111" max="15357" width="10.42578125" style="5" hidden="1"/>
    <col min="15358" max="15358" width="8.42578125" style="5" hidden="1"/>
    <col min="15359" max="15360" width="12.85546875" style="5" hidden="1"/>
    <col min="15361" max="15361" width="9.7109375" style="5" hidden="1"/>
    <col min="15362" max="15362" width="7.28515625" style="5" hidden="1"/>
    <col min="15363" max="15363" width="8.140625" style="5" hidden="1"/>
    <col min="15364" max="15364" width="12.85546875" style="5" hidden="1"/>
    <col min="15365" max="15366" width="13.28515625" style="5" hidden="1"/>
    <col min="15367" max="15613" width="10.42578125" style="5" hidden="1"/>
    <col min="15614" max="15614" width="8.42578125" style="5" hidden="1"/>
    <col min="15615" max="15616" width="12.85546875" style="5" hidden="1"/>
    <col min="15617" max="15617" width="9.7109375" style="5" hidden="1"/>
    <col min="15618" max="15618" width="7.28515625" style="5" hidden="1"/>
    <col min="15619" max="15619" width="8.140625" style="5" hidden="1"/>
    <col min="15620" max="15620" width="12.85546875" style="5" hidden="1"/>
    <col min="15621" max="15622" width="13.28515625" style="5" hidden="1"/>
    <col min="15623" max="15869" width="10.42578125" style="5" hidden="1"/>
    <col min="15870" max="15870" width="8.42578125" style="5" hidden="1"/>
    <col min="15871" max="15872" width="12.85546875" style="5" hidden="1"/>
    <col min="15873" max="15873" width="9.7109375" style="5" hidden="1"/>
    <col min="15874" max="15874" width="7.28515625" style="5" hidden="1"/>
    <col min="15875" max="15875" width="8.140625" style="5" hidden="1"/>
    <col min="15876" max="15876" width="12.85546875" style="5" hidden="1"/>
    <col min="15877" max="15878" width="13.28515625" style="5" hidden="1"/>
    <col min="15879" max="16125" width="10.42578125" style="5" hidden="1"/>
    <col min="16126" max="16126" width="8.42578125" style="5" hidden="1"/>
    <col min="16127" max="16128" width="12.85546875" style="5" hidden="1"/>
    <col min="16129" max="16129" width="9.7109375" style="5" hidden="1"/>
    <col min="16130" max="16130" width="7.28515625" style="5" hidden="1"/>
    <col min="16131" max="16131" width="8.140625" style="5" hidden="1"/>
    <col min="16132" max="16132" width="12.85546875" style="5" hidden="1"/>
    <col min="16133" max="16134" width="13.28515625" style="5" hidden="1"/>
    <col min="16135" max="16384" width="10.42578125" style="5" hidden="1"/>
  </cols>
  <sheetData>
    <row r="1" spans="2:6" ht="15">
      <c r="B1" s="1" t="s">
        <v>153</v>
      </c>
      <c r="C1" s="2"/>
      <c r="D1" s="3"/>
      <c r="E1" s="2"/>
      <c r="F1" s="4" t="s">
        <v>141</v>
      </c>
    </row>
    <row r="2" spans="2:6" ht="15">
      <c r="B2" s="1" t="s">
        <v>154</v>
      </c>
      <c r="C2" s="1"/>
      <c r="D2" s="3"/>
      <c r="E2" s="2"/>
    </row>
    <row r="3" spans="2:6">
      <c r="B3" s="2"/>
      <c r="C3" s="2"/>
      <c r="D3" s="3"/>
      <c r="E3" s="2"/>
      <c r="F3" s="6"/>
    </row>
    <row r="4" spans="2:6" ht="15">
      <c r="B4" s="7" t="s">
        <v>0</v>
      </c>
      <c r="C4" s="175" t="s">
        <v>155</v>
      </c>
      <c r="D4" s="9"/>
      <c r="E4" s="10" t="s">
        <v>10</v>
      </c>
      <c r="F4" s="13"/>
    </row>
    <row r="5" spans="2:6" ht="15">
      <c r="B5" s="7" t="s">
        <v>1</v>
      </c>
      <c r="C5" s="175" t="s">
        <v>156</v>
      </c>
      <c r="D5" s="11"/>
      <c r="E5" s="10" t="s">
        <v>157</v>
      </c>
      <c r="F5" s="176"/>
    </row>
    <row r="6" spans="2:6" ht="15">
      <c r="B6" s="7" t="s">
        <v>2</v>
      </c>
      <c r="C6" s="12" t="s">
        <v>142</v>
      </c>
      <c r="D6" s="11"/>
      <c r="E6" s="10" t="s">
        <v>11</v>
      </c>
      <c r="F6" s="177"/>
    </row>
    <row r="7" spans="2:6" ht="15">
      <c r="E7" s="10" t="s">
        <v>158</v>
      </c>
      <c r="F7" s="176"/>
    </row>
    <row r="8" spans="2:6" ht="15">
      <c r="B8" s="14" t="s">
        <v>5</v>
      </c>
      <c r="C8" s="14"/>
      <c r="D8" s="14"/>
      <c r="E8" s="14"/>
      <c r="F8" s="14"/>
    </row>
    <row r="9" spans="2:6" ht="15">
      <c r="B9" s="15"/>
      <c r="C9" s="15"/>
      <c r="D9" s="15"/>
      <c r="E9" s="15"/>
      <c r="F9" s="15"/>
    </row>
    <row r="10" spans="2:6" ht="30">
      <c r="B10" s="16" t="s">
        <v>6</v>
      </c>
      <c r="C10" s="16" t="s">
        <v>28</v>
      </c>
      <c r="D10" s="17" t="s">
        <v>27</v>
      </c>
      <c r="E10" s="17" t="s">
        <v>7</v>
      </c>
      <c r="F10" s="17" t="s">
        <v>8</v>
      </c>
    </row>
    <row r="11" spans="2:6">
      <c r="B11" s="18"/>
      <c r="C11" s="19"/>
      <c r="D11" s="18"/>
      <c r="E11" s="19"/>
      <c r="F11" s="20"/>
    </row>
    <row r="12" spans="2:6">
      <c r="B12" s="21">
        <v>1</v>
      </c>
      <c r="C12" s="22" t="s">
        <v>22</v>
      </c>
      <c r="D12" s="21" t="str">
        <f>$F$1&amp;" - "&amp;B12</f>
        <v>B.S.18 - 1</v>
      </c>
      <c r="E12" s="22"/>
      <c r="F12" s="23"/>
    </row>
    <row r="13" spans="2:6">
      <c r="B13" s="21"/>
      <c r="C13" s="22"/>
      <c r="D13" s="21"/>
      <c r="E13" s="22"/>
      <c r="F13" s="23"/>
    </row>
    <row r="14" spans="2:6">
      <c r="B14" s="21">
        <f>B12+1</f>
        <v>2</v>
      </c>
      <c r="C14" s="22" t="s">
        <v>26</v>
      </c>
      <c r="D14" s="21" t="str">
        <f>$F$1&amp;" - "&amp;B14</f>
        <v>B.S.18 - 2</v>
      </c>
      <c r="E14" s="22"/>
      <c r="F14" s="23"/>
    </row>
    <row r="15" spans="2:6">
      <c r="B15" s="21"/>
      <c r="C15" s="22"/>
      <c r="D15" s="21"/>
      <c r="E15" s="22"/>
      <c r="F15" s="23"/>
    </row>
    <row r="16" spans="2:6">
      <c r="B16" s="21">
        <f>B14+1</f>
        <v>3</v>
      </c>
      <c r="C16" s="22" t="s">
        <v>51</v>
      </c>
      <c r="D16" s="21" t="str">
        <f>$F$1&amp;" - "&amp;B16</f>
        <v>B.S.18 - 3</v>
      </c>
      <c r="E16" s="22"/>
      <c r="F16" s="23"/>
    </row>
    <row r="17" spans="2:6">
      <c r="B17" s="21"/>
      <c r="C17" s="22"/>
      <c r="D17" s="21"/>
      <c r="E17" s="22"/>
      <c r="F17" s="23"/>
    </row>
    <row r="18" spans="2:6">
      <c r="B18" s="21">
        <f>B16+1</f>
        <v>4</v>
      </c>
      <c r="C18" s="22" t="s">
        <v>59</v>
      </c>
      <c r="D18" s="21" t="str">
        <f>$F$1&amp;" - "&amp;B18</f>
        <v>B.S.18 - 4</v>
      </c>
      <c r="E18" s="22"/>
      <c r="F18" s="23"/>
    </row>
    <row r="19" spans="2:6">
      <c r="B19" s="21"/>
      <c r="C19" s="22"/>
      <c r="D19" s="21"/>
      <c r="E19" s="22"/>
      <c r="F19" s="23"/>
    </row>
    <row r="20" spans="2:6">
      <c r="B20" s="21">
        <f>B18+1</f>
        <v>5</v>
      </c>
      <c r="C20" s="22" t="s">
        <v>138</v>
      </c>
      <c r="D20" s="21" t="str">
        <f>$F$1&amp;" - "&amp;B20</f>
        <v>B.S.18 - 5</v>
      </c>
      <c r="E20" s="22"/>
      <c r="F20" s="23"/>
    </row>
    <row r="21" spans="2:6">
      <c r="B21" s="21"/>
      <c r="C21" s="22"/>
      <c r="D21" s="21"/>
      <c r="E21" s="22"/>
      <c r="F21" s="23"/>
    </row>
    <row r="22" spans="2:6">
      <c r="B22" s="21">
        <f>B20+1</f>
        <v>6</v>
      </c>
      <c r="C22" s="22" t="s">
        <v>139</v>
      </c>
      <c r="D22" s="21" t="str">
        <f>$F$1&amp;" - "&amp;B22</f>
        <v>B.S.18 - 6</v>
      </c>
      <c r="E22" s="22"/>
      <c r="F22" s="23"/>
    </row>
    <row r="23" spans="2:6">
      <c r="B23" s="21"/>
      <c r="C23" s="22"/>
      <c r="D23" s="21"/>
      <c r="E23" s="22"/>
      <c r="F23" s="23"/>
    </row>
    <row r="24" spans="2:6">
      <c r="B24" s="21">
        <f>B22+1</f>
        <v>7</v>
      </c>
      <c r="C24" s="22" t="s">
        <v>140</v>
      </c>
      <c r="D24" s="21" t="str">
        <f>$F$1&amp;" - "&amp;B24</f>
        <v>B.S.18 - 7</v>
      </c>
      <c r="E24" s="22"/>
      <c r="F24" s="23"/>
    </row>
    <row r="25" spans="2:6">
      <c r="B25" s="21"/>
      <c r="C25" s="22"/>
      <c r="D25" s="21"/>
      <c r="E25" s="22"/>
      <c r="F25" s="23"/>
    </row>
    <row r="26" spans="2:6">
      <c r="B26" s="21">
        <f>B24+1</f>
        <v>8</v>
      </c>
      <c r="C26" s="24" t="s">
        <v>60</v>
      </c>
      <c r="D26" s="21" t="str">
        <f>$F$1&amp;" - "&amp;B26</f>
        <v>B.S.18 - 8</v>
      </c>
      <c r="E26" s="22"/>
      <c r="F26" s="23"/>
    </row>
    <row r="27" spans="2:6">
      <c r="B27" s="21"/>
      <c r="C27" s="22"/>
      <c r="D27" s="21"/>
      <c r="E27" s="22"/>
      <c r="F27" s="23"/>
    </row>
    <row r="28" spans="2:6">
      <c r="B28" s="21">
        <f>B26+1</f>
        <v>9</v>
      </c>
      <c r="C28" s="24" t="s">
        <v>66</v>
      </c>
      <c r="D28" s="21" t="str">
        <f>$F$1&amp;" - "&amp;B28</f>
        <v>B.S.18 - 9</v>
      </c>
      <c r="E28" s="22"/>
      <c r="F28" s="23"/>
    </row>
    <row r="29" spans="2:6">
      <c r="B29" s="21"/>
      <c r="C29" s="22"/>
      <c r="D29" s="21"/>
      <c r="E29" s="22"/>
      <c r="F29" s="23"/>
    </row>
    <row r="30" spans="2:6">
      <c r="B30" s="21"/>
      <c r="C30" s="24"/>
      <c r="D30" s="21"/>
      <c r="E30" s="22"/>
      <c r="F30" s="23"/>
    </row>
    <row r="31" spans="2:6">
      <c r="B31" s="21"/>
      <c r="C31" s="24"/>
      <c r="D31" s="21"/>
      <c r="E31" s="22"/>
      <c r="F31" s="23"/>
    </row>
    <row r="32" spans="2:6">
      <c r="B32" s="21"/>
      <c r="C32" s="24"/>
      <c r="D32" s="21"/>
      <c r="E32" s="22"/>
      <c r="F32" s="23"/>
    </row>
    <row r="33" spans="2:6">
      <c r="B33" s="21"/>
      <c r="C33" s="22"/>
      <c r="D33" s="21"/>
      <c r="E33" s="22"/>
      <c r="F33" s="23"/>
    </row>
    <row r="34" spans="2:6">
      <c r="B34" s="21"/>
      <c r="C34" s="22"/>
      <c r="D34" s="21"/>
      <c r="E34" s="22"/>
      <c r="F34" s="23"/>
    </row>
    <row r="35" spans="2:6">
      <c r="B35" s="21"/>
      <c r="C35" s="22"/>
      <c r="D35" s="21"/>
      <c r="E35" s="22"/>
      <c r="F35" s="23"/>
    </row>
    <row r="36" spans="2:6"/>
    <row r="37" spans="2:6"/>
    <row r="38" spans="2:6"/>
  </sheetData>
  <printOptions horizontalCentered="1"/>
  <pageMargins left="0.25" right="0.25" top="0.75" bottom="0.75" header="0.3" footer="0.3"/>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J31"/>
  <sheetViews>
    <sheetView showGridLines="0" topLeftCell="A12" zoomScaleNormal="100" zoomScaleSheetLayoutView="100" workbookViewId="0">
      <selection activeCell="B25" sqref="B25"/>
    </sheetView>
  </sheetViews>
  <sheetFormatPr defaultColWidth="0" defaultRowHeight="13.5" zeroHeight="1"/>
  <cols>
    <col min="1" max="1" width="1" style="6" customWidth="1"/>
    <col min="2" max="2" width="10" style="6" customWidth="1"/>
    <col min="3" max="3" width="61.42578125" style="6" customWidth="1"/>
    <col min="4" max="5" width="13.5703125" style="6" customWidth="1"/>
    <col min="6" max="6" width="1" style="6" customWidth="1"/>
    <col min="7" max="7" width="9.140625" style="6" hidden="1" customWidth="1"/>
    <col min="8" max="9" width="0" style="6" hidden="1" customWidth="1"/>
    <col min="10" max="16384" width="9.140625" style="6" hidden="1"/>
  </cols>
  <sheetData>
    <row r="1" spans="2:10" s="5" customFormat="1" ht="15">
      <c r="B1" s="25" t="str">
        <f>Index!$B$1</f>
        <v>ABC &amp; Co.</v>
      </c>
      <c r="D1" s="26"/>
      <c r="E1" s="27" t="str">
        <f>Index!D12</f>
        <v>B.S.18 - 1</v>
      </c>
    </row>
    <row r="2" spans="2:10" s="5" customFormat="1" ht="15">
      <c r="B2" s="5" t="str">
        <f>Index!$B$2</f>
        <v>(Chartered Accountants)</v>
      </c>
      <c r="D2" s="26"/>
    </row>
    <row r="3" spans="2:10" s="5" customFormat="1">
      <c r="E3" s="6"/>
      <c r="F3" s="6"/>
    </row>
    <row r="4" spans="2:10" s="5" customFormat="1" ht="15">
      <c r="B4" s="7" t="str">
        <f>Index!$B$4</f>
        <v xml:space="preserve">Client: </v>
      </c>
      <c r="C4" s="8" t="str">
        <f>Index!$C$4</f>
        <v>ABC Limited</v>
      </c>
      <c r="D4" s="10" t="str">
        <f>Index!$E$4</f>
        <v>Prepared by:</v>
      </c>
      <c r="E4" s="13" t="str">
        <f>IF(Index!$F$4="","",Index!$F$4)</f>
        <v/>
      </c>
    </row>
    <row r="5" spans="2:10" s="5" customFormat="1" ht="15">
      <c r="B5" s="7" t="str">
        <f>Index!$B$5</f>
        <v>Period:</v>
      </c>
      <c r="C5" s="8" t="str">
        <f>Index!$C$5</f>
        <v>Year ended June 30, 2023</v>
      </c>
      <c r="D5" s="10" t="str">
        <f>Index!$E$5</f>
        <v>Date prepared:</v>
      </c>
      <c r="E5" s="176" t="str">
        <f>IF(Index!$F$5="","",Index!$F$5)</f>
        <v/>
      </c>
    </row>
    <row r="6" spans="2:10" s="5" customFormat="1" ht="15">
      <c r="B6" s="7" t="str">
        <f>Index!$B$6</f>
        <v>Head:</v>
      </c>
      <c r="C6" s="8" t="str">
        <f>Index!$C$6</f>
        <v>Long term financing - Related parties</v>
      </c>
      <c r="D6" s="10" t="str">
        <f>Index!$E$6</f>
        <v>Reviewed by:</v>
      </c>
      <c r="E6" s="177" t="str">
        <f>IF(Index!$F$6="","",Index!$F$6)</f>
        <v/>
      </c>
    </row>
    <row r="7" spans="2:10" ht="15">
      <c r="B7" s="5"/>
      <c r="C7" s="5"/>
      <c r="D7" s="10" t="str">
        <f>Index!$E$7</f>
        <v>Date reviewed:</v>
      </c>
      <c r="E7" s="176" t="str">
        <f>IF(Index!$F$7="","",Index!$F$7)</f>
        <v/>
      </c>
      <c r="F7" s="5"/>
    </row>
    <row r="8" spans="2:10" s="5" customFormat="1" ht="15">
      <c r="B8" s="25" t="str">
        <f>UPPER("Audit Objectives and Conclusions")</f>
        <v>AUDIT OBJECTIVES AND CONCLUSIONS</v>
      </c>
      <c r="C8" s="25"/>
      <c r="D8" s="25"/>
      <c r="E8" s="25"/>
      <c r="F8" s="25"/>
    </row>
    <row r="9" spans="2:10"/>
    <row r="10" spans="2:10" s="31" customFormat="1" ht="14.25" customHeight="1">
      <c r="B10" s="28" t="s">
        <v>6</v>
      </c>
      <c r="C10" s="28" t="s">
        <v>14</v>
      </c>
      <c r="D10" s="29" t="s">
        <v>31</v>
      </c>
      <c r="E10" s="29"/>
      <c r="F10" s="30"/>
    </row>
    <row r="11" spans="2:10" ht="15">
      <c r="B11" s="28"/>
      <c r="C11" s="28"/>
      <c r="D11" s="32" t="s">
        <v>34</v>
      </c>
      <c r="E11" s="33" t="s">
        <v>35</v>
      </c>
      <c r="F11" s="34"/>
    </row>
    <row r="12" spans="2:10" ht="15">
      <c r="B12" s="35"/>
      <c r="C12" s="35"/>
      <c r="D12" s="36"/>
      <c r="E12" s="37"/>
      <c r="F12" s="34"/>
    </row>
    <row r="13" spans="2:10" ht="30.75" customHeight="1">
      <c r="B13" s="38">
        <v>1</v>
      </c>
      <c r="C13" s="39" t="s">
        <v>143</v>
      </c>
      <c r="D13" s="40"/>
      <c r="E13" s="40"/>
    </row>
    <row r="14" spans="2:10" s="44" customFormat="1" ht="32.25" customHeight="1">
      <c r="B14" s="41">
        <f>B13+1</f>
        <v>2</v>
      </c>
      <c r="C14" s="42" t="s">
        <v>67</v>
      </c>
      <c r="D14" s="43"/>
      <c r="E14" s="43"/>
      <c r="F14" s="6"/>
      <c r="G14" s="6"/>
      <c r="H14" s="6"/>
      <c r="I14" s="6"/>
      <c r="J14" s="6"/>
    </row>
    <row r="15" spans="2:10" s="44" customFormat="1" ht="30.75" customHeight="1">
      <c r="B15" s="41">
        <f>B14+1</f>
        <v>3</v>
      </c>
      <c r="C15" s="43" t="s">
        <v>68</v>
      </c>
      <c r="D15" s="43"/>
      <c r="E15" s="43"/>
      <c r="F15" s="6"/>
      <c r="G15" s="6"/>
      <c r="H15" s="6"/>
      <c r="I15" s="6"/>
      <c r="J15" s="6"/>
    </row>
    <row r="16" spans="2:10" s="44" customFormat="1" ht="30.75" customHeight="1">
      <c r="B16" s="41">
        <f>B15+1</f>
        <v>4</v>
      </c>
      <c r="C16" s="42" t="s">
        <v>69</v>
      </c>
      <c r="D16" s="45"/>
      <c r="E16" s="45"/>
    </row>
    <row r="17" spans="2:10" s="44" customFormat="1" ht="40.5">
      <c r="B17" s="41">
        <f>B16+1</f>
        <v>5</v>
      </c>
      <c r="C17" s="42" t="s">
        <v>149</v>
      </c>
      <c r="D17" s="42"/>
      <c r="E17" s="42"/>
    </row>
    <row r="18" spans="2:10" s="48" customFormat="1" ht="14.25" customHeight="1">
      <c r="B18" s="46"/>
      <c r="C18" s="47"/>
      <c r="D18" s="47"/>
      <c r="E18" s="47"/>
      <c r="F18" s="47"/>
      <c r="G18" s="47"/>
      <c r="H18" s="47"/>
      <c r="I18" s="47"/>
      <c r="J18" s="47"/>
    </row>
    <row r="19" spans="2:10" s="48" customFormat="1">
      <c r="B19" s="46"/>
      <c r="C19" s="49"/>
    </row>
    <row r="20" spans="2:10" s="48" customFormat="1" ht="14.25" customHeight="1">
      <c r="B20" s="28" t="s">
        <v>6</v>
      </c>
      <c r="C20" s="28" t="s">
        <v>33</v>
      </c>
      <c r="D20" s="50" t="s">
        <v>32</v>
      </c>
      <c r="E20" s="50"/>
    </row>
    <row r="21" spans="2:10" s="51" customFormat="1" ht="15">
      <c r="B21" s="28"/>
      <c r="C21" s="28"/>
      <c r="D21" s="32" t="s">
        <v>34</v>
      </c>
      <c r="E21" s="33" t="s">
        <v>35</v>
      </c>
    </row>
    <row r="22" spans="2:10" s="51" customFormat="1" ht="15">
      <c r="B22" s="35"/>
      <c r="C22" s="35"/>
      <c r="D22" s="36"/>
      <c r="E22" s="37"/>
    </row>
    <row r="23" spans="2:10" s="54" customFormat="1" ht="39" customHeight="1">
      <c r="B23" s="52">
        <v>1</v>
      </c>
      <c r="C23" s="53" t="s">
        <v>29</v>
      </c>
      <c r="D23" s="53"/>
      <c r="E23" s="53"/>
    </row>
    <row r="24" spans="2:10" s="54" customFormat="1" ht="32.25" customHeight="1">
      <c r="B24" s="55">
        <f>B23+1</f>
        <v>2</v>
      </c>
      <c r="C24" s="56" t="s">
        <v>30</v>
      </c>
      <c r="D24" s="56"/>
      <c r="E24" s="56"/>
    </row>
    <row r="25" spans="2:10" s="54" customFormat="1" ht="45" customHeight="1">
      <c r="B25" s="55">
        <f>B24+1</f>
        <v>3</v>
      </c>
      <c r="C25" s="56" t="s">
        <v>53</v>
      </c>
      <c r="D25" s="56"/>
      <c r="E25" s="56"/>
    </row>
    <row r="26" spans="2:10" s="54" customFormat="1" ht="30" customHeight="1">
      <c r="B26" s="55">
        <f>B25+1</f>
        <v>4</v>
      </c>
      <c r="C26" s="56" t="s">
        <v>54</v>
      </c>
      <c r="D26" s="56"/>
      <c r="E26" s="56"/>
    </row>
    <row r="27" spans="2:10" s="44" customFormat="1">
      <c r="B27" s="45"/>
      <c r="C27" s="42"/>
      <c r="D27" s="42"/>
      <c r="E27" s="42"/>
    </row>
    <row r="28" spans="2:10" s="51" customFormat="1">
      <c r="B28" s="57"/>
      <c r="C28" s="58"/>
    </row>
    <row r="29" spans="2:10" s="51" customFormat="1" hidden="1"/>
    <row r="30" spans="2:10" s="51" customFormat="1" ht="15" hidden="1">
      <c r="D30" s="59"/>
      <c r="E30" s="59"/>
      <c r="F30" s="59"/>
      <c r="G30" s="59"/>
      <c r="H30" s="59"/>
      <c r="I30" s="59"/>
    </row>
    <row r="31" spans="2:10" s="51" customFormat="1" hidden="1"/>
  </sheetData>
  <mergeCells count="6">
    <mergeCell ref="D10:E10"/>
    <mergeCell ref="D20:E20"/>
    <mergeCell ref="C10:C11"/>
    <mergeCell ref="B10:B11"/>
    <mergeCell ref="B20:B21"/>
    <mergeCell ref="C20:C21"/>
  </mergeCells>
  <printOptions horizontalCentered="1"/>
  <pageMargins left="0.25" right="0.25" top="0.75" bottom="0.75" header="0.3" footer="0.3"/>
  <pageSetup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J93"/>
  <sheetViews>
    <sheetView showGridLines="0" zoomScaleNormal="100" zoomScaleSheetLayoutView="100" workbookViewId="0">
      <selection activeCell="B3" sqref="B3"/>
    </sheetView>
  </sheetViews>
  <sheetFormatPr defaultColWidth="0" defaultRowHeight="13.5" zeroHeight="1"/>
  <cols>
    <col min="1" max="1" width="1" style="6" customWidth="1"/>
    <col min="2" max="2" width="7.7109375" style="51" customWidth="1"/>
    <col min="3" max="3" width="43.140625" style="51" customWidth="1"/>
    <col min="4" max="4" width="11.7109375" style="51" bestFit="1" customWidth="1"/>
    <col min="5" max="8" width="14.42578125" style="51" customWidth="1"/>
    <col min="9" max="9" width="21.7109375" style="51" bestFit="1" customWidth="1"/>
    <col min="10" max="10" width="1" style="6" customWidth="1"/>
    <col min="11" max="16384" width="9.140625" style="51" hidden="1"/>
  </cols>
  <sheetData>
    <row r="1" spans="1:10" ht="15">
      <c r="A1" s="5"/>
      <c r="B1" s="25" t="str">
        <f>Index!$B$1</f>
        <v>ABC &amp; Co.</v>
      </c>
      <c r="C1" s="5"/>
      <c r="E1" s="59"/>
      <c r="H1" s="5"/>
      <c r="I1" s="60" t="str">
        <f>Index!D14</f>
        <v>B.S.18 - 2</v>
      </c>
      <c r="J1" s="51"/>
    </row>
    <row r="2" spans="1:10">
      <c r="A2" s="5"/>
      <c r="B2" s="5" t="str">
        <f>Index!$B$2</f>
        <v>(Chartered Accountants)</v>
      </c>
      <c r="C2" s="5"/>
      <c r="D2" s="61"/>
      <c r="E2" s="6"/>
      <c r="H2" s="5"/>
      <c r="J2" s="51"/>
    </row>
    <row r="3" spans="1:10">
      <c r="A3" s="5"/>
      <c r="B3" s="5"/>
      <c r="C3" s="5"/>
      <c r="J3" s="5"/>
    </row>
    <row r="4" spans="1:10" s="2" customFormat="1" ht="15">
      <c r="A4" s="6"/>
      <c r="B4" s="7" t="str">
        <f>Index!$B$4</f>
        <v xml:space="preserve">Client: </v>
      </c>
      <c r="C4" s="8" t="str">
        <f>Index!$C$4</f>
        <v>ABC Limited</v>
      </c>
      <c r="H4" s="10" t="str">
        <f>Index!$E$4</f>
        <v>Prepared by:</v>
      </c>
      <c r="I4" s="13" t="str">
        <f>IF(Index!$F$4="","",Index!$F$4)</f>
        <v/>
      </c>
      <c r="J4" s="6"/>
    </row>
    <row r="5" spans="1:10" s="2" customFormat="1" ht="15">
      <c r="A5" s="5"/>
      <c r="B5" s="7" t="str">
        <f>Index!$B$5</f>
        <v>Period:</v>
      </c>
      <c r="C5" s="8" t="str">
        <f>Index!$C$5</f>
        <v>Year ended June 30, 2023</v>
      </c>
      <c r="H5" s="10" t="str">
        <f>Index!$E$5</f>
        <v>Date prepared:</v>
      </c>
      <c r="I5" s="176" t="str">
        <f>IF(Index!$F$5="","",Index!$F$5)</f>
        <v/>
      </c>
      <c r="J5" s="5"/>
    </row>
    <row r="6" spans="1:10" s="2" customFormat="1" ht="17.25" customHeight="1">
      <c r="A6" s="5"/>
      <c r="B6" s="7" t="str">
        <f>Index!$B$6</f>
        <v>Head:</v>
      </c>
      <c r="C6" s="8" t="str">
        <f>Index!$C$6</f>
        <v>Long term financing - Related parties</v>
      </c>
      <c r="H6" s="10" t="str">
        <f>Index!$E$6</f>
        <v>Reviewed by:</v>
      </c>
      <c r="I6" s="177" t="str">
        <f>IF(Index!$F$6="","",Index!$F$6)</f>
        <v/>
      </c>
      <c r="J6" s="5"/>
    </row>
    <row r="7" spans="1:10" s="2" customFormat="1" ht="17.25" customHeight="1">
      <c r="A7" s="5"/>
      <c r="B7" s="62"/>
      <c r="C7" s="8"/>
      <c r="H7" s="10" t="str">
        <f>Index!$E$7</f>
        <v>Date reviewed:</v>
      </c>
      <c r="I7" s="176" t="str">
        <f>IF(Index!$F$7="","",Index!$F$7)</f>
        <v/>
      </c>
      <c r="J7" s="5"/>
    </row>
    <row r="8" spans="1:10" ht="15">
      <c r="B8" s="59" t="s">
        <v>9</v>
      </c>
      <c r="C8" s="59"/>
      <c r="D8" s="59"/>
      <c r="E8" s="59"/>
      <c r="F8" s="59"/>
      <c r="G8" s="59"/>
      <c r="H8" s="59"/>
      <c r="I8" s="59"/>
    </row>
    <row r="9" spans="1:10" ht="15">
      <c r="A9" s="51"/>
      <c r="B9" s="59" t="s">
        <v>20</v>
      </c>
      <c r="J9" s="51"/>
    </row>
    <row r="10" spans="1:10" ht="15">
      <c r="A10" s="51"/>
      <c r="B10" s="63" t="s">
        <v>147</v>
      </c>
      <c r="J10" s="51"/>
    </row>
    <row r="11" spans="1:10" ht="14.25" customHeight="1">
      <c r="B11" s="182" t="s">
        <v>36</v>
      </c>
      <c r="C11" s="182"/>
      <c r="D11" s="182"/>
      <c r="E11" s="182"/>
      <c r="F11" s="182"/>
      <c r="G11" s="182"/>
      <c r="H11" s="182"/>
      <c r="I11" s="182"/>
    </row>
    <row r="12" spans="1:10" ht="15">
      <c r="A12" s="51"/>
      <c r="B12" s="63" t="s">
        <v>17</v>
      </c>
      <c r="C12" s="65"/>
      <c r="D12" s="65"/>
      <c r="E12" s="65"/>
      <c r="F12" s="65"/>
      <c r="G12" s="65"/>
      <c r="H12" s="65"/>
      <c r="I12" s="65"/>
      <c r="J12" s="51"/>
    </row>
    <row r="13" spans="1:10" ht="14.25" customHeight="1">
      <c r="A13" s="51"/>
      <c r="B13" s="182" t="s">
        <v>81</v>
      </c>
      <c r="C13" s="182"/>
      <c r="D13" s="182"/>
      <c r="E13" s="182"/>
      <c r="F13" s="182"/>
      <c r="G13" s="182"/>
      <c r="H13" s="182"/>
      <c r="I13" s="182"/>
      <c r="J13" s="66"/>
    </row>
    <row r="14" spans="1:10">
      <c r="B14" s="67" t="s">
        <v>82</v>
      </c>
      <c r="C14" s="67"/>
      <c r="D14" s="67"/>
      <c r="E14" s="67"/>
      <c r="F14" s="67"/>
      <c r="G14" s="67"/>
      <c r="H14" s="67"/>
      <c r="I14" s="67"/>
      <c r="J14" s="68"/>
    </row>
    <row r="15" spans="1:10">
      <c r="B15" s="67"/>
      <c r="C15" s="67"/>
      <c r="D15" s="67"/>
      <c r="E15" s="67"/>
      <c r="F15" s="67"/>
      <c r="G15" s="67"/>
      <c r="H15" s="67"/>
      <c r="I15" s="67"/>
      <c r="J15" s="68"/>
    </row>
    <row r="16" spans="1:10" ht="13.5" customHeight="1">
      <c r="B16" s="70" t="s">
        <v>70</v>
      </c>
      <c r="C16" s="70"/>
      <c r="D16" s="70"/>
      <c r="E16" s="70"/>
      <c r="F16" s="70"/>
      <c r="G16" s="70"/>
      <c r="H16" s="70"/>
      <c r="I16" s="70"/>
      <c r="J16" s="68"/>
    </row>
    <row r="17" spans="2:10">
      <c r="B17" s="70" t="s">
        <v>71</v>
      </c>
      <c r="C17" s="70"/>
      <c r="D17" s="70"/>
      <c r="E17" s="70"/>
      <c r="F17" s="70"/>
      <c r="G17" s="70"/>
      <c r="H17" s="70"/>
      <c r="I17" s="70"/>
      <c r="J17" s="70"/>
    </row>
    <row r="18" spans="2:10">
      <c r="B18" s="70" t="s">
        <v>72</v>
      </c>
      <c r="C18" s="70"/>
      <c r="D18" s="70"/>
      <c r="E18" s="70"/>
      <c r="F18" s="70"/>
      <c r="G18" s="70"/>
      <c r="H18" s="70"/>
      <c r="I18" s="70"/>
      <c r="J18" s="70"/>
    </row>
    <row r="19" spans="2:10">
      <c r="B19" s="70" t="s">
        <v>73</v>
      </c>
      <c r="C19" s="70"/>
      <c r="D19" s="70"/>
      <c r="E19" s="70"/>
      <c r="F19" s="70"/>
      <c r="G19" s="70"/>
      <c r="H19" s="70"/>
      <c r="I19" s="70"/>
    </row>
    <row r="20" spans="2:10" hidden="1">
      <c r="B20" s="69" t="s">
        <v>73</v>
      </c>
      <c r="C20" s="69"/>
      <c r="D20" s="69"/>
      <c r="E20" s="69"/>
      <c r="F20" s="69"/>
      <c r="G20" s="69"/>
      <c r="H20" s="69"/>
      <c r="I20" s="69"/>
    </row>
    <row r="21" spans="2:10" hidden="1">
      <c r="B21" s="69" t="s">
        <v>73</v>
      </c>
      <c r="C21" s="69"/>
      <c r="D21" s="69"/>
      <c r="E21" s="69"/>
      <c r="F21" s="69"/>
      <c r="G21" s="69"/>
      <c r="H21" s="69"/>
      <c r="I21" s="69"/>
    </row>
    <row r="22" spans="2:10" hidden="1">
      <c r="B22" s="69" t="s">
        <v>73</v>
      </c>
      <c r="C22" s="69"/>
      <c r="D22" s="69"/>
      <c r="E22" s="69"/>
      <c r="F22" s="69"/>
      <c r="G22" s="69"/>
      <c r="H22" s="69"/>
      <c r="I22" s="69"/>
    </row>
    <row r="23" spans="2:10" ht="14.25" hidden="1" customHeight="1">
      <c r="B23" s="69" t="s">
        <v>73</v>
      </c>
      <c r="C23" s="69"/>
      <c r="D23" s="69"/>
      <c r="E23" s="69"/>
      <c r="F23" s="69"/>
      <c r="G23" s="69"/>
      <c r="H23" s="69"/>
      <c r="I23" s="69"/>
    </row>
    <row r="24" spans="2:10" ht="14.25" hidden="1" customHeight="1">
      <c r="B24" s="69" t="s">
        <v>73</v>
      </c>
      <c r="C24" s="69"/>
      <c r="D24" s="69"/>
      <c r="E24" s="69"/>
      <c r="F24" s="69"/>
      <c r="G24" s="69"/>
      <c r="H24" s="69"/>
      <c r="I24" s="69"/>
    </row>
    <row r="25" spans="2:10" ht="14.25" hidden="1" customHeight="1">
      <c r="B25" s="69" t="s">
        <v>73</v>
      </c>
      <c r="C25" s="69"/>
      <c r="D25" s="69"/>
      <c r="E25" s="69"/>
      <c r="F25" s="69"/>
      <c r="G25" s="69"/>
      <c r="H25" s="69"/>
      <c r="I25" s="69"/>
    </row>
    <row r="26" spans="2:10">
      <c r="B26" s="67" t="s">
        <v>74</v>
      </c>
      <c r="C26" s="67"/>
      <c r="D26" s="67"/>
      <c r="E26" s="67"/>
      <c r="F26" s="67"/>
      <c r="G26" s="67"/>
      <c r="H26" s="67"/>
      <c r="I26" s="67"/>
    </row>
    <row r="27" spans="2:10">
      <c r="B27" s="67"/>
      <c r="C27" s="67"/>
      <c r="D27" s="67"/>
      <c r="E27" s="67"/>
      <c r="F27" s="67"/>
      <c r="G27" s="67"/>
      <c r="H27" s="67"/>
      <c r="I27" s="67"/>
    </row>
    <row r="28" spans="2:10" ht="13.5" customHeight="1">
      <c r="B28" s="70" t="s">
        <v>168</v>
      </c>
      <c r="C28" s="70"/>
      <c r="D28" s="70"/>
      <c r="E28" s="70"/>
      <c r="F28" s="70"/>
      <c r="G28" s="70"/>
      <c r="H28" s="70"/>
      <c r="I28" s="70"/>
    </row>
    <row r="29" spans="2:10">
      <c r="B29" s="70" t="s">
        <v>169</v>
      </c>
      <c r="C29" s="70"/>
      <c r="D29" s="70"/>
      <c r="E29" s="70"/>
      <c r="F29" s="70"/>
      <c r="G29" s="70"/>
      <c r="H29" s="70"/>
      <c r="I29" s="70"/>
    </row>
    <row r="30" spans="2:10" ht="14.25" customHeight="1">
      <c r="B30" s="70" t="s">
        <v>170</v>
      </c>
      <c r="C30" s="70"/>
      <c r="D30" s="70"/>
      <c r="E30" s="70"/>
      <c r="F30" s="70"/>
      <c r="G30" s="70"/>
      <c r="H30" s="70"/>
      <c r="I30" s="70"/>
    </row>
    <row r="31" spans="2:10">
      <c r="B31" s="70" t="s">
        <v>171</v>
      </c>
      <c r="C31" s="70"/>
      <c r="D31" s="70"/>
      <c r="E31" s="70"/>
      <c r="F31" s="70"/>
      <c r="G31" s="70"/>
      <c r="H31" s="70"/>
      <c r="I31" s="70"/>
    </row>
    <row r="32" spans="2:10" ht="13.5" customHeight="1">
      <c r="B32" s="70" t="s">
        <v>75</v>
      </c>
      <c r="C32" s="70"/>
      <c r="D32" s="70"/>
      <c r="E32" s="70"/>
      <c r="F32" s="70"/>
      <c r="G32" s="70"/>
      <c r="H32" s="70"/>
      <c r="I32" s="70"/>
    </row>
    <row r="33" spans="1:10">
      <c r="B33" s="70" t="s">
        <v>76</v>
      </c>
      <c r="C33" s="70"/>
      <c r="D33" s="70"/>
      <c r="E33" s="70"/>
      <c r="F33" s="70"/>
      <c r="G33" s="70"/>
      <c r="H33" s="70"/>
      <c r="I33" s="70"/>
    </row>
    <row r="34" spans="1:10" ht="13.5" customHeight="1">
      <c r="A34" s="51"/>
      <c r="B34" s="182" t="s">
        <v>21</v>
      </c>
      <c r="C34" s="182"/>
      <c r="D34" s="182"/>
      <c r="E34" s="182"/>
      <c r="F34" s="182"/>
      <c r="G34" s="182"/>
      <c r="H34" s="182"/>
      <c r="I34" s="182"/>
      <c r="J34" s="66"/>
    </row>
    <row r="35" spans="1:10" ht="14.25" customHeight="1">
      <c r="A35" s="51"/>
      <c r="B35" s="183" t="s">
        <v>150</v>
      </c>
      <c r="C35" s="183"/>
      <c r="D35" s="183"/>
      <c r="E35" s="183"/>
      <c r="F35" s="183"/>
      <c r="G35" s="183"/>
      <c r="H35" s="183"/>
      <c r="I35" s="183"/>
      <c r="J35" s="66"/>
    </row>
    <row r="36" spans="1:10" ht="14.25" customHeight="1">
      <c r="A36" s="51"/>
      <c r="B36" s="183"/>
      <c r="C36" s="183"/>
      <c r="D36" s="183"/>
      <c r="E36" s="183"/>
      <c r="F36" s="183"/>
      <c r="G36" s="183"/>
      <c r="H36" s="183"/>
      <c r="I36" s="183"/>
      <c r="J36" s="66"/>
    </row>
    <row r="37" spans="1:10" ht="14.25" customHeight="1">
      <c r="A37" s="51"/>
      <c r="B37" s="183"/>
      <c r="C37" s="183"/>
      <c r="D37" s="183"/>
      <c r="E37" s="183"/>
      <c r="F37" s="183"/>
      <c r="G37" s="183"/>
      <c r="H37" s="183"/>
      <c r="I37" s="183"/>
      <c r="J37" s="66"/>
    </row>
    <row r="38" spans="1:10" ht="14.25" customHeight="1">
      <c r="A38" s="51"/>
      <c r="B38" s="183"/>
      <c r="C38" s="183"/>
      <c r="D38" s="183"/>
      <c r="E38" s="183"/>
      <c r="F38" s="183"/>
      <c r="G38" s="183"/>
      <c r="H38" s="183"/>
      <c r="I38" s="183"/>
      <c r="J38" s="66"/>
    </row>
    <row r="39" spans="1:10" ht="14.25" customHeight="1">
      <c r="A39" s="51"/>
      <c r="B39" s="183"/>
      <c r="C39" s="183"/>
      <c r="D39" s="183"/>
      <c r="E39" s="183"/>
      <c r="F39" s="183"/>
      <c r="G39" s="183"/>
      <c r="H39" s="183"/>
      <c r="I39" s="183"/>
      <c r="J39" s="66"/>
    </row>
    <row r="40" spans="1:10" ht="14.25" customHeight="1">
      <c r="A40" s="51"/>
      <c r="B40" s="183"/>
      <c r="C40" s="183"/>
      <c r="D40" s="183"/>
      <c r="E40" s="183"/>
      <c r="F40" s="183"/>
      <c r="G40" s="183"/>
      <c r="H40" s="183"/>
      <c r="I40" s="183"/>
      <c r="J40" s="66"/>
    </row>
    <row r="41" spans="1:10">
      <c r="B41" s="183"/>
      <c r="C41" s="183"/>
      <c r="D41" s="183"/>
      <c r="E41" s="183"/>
      <c r="F41" s="183"/>
      <c r="G41" s="183"/>
      <c r="H41" s="183"/>
      <c r="I41" s="183"/>
      <c r="J41" s="71"/>
    </row>
    <row r="42" spans="1:10">
      <c r="A42" s="5"/>
      <c r="B42" s="51" t="s">
        <v>3</v>
      </c>
      <c r="J42" s="5"/>
    </row>
    <row r="43" spans="1:10" ht="15" customHeight="1">
      <c r="B43" s="72" t="s">
        <v>28</v>
      </c>
      <c r="C43" s="72"/>
      <c r="D43" s="72" t="s">
        <v>27</v>
      </c>
      <c r="E43" s="73">
        <v>2021</v>
      </c>
      <c r="F43" s="73">
        <f>E43-1</f>
        <v>2020</v>
      </c>
      <c r="G43" s="73" t="s">
        <v>12</v>
      </c>
      <c r="H43" s="73" t="s">
        <v>12</v>
      </c>
      <c r="I43" s="72" t="s">
        <v>13</v>
      </c>
    </row>
    <row r="44" spans="1:10" ht="15">
      <c r="A44" s="31"/>
      <c r="B44" s="72"/>
      <c r="C44" s="72"/>
      <c r="D44" s="72"/>
      <c r="E44" s="74" t="s">
        <v>37</v>
      </c>
      <c r="F44" s="74" t="s">
        <v>37</v>
      </c>
      <c r="G44" s="74" t="s">
        <v>37</v>
      </c>
      <c r="H44" s="74" t="s">
        <v>15</v>
      </c>
      <c r="I44" s="72"/>
      <c r="J44" s="31"/>
    </row>
    <row r="45" spans="1:10" s="77" customFormat="1" ht="15">
      <c r="A45" s="75"/>
      <c r="B45" s="76"/>
      <c r="C45" s="76"/>
      <c r="E45" s="78"/>
      <c r="F45" s="79"/>
      <c r="G45" s="79"/>
      <c r="H45" s="79"/>
      <c r="I45" s="79"/>
      <c r="J45" s="75"/>
    </row>
    <row r="46" spans="1:10" ht="15">
      <c r="A46" s="31"/>
      <c r="B46" s="80" t="s">
        <v>144</v>
      </c>
      <c r="C46" s="80"/>
      <c r="D46" s="81"/>
      <c r="E46" s="82"/>
      <c r="F46" s="82"/>
      <c r="G46" s="82"/>
      <c r="H46" s="82"/>
      <c r="I46" s="82"/>
      <c r="J46" s="31"/>
    </row>
    <row r="47" spans="1:10">
      <c r="A47" s="48"/>
      <c r="B47" s="83"/>
      <c r="C47" s="83"/>
      <c r="D47" s="84"/>
      <c r="E47" s="85"/>
      <c r="F47" s="86"/>
      <c r="G47" s="86"/>
      <c r="H47" s="86"/>
      <c r="I47" s="86"/>
      <c r="J47" s="48"/>
    </row>
    <row r="48" spans="1:10">
      <c r="A48" s="48"/>
      <c r="B48" s="87" t="s">
        <v>145</v>
      </c>
      <c r="C48" s="87"/>
      <c r="D48" s="84"/>
      <c r="E48" s="85"/>
      <c r="F48" s="86"/>
      <c r="G48" s="86">
        <f t="shared" ref="G48" si="0">E48-F48</f>
        <v>0</v>
      </c>
      <c r="H48" s="88" t="str">
        <f>IFERROR(G48/F48,"")</f>
        <v/>
      </c>
      <c r="I48" s="86"/>
      <c r="J48" s="48"/>
    </row>
    <row r="49" spans="1:10">
      <c r="A49" s="48"/>
      <c r="B49" s="87"/>
      <c r="C49" s="87"/>
      <c r="D49" s="84"/>
      <c r="E49" s="86"/>
      <c r="F49" s="86"/>
      <c r="G49" s="86"/>
      <c r="H49" s="86"/>
      <c r="I49" s="86"/>
      <c r="J49" s="48"/>
    </row>
    <row r="50" spans="1:10">
      <c r="A50" s="48"/>
      <c r="B50" s="87" t="s">
        <v>146</v>
      </c>
      <c r="C50" s="87"/>
      <c r="D50" s="84"/>
      <c r="E50" s="86"/>
      <c r="F50" s="86"/>
      <c r="G50" s="86">
        <f t="shared" ref="G50" si="1">E50-F50</f>
        <v>0</v>
      </c>
      <c r="H50" s="88" t="str">
        <f>IFERROR(G50/F50,"")</f>
        <v/>
      </c>
      <c r="I50" s="86"/>
      <c r="J50" s="48"/>
    </row>
    <row r="51" spans="1:10">
      <c r="A51" s="48"/>
      <c r="B51" s="83"/>
      <c r="C51" s="83"/>
      <c r="D51" s="84"/>
      <c r="E51" s="86"/>
      <c r="F51" s="86"/>
      <c r="G51" s="86"/>
      <c r="H51" s="86"/>
      <c r="I51" s="86"/>
      <c r="J51" s="48"/>
    </row>
    <row r="52" spans="1:10">
      <c r="A52" s="51"/>
      <c r="B52" s="89"/>
      <c r="C52" s="89"/>
      <c r="D52" s="84"/>
      <c r="E52" s="86"/>
      <c r="F52" s="86"/>
      <c r="G52" s="86"/>
      <c r="H52" s="86"/>
      <c r="I52" s="86"/>
      <c r="J52" s="51"/>
    </row>
    <row r="53" spans="1:10" ht="15">
      <c r="A53" s="51"/>
      <c r="B53" s="90" t="s">
        <v>4</v>
      </c>
      <c r="C53" s="90"/>
      <c r="D53" s="84"/>
      <c r="E53" s="86">
        <f>SUM(E45:E52)</f>
        <v>0</v>
      </c>
      <c r="F53" s="86">
        <f>SUM(F45:F51)</f>
        <v>0</v>
      </c>
      <c r="G53" s="86">
        <f>SUM(G45:G51)</f>
        <v>0</v>
      </c>
      <c r="H53" s="86"/>
      <c r="I53" s="86"/>
      <c r="J53" s="51"/>
    </row>
    <row r="54" spans="1:10">
      <c r="A54" s="51"/>
      <c r="J54" s="51"/>
    </row>
    <row r="55" spans="1:10"/>
    <row r="65"/>
    <row r="66"/>
    <row r="67"/>
    <row r="68"/>
    <row r="69"/>
    <row r="70"/>
    <row r="71"/>
    <row r="72"/>
    <row r="73"/>
    <row r="74"/>
    <row r="75"/>
    <row r="76"/>
    <row r="77"/>
    <row r="78"/>
    <row r="79"/>
    <row r="80"/>
    <row r="81"/>
    <row r="82"/>
    <row r="83"/>
    <row r="84"/>
    <row r="85"/>
    <row r="86"/>
    <row r="87"/>
    <row r="88"/>
    <row r="89"/>
    <row r="90"/>
    <row r="91"/>
    <row r="92"/>
    <row r="93"/>
  </sheetData>
  <mergeCells count="20">
    <mergeCell ref="B47:C47"/>
    <mergeCell ref="B53:C53"/>
    <mergeCell ref="B52:C52"/>
    <mergeCell ref="B51:C51"/>
    <mergeCell ref="B46:C46"/>
    <mergeCell ref="B21:I21"/>
    <mergeCell ref="B22:I22"/>
    <mergeCell ref="B23:I23"/>
    <mergeCell ref="B24:I24"/>
    <mergeCell ref="B50:C50"/>
    <mergeCell ref="B14:I15"/>
    <mergeCell ref="B25:I25"/>
    <mergeCell ref="I43:I44"/>
    <mergeCell ref="B43:C44"/>
    <mergeCell ref="D43:D44"/>
    <mergeCell ref="B49:C49"/>
    <mergeCell ref="B48:C48"/>
    <mergeCell ref="B26:I27"/>
    <mergeCell ref="B20:I20"/>
    <mergeCell ref="B45:C45"/>
  </mergeCells>
  <printOptions horizontalCentered="1"/>
  <pageMargins left="0.25" right="0.25" top="0.75" bottom="0.75" header="0.3" footer="0.3"/>
  <pageSetup scale="90"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I104"/>
  <sheetViews>
    <sheetView showGridLines="0" zoomScaleNormal="100" zoomScaleSheetLayoutView="100" workbookViewId="0">
      <selection activeCell="B14" sqref="B14"/>
    </sheetView>
  </sheetViews>
  <sheetFormatPr defaultColWidth="0" defaultRowHeight="13.5" zeroHeight="1"/>
  <cols>
    <col min="1" max="1" width="1" style="94" customWidth="1"/>
    <col min="2" max="2" width="11.28515625" style="94" customWidth="1"/>
    <col min="3" max="3" width="43.140625" style="91" customWidth="1"/>
    <col min="4" max="4" width="19" style="92" customWidth="1"/>
    <col min="5" max="5" width="14.5703125" style="92" customWidth="1"/>
    <col min="6" max="6" width="17.5703125" style="92" customWidth="1"/>
    <col min="7" max="7" width="1" style="92" customWidth="1"/>
    <col min="8" max="8" width="26.28515625" style="92" customWidth="1"/>
    <col min="9" max="9" width="0.7109375" style="94" customWidth="1"/>
    <col min="10" max="16384" width="10.28515625" style="94" hidden="1"/>
  </cols>
  <sheetData>
    <row r="1" spans="2:8" ht="15">
      <c r="B1" s="25" t="str">
        <f>Index!$B$1</f>
        <v>ABC &amp; Co.</v>
      </c>
      <c r="C1" s="5"/>
      <c r="H1" s="93" t="str">
        <f>Index!D16</f>
        <v>B.S.18 - 3</v>
      </c>
    </row>
    <row r="2" spans="2:8">
      <c r="B2" s="5" t="str">
        <f>Index!$B$2</f>
        <v>(Chartered Accountants)</v>
      </c>
      <c r="C2" s="5"/>
    </row>
    <row r="3" spans="2:8" ht="15">
      <c r="B3" s="5"/>
      <c r="C3" s="5"/>
      <c r="E3" s="95"/>
    </row>
    <row r="4" spans="2:8" s="2" customFormat="1" ht="15">
      <c r="B4" s="7" t="str">
        <f>Index!$B$4</f>
        <v xml:space="preserve">Client: </v>
      </c>
      <c r="C4" s="8" t="str">
        <f>Index!$C$4</f>
        <v>ABC Limited</v>
      </c>
      <c r="D4" s="98"/>
      <c r="E4" s="10" t="str">
        <f>Index!$E$4</f>
        <v>Prepared by:</v>
      </c>
      <c r="F4" s="13" t="str">
        <f>IF(Index!$F$4="","",Index!$F$4)</f>
        <v/>
      </c>
      <c r="H4" s="180"/>
    </row>
    <row r="5" spans="2:8" s="2" customFormat="1" ht="15">
      <c r="B5" s="7" t="str">
        <f>Index!$B$5</f>
        <v>Period:</v>
      </c>
      <c r="C5" s="8" t="str">
        <f>Index!$C$5</f>
        <v>Year ended June 30, 2023</v>
      </c>
      <c r="D5" s="98"/>
      <c r="E5" s="10" t="str">
        <f>Index!$E$5</f>
        <v>Date prepared:</v>
      </c>
      <c r="F5" s="176" t="str">
        <f>IF(Index!$F$5="","",Index!$F$5)</f>
        <v/>
      </c>
      <c r="H5" s="98"/>
    </row>
    <row r="6" spans="2:8" s="2" customFormat="1" ht="15">
      <c r="B6" s="7" t="str">
        <f>Index!$B$6</f>
        <v>Head:</v>
      </c>
      <c r="C6" s="8" t="str">
        <f>Index!$C$6</f>
        <v>Long term financing - Related parties</v>
      </c>
      <c r="D6" s="98"/>
      <c r="E6" s="10" t="str">
        <f>Index!$E$6</f>
        <v>Reviewed by:</v>
      </c>
      <c r="F6" s="177" t="str">
        <f>IF(Index!$F$6="","",Index!$F$6)</f>
        <v/>
      </c>
      <c r="H6" s="180"/>
    </row>
    <row r="7" spans="2:8" s="2" customFormat="1" ht="15.75" customHeight="1">
      <c r="B7" s="96"/>
      <c r="C7" s="97"/>
      <c r="D7" s="98"/>
      <c r="E7" s="10" t="str">
        <f>Index!$E$7</f>
        <v>Date reviewed:</v>
      </c>
      <c r="F7" s="176" t="str">
        <f>IF(Index!$F$7="","",Index!$F$7)</f>
        <v/>
      </c>
    </row>
    <row r="8" spans="2:8" ht="16.5" customHeight="1">
      <c r="B8" s="99" t="s">
        <v>16</v>
      </c>
      <c r="C8" s="99"/>
      <c r="D8" s="99"/>
      <c r="E8" s="99"/>
      <c r="F8" s="70"/>
      <c r="G8" s="70"/>
      <c r="H8" s="70"/>
    </row>
    <row r="9" spans="2:8" ht="15">
      <c r="B9" s="99" t="s">
        <v>18</v>
      </c>
      <c r="C9" s="100"/>
      <c r="D9" s="100"/>
    </row>
    <row r="10" spans="2:8" ht="15">
      <c r="B10" s="100" t="s">
        <v>17</v>
      </c>
      <c r="C10" s="100"/>
    </row>
    <row r="11" spans="2:8">
      <c r="B11" s="182" t="s">
        <v>164</v>
      </c>
      <c r="C11" s="182"/>
      <c r="D11" s="182"/>
      <c r="E11" s="182"/>
      <c r="F11" s="182"/>
      <c r="G11" s="182"/>
      <c r="H11" s="182"/>
    </row>
    <row r="12" spans="2:8">
      <c r="B12" s="182" t="s">
        <v>165</v>
      </c>
      <c r="C12" s="182"/>
      <c r="D12" s="182"/>
      <c r="E12" s="182"/>
      <c r="F12" s="182"/>
      <c r="G12" s="182"/>
      <c r="H12" s="182"/>
    </row>
    <row r="13" spans="2:8" ht="13.5" customHeight="1">
      <c r="B13" s="182" t="s">
        <v>84</v>
      </c>
      <c r="C13" s="182"/>
      <c r="D13" s="182"/>
      <c r="E13" s="182"/>
      <c r="F13" s="182"/>
      <c r="G13" s="182"/>
      <c r="H13" s="182"/>
    </row>
    <row r="14" spans="2:8" s="51" customFormat="1">
      <c r="B14" s="182" t="s">
        <v>166</v>
      </c>
      <c r="C14" s="182"/>
      <c r="D14" s="182"/>
      <c r="E14" s="182"/>
      <c r="F14" s="182"/>
      <c r="G14" s="182"/>
      <c r="H14" s="182"/>
    </row>
    <row r="15" spans="2:8" s="51" customFormat="1">
      <c r="B15" s="182" t="s">
        <v>167</v>
      </c>
      <c r="C15" s="182"/>
      <c r="D15" s="182"/>
      <c r="E15" s="182"/>
      <c r="F15" s="182"/>
      <c r="G15" s="182"/>
      <c r="H15" s="182"/>
    </row>
    <row r="16" spans="2:8" s="51" customFormat="1">
      <c r="B16" s="182" t="s">
        <v>85</v>
      </c>
      <c r="C16" s="182"/>
      <c r="D16" s="182"/>
      <c r="E16" s="182"/>
      <c r="F16" s="182"/>
      <c r="G16" s="182"/>
      <c r="H16" s="182"/>
    </row>
    <row r="17" spans="2:8" ht="13.5" customHeight="1">
      <c r="B17" s="182" t="s">
        <v>86</v>
      </c>
      <c r="C17" s="182"/>
      <c r="D17" s="182"/>
      <c r="E17" s="182"/>
      <c r="F17" s="182"/>
      <c r="G17" s="182"/>
      <c r="H17" s="182"/>
    </row>
    <row r="18" spans="2:8">
      <c r="B18" s="182" t="s">
        <v>87</v>
      </c>
      <c r="C18" s="182"/>
      <c r="D18" s="182"/>
      <c r="E18" s="182"/>
      <c r="F18" s="182"/>
      <c r="G18" s="182"/>
      <c r="H18" s="182"/>
    </row>
    <row r="19" spans="2:8">
      <c r="B19" s="182" t="s">
        <v>88</v>
      </c>
      <c r="C19" s="182"/>
      <c r="D19" s="182"/>
      <c r="E19" s="182"/>
      <c r="F19" s="182"/>
      <c r="G19" s="182"/>
      <c r="H19" s="182"/>
    </row>
    <row r="20" spans="2:8">
      <c r="B20" s="182" t="s">
        <v>89</v>
      </c>
      <c r="C20" s="182"/>
      <c r="D20" s="182"/>
      <c r="E20" s="182"/>
      <c r="F20" s="182"/>
      <c r="G20" s="182"/>
      <c r="H20" s="182"/>
    </row>
    <row r="21" spans="2:8">
      <c r="B21" s="182" t="s">
        <v>101</v>
      </c>
      <c r="C21" s="182"/>
      <c r="D21" s="182"/>
      <c r="E21" s="182"/>
      <c r="F21" s="182"/>
      <c r="G21" s="182"/>
      <c r="H21" s="182"/>
    </row>
    <row r="22" spans="2:8">
      <c r="B22" s="182" t="s">
        <v>102</v>
      </c>
      <c r="C22" s="182"/>
      <c r="D22" s="182"/>
      <c r="E22" s="182"/>
      <c r="F22" s="182"/>
      <c r="G22" s="182"/>
      <c r="H22" s="182"/>
    </row>
    <row r="23" spans="2:8">
      <c r="B23" s="182" t="s">
        <v>103</v>
      </c>
      <c r="C23" s="182"/>
      <c r="D23" s="182"/>
      <c r="E23" s="182"/>
      <c r="F23" s="182"/>
      <c r="G23" s="182"/>
      <c r="H23" s="182"/>
    </row>
    <row r="24" spans="2:8">
      <c r="B24" s="182" t="s">
        <v>104</v>
      </c>
      <c r="C24" s="182"/>
      <c r="D24" s="182"/>
      <c r="E24" s="182"/>
      <c r="F24" s="182"/>
      <c r="G24" s="182"/>
      <c r="H24" s="182"/>
    </row>
    <row r="25" spans="2:8" ht="13.5" customHeight="1">
      <c r="B25" s="182" t="s">
        <v>159</v>
      </c>
      <c r="C25" s="182"/>
      <c r="D25" s="182"/>
      <c r="E25" s="182"/>
      <c r="F25" s="182"/>
      <c r="G25" s="182"/>
      <c r="H25" s="182"/>
    </row>
    <row r="26" spans="2:8">
      <c r="B26" s="182" t="s">
        <v>160</v>
      </c>
      <c r="C26" s="182"/>
      <c r="D26" s="182"/>
      <c r="E26" s="182"/>
      <c r="F26" s="182"/>
      <c r="G26" s="182"/>
      <c r="H26" s="182"/>
    </row>
    <row r="27" spans="2:8">
      <c r="B27" s="182" t="s">
        <v>161</v>
      </c>
      <c r="C27" s="182"/>
      <c r="D27" s="182"/>
      <c r="E27" s="182"/>
      <c r="F27" s="182"/>
      <c r="G27" s="182"/>
      <c r="H27" s="182"/>
    </row>
    <row r="28" spans="2:8">
      <c r="B28" s="182" t="s">
        <v>105</v>
      </c>
      <c r="C28" s="182"/>
      <c r="D28" s="182"/>
      <c r="E28" s="182"/>
      <c r="F28" s="182"/>
      <c r="G28" s="182"/>
      <c r="H28" s="182"/>
    </row>
    <row r="29" spans="2:8" ht="13.5" customHeight="1">
      <c r="B29" s="182" t="s">
        <v>106</v>
      </c>
      <c r="C29" s="181"/>
      <c r="D29" s="181"/>
      <c r="E29" s="181"/>
      <c r="F29" s="181"/>
      <c r="G29" s="181"/>
      <c r="H29" s="181"/>
    </row>
    <row r="30" spans="2:8" ht="13.5" customHeight="1">
      <c r="B30" s="182" t="s">
        <v>148</v>
      </c>
      <c r="C30" s="182"/>
      <c r="D30" s="182"/>
      <c r="E30" s="182"/>
      <c r="F30" s="182"/>
      <c r="G30" s="182"/>
      <c r="H30" s="182"/>
    </row>
    <row r="31" spans="2:8" ht="13.5" customHeight="1">
      <c r="B31" s="182" t="s">
        <v>107</v>
      </c>
      <c r="C31" s="182"/>
      <c r="D31" s="182"/>
      <c r="E31" s="182"/>
      <c r="F31" s="182"/>
      <c r="G31" s="182"/>
      <c r="H31" s="182"/>
    </row>
    <row r="32" spans="2:8" ht="13.5" customHeight="1">
      <c r="B32" s="182" t="s">
        <v>108</v>
      </c>
      <c r="C32" s="182"/>
      <c r="D32" s="182"/>
      <c r="E32" s="182"/>
      <c r="F32" s="182"/>
      <c r="G32" s="182"/>
      <c r="H32" s="182"/>
    </row>
    <row r="33" spans="2:8" ht="13.5" customHeight="1">
      <c r="B33" s="182" t="s">
        <v>109</v>
      </c>
      <c r="C33" s="182"/>
      <c r="D33" s="182"/>
      <c r="E33" s="182"/>
      <c r="F33" s="182"/>
      <c r="G33" s="182"/>
      <c r="H33" s="182"/>
    </row>
    <row r="34" spans="2:8" ht="13.5" customHeight="1">
      <c r="B34" s="182" t="s">
        <v>110</v>
      </c>
      <c r="C34" s="182"/>
      <c r="D34" s="182"/>
      <c r="E34" s="182"/>
      <c r="F34" s="182"/>
      <c r="G34" s="182"/>
      <c r="H34" s="182"/>
    </row>
    <row r="35" spans="2:8" ht="13.5" customHeight="1">
      <c r="B35" s="182" t="s">
        <v>111</v>
      </c>
      <c r="C35" s="182"/>
      <c r="D35" s="182"/>
      <c r="E35" s="182"/>
      <c r="F35" s="182"/>
      <c r="G35" s="182"/>
      <c r="H35" s="182"/>
    </row>
    <row r="36" spans="2:8" ht="13.5" customHeight="1">
      <c r="B36" s="182" t="s">
        <v>112</v>
      </c>
      <c r="C36" s="182"/>
      <c r="D36" s="182"/>
      <c r="E36" s="182"/>
      <c r="F36" s="182"/>
      <c r="G36" s="182"/>
      <c r="H36" s="182"/>
    </row>
    <row r="37" spans="2:8" ht="13.5" customHeight="1">
      <c r="B37" s="182" t="s">
        <v>113</v>
      </c>
      <c r="C37" s="182"/>
      <c r="D37" s="182"/>
      <c r="E37" s="182"/>
      <c r="F37" s="182"/>
      <c r="G37" s="182"/>
      <c r="H37" s="182"/>
    </row>
    <row r="38" spans="2:8" ht="13.5" customHeight="1">
      <c r="B38" s="182" t="s">
        <v>114</v>
      </c>
      <c r="C38" s="182"/>
      <c r="D38" s="182"/>
      <c r="E38" s="182"/>
      <c r="F38" s="182"/>
      <c r="G38" s="182"/>
      <c r="H38" s="182"/>
    </row>
    <row r="39" spans="2:8" ht="13.5" customHeight="1">
      <c r="B39" s="182" t="s">
        <v>115</v>
      </c>
      <c r="C39" s="182"/>
      <c r="D39" s="182"/>
      <c r="E39" s="182"/>
      <c r="F39" s="182"/>
      <c r="G39" s="182"/>
      <c r="H39" s="182"/>
    </row>
    <row r="40" spans="2:8" ht="13.5" customHeight="1">
      <c r="B40" s="182" t="s">
        <v>151</v>
      </c>
      <c r="C40" s="182"/>
      <c r="D40" s="182"/>
      <c r="E40" s="182"/>
      <c r="F40" s="182"/>
      <c r="G40" s="182"/>
      <c r="H40" s="182"/>
    </row>
    <row r="41" spans="2:8" ht="13.5" customHeight="1">
      <c r="B41" s="182" t="s">
        <v>152</v>
      </c>
      <c r="C41" s="182"/>
      <c r="D41" s="182"/>
      <c r="E41" s="182"/>
      <c r="F41" s="182"/>
      <c r="G41" s="182"/>
      <c r="H41" s="182"/>
    </row>
    <row r="42" spans="2:8">
      <c r="B42" s="182" t="s">
        <v>116</v>
      </c>
      <c r="C42" s="182"/>
      <c r="D42" s="182"/>
      <c r="E42" s="182"/>
      <c r="F42" s="182"/>
      <c r="G42" s="182"/>
      <c r="H42" s="182"/>
    </row>
    <row r="43" spans="2:8">
      <c r="B43" s="182" t="s">
        <v>162</v>
      </c>
      <c r="C43" s="182"/>
      <c r="D43" s="182"/>
      <c r="E43" s="182"/>
      <c r="F43" s="182"/>
      <c r="G43" s="182"/>
      <c r="H43" s="182"/>
    </row>
    <row r="44" spans="2:8">
      <c r="B44" s="182" t="s">
        <v>163</v>
      </c>
      <c r="C44" s="182"/>
      <c r="D44" s="182"/>
      <c r="E44" s="182"/>
      <c r="F44" s="182"/>
      <c r="G44" s="182"/>
      <c r="H44" s="182"/>
    </row>
    <row r="45" spans="2:8">
      <c r="B45" s="182" t="s">
        <v>117</v>
      </c>
      <c r="C45" s="182"/>
      <c r="D45" s="182"/>
      <c r="E45" s="182"/>
      <c r="F45" s="182"/>
      <c r="G45" s="182"/>
      <c r="H45" s="182"/>
    </row>
    <row r="46" spans="2:8" ht="13.5" customHeight="1">
      <c r="B46" s="182" t="s">
        <v>118</v>
      </c>
      <c r="C46" s="182"/>
      <c r="D46" s="182"/>
      <c r="E46" s="182"/>
      <c r="F46" s="182"/>
      <c r="G46" s="182"/>
      <c r="H46" s="182"/>
    </row>
    <row r="47" spans="2:8" ht="15" customHeight="1"/>
    <row r="48" spans="2:8" s="105" customFormat="1" ht="23.25" customHeight="1">
      <c r="B48" s="101"/>
      <c r="C48" s="101"/>
      <c r="D48" s="102"/>
      <c r="E48" s="103" t="s">
        <v>77</v>
      </c>
      <c r="F48" s="104">
        <f>Lead!E43</f>
        <v>2021</v>
      </c>
      <c r="G48" s="103"/>
      <c r="H48" s="104">
        <f>F48-1</f>
        <v>2020</v>
      </c>
    </row>
    <row r="49" spans="2:9" s="105" customFormat="1" ht="15" customHeight="1">
      <c r="B49" s="106"/>
      <c r="C49" s="106"/>
      <c r="D49" s="102"/>
      <c r="E49" s="103"/>
      <c r="F49" s="107" t="s">
        <v>119</v>
      </c>
      <c r="G49" s="107"/>
      <c r="H49" s="107"/>
    </row>
    <row r="50" spans="2:9" s="111" customFormat="1" ht="28.5" customHeight="1">
      <c r="B50" s="108" t="str">
        <f>Lead!B48</f>
        <v>Party A</v>
      </c>
      <c r="C50" s="103" t="s">
        <v>44</v>
      </c>
      <c r="D50" s="109"/>
      <c r="E50" s="110"/>
      <c r="F50" s="110"/>
      <c r="G50" s="110"/>
      <c r="H50" s="110"/>
      <c r="I50" s="105"/>
    </row>
    <row r="51" spans="2:9" s="111" customFormat="1" ht="28.5" customHeight="1">
      <c r="B51" s="108"/>
      <c r="C51" s="103" t="s">
        <v>78</v>
      </c>
      <c r="D51" s="109"/>
      <c r="E51" s="112"/>
      <c r="F51" s="112"/>
      <c r="G51" s="112"/>
      <c r="H51" s="112"/>
    </row>
    <row r="52" spans="2:9" s="111" customFormat="1" ht="28.5" customHeight="1">
      <c r="B52" s="108"/>
      <c r="C52" s="103" t="s">
        <v>79</v>
      </c>
      <c r="D52" s="109"/>
      <c r="E52" s="112"/>
      <c r="F52" s="112"/>
      <c r="G52" s="112"/>
      <c r="H52" s="112"/>
    </row>
    <row r="53" spans="2:9" s="111" customFormat="1" ht="28.5" customHeight="1">
      <c r="B53" s="108"/>
      <c r="C53" s="103" t="s">
        <v>80</v>
      </c>
      <c r="D53" s="109"/>
      <c r="E53" s="112"/>
      <c r="F53" s="112"/>
      <c r="G53" s="112"/>
      <c r="H53" s="112"/>
    </row>
    <row r="54" spans="2:9" s="111" customFormat="1" ht="28.5" customHeight="1">
      <c r="B54" s="108"/>
      <c r="C54" s="103" t="s">
        <v>45</v>
      </c>
      <c r="D54" s="109"/>
      <c r="E54" s="112"/>
      <c r="F54" s="112"/>
      <c r="G54" s="112"/>
      <c r="H54" s="112"/>
    </row>
    <row r="55" spans="2:9" s="111" customFormat="1" ht="5.25" customHeight="1">
      <c r="B55" s="113"/>
      <c r="C55" s="114"/>
      <c r="D55" s="109"/>
      <c r="E55" s="112"/>
      <c r="F55" s="112"/>
      <c r="G55" s="112"/>
      <c r="H55" s="112"/>
    </row>
    <row r="56" spans="2:9" s="111" customFormat="1" ht="28.5" customHeight="1">
      <c r="B56" s="108" t="str">
        <f>Lead!B50</f>
        <v>Party B</v>
      </c>
      <c r="C56" s="103" t="s">
        <v>44</v>
      </c>
      <c r="D56" s="109"/>
      <c r="E56" s="115"/>
      <c r="F56" s="115"/>
      <c r="G56" s="115"/>
      <c r="H56" s="115"/>
    </row>
    <row r="57" spans="2:9" s="111" customFormat="1" ht="28.5" customHeight="1">
      <c r="B57" s="108"/>
      <c r="C57" s="103" t="s">
        <v>78</v>
      </c>
      <c r="D57" s="109"/>
      <c r="E57" s="112"/>
      <c r="F57" s="112"/>
      <c r="G57" s="112"/>
      <c r="H57" s="112"/>
    </row>
    <row r="58" spans="2:9" s="111" customFormat="1" ht="28.5" customHeight="1">
      <c r="B58" s="108"/>
      <c r="C58" s="103" t="s">
        <v>79</v>
      </c>
      <c r="D58" s="109"/>
      <c r="E58" s="112"/>
      <c r="F58" s="112"/>
      <c r="G58" s="112"/>
      <c r="H58" s="112"/>
    </row>
    <row r="59" spans="2:9" s="111" customFormat="1" ht="28.5" customHeight="1">
      <c r="B59" s="108"/>
      <c r="C59" s="103" t="s">
        <v>80</v>
      </c>
      <c r="D59" s="109"/>
      <c r="E59" s="112"/>
      <c r="F59" s="112"/>
      <c r="G59" s="112"/>
      <c r="H59" s="112"/>
    </row>
    <row r="60" spans="2:9" s="111" customFormat="1" ht="28.5" customHeight="1">
      <c r="B60" s="108"/>
      <c r="C60" s="103" t="s">
        <v>45</v>
      </c>
      <c r="D60" s="109"/>
      <c r="E60" s="112"/>
      <c r="F60" s="112"/>
      <c r="G60" s="112"/>
      <c r="H60" s="112"/>
    </row>
    <row r="61" spans="2:9" s="111" customFormat="1" ht="4.5" customHeight="1">
      <c r="B61" s="116"/>
      <c r="C61" s="117"/>
      <c r="D61" s="109"/>
      <c r="E61" s="118"/>
      <c r="F61" s="118"/>
      <c r="G61" s="118"/>
      <c r="H61" s="118"/>
    </row>
    <row r="62" spans="2:9" s="120" customFormat="1" ht="28.5" customHeight="1" thickBot="1">
      <c r="B62" s="107" t="s">
        <v>83</v>
      </c>
      <c r="C62" s="107"/>
      <c r="D62" s="109"/>
      <c r="E62" s="119"/>
      <c r="F62" s="119"/>
      <c r="G62" s="119"/>
      <c r="H62" s="119"/>
    </row>
    <row r="63" spans="2:9" s="120" customFormat="1" ht="10.5" customHeight="1" thickTop="1">
      <c r="B63" s="121"/>
      <c r="C63" s="121"/>
      <c r="E63" s="118"/>
      <c r="F63" s="118"/>
      <c r="G63" s="118"/>
      <c r="H63" s="118"/>
    </row>
    <row r="64" spans="2:9">
      <c r="B64" s="64"/>
      <c r="C64" s="64"/>
      <c r="D64" s="64"/>
      <c r="E64" s="64"/>
      <c r="F64" s="64"/>
      <c r="G64" s="64"/>
      <c r="H64" s="64"/>
    </row>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sheetData>
  <mergeCells count="7">
    <mergeCell ref="B64:H64"/>
    <mergeCell ref="B63:C63"/>
    <mergeCell ref="B48:C48"/>
    <mergeCell ref="B56:B60"/>
    <mergeCell ref="B50:B54"/>
    <mergeCell ref="F49:H49"/>
    <mergeCell ref="B62:C62"/>
  </mergeCells>
  <printOptions horizontalCentered="1"/>
  <pageMargins left="0.25" right="0.25" top="0.75" bottom="0.75" header="0.3" footer="0.3"/>
  <pageSetup scale="80" orientation="landscape"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BG61"/>
  <sheetViews>
    <sheetView showGridLines="0" zoomScaleNormal="100" zoomScaleSheetLayoutView="100" workbookViewId="0">
      <selection activeCell="B14" sqref="B14"/>
    </sheetView>
  </sheetViews>
  <sheetFormatPr defaultColWidth="0" defaultRowHeight="13.5" zeroHeight="1"/>
  <cols>
    <col min="1" max="1" width="1" style="123" customWidth="1"/>
    <col min="2" max="2" width="11.28515625" style="123" customWidth="1"/>
    <col min="3" max="3" width="12.28515625" style="123" customWidth="1"/>
    <col min="4" max="5" width="34.42578125" style="123" customWidth="1"/>
    <col min="6" max="8" width="13.5703125" style="124" customWidth="1"/>
    <col min="9" max="9" width="18.42578125" style="124" customWidth="1"/>
    <col min="10" max="10" width="16.5703125" style="124" customWidth="1"/>
    <col min="11" max="11" width="16.140625" style="124" customWidth="1"/>
    <col min="12" max="12" width="13.5703125" style="124" customWidth="1"/>
    <col min="13" max="13" width="14.5703125" style="124" customWidth="1"/>
    <col min="14" max="14" width="12.42578125" style="124" customWidth="1"/>
    <col min="15" max="15" width="13.5703125" style="124" customWidth="1"/>
    <col min="16" max="16" width="0.85546875" style="123" customWidth="1"/>
    <col min="17" max="26" width="9.140625" style="123" hidden="1" customWidth="1"/>
    <col min="27" max="59" width="0" style="123" hidden="1" customWidth="1"/>
    <col min="60" max="16384" width="9.140625" style="123" hidden="1"/>
  </cols>
  <sheetData>
    <row r="1" spans="2:15" ht="15">
      <c r="B1" s="25" t="str">
        <f>Index!$B$1</f>
        <v>ABC &amp; Co.</v>
      </c>
      <c r="C1" s="5"/>
      <c r="M1" s="123"/>
      <c r="O1" s="125" t="str">
        <f>Index!D20</f>
        <v>B.S.18 - 5</v>
      </c>
    </row>
    <row r="2" spans="2:15">
      <c r="B2" s="5" t="str">
        <f>Index!$B$2</f>
        <v>(Chartered Accountants)</v>
      </c>
      <c r="C2" s="5"/>
      <c r="M2" s="123"/>
      <c r="O2" s="123"/>
    </row>
    <row r="3" spans="2:15">
      <c r="B3" s="5"/>
      <c r="C3" s="5"/>
    </row>
    <row r="4" spans="2:15" ht="15">
      <c r="B4" s="7" t="str">
        <f>Index!$B$4</f>
        <v xml:space="preserve">Client: </v>
      </c>
      <c r="C4" s="8" t="str">
        <f>Index!$C$4</f>
        <v>ABC Limited</v>
      </c>
    </row>
    <row r="5" spans="2:15" ht="15">
      <c r="B5" s="7" t="str">
        <f>Index!$B$5</f>
        <v>Period:</v>
      </c>
      <c r="C5" s="8" t="str">
        <f>Index!$C$5</f>
        <v>Year ended June 30, 2023</v>
      </c>
      <c r="M5" s="10" t="str">
        <f>Index!$E$4</f>
        <v>Prepared by:</v>
      </c>
      <c r="N5" s="13" t="str">
        <f>IF(Index!$F$4="","",Index!$F$4)</f>
        <v/>
      </c>
      <c r="O5" s="127"/>
    </row>
    <row r="6" spans="2:15" ht="15">
      <c r="B6" s="7" t="str">
        <f>Index!$B$6</f>
        <v>Head:</v>
      </c>
      <c r="C6" s="8" t="str">
        <f>Index!$C$6</f>
        <v>Long term financing - Related parties</v>
      </c>
      <c r="M6" s="10" t="str">
        <f>Index!$E$5</f>
        <v>Date prepared:</v>
      </c>
      <c r="N6" s="176" t="str">
        <f>IF(Index!$F$5="","",Index!$F$5)</f>
        <v/>
      </c>
      <c r="O6" s="127"/>
    </row>
    <row r="7" spans="2:15" ht="15">
      <c r="B7" s="122"/>
      <c r="C7" s="122"/>
      <c r="M7" s="10" t="str">
        <f>Index!$E$6</f>
        <v>Reviewed by:</v>
      </c>
      <c r="N7" s="177" t="str">
        <f>IF(Index!$F$6="","",Index!$F$6)</f>
        <v/>
      </c>
      <c r="O7" s="179"/>
    </row>
    <row r="8" spans="2:15" ht="15">
      <c r="B8" s="122"/>
      <c r="C8" s="122"/>
      <c r="M8" s="10" t="str">
        <f>Index!$E$7</f>
        <v>Date reviewed:</v>
      </c>
      <c r="N8" s="176" t="str">
        <f>IF(Index!$F$7="","",Index!$F$7)</f>
        <v/>
      </c>
      <c r="O8" s="179"/>
    </row>
    <row r="9" spans="2:15" ht="15">
      <c r="B9" s="128" t="s">
        <v>120</v>
      </c>
      <c r="C9" s="128"/>
      <c r="D9" s="128"/>
      <c r="E9" s="128"/>
      <c r="F9" s="128"/>
      <c r="G9" s="128"/>
      <c r="H9" s="128"/>
      <c r="I9" s="128"/>
      <c r="J9" s="128"/>
      <c r="K9" s="128"/>
      <c r="L9" s="128"/>
      <c r="M9" s="128"/>
      <c r="N9" s="128"/>
      <c r="O9" s="128"/>
    </row>
    <row r="10" spans="2:15" ht="15">
      <c r="B10" s="129" t="s">
        <v>18</v>
      </c>
      <c r="C10" s="129"/>
    </row>
    <row r="11" spans="2:15" ht="15">
      <c r="B11" s="130" t="s">
        <v>130</v>
      </c>
      <c r="C11" s="129"/>
    </row>
    <row r="12" spans="2:15" ht="15">
      <c r="B12" s="130" t="s">
        <v>19</v>
      </c>
      <c r="C12" s="129"/>
    </row>
    <row r="13" spans="2:15" ht="15">
      <c r="B13" s="130" t="s">
        <v>49</v>
      </c>
      <c r="C13" s="129"/>
    </row>
    <row r="14" spans="2:15" ht="15">
      <c r="B14" s="130" t="s">
        <v>50</v>
      </c>
      <c r="C14" s="129"/>
    </row>
    <row r="15" spans="2:15"/>
    <row r="16" spans="2:15" s="34" customFormat="1" ht="30">
      <c r="B16" s="131" t="s">
        <v>23</v>
      </c>
      <c r="C16" s="131" t="s">
        <v>24</v>
      </c>
      <c r="D16" s="131" t="s">
        <v>25</v>
      </c>
      <c r="E16" s="131" t="s">
        <v>121</v>
      </c>
      <c r="F16" s="132" t="s">
        <v>122</v>
      </c>
      <c r="G16" s="132" t="s">
        <v>123</v>
      </c>
      <c r="H16" s="132" t="s">
        <v>124</v>
      </c>
      <c r="I16" s="132" t="s">
        <v>125</v>
      </c>
      <c r="J16" s="132" t="s">
        <v>126</v>
      </c>
      <c r="K16" s="132" t="s">
        <v>39</v>
      </c>
      <c r="L16" s="132" t="s">
        <v>41</v>
      </c>
      <c r="M16" s="132" t="s">
        <v>127</v>
      </c>
      <c r="N16" s="132" t="s">
        <v>128</v>
      </c>
      <c r="O16" s="132" t="s">
        <v>129</v>
      </c>
    </row>
    <row r="17" spans="1:16" s="134" customFormat="1">
      <c r="A17" s="133"/>
      <c r="F17" s="135"/>
      <c r="G17" s="135"/>
      <c r="H17" s="135"/>
      <c r="I17" s="135"/>
      <c r="J17" s="135"/>
      <c r="K17" s="135"/>
      <c r="L17" s="135"/>
      <c r="M17" s="135"/>
      <c r="N17" s="135"/>
      <c r="O17" s="135"/>
      <c r="P17" s="133"/>
    </row>
    <row r="18" spans="1:16">
      <c r="B18" s="136"/>
      <c r="C18" s="136"/>
      <c r="D18" s="136"/>
      <c r="E18" s="136"/>
      <c r="F18" s="137"/>
      <c r="G18" s="137"/>
      <c r="H18" s="137"/>
      <c r="I18" s="137"/>
      <c r="J18" s="137"/>
      <c r="K18" s="137"/>
      <c r="L18" s="137"/>
      <c r="M18" s="137"/>
      <c r="N18" s="137"/>
      <c r="O18" s="137"/>
    </row>
    <row r="19" spans="1:16">
      <c r="B19" s="138"/>
      <c r="C19" s="138"/>
      <c r="D19" s="138"/>
      <c r="E19" s="138"/>
      <c r="F19" s="45"/>
      <c r="G19" s="45"/>
      <c r="H19" s="45"/>
      <c r="I19" s="45"/>
      <c r="J19" s="45"/>
      <c r="K19" s="45"/>
      <c r="L19" s="45"/>
      <c r="M19" s="45"/>
      <c r="N19" s="45"/>
      <c r="O19" s="45"/>
    </row>
    <row r="20" spans="1:16">
      <c r="B20" s="138"/>
      <c r="C20" s="138"/>
      <c r="D20" s="138"/>
      <c r="E20" s="138"/>
      <c r="F20" s="45"/>
      <c r="G20" s="45"/>
      <c r="H20" s="45"/>
      <c r="I20" s="45"/>
      <c r="J20" s="45"/>
      <c r="K20" s="45"/>
      <c r="L20" s="45"/>
      <c r="M20" s="45"/>
      <c r="N20" s="45"/>
      <c r="O20" s="45"/>
    </row>
    <row r="21" spans="1:16">
      <c r="B21" s="138"/>
      <c r="C21" s="138"/>
      <c r="D21" s="138"/>
      <c r="E21" s="138"/>
      <c r="F21" s="45"/>
      <c r="G21" s="45"/>
      <c r="H21" s="45"/>
      <c r="I21" s="45"/>
      <c r="J21" s="45"/>
      <c r="K21" s="45"/>
      <c r="L21" s="45"/>
      <c r="M21" s="45"/>
      <c r="N21" s="45"/>
      <c r="O21" s="45"/>
    </row>
    <row r="22" spans="1:16">
      <c r="B22" s="138"/>
      <c r="C22" s="138"/>
      <c r="D22" s="138"/>
      <c r="E22" s="138"/>
      <c r="F22" s="45"/>
      <c r="G22" s="45"/>
      <c r="H22" s="45"/>
      <c r="I22" s="45"/>
      <c r="J22" s="45"/>
      <c r="K22" s="45"/>
      <c r="L22" s="45"/>
      <c r="M22" s="45"/>
      <c r="N22" s="45"/>
      <c r="O22" s="45"/>
    </row>
    <row r="23" spans="1:16">
      <c r="B23" s="138"/>
      <c r="C23" s="138"/>
      <c r="D23" s="138"/>
      <c r="E23" s="138"/>
      <c r="F23" s="45"/>
      <c r="G23" s="45"/>
      <c r="H23" s="45"/>
      <c r="I23" s="45"/>
      <c r="J23" s="45"/>
      <c r="K23" s="45"/>
      <c r="L23" s="45"/>
      <c r="M23" s="45"/>
      <c r="N23" s="45"/>
      <c r="O23" s="45"/>
    </row>
    <row r="24" spans="1:16">
      <c r="B24" s="138"/>
      <c r="C24" s="138"/>
      <c r="D24" s="138"/>
      <c r="E24" s="138"/>
      <c r="F24" s="45"/>
      <c r="G24" s="45"/>
      <c r="H24" s="45"/>
      <c r="I24" s="45"/>
      <c r="J24" s="45"/>
      <c r="K24" s="45"/>
      <c r="L24" s="45"/>
      <c r="M24" s="45"/>
      <c r="N24" s="45"/>
      <c r="O24" s="45"/>
    </row>
    <row r="25" spans="1:16">
      <c r="B25" s="138"/>
      <c r="C25" s="138"/>
      <c r="D25" s="138"/>
      <c r="E25" s="138"/>
      <c r="F25" s="45"/>
      <c r="G25" s="45"/>
      <c r="H25" s="45"/>
      <c r="I25" s="45"/>
      <c r="J25" s="45"/>
      <c r="K25" s="45"/>
      <c r="L25" s="45"/>
      <c r="M25" s="45"/>
      <c r="N25" s="45"/>
      <c r="O25" s="45"/>
    </row>
    <row r="26" spans="1:16">
      <c r="B26" s="138"/>
      <c r="C26" s="138"/>
      <c r="D26" s="138"/>
      <c r="E26" s="138"/>
      <c r="F26" s="45"/>
      <c r="G26" s="45"/>
      <c r="H26" s="45"/>
      <c r="I26" s="45"/>
      <c r="J26" s="45"/>
      <c r="K26" s="45"/>
      <c r="L26" s="45"/>
      <c r="M26" s="45"/>
      <c r="N26" s="45"/>
      <c r="O26" s="45"/>
    </row>
    <row r="27" spans="1:16">
      <c r="B27" s="138"/>
      <c r="C27" s="138"/>
      <c r="D27" s="138"/>
      <c r="E27" s="138"/>
      <c r="F27" s="45"/>
      <c r="G27" s="45"/>
      <c r="H27" s="45"/>
      <c r="I27" s="45"/>
      <c r="J27" s="45"/>
      <c r="K27" s="45"/>
      <c r="L27" s="45"/>
      <c r="M27" s="45"/>
      <c r="N27" s="45"/>
      <c r="O27" s="45"/>
    </row>
    <row r="28" spans="1:16">
      <c r="B28" s="138"/>
      <c r="C28" s="138"/>
      <c r="D28" s="138"/>
      <c r="E28" s="138"/>
      <c r="F28" s="45"/>
      <c r="G28" s="45"/>
      <c r="H28" s="45"/>
      <c r="I28" s="45"/>
      <c r="J28" s="45"/>
      <c r="K28" s="45"/>
      <c r="L28" s="45"/>
      <c r="M28" s="45"/>
      <c r="N28" s="45"/>
      <c r="O28" s="45"/>
    </row>
    <row r="29" spans="1:16">
      <c r="B29" s="138"/>
      <c r="C29" s="138"/>
      <c r="D29" s="138"/>
      <c r="E29" s="138"/>
      <c r="F29" s="45"/>
      <c r="G29" s="45"/>
      <c r="H29" s="45"/>
      <c r="I29" s="45"/>
      <c r="J29" s="45"/>
      <c r="K29" s="45"/>
      <c r="L29" s="45"/>
      <c r="M29" s="45"/>
      <c r="N29" s="45"/>
      <c r="O29" s="45"/>
    </row>
    <row r="30" spans="1:16">
      <c r="B30" s="138"/>
      <c r="C30" s="138"/>
      <c r="D30" s="138"/>
      <c r="E30" s="138"/>
      <c r="F30" s="45"/>
      <c r="G30" s="45"/>
      <c r="H30" s="45"/>
      <c r="I30" s="45"/>
      <c r="J30" s="45"/>
      <c r="K30" s="45"/>
      <c r="L30" s="45"/>
      <c r="M30" s="45"/>
      <c r="N30" s="45"/>
      <c r="O30" s="45"/>
    </row>
    <row r="31" spans="1:16">
      <c r="B31" s="138"/>
      <c r="C31" s="138"/>
      <c r="D31" s="138"/>
      <c r="E31" s="138"/>
      <c r="F31" s="45"/>
      <c r="G31" s="45"/>
      <c r="H31" s="45"/>
      <c r="I31" s="45"/>
      <c r="J31" s="45"/>
      <c r="K31" s="45"/>
      <c r="L31" s="45"/>
      <c r="M31" s="45"/>
      <c r="N31" s="45"/>
      <c r="O31" s="45"/>
    </row>
    <row r="32" spans="1:16">
      <c r="B32" s="138"/>
      <c r="C32" s="138"/>
      <c r="D32" s="138"/>
      <c r="E32" s="138"/>
      <c r="F32" s="45"/>
      <c r="G32" s="45"/>
      <c r="H32" s="45"/>
      <c r="I32" s="45"/>
      <c r="J32" s="45"/>
      <c r="K32" s="45"/>
      <c r="L32" s="45"/>
      <c r="M32" s="45"/>
      <c r="N32" s="45"/>
      <c r="O32" s="45"/>
    </row>
    <row r="33" spans="2:15">
      <c r="B33" s="138"/>
      <c r="C33" s="138"/>
      <c r="D33" s="138"/>
      <c r="E33" s="138"/>
      <c r="F33" s="45"/>
      <c r="G33" s="45"/>
      <c r="H33" s="45"/>
      <c r="I33" s="45"/>
      <c r="J33" s="45"/>
      <c r="K33" s="45"/>
      <c r="L33" s="45"/>
      <c r="M33" s="45"/>
      <c r="N33" s="45"/>
      <c r="O33" s="45"/>
    </row>
    <row r="34" spans="2:15">
      <c r="B34" s="138"/>
      <c r="C34" s="138"/>
      <c r="D34" s="138"/>
      <c r="E34" s="138"/>
      <c r="F34" s="45"/>
      <c r="G34" s="45"/>
      <c r="H34" s="45"/>
      <c r="I34" s="45"/>
      <c r="J34" s="45"/>
      <c r="K34" s="45"/>
      <c r="L34" s="45"/>
      <c r="M34" s="45"/>
      <c r="N34" s="45"/>
      <c r="O34" s="45"/>
    </row>
    <row r="35" spans="2:15">
      <c r="B35" s="138"/>
      <c r="C35" s="138"/>
      <c r="D35" s="138"/>
      <c r="E35" s="138"/>
      <c r="F35" s="45"/>
      <c r="G35" s="45"/>
      <c r="H35" s="45"/>
      <c r="I35" s="45"/>
      <c r="J35" s="45"/>
      <c r="K35" s="45"/>
      <c r="L35" s="45"/>
      <c r="M35" s="45"/>
      <c r="N35" s="45"/>
      <c r="O35" s="45"/>
    </row>
    <row r="36" spans="2:15">
      <c r="B36" s="138"/>
      <c r="C36" s="138"/>
      <c r="D36" s="138"/>
      <c r="E36" s="138"/>
      <c r="F36" s="45"/>
      <c r="G36" s="45"/>
      <c r="H36" s="45"/>
      <c r="I36" s="45"/>
      <c r="J36" s="45"/>
      <c r="K36" s="45"/>
      <c r="L36" s="45"/>
      <c r="M36" s="45"/>
      <c r="N36" s="45"/>
      <c r="O36" s="45"/>
    </row>
    <row r="37" spans="2:15">
      <c r="B37" s="138"/>
      <c r="C37" s="138"/>
      <c r="D37" s="138"/>
      <c r="E37" s="138"/>
      <c r="F37" s="45"/>
      <c r="G37" s="45"/>
      <c r="H37" s="45"/>
      <c r="I37" s="45"/>
      <c r="J37" s="45"/>
      <c r="K37" s="45"/>
      <c r="L37" s="45"/>
      <c r="M37" s="45"/>
      <c r="N37" s="45"/>
      <c r="O37" s="45"/>
    </row>
    <row r="38" spans="2:15"/>
    <row r="39" spans="2:15"/>
    <row r="57"/>
    <row r="58"/>
    <row r="59"/>
    <row r="60"/>
    <row r="61"/>
  </sheetData>
  <printOptions horizontalCentered="1"/>
  <pageMargins left="0.25" right="0.25" top="0.75" bottom="0.75" header="0.3" footer="0.3"/>
  <pageSetup scale="70" fitToWidth="0"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1:BG57"/>
  <sheetViews>
    <sheetView showGridLines="0" topLeftCell="B1" zoomScaleNormal="100" zoomScaleSheetLayoutView="100" workbookViewId="0">
      <selection activeCell="B14" sqref="B14"/>
    </sheetView>
  </sheetViews>
  <sheetFormatPr defaultColWidth="0" defaultRowHeight="13.5" zeroHeight="1"/>
  <cols>
    <col min="1" max="1" width="1" style="123" customWidth="1"/>
    <col min="2" max="2" width="11.28515625" style="123" customWidth="1"/>
    <col min="3" max="3" width="12.28515625" style="123" customWidth="1"/>
    <col min="4" max="5" width="34.42578125" style="123" customWidth="1"/>
    <col min="6" max="7" width="14.5703125" style="124" customWidth="1"/>
    <col min="8" max="8" width="14.5703125" style="139" customWidth="1"/>
    <col min="9" max="12" width="14.5703125" style="124" customWidth="1"/>
    <col min="13" max="13" width="1" style="123" customWidth="1"/>
    <col min="14" max="23" width="9.140625" style="123" hidden="1" customWidth="1"/>
    <col min="24" max="59" width="0" style="123" hidden="1" customWidth="1"/>
    <col min="60" max="16384" width="9.140625" style="123" hidden="1"/>
  </cols>
  <sheetData>
    <row r="1" spans="2:16" ht="15">
      <c r="B1" s="25" t="str">
        <f>Index!$B$1</f>
        <v>ABC &amp; Co.</v>
      </c>
      <c r="C1" s="5"/>
      <c r="L1" s="125" t="str">
        <f>Index!D22</f>
        <v>B.S.18 - 6</v>
      </c>
    </row>
    <row r="2" spans="2:16">
      <c r="B2" s="5" t="str">
        <f>Index!$B$2</f>
        <v>(Chartered Accountants)</v>
      </c>
      <c r="C2" s="5"/>
      <c r="L2" s="123"/>
    </row>
    <row r="3" spans="2:16">
      <c r="B3" s="5"/>
      <c r="C3" s="5"/>
    </row>
    <row r="4" spans="2:16" ht="15">
      <c r="B4" s="7" t="str">
        <f>Index!$B$4</f>
        <v xml:space="preserve">Client: </v>
      </c>
      <c r="C4" s="8" t="str">
        <f>Index!$C$4</f>
        <v>ABC Limited</v>
      </c>
    </row>
    <row r="5" spans="2:16" ht="15">
      <c r="B5" s="7" t="str">
        <f>Index!$B$5</f>
        <v>Period:</v>
      </c>
      <c r="C5" s="8" t="str">
        <f>Index!$C$5</f>
        <v>Year ended June 30, 2023</v>
      </c>
      <c r="K5" s="10" t="str">
        <f>Index!$E$4</f>
        <v>Prepared by:</v>
      </c>
      <c r="L5" s="13" t="str">
        <f>IF(Index!$F$4="","",Index!$F$4)</f>
        <v/>
      </c>
    </row>
    <row r="6" spans="2:16" ht="15">
      <c r="B6" s="7" t="str">
        <f>Index!$B$6</f>
        <v>Head:</v>
      </c>
      <c r="C6" s="8" t="str">
        <f>Index!$C$6</f>
        <v>Long term financing - Related parties</v>
      </c>
      <c r="K6" s="10" t="str">
        <f>Index!$E$5</f>
        <v>Date prepared:</v>
      </c>
      <c r="L6" s="176" t="str">
        <f>IF(Index!$F$5="","",Index!$F$5)</f>
        <v/>
      </c>
    </row>
    <row r="7" spans="2:16" ht="15">
      <c r="B7" s="122"/>
      <c r="C7" s="122"/>
      <c r="K7" s="10" t="str">
        <f>Index!$E$6</f>
        <v>Reviewed by:</v>
      </c>
      <c r="L7" s="177" t="str">
        <f>IF(Index!$F$6="","",Index!$F$6)</f>
        <v/>
      </c>
    </row>
    <row r="8" spans="2:16" ht="15">
      <c r="B8" s="122"/>
      <c r="C8" s="122"/>
      <c r="K8" s="10" t="str">
        <f>Index!$E$7</f>
        <v>Date reviewed:</v>
      </c>
      <c r="L8" s="176" t="str">
        <f>IF(Index!$F$7="","",Index!$F$7)</f>
        <v/>
      </c>
    </row>
    <row r="9" spans="2:16" ht="15">
      <c r="B9" s="128" t="s">
        <v>131</v>
      </c>
      <c r="C9" s="128"/>
      <c r="D9" s="128"/>
      <c r="E9" s="128"/>
      <c r="F9" s="128"/>
      <c r="G9" s="128"/>
      <c r="H9" s="128"/>
      <c r="I9" s="128"/>
      <c r="J9" s="128"/>
      <c r="K9" s="128"/>
      <c r="L9" s="128"/>
    </row>
    <row r="10" spans="2:16" ht="15">
      <c r="B10" s="129" t="s">
        <v>18</v>
      </c>
      <c r="C10" s="129"/>
    </row>
    <row r="11" spans="2:16" ht="15">
      <c r="B11" s="130" t="s">
        <v>19</v>
      </c>
      <c r="C11" s="129"/>
      <c r="M11" s="124"/>
      <c r="N11" s="124"/>
      <c r="O11" s="124"/>
      <c r="P11" s="124"/>
    </row>
    <row r="12" spans="2:16" ht="15">
      <c r="B12" s="130" t="s">
        <v>49</v>
      </c>
      <c r="C12" s="129"/>
      <c r="M12" s="124"/>
      <c r="N12" s="124"/>
      <c r="O12" s="124"/>
      <c r="P12" s="124"/>
    </row>
    <row r="13" spans="2:16" ht="15">
      <c r="B13" s="130" t="s">
        <v>137</v>
      </c>
      <c r="C13" s="129"/>
      <c r="M13" s="124"/>
      <c r="N13" s="124"/>
      <c r="O13" s="124"/>
      <c r="P13" s="124"/>
    </row>
    <row r="14" spans="2:16" ht="15">
      <c r="B14" s="130" t="s">
        <v>42</v>
      </c>
      <c r="C14" s="129"/>
    </row>
    <row r="15" spans="2:16"/>
    <row r="16" spans="2:16" s="141" customFormat="1" ht="30">
      <c r="B16" s="131" t="s">
        <v>23</v>
      </c>
      <c r="C16" s="131" t="s">
        <v>24</v>
      </c>
      <c r="D16" s="131" t="s">
        <v>25</v>
      </c>
      <c r="E16" s="131" t="s">
        <v>121</v>
      </c>
      <c r="F16" s="132" t="s">
        <v>132</v>
      </c>
      <c r="G16" s="132" t="s">
        <v>135</v>
      </c>
      <c r="H16" s="140" t="s">
        <v>133</v>
      </c>
      <c r="I16" s="132" t="s">
        <v>41</v>
      </c>
      <c r="J16" s="132" t="s">
        <v>40</v>
      </c>
      <c r="K16" s="132" t="s">
        <v>136</v>
      </c>
      <c r="L16" s="132" t="s">
        <v>134</v>
      </c>
    </row>
    <row r="17" spans="1:13" s="134" customFormat="1">
      <c r="A17" s="133"/>
      <c r="F17" s="135"/>
      <c r="G17" s="135"/>
      <c r="H17" s="142"/>
      <c r="I17" s="135"/>
      <c r="J17" s="135"/>
      <c r="K17" s="135"/>
      <c r="L17" s="135"/>
      <c r="M17" s="133"/>
    </row>
    <row r="18" spans="1:13">
      <c r="B18" s="136"/>
      <c r="C18" s="136"/>
      <c r="D18" s="136"/>
      <c r="E18" s="136"/>
      <c r="F18" s="137"/>
      <c r="G18" s="137"/>
      <c r="H18" s="143"/>
      <c r="I18" s="137"/>
      <c r="J18" s="137"/>
      <c r="K18" s="137"/>
      <c r="L18" s="137"/>
    </row>
    <row r="19" spans="1:13">
      <c r="B19" s="138"/>
      <c r="C19" s="138"/>
      <c r="D19" s="138"/>
      <c r="E19" s="138"/>
      <c r="F19" s="45"/>
      <c r="G19" s="45"/>
      <c r="H19" s="144"/>
      <c r="I19" s="45"/>
      <c r="J19" s="45"/>
      <c r="K19" s="45"/>
      <c r="L19" s="45"/>
    </row>
    <row r="20" spans="1:13">
      <c r="B20" s="138"/>
      <c r="C20" s="138"/>
      <c r="D20" s="138"/>
      <c r="E20" s="138"/>
      <c r="F20" s="45"/>
      <c r="G20" s="45"/>
      <c r="H20" s="144"/>
      <c r="I20" s="45"/>
      <c r="J20" s="45"/>
      <c r="K20" s="45"/>
      <c r="L20" s="45"/>
    </row>
    <row r="21" spans="1:13">
      <c r="B21" s="138"/>
      <c r="C21" s="138"/>
      <c r="D21" s="138"/>
      <c r="E21" s="138"/>
      <c r="F21" s="45"/>
      <c r="G21" s="45"/>
      <c r="H21" s="144"/>
      <c r="I21" s="45"/>
      <c r="J21" s="45"/>
      <c r="K21" s="45"/>
      <c r="L21" s="45"/>
    </row>
    <row r="22" spans="1:13">
      <c r="B22" s="138"/>
      <c r="C22" s="138"/>
      <c r="D22" s="138"/>
      <c r="E22" s="138"/>
      <c r="F22" s="45"/>
      <c r="G22" s="45"/>
      <c r="H22" s="144"/>
      <c r="I22" s="45"/>
      <c r="J22" s="45"/>
      <c r="K22" s="45"/>
      <c r="L22" s="45"/>
    </row>
    <row r="23" spans="1:13">
      <c r="B23" s="138"/>
      <c r="C23" s="138"/>
      <c r="D23" s="138"/>
      <c r="E23" s="138"/>
      <c r="F23" s="45"/>
      <c r="G23" s="45"/>
      <c r="H23" s="144"/>
      <c r="I23" s="45"/>
      <c r="J23" s="45"/>
      <c r="K23" s="45"/>
      <c r="L23" s="45"/>
    </row>
    <row r="24" spans="1:13">
      <c r="B24" s="138"/>
      <c r="C24" s="138"/>
      <c r="D24" s="138"/>
      <c r="E24" s="138"/>
      <c r="F24" s="45"/>
      <c r="G24" s="45"/>
      <c r="H24" s="144"/>
      <c r="I24" s="45"/>
      <c r="J24" s="45"/>
      <c r="K24" s="45"/>
      <c r="L24" s="45"/>
    </row>
    <row r="25" spans="1:13">
      <c r="B25" s="138"/>
      <c r="C25" s="138"/>
      <c r="D25" s="138"/>
      <c r="E25" s="138"/>
      <c r="F25" s="45"/>
      <c r="G25" s="45"/>
      <c r="H25" s="144"/>
      <c r="I25" s="45"/>
      <c r="J25" s="45"/>
      <c r="K25" s="45"/>
      <c r="L25" s="45"/>
    </row>
    <row r="26" spans="1:13">
      <c r="B26" s="138"/>
      <c r="C26" s="138"/>
      <c r="D26" s="138"/>
      <c r="E26" s="138"/>
      <c r="F26" s="45"/>
      <c r="G26" s="45"/>
      <c r="H26" s="144"/>
      <c r="I26" s="45"/>
      <c r="J26" s="45"/>
      <c r="K26" s="45"/>
      <c r="L26" s="45"/>
    </row>
    <row r="27" spans="1:13">
      <c r="B27" s="138"/>
      <c r="C27" s="138"/>
      <c r="D27" s="138"/>
      <c r="E27" s="138"/>
      <c r="F27" s="45"/>
      <c r="G27" s="45"/>
      <c r="H27" s="144"/>
      <c r="I27" s="45"/>
      <c r="J27" s="45"/>
      <c r="K27" s="45"/>
      <c r="L27" s="45"/>
    </row>
    <row r="28" spans="1:13">
      <c r="B28" s="138"/>
      <c r="C28" s="138"/>
      <c r="D28" s="138"/>
      <c r="E28" s="138"/>
      <c r="F28" s="45"/>
      <c r="G28" s="45"/>
      <c r="H28" s="144"/>
      <c r="I28" s="45"/>
      <c r="J28" s="45"/>
      <c r="K28" s="45"/>
      <c r="L28" s="45"/>
    </row>
    <row r="29" spans="1:13">
      <c r="B29" s="138"/>
      <c r="C29" s="138"/>
      <c r="D29" s="138"/>
      <c r="E29" s="138"/>
      <c r="F29" s="45"/>
      <c r="G29" s="45"/>
      <c r="H29" s="144"/>
      <c r="I29" s="45"/>
      <c r="J29" s="45"/>
      <c r="K29" s="45"/>
      <c r="L29" s="45"/>
    </row>
    <row r="30" spans="1:13">
      <c r="B30" s="138"/>
      <c r="C30" s="138"/>
      <c r="D30" s="138"/>
      <c r="E30" s="138"/>
      <c r="F30" s="45"/>
      <c r="G30" s="45"/>
      <c r="H30" s="144"/>
      <c r="I30" s="45"/>
      <c r="J30" s="45"/>
      <c r="K30" s="45"/>
      <c r="L30" s="45"/>
    </row>
    <row r="31" spans="1:13">
      <c r="B31" s="138"/>
      <c r="C31" s="138"/>
      <c r="D31" s="138"/>
      <c r="E31" s="138"/>
      <c r="F31" s="45"/>
      <c r="G31" s="45"/>
      <c r="H31" s="144"/>
      <c r="I31" s="45"/>
      <c r="J31" s="45"/>
      <c r="K31" s="45"/>
      <c r="L31" s="45"/>
    </row>
    <row r="32" spans="1:13">
      <c r="B32" s="138"/>
      <c r="C32" s="138"/>
      <c r="D32" s="138"/>
      <c r="E32" s="138"/>
      <c r="F32" s="45"/>
      <c r="G32" s="45"/>
      <c r="H32" s="144"/>
      <c r="I32" s="45"/>
      <c r="J32" s="45"/>
      <c r="K32" s="45"/>
      <c r="L32" s="45"/>
    </row>
    <row r="33" spans="2:12">
      <c r="B33" s="138"/>
      <c r="C33" s="138"/>
      <c r="D33" s="138"/>
      <c r="E33" s="138"/>
      <c r="F33" s="45"/>
      <c r="G33" s="45"/>
      <c r="H33" s="144"/>
      <c r="I33" s="45"/>
      <c r="J33" s="45"/>
      <c r="K33" s="45"/>
      <c r="L33" s="45"/>
    </row>
    <row r="34" spans="2:12">
      <c r="B34" s="138"/>
      <c r="C34" s="138"/>
      <c r="D34" s="138"/>
      <c r="E34" s="138"/>
      <c r="F34" s="45"/>
      <c r="G34" s="45"/>
      <c r="H34" s="144"/>
      <c r="I34" s="45"/>
      <c r="J34" s="45"/>
      <c r="K34" s="45"/>
      <c r="L34" s="45"/>
    </row>
    <row r="35" spans="2:12">
      <c r="B35" s="138"/>
      <c r="C35" s="138"/>
      <c r="D35" s="138"/>
      <c r="E35" s="138"/>
      <c r="F35" s="45"/>
      <c r="G35" s="45"/>
      <c r="H35" s="144"/>
      <c r="I35" s="45"/>
      <c r="J35" s="45"/>
      <c r="K35" s="45"/>
      <c r="L35" s="45"/>
    </row>
    <row r="36" spans="2:12">
      <c r="B36" s="138"/>
      <c r="C36" s="138"/>
      <c r="D36" s="138"/>
      <c r="E36" s="138"/>
      <c r="F36" s="45"/>
      <c r="G36" s="45"/>
      <c r="H36" s="144"/>
      <c r="I36" s="45"/>
      <c r="J36" s="45"/>
      <c r="K36" s="45"/>
      <c r="L36" s="45"/>
    </row>
    <row r="37" spans="2:12">
      <c r="B37" s="138"/>
      <c r="C37" s="138"/>
      <c r="D37" s="138"/>
      <c r="E37" s="138"/>
      <c r="F37" s="45"/>
      <c r="G37" s="45"/>
      <c r="H37" s="144">
        <f>SUM(H16:H36)</f>
        <v>0</v>
      </c>
      <c r="I37" s="45"/>
      <c r="J37" s="45"/>
      <c r="K37" s="45"/>
      <c r="L37" s="45"/>
    </row>
    <row r="38" spans="2:12"/>
    <row r="39" spans="2:12" ht="15">
      <c r="B39" s="145"/>
      <c r="C39" s="129"/>
    </row>
    <row r="40" spans="2:12" ht="15" hidden="1">
      <c r="B40" s="68"/>
      <c r="C40" s="129"/>
    </row>
    <row r="41" spans="2:12" ht="15" hidden="1">
      <c r="B41" s="68"/>
      <c r="C41" s="129"/>
    </row>
    <row r="42" spans="2:12" ht="15" hidden="1">
      <c r="B42" s="130"/>
      <c r="C42" s="129"/>
    </row>
    <row r="53"/>
    <row r="54"/>
    <row r="55"/>
    <row r="56"/>
    <row r="57"/>
  </sheetData>
  <printOptions horizontalCentered="1"/>
  <pageMargins left="0.25" right="0.25" top="0.75" bottom="0.75" header="0.3" footer="0.3"/>
  <pageSetup scale="75" orientation="landscape"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pageSetUpPr fitToPage="1"/>
  </sheetPr>
  <dimension ref="A1:R55"/>
  <sheetViews>
    <sheetView showGridLines="0" zoomScaleNormal="100" zoomScaleSheetLayoutView="100" workbookViewId="0">
      <selection activeCell="B11" sqref="B11"/>
    </sheetView>
  </sheetViews>
  <sheetFormatPr defaultColWidth="0" defaultRowHeight="13.5" zeroHeight="1"/>
  <cols>
    <col min="1" max="1" width="1" style="123" customWidth="1"/>
    <col min="2" max="2" width="11.85546875" style="123" customWidth="1"/>
    <col min="3" max="3" width="50.5703125" style="123" customWidth="1"/>
    <col min="4" max="7" width="12.85546875" style="123" customWidth="1"/>
    <col min="8" max="8" width="0.85546875" style="123" customWidth="1"/>
    <col min="9" max="9" width="15.7109375" style="123" customWidth="1"/>
    <col min="10" max="10" width="0.85546875" style="123" customWidth="1"/>
    <col min="11" max="18" width="0" style="123" hidden="1" customWidth="1"/>
    <col min="19" max="16384" width="9.140625" style="123" hidden="1"/>
  </cols>
  <sheetData>
    <row r="1" spans="1:9" s="146" customFormat="1" ht="15">
      <c r="B1" s="25" t="str">
        <f>Index!$B$1</f>
        <v>ABC &amp; Co.</v>
      </c>
      <c r="C1" s="5"/>
      <c r="I1" s="147" t="str">
        <f>Index!D24</f>
        <v>B.S.18 - 7</v>
      </c>
    </row>
    <row r="2" spans="1:9" s="146" customFormat="1">
      <c r="B2" s="5" t="str">
        <f>Index!$B$2</f>
        <v>(Chartered Accountants)</v>
      </c>
      <c r="C2" s="5"/>
      <c r="F2" s="148"/>
    </row>
    <row r="3" spans="1:9" s="146" customFormat="1">
      <c r="B3" s="5"/>
      <c r="C3" s="5"/>
      <c r="F3" s="148"/>
      <c r="H3" s="149"/>
    </row>
    <row r="4" spans="1:9" s="150" customFormat="1" ht="15">
      <c r="B4" s="7" t="str">
        <f>Index!$B$4</f>
        <v xml:space="preserve">Client: </v>
      </c>
      <c r="C4" s="8" t="str">
        <f>Index!$C$4</f>
        <v>ABC Limited</v>
      </c>
      <c r="E4" s="153"/>
      <c r="F4" s="10" t="str">
        <f>Index!$E$4</f>
        <v>Prepared by:</v>
      </c>
      <c r="G4" s="13" t="str">
        <f>IF(Index!$F$4="","",Index!$F$4)</f>
        <v/>
      </c>
      <c r="H4" s="126"/>
      <c r="I4" s="178"/>
    </row>
    <row r="5" spans="1:9" s="150" customFormat="1" ht="15">
      <c r="B5" s="7" t="str">
        <f>Index!$B$5</f>
        <v>Period:</v>
      </c>
      <c r="C5" s="8" t="str">
        <f>Index!$C$5</f>
        <v>Year ended June 30, 2023</v>
      </c>
      <c r="E5" s="154"/>
      <c r="F5" s="10" t="str">
        <f>Index!$E$5</f>
        <v>Date prepared:</v>
      </c>
      <c r="G5" s="176" t="str">
        <f>IF(Index!$F$5="","",Index!$F$5)</f>
        <v/>
      </c>
      <c r="H5" s="126"/>
      <c r="I5" s="178"/>
    </row>
    <row r="6" spans="1:9" s="150" customFormat="1" ht="15">
      <c r="B6" s="7" t="str">
        <f>Index!$B$6</f>
        <v>Head:</v>
      </c>
      <c r="C6" s="8" t="str">
        <f>Index!$C$6</f>
        <v>Long term financing - Related parties</v>
      </c>
      <c r="D6" s="155"/>
      <c r="E6" s="155"/>
      <c r="F6" s="10" t="str">
        <f>Index!$E$6</f>
        <v>Reviewed by:</v>
      </c>
      <c r="G6" s="177" t="str">
        <f>IF(Index!$F$6="","",Index!$F$6)</f>
        <v/>
      </c>
      <c r="I6" s="156"/>
    </row>
    <row r="7" spans="1:9" s="150" customFormat="1" ht="15">
      <c r="B7" s="151" t="s">
        <v>38</v>
      </c>
      <c r="C7" s="152" t="str">
        <f>Lead!B46</f>
        <v>Financing from Related Parties</v>
      </c>
      <c r="E7" s="154"/>
      <c r="F7" s="10" t="str">
        <f>Index!$E$7</f>
        <v>Date reviewed:</v>
      </c>
      <c r="G7" s="176" t="str">
        <f>IF(Index!$F$7="","",Index!$F$7)</f>
        <v/>
      </c>
      <c r="H7" s="156"/>
    </row>
    <row r="8" spans="1:9" s="150" customFormat="1" ht="15">
      <c r="B8" s="123"/>
      <c r="C8" s="123"/>
      <c r="E8" s="154"/>
      <c r="H8" s="157"/>
    </row>
    <row r="9" spans="1:9" s="146" customFormat="1" ht="14.25" customHeight="1">
      <c r="B9" s="129" t="s">
        <v>90</v>
      </c>
      <c r="C9" s="158"/>
      <c r="D9" s="158"/>
      <c r="E9" s="158"/>
      <c r="F9" s="158"/>
      <c r="G9" s="158"/>
      <c r="H9" s="158"/>
      <c r="I9" s="158"/>
    </row>
    <row r="10" spans="1:9" ht="15">
      <c r="B10" s="122" t="s">
        <v>18</v>
      </c>
      <c r="C10" s="122"/>
    </row>
    <row r="11" spans="1:9" ht="15">
      <c r="B11" s="159" t="s">
        <v>47</v>
      </c>
      <c r="C11" s="122"/>
    </row>
    <row r="12" spans="1:9" s="146" customFormat="1">
      <c r="B12" s="66" t="s">
        <v>100</v>
      </c>
    </row>
    <row r="13" spans="1:9" s="51" customFormat="1">
      <c r="B13" s="66" t="s">
        <v>46</v>
      </c>
    </row>
    <row r="14" spans="1:9" s="146" customFormat="1">
      <c r="A14" s="51"/>
    </row>
    <row r="15" spans="1:9" s="146" customFormat="1" ht="15">
      <c r="B15" s="160" t="s">
        <v>17</v>
      </c>
    </row>
    <row r="16" spans="1:9" s="146" customFormat="1">
      <c r="B16" s="161" t="s">
        <v>56</v>
      </c>
    </row>
    <row r="17" spans="2:9">
      <c r="B17" s="161" t="s">
        <v>57</v>
      </c>
    </row>
    <row r="18" spans="2:9" s="51" customFormat="1">
      <c r="B18" s="161" t="s">
        <v>48</v>
      </c>
    </row>
    <row r="19" spans="2:9" s="51" customFormat="1">
      <c r="B19" s="161" t="s">
        <v>58</v>
      </c>
    </row>
    <row r="20" spans="2:9" s="51" customFormat="1">
      <c r="B20" s="161" t="s">
        <v>52</v>
      </c>
    </row>
    <row r="21" spans="2:9" s="146" customFormat="1" ht="15">
      <c r="B21" s="162"/>
      <c r="C21" s="162"/>
      <c r="D21" s="162"/>
      <c r="E21" s="162"/>
      <c r="F21" s="162"/>
      <c r="G21" s="44"/>
      <c r="H21" s="44"/>
    </row>
    <row r="22" spans="2:9" s="163" customFormat="1" ht="35.25" customHeight="1">
      <c r="D22" s="164" t="str">
        <f>SubLead!B50</f>
        <v>Party A</v>
      </c>
      <c r="E22" s="165" t="str">
        <f>SubLead!B56</f>
        <v>Party B</v>
      </c>
      <c r="F22" s="164"/>
      <c r="G22" s="164"/>
      <c r="H22" s="164"/>
      <c r="I22" s="164" t="s">
        <v>55</v>
      </c>
    </row>
    <row r="23" spans="2:9" ht="15">
      <c r="B23" s="122"/>
      <c r="C23" s="122"/>
    </row>
    <row r="24" spans="2:9" ht="15">
      <c r="B24" s="122" t="s">
        <v>91</v>
      </c>
      <c r="C24" s="122"/>
      <c r="D24" s="166"/>
      <c r="E24" s="166"/>
      <c r="F24" s="166"/>
      <c r="G24" s="166"/>
      <c r="I24" s="166"/>
    </row>
    <row r="25" spans="2:9" ht="15">
      <c r="B25" s="122" t="s">
        <v>92</v>
      </c>
      <c r="C25" s="122"/>
      <c r="D25" s="167"/>
      <c r="E25" s="167"/>
      <c r="F25" s="167"/>
      <c r="G25" s="167"/>
      <c r="I25" s="167"/>
    </row>
    <row r="26" spans="2:9" ht="15">
      <c r="B26" s="122" t="s">
        <v>93</v>
      </c>
      <c r="C26" s="122"/>
      <c r="D26" s="122"/>
      <c r="E26" s="122"/>
      <c r="F26" s="122"/>
      <c r="G26" s="122"/>
      <c r="I26" s="122"/>
    </row>
    <row r="27" spans="2:9" ht="15">
      <c r="B27" s="122" t="s">
        <v>94</v>
      </c>
      <c r="C27" s="122"/>
      <c r="D27" s="168"/>
      <c r="E27" s="168"/>
      <c r="F27" s="168"/>
      <c r="G27" s="168"/>
      <c r="I27" s="168"/>
    </row>
    <row r="28" spans="2:9" ht="15">
      <c r="B28" s="122"/>
      <c r="C28" s="122"/>
      <c r="D28" s="122"/>
      <c r="E28" s="122"/>
      <c r="F28" s="122"/>
      <c r="G28" s="122"/>
      <c r="I28" s="122"/>
    </row>
    <row r="29" spans="2:9" ht="15">
      <c r="B29" s="123" t="s">
        <v>95</v>
      </c>
      <c r="C29" s="122"/>
      <c r="D29" s="166"/>
      <c r="E29" s="166"/>
      <c r="F29" s="166"/>
      <c r="G29" s="166"/>
      <c r="I29" s="166"/>
    </row>
    <row r="30" spans="2:9" ht="15">
      <c r="B30" s="123" t="s">
        <v>96</v>
      </c>
      <c r="C30" s="122"/>
      <c r="D30" s="169"/>
      <c r="E30" s="169"/>
      <c r="F30" s="169"/>
      <c r="G30" s="169"/>
      <c r="I30" s="169"/>
    </row>
    <row r="31" spans="2:9" ht="15">
      <c r="B31" s="123" t="s">
        <v>97</v>
      </c>
      <c r="C31" s="122"/>
      <c r="D31" s="167"/>
      <c r="E31" s="167"/>
      <c r="F31" s="167"/>
      <c r="G31" s="167"/>
      <c r="I31" s="167"/>
    </row>
    <row r="32" spans="2:9" ht="15">
      <c r="B32" s="123" t="s">
        <v>98</v>
      </c>
      <c r="C32" s="122"/>
      <c r="D32" s="122"/>
      <c r="E32" s="122"/>
      <c r="F32" s="122"/>
      <c r="G32" s="122"/>
      <c r="I32" s="122"/>
    </row>
    <row r="33" spans="2:9" ht="15">
      <c r="B33" s="123" t="s">
        <v>99</v>
      </c>
      <c r="C33" s="122"/>
      <c r="D33" s="122"/>
      <c r="E33" s="122"/>
      <c r="F33" s="122"/>
      <c r="G33" s="122"/>
      <c r="I33" s="122"/>
    </row>
    <row r="34" spans="2:9" ht="15.75" thickBot="1">
      <c r="B34" s="123" t="s">
        <v>43</v>
      </c>
      <c r="C34" s="122"/>
      <c r="D34" s="170"/>
      <c r="E34" s="170"/>
      <c r="F34" s="170"/>
      <c r="G34" s="170"/>
      <c r="I34" s="170"/>
    </row>
    <row r="35" spans="2:9" ht="15.75" thickTop="1">
      <c r="B35" s="122"/>
      <c r="C35" s="122"/>
    </row>
    <row r="36" spans="2:9" s="51" customFormat="1" ht="15">
      <c r="B36" s="171"/>
    </row>
    <row r="44" spans="2:9"/>
    <row r="45" spans="2:9"/>
    <row r="46" spans="2:9"/>
    <row r="47" spans="2:9"/>
    <row r="48" spans="2:9"/>
    <row r="49"/>
    <row r="50"/>
    <row r="51"/>
    <row r="52"/>
    <row r="53"/>
    <row r="54"/>
    <row r="55"/>
  </sheetData>
  <printOptions horizontalCentered="1"/>
  <pageMargins left="0.25" right="0.25" top="0.75" bottom="0.75" header="0.3" footer="0.3"/>
  <pageSetup scale="92" orientation="landscape"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28"/>
  <sheetViews>
    <sheetView showGridLines="0" zoomScaleNormal="100" zoomScaleSheetLayoutView="100" workbookViewId="0">
      <selection activeCell="D16" sqref="D16"/>
    </sheetView>
  </sheetViews>
  <sheetFormatPr defaultColWidth="0" defaultRowHeight="13.5" zeroHeight="1"/>
  <cols>
    <col min="1" max="1" width="1" style="6" customWidth="1"/>
    <col min="2" max="2" width="10" style="6" customWidth="1"/>
    <col min="3" max="3" width="61.42578125" style="6" customWidth="1"/>
    <col min="4" max="5" width="13.5703125" style="6" customWidth="1"/>
    <col min="6" max="6" width="1" style="6" customWidth="1"/>
    <col min="7" max="7" width="9.140625" style="6" hidden="1" customWidth="1"/>
    <col min="8" max="9" width="0" style="6" hidden="1" customWidth="1"/>
    <col min="10" max="16384" width="9.140625" style="6" hidden="1"/>
  </cols>
  <sheetData>
    <row r="1" spans="2:10" s="5" customFormat="1" ht="15">
      <c r="B1" s="25" t="str">
        <f>Index!$B$1</f>
        <v>ABC &amp; Co.</v>
      </c>
      <c r="D1" s="26"/>
      <c r="E1" s="27" t="str">
        <f>Index!D28</f>
        <v>B.S.18 - 9</v>
      </c>
    </row>
    <row r="2" spans="2:10" s="5" customFormat="1" ht="15">
      <c r="B2" s="5" t="str">
        <f>Index!$B$2</f>
        <v>(Chartered Accountants)</v>
      </c>
      <c r="D2" s="26"/>
    </row>
    <row r="3" spans="2:10" s="5" customFormat="1">
      <c r="E3" s="6"/>
      <c r="F3" s="6"/>
    </row>
    <row r="4" spans="2:10" s="5" customFormat="1" ht="15">
      <c r="B4" s="7" t="str">
        <f>Index!$B$4</f>
        <v xml:space="preserve">Client: </v>
      </c>
      <c r="C4" s="8" t="str">
        <f>Index!$C$4</f>
        <v>ABC Limited</v>
      </c>
      <c r="D4" s="10" t="str">
        <f>Index!$E$4</f>
        <v>Prepared by:</v>
      </c>
      <c r="E4" s="13" t="str">
        <f>IF(Index!$F$4="","",Index!$F$4)</f>
        <v/>
      </c>
    </row>
    <row r="5" spans="2:10" s="5" customFormat="1" ht="15">
      <c r="B5" s="7" t="str">
        <f>Index!$B$5</f>
        <v>Period:</v>
      </c>
      <c r="C5" s="8" t="str">
        <f>Index!$C$5</f>
        <v>Year ended June 30, 2023</v>
      </c>
      <c r="D5" s="10" t="str">
        <f>Index!$E$5</f>
        <v>Date prepared:</v>
      </c>
      <c r="E5" s="176" t="str">
        <f>IF(Index!$F$5="","",Index!$F$5)</f>
        <v/>
      </c>
    </row>
    <row r="6" spans="2:10" s="5" customFormat="1" ht="15">
      <c r="B6" s="7" t="str">
        <f>Index!$B$6</f>
        <v>Head:</v>
      </c>
      <c r="C6" s="8" t="str">
        <f>Index!$C$6</f>
        <v>Long term financing - Related parties</v>
      </c>
      <c r="D6" s="10" t="str">
        <f>Index!$E$6</f>
        <v>Reviewed by:</v>
      </c>
      <c r="E6" s="177" t="str">
        <f>IF(Index!$F$6="","",Index!$F$6)</f>
        <v/>
      </c>
    </row>
    <row r="7" spans="2:10" ht="15">
      <c r="B7" s="5"/>
      <c r="C7" s="5"/>
      <c r="D7" s="10" t="str">
        <f>Index!$E$7</f>
        <v>Date reviewed:</v>
      </c>
      <c r="E7" s="176" t="str">
        <f>IF(Index!$F$7="","",Index!$F$7)</f>
        <v/>
      </c>
      <c r="F7" s="5"/>
    </row>
    <row r="8" spans="2:10" s="5" customFormat="1" ht="15">
      <c r="B8" s="25" t="s">
        <v>61</v>
      </c>
      <c r="C8" s="25"/>
      <c r="D8" s="25"/>
      <c r="E8" s="25"/>
      <c r="F8" s="25"/>
    </row>
    <row r="9" spans="2:10"/>
    <row r="10" spans="2:10" s="31" customFormat="1" ht="14.25" customHeight="1">
      <c r="B10" s="28" t="s">
        <v>6</v>
      </c>
      <c r="C10" s="28" t="s">
        <v>65</v>
      </c>
      <c r="D10" s="29" t="s">
        <v>62</v>
      </c>
      <c r="E10" s="29"/>
      <c r="F10" s="30"/>
    </row>
    <row r="11" spans="2:10" ht="15">
      <c r="B11" s="28"/>
      <c r="C11" s="28"/>
      <c r="D11" s="32" t="s">
        <v>63</v>
      </c>
      <c r="E11" s="33" t="s">
        <v>64</v>
      </c>
      <c r="F11" s="34"/>
    </row>
    <row r="12" spans="2:10">
      <c r="B12" s="172"/>
      <c r="C12" s="173"/>
      <c r="D12" s="173"/>
      <c r="E12" s="173"/>
    </row>
    <row r="13" spans="2:10" s="44" customFormat="1">
      <c r="B13" s="41"/>
      <c r="C13" s="43"/>
      <c r="D13" s="43"/>
      <c r="E13" s="43"/>
      <c r="F13" s="6"/>
      <c r="G13" s="6"/>
      <c r="H13" s="6"/>
      <c r="I13" s="6"/>
      <c r="J13" s="6"/>
    </row>
    <row r="14" spans="2:10" s="44" customFormat="1">
      <c r="B14" s="41"/>
      <c r="C14" s="43"/>
      <c r="D14" s="43"/>
      <c r="E14" s="43"/>
      <c r="F14" s="6"/>
      <c r="G14" s="6"/>
      <c r="H14" s="6"/>
      <c r="I14" s="6"/>
      <c r="J14" s="6"/>
    </row>
    <row r="15" spans="2:10" s="44" customFormat="1">
      <c r="B15" s="41"/>
      <c r="C15" s="43"/>
      <c r="D15" s="43"/>
      <c r="E15" s="43"/>
      <c r="F15" s="6"/>
      <c r="G15" s="6"/>
      <c r="H15" s="6"/>
      <c r="I15" s="6"/>
      <c r="J15" s="6"/>
    </row>
    <row r="16" spans="2:10" s="44" customFormat="1">
      <c r="B16" s="41"/>
      <c r="C16" s="43"/>
      <c r="D16" s="43"/>
      <c r="E16" s="43"/>
      <c r="F16" s="6"/>
      <c r="G16" s="6"/>
      <c r="H16" s="6"/>
      <c r="I16" s="6"/>
      <c r="J16" s="6"/>
    </row>
    <row r="17" spans="2:10" s="44" customFormat="1">
      <c r="B17" s="41"/>
      <c r="C17" s="43"/>
      <c r="D17" s="43"/>
      <c r="E17" s="43"/>
      <c r="F17" s="6"/>
      <c r="G17" s="6"/>
      <c r="H17" s="6"/>
      <c r="I17" s="6"/>
      <c r="J17" s="6"/>
    </row>
    <row r="18" spans="2:10" s="44" customFormat="1">
      <c r="B18" s="41"/>
      <c r="C18" s="43"/>
      <c r="D18" s="43"/>
      <c r="E18" s="43"/>
      <c r="F18" s="6"/>
      <c r="G18" s="6"/>
      <c r="H18" s="6"/>
      <c r="I18" s="6"/>
      <c r="J18" s="6"/>
    </row>
    <row r="19" spans="2:10" s="44" customFormat="1">
      <c r="B19" s="41"/>
      <c r="C19" s="43"/>
      <c r="D19" s="43"/>
      <c r="E19" s="43"/>
      <c r="F19" s="6"/>
      <c r="G19" s="6"/>
      <c r="H19" s="6"/>
      <c r="I19" s="6"/>
      <c r="J19" s="6"/>
    </row>
    <row r="20" spans="2:10" s="44" customFormat="1">
      <c r="B20" s="41"/>
      <c r="C20" s="43"/>
      <c r="D20" s="43"/>
      <c r="E20" s="43"/>
      <c r="F20" s="6"/>
      <c r="G20" s="6"/>
      <c r="H20" s="6"/>
      <c r="I20" s="6"/>
      <c r="J20" s="6"/>
    </row>
    <row r="21" spans="2:10" s="44" customFormat="1">
      <c r="B21" s="41"/>
      <c r="C21" s="43"/>
      <c r="D21" s="43"/>
      <c r="E21" s="43"/>
      <c r="F21" s="6"/>
      <c r="G21" s="6"/>
      <c r="H21" s="6"/>
      <c r="I21" s="6"/>
      <c r="J21" s="6"/>
    </row>
    <row r="22" spans="2:10" s="44" customFormat="1">
      <c r="B22" s="41"/>
      <c r="C22" s="42"/>
      <c r="D22" s="174"/>
      <c r="E22" s="174"/>
      <c r="F22" s="6"/>
      <c r="G22" s="6"/>
      <c r="H22" s="6"/>
      <c r="I22" s="6"/>
      <c r="J22" s="6"/>
    </row>
    <row r="23" spans="2:10" s="44" customFormat="1">
      <c r="B23" s="41"/>
      <c r="C23" s="42"/>
      <c r="D23" s="45"/>
      <c r="E23" s="45"/>
    </row>
    <row r="24" spans="2:10" s="44" customFormat="1">
      <c r="B24" s="41"/>
      <c r="C24" s="42"/>
      <c r="D24" s="42"/>
      <c r="E24" s="42"/>
    </row>
    <row r="25" spans="2:10" s="48" customFormat="1" ht="14.25" customHeight="1">
      <c r="B25" s="46"/>
      <c r="C25" s="47"/>
      <c r="D25" s="47"/>
      <c r="E25" s="47"/>
      <c r="F25" s="47"/>
      <c r="G25" s="47"/>
      <c r="H25" s="47"/>
      <c r="I25" s="47"/>
      <c r="J25" s="47"/>
    </row>
    <row r="26" spans="2:10" s="51" customFormat="1" hidden="1"/>
    <row r="27" spans="2:10" s="51" customFormat="1" ht="15" hidden="1">
      <c r="D27" s="59"/>
      <c r="E27" s="59"/>
      <c r="F27" s="59"/>
      <c r="G27" s="59"/>
      <c r="H27" s="59"/>
      <c r="I27" s="59"/>
    </row>
    <row r="28" spans="2:10" s="51" customFormat="1" hidden="1"/>
  </sheetData>
  <mergeCells count="3">
    <mergeCell ref="B10:B11"/>
    <mergeCell ref="C10:C11"/>
    <mergeCell ref="D10:E10"/>
  </mergeCells>
  <printOptions horizontalCentered="1"/>
  <pageMargins left="0.25" right="0.25" top="0.75" bottom="0.75" header="0.3" footer="0.3"/>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8</vt:i4>
      </vt:variant>
    </vt:vector>
  </HeadingPairs>
  <TitlesOfParts>
    <vt:vector size="16" baseType="lpstr">
      <vt:lpstr>Index</vt:lpstr>
      <vt:lpstr>AOC</vt:lpstr>
      <vt:lpstr>Lead</vt:lpstr>
      <vt:lpstr>SubLead</vt:lpstr>
      <vt:lpstr>Loan Obtained-Vouching</vt:lpstr>
      <vt:lpstr>Repayment-Vouching</vt:lpstr>
      <vt:lpstr>Interest-AP</vt:lpstr>
      <vt:lpstr>Adjusting Entries</vt:lpstr>
      <vt:lpstr>'Adjusting Entries'!Print_Area</vt:lpstr>
      <vt:lpstr>AOC!Print_Area</vt:lpstr>
      <vt:lpstr>Index!Print_Area</vt:lpstr>
      <vt:lpstr>'Interest-AP'!Print_Area</vt:lpstr>
      <vt:lpstr>Lead!Print_Area</vt:lpstr>
      <vt:lpstr>'Loan Obtained-Vouching'!Print_Area</vt:lpstr>
      <vt:lpstr>'Repayment-Vouching'!Print_Area</vt:lpstr>
      <vt:lpstr>SubLead!Print_Area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Audit Manager</dc:creator>
  <cp:lastModifiedBy>Hamid Ali Khan</cp:lastModifiedBy>
  <cp:lastPrinted>2017-07-05T14:34:38Z</cp:lastPrinted>
  <dcterms:created xsi:type="dcterms:W3CDTF">2013-09-04T12:17:25Z</dcterms:created>
  <dcterms:modified xsi:type="dcterms:W3CDTF">2023-06-26T21:03:47Z</dcterms:modified>
</cp:coreProperties>
</file>