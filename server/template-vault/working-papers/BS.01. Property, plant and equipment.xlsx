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MEGA\ZAFCA Audits\Templates and Important Laws\Audit Working Papers 2023\"/>
    </mc:Choice>
  </mc:AlternateContent>
  <xr:revisionPtr revIDLastSave="0" documentId="13_ncr:1_{CB37A02F-DDF3-4C34-84E9-3A1228309FEA}" xr6:coauthVersionLast="47" xr6:coauthVersionMax="47" xr10:uidLastSave="{00000000-0000-0000-0000-000000000000}"/>
  <bookViews>
    <workbookView xWindow="-120" yWindow="-120" windowWidth="20730" windowHeight="11160" tabRatio="857" xr2:uid="{00000000-000D-0000-FFFF-FFFF00000000}"/>
  </bookViews>
  <sheets>
    <sheet name="Index" sheetId="6" r:id="rId1"/>
    <sheet name="AOC" sheetId="7" r:id="rId2"/>
    <sheet name="Lead" sheetId="3" r:id="rId3"/>
    <sheet name="SubLead" sheetId="10" r:id="rId4"/>
    <sheet name="TOCs" sheetId="21" r:id="rId5"/>
    <sheet name="Sampling-Physical-Inspection" sheetId="11" r:id="rId6"/>
    <sheet name="Additions-Vouching" sheetId="12" r:id="rId7"/>
    <sheet name="Disposals-Vouching" sheetId="13" r:id="rId8"/>
    <sheet name="Depreciation-Working" sheetId="14" r:id="rId9"/>
    <sheet name="Vouching-CWIP." sheetId="19" r:id="rId10"/>
    <sheet name="Adjusting Entries" sheetId="20" r:id="rId11"/>
  </sheets>
  <definedNames>
    <definedName name="_Fill" localSheetId="4" hidden="1">#REF!</definedName>
    <definedName name="_Fill" hidden="1">#REF!</definedName>
    <definedName name="_xlnm._FilterDatabase" localSheetId="4" hidden="1">TOCs!#REF!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4" hidden="1">#REF!</definedName>
    <definedName name="_Sort" hidden="1">#REF!</definedName>
    <definedName name="_xlnm.Print_Area" localSheetId="6">'Additions-Vouching'!$A$1:$AB$58</definedName>
    <definedName name="_xlnm.Print_Area" localSheetId="10">'Adjusting Entries'!$A$1:$F$26</definedName>
    <definedName name="_xlnm.Print_Area" localSheetId="1">AOC!$A$1:$H$29</definedName>
    <definedName name="_xlnm.Print_Area" localSheetId="8">'Depreciation-Working'!$A$1:$R$56</definedName>
    <definedName name="_xlnm.Print_Area" localSheetId="7">'Disposals-Vouching'!$A$1:$Z$48</definedName>
    <definedName name="_xlnm.Print_Area" localSheetId="0">Index!$A$1:$K$40</definedName>
    <definedName name="_xlnm.Print_Area" localSheetId="2">Lead!$A$1:$N$41</definedName>
    <definedName name="_xlnm.Print_Area" localSheetId="5">'Sampling-Physical-Inspection'!$A$1:$K$32</definedName>
    <definedName name="_xlnm.Print_Area" localSheetId="3">SubLead!$A$1:$U$46</definedName>
    <definedName name="_xlnm.Print_Area" localSheetId="4">TOCs!$A$1:$X$67</definedName>
    <definedName name="_xlnm.Print_Area" localSheetId="9">'Vouching-CWIP.'!$A$1:$AA$54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2" l="1"/>
  <c r="F18" i="12"/>
  <c r="G19" i="12"/>
  <c r="T46" i="10"/>
  <c r="E44" i="10"/>
  <c r="E42" i="10"/>
  <c r="E39" i="10"/>
  <c r="E38" i="10"/>
  <c r="E40" i="10"/>
  <c r="E37" i="10"/>
  <c r="E35" i="10"/>
  <c r="Q48" i="14"/>
  <c r="O48" i="14"/>
  <c r="N48" i="14"/>
  <c r="E48" i="14"/>
  <c r="F48" i="14"/>
  <c r="G48" i="14"/>
  <c r="H48" i="14"/>
  <c r="I48" i="14"/>
  <c r="J48" i="14"/>
  <c r="K48" i="14"/>
  <c r="L48" i="14"/>
  <c r="D48" i="14"/>
  <c r="Q39" i="14"/>
  <c r="O39" i="14"/>
  <c r="N39" i="14"/>
  <c r="L39" i="14"/>
  <c r="K39" i="14"/>
  <c r="J39" i="14"/>
  <c r="I39" i="14"/>
  <c r="H39" i="14"/>
  <c r="G39" i="14"/>
  <c r="F39" i="14"/>
  <c r="E39" i="14"/>
  <c r="D39" i="14"/>
  <c r="Q52" i="14"/>
  <c r="O52" i="14"/>
  <c r="N52" i="14"/>
  <c r="E52" i="14"/>
  <c r="F52" i="14"/>
  <c r="G52" i="14"/>
  <c r="H52" i="14"/>
  <c r="I52" i="14"/>
  <c r="J52" i="14"/>
  <c r="K52" i="14"/>
  <c r="L52" i="14"/>
  <c r="D52" i="14"/>
  <c r="E34" i="10"/>
  <c r="E7" i="20"/>
  <c r="D7" i="20"/>
  <c r="E6" i="20"/>
  <c r="D6" i="20"/>
  <c r="E5" i="20"/>
  <c r="D5" i="20"/>
  <c r="E4" i="20"/>
  <c r="D4" i="20"/>
  <c r="Z7" i="19"/>
  <c r="Y7" i="19"/>
  <c r="Z6" i="19"/>
  <c r="Y6" i="19"/>
  <c r="Z5" i="19"/>
  <c r="Y5" i="19"/>
  <c r="Z4" i="19"/>
  <c r="Y4" i="19"/>
  <c r="Q7" i="14"/>
  <c r="O7" i="14"/>
  <c r="Q6" i="14"/>
  <c r="O6" i="14"/>
  <c r="Q5" i="14"/>
  <c r="O5" i="14"/>
  <c r="Q4" i="14"/>
  <c r="O4" i="14"/>
  <c r="V7" i="13"/>
  <c r="U7" i="13"/>
  <c r="V6" i="13"/>
  <c r="U6" i="13"/>
  <c r="V5" i="13"/>
  <c r="U5" i="13"/>
  <c r="V4" i="13"/>
  <c r="U4" i="13"/>
  <c r="AA8" i="12"/>
  <c r="Z8" i="12"/>
  <c r="Z7" i="12"/>
  <c r="AA6" i="12"/>
  <c r="Z6" i="12"/>
  <c r="Z5" i="12"/>
  <c r="J7" i="11"/>
  <c r="I7" i="11"/>
  <c r="I6" i="11"/>
  <c r="J5" i="11"/>
  <c r="I5" i="11"/>
  <c r="I4" i="11"/>
  <c r="W7" i="21" l="1"/>
  <c r="V7" i="21"/>
  <c r="V6" i="21"/>
  <c r="W5" i="21"/>
  <c r="V5" i="21"/>
  <c r="V4" i="21"/>
  <c r="T7" i="10"/>
  <c r="R7" i="10"/>
  <c r="T6" i="10"/>
  <c r="R6" i="10"/>
  <c r="T5" i="10"/>
  <c r="R5" i="10"/>
  <c r="T4" i="10"/>
  <c r="R4" i="10"/>
  <c r="M7" i="3"/>
  <c r="M6" i="3"/>
  <c r="M5" i="3"/>
  <c r="M4" i="3"/>
  <c r="G7" i="7"/>
  <c r="G6" i="7"/>
  <c r="G5" i="7"/>
  <c r="G4" i="7"/>
  <c r="K7" i="3"/>
  <c r="K6" i="3"/>
  <c r="K5" i="3"/>
  <c r="K4" i="3"/>
  <c r="B31" i="21"/>
  <c r="B32" i="21" s="1"/>
  <c r="B33" i="21" s="1"/>
  <c r="B34" i="21" s="1"/>
  <c r="B35" i="21" s="1"/>
  <c r="B36" i="21" s="1"/>
  <c r="B37" i="21" s="1"/>
  <c r="B38" i="21" s="1"/>
  <c r="B39" i="21" s="1"/>
  <c r="B40" i="21" s="1"/>
  <c r="B14" i="6"/>
  <c r="F14" i="6" s="1"/>
  <c r="F12" i="6"/>
  <c r="B2" i="7"/>
  <c r="B1" i="7"/>
  <c r="D6" i="7"/>
  <c r="D5" i="7"/>
  <c r="D4" i="7"/>
  <c r="F7" i="7"/>
  <c r="F6" i="7"/>
  <c r="F5" i="7"/>
  <c r="F4" i="7"/>
  <c r="B13" i="7"/>
  <c r="B14" i="7" s="1"/>
  <c r="B15" i="7" s="1"/>
  <c r="B16" i="7" s="1"/>
  <c r="B17" i="7" s="1"/>
  <c r="B18" i="7" s="1"/>
  <c r="B24" i="7"/>
  <c r="B25" i="7" s="1"/>
  <c r="B26" i="7" s="1"/>
  <c r="B27" i="7" s="1"/>
  <c r="B2" i="21"/>
  <c r="B1" i="21"/>
  <c r="B1" i="10"/>
  <c r="C5" i="12"/>
  <c r="C6" i="12"/>
  <c r="C4" i="12"/>
  <c r="C5" i="21"/>
  <c r="C6" i="21"/>
  <c r="C4" i="21"/>
  <c r="B16" i="6" l="1"/>
  <c r="H25" i="3"/>
  <c r="B18" i="6" l="1"/>
  <c r="F16" i="6"/>
  <c r="T33" i="10"/>
  <c r="T34" i="10"/>
  <c r="T35" i="10"/>
  <c r="T37" i="10"/>
  <c r="T38" i="10"/>
  <c r="T39" i="10"/>
  <c r="T40" i="10"/>
  <c r="T32" i="10"/>
  <c r="R44" i="10"/>
  <c r="R42" i="10"/>
  <c r="Q44" i="10"/>
  <c r="Q42" i="10"/>
  <c r="H42" i="10"/>
  <c r="I42" i="10"/>
  <c r="J42" i="10"/>
  <c r="K42" i="10"/>
  <c r="L42" i="10"/>
  <c r="M42" i="10"/>
  <c r="N42" i="10"/>
  <c r="O42" i="10"/>
  <c r="H44" i="10"/>
  <c r="I44" i="10"/>
  <c r="J44" i="10"/>
  <c r="K44" i="10"/>
  <c r="L44" i="10"/>
  <c r="M44" i="10"/>
  <c r="N44" i="10"/>
  <c r="O44" i="10"/>
  <c r="G44" i="10"/>
  <c r="G42" i="10"/>
  <c r="T42" i="10" l="1"/>
  <c r="F18" i="6"/>
  <c r="W1" i="21" s="1"/>
  <c r="B20" i="6"/>
  <c r="T44" i="10"/>
  <c r="J30" i="3"/>
  <c r="K30" i="3" s="1"/>
  <c r="J29" i="3"/>
  <c r="K29" i="3" s="1"/>
  <c r="F20" i="6" l="1"/>
  <c r="B22" i="6"/>
  <c r="C6" i="20"/>
  <c r="C5" i="20"/>
  <c r="C4" i="20"/>
  <c r="B2" i="20"/>
  <c r="B4" i="20"/>
  <c r="B5" i="20"/>
  <c r="B6" i="20"/>
  <c r="B1" i="20"/>
  <c r="F22" i="6" l="1"/>
  <c r="B24" i="6"/>
  <c r="F24" i="6" l="1"/>
  <c r="B26" i="6"/>
  <c r="B28" i="6" s="1"/>
  <c r="V1" i="13"/>
  <c r="AA1" i="12"/>
  <c r="E33" i="10" s="1"/>
  <c r="J1" i="11"/>
  <c r="T1" i="10"/>
  <c r="E29" i="3" s="1"/>
  <c r="M1" i="3"/>
  <c r="G1" i="7"/>
  <c r="F28" i="6" l="1"/>
  <c r="B30" i="6"/>
  <c r="F26" i="6"/>
  <c r="Q1" i="14" s="1"/>
  <c r="E32" i="10" s="1"/>
  <c r="C7" i="12"/>
  <c r="C7" i="19"/>
  <c r="H45" i="19"/>
  <c r="B7" i="19"/>
  <c r="B6" i="19"/>
  <c r="B5" i="19"/>
  <c r="B4" i="19"/>
  <c r="F30" i="6" l="1"/>
  <c r="E1" i="20" s="1"/>
  <c r="Z1" i="19"/>
  <c r="E30" i="3" s="1"/>
  <c r="C7" i="14"/>
  <c r="C6" i="14"/>
  <c r="C5" i="14"/>
  <c r="C4" i="14"/>
  <c r="B2" i="14"/>
  <c r="B1" i="14"/>
  <c r="H46" i="13"/>
  <c r="B7" i="13"/>
  <c r="B6" i="13"/>
  <c r="B5" i="13"/>
  <c r="B4" i="13"/>
  <c r="B8" i="7"/>
  <c r="B7" i="12" l="1"/>
  <c r="B6" i="12"/>
  <c r="B5" i="12"/>
  <c r="B4" i="12"/>
  <c r="C7" i="11" l="1"/>
  <c r="C6" i="11"/>
  <c r="C5" i="11"/>
  <c r="C4" i="11"/>
  <c r="B2" i="11"/>
  <c r="B1" i="11"/>
  <c r="C7" i="10"/>
  <c r="C7" i="13" s="1"/>
  <c r="C6" i="10"/>
  <c r="C6" i="19" s="1"/>
  <c r="C5" i="10"/>
  <c r="C5" i="19" s="1"/>
  <c r="C4" i="10"/>
  <c r="C4" i="19" s="1"/>
  <c r="C4" i="3"/>
  <c r="C5" i="3"/>
  <c r="C6" i="3"/>
  <c r="B6" i="7"/>
  <c r="B5" i="7"/>
  <c r="B4" i="7"/>
  <c r="C6" i="13" l="1"/>
  <c r="C4" i="13"/>
  <c r="C5" i="13"/>
  <c r="B2" i="10" l="1"/>
  <c r="B2" i="19" s="1"/>
  <c r="B1" i="19"/>
  <c r="B2" i="3"/>
  <c r="B1" i="3"/>
  <c r="B1" i="12" l="1"/>
  <c r="B1" i="13"/>
  <c r="B2" i="12"/>
  <c r="B2" i="13"/>
  <c r="J40" i="3" l="1"/>
  <c r="B28" i="3" l="1"/>
  <c r="G40" i="3" l="1"/>
  <c r="H40" i="3" l="1"/>
</calcChain>
</file>

<file path=xl/sharedStrings.xml><?xml version="1.0" encoding="utf-8"?>
<sst xmlns="http://schemas.openxmlformats.org/spreadsheetml/2006/main" count="377" uniqueCount="247">
  <si>
    <t xml:space="preserve">Client: </t>
  </si>
  <si>
    <t>Period:</t>
  </si>
  <si>
    <t>Head:</t>
  </si>
  <si>
    <t xml:space="preserve"> 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</si>
  <si>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</si>
  <si>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</si>
  <si>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</si>
  <si>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</si>
  <si>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</si>
  <si>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</si>
  <si>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</si>
  <si>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Operating fixed assets</t>
  </si>
  <si>
    <t>Capital work in progress</t>
  </si>
  <si>
    <t>Depreciation</t>
  </si>
  <si>
    <t>Variance</t>
  </si>
  <si>
    <t>Reason for Variance</t>
  </si>
  <si>
    <t>Audit Objectives</t>
  </si>
  <si>
    <t>Fixed assets are completely and accurately recorded.</t>
  </si>
  <si>
    <t>All recorded fixed assets actually exist.</t>
  </si>
  <si>
    <t>Fixed assets are recorded at appropriate values.</t>
  </si>
  <si>
    <t>Fixed assets recorded are owned by the client and title is also in the name of client.</t>
  </si>
  <si>
    <t>%</t>
  </si>
  <si>
    <t>Leased Assets</t>
  </si>
  <si>
    <t>Vehicle</t>
  </si>
  <si>
    <t>Furniture and Fixtures</t>
  </si>
  <si>
    <t>Electric Installation</t>
  </si>
  <si>
    <t>Plant and Machinery</t>
  </si>
  <si>
    <t>Land - freehold</t>
  </si>
  <si>
    <t>Owned Assets</t>
  </si>
  <si>
    <t>SUB-LEAD SCHEDULE</t>
  </si>
  <si>
    <t>Depreciation/impairment expense and gain/ loss on disposal has been accurately calculated and appropriately disclosed.</t>
  </si>
  <si>
    <t>Test of Details</t>
  </si>
  <si>
    <t>Work Performed</t>
  </si>
  <si>
    <t>Obtained movement schedule of operating fixed assets and Capital work-in-progress both for cost, accumulated depreciation and impairment.</t>
  </si>
  <si>
    <t>Performed casting and cross casting of the schedule.</t>
  </si>
  <si>
    <t>For selected transfers to fixed assets during the year, check contractor certificates of completion of project and proper approval thereof and examine the stage of completion.</t>
  </si>
  <si>
    <t>Checked supporting documents like vendors' invoices, contractor bills, and other evidences.</t>
  </si>
  <si>
    <t>Checked proper authorization and approval.</t>
  </si>
  <si>
    <t xml:space="preserve">For items stuck-up for considerable period of time, inquire about its status from the management. </t>
  </si>
  <si>
    <t>Compute provisions if required and ask for management representations.</t>
  </si>
  <si>
    <t>Work performed</t>
  </si>
  <si>
    <t>Traced opening balances from fixed assets register, general ledger and last year’s working papers.</t>
  </si>
  <si>
    <t>Audit Objectives and Conclusions</t>
  </si>
  <si>
    <t>Cost</t>
  </si>
  <si>
    <t>Closing Net Book Value</t>
  </si>
  <si>
    <t>To ensure existence and verification of ownership of fixed assets, following procedures were performed.</t>
  </si>
  <si>
    <t>Asset is owned and held by client.</t>
  </si>
  <si>
    <t>Remaining useful life appears to be correct</t>
  </si>
  <si>
    <t>No new/further impairment is needed</t>
  </si>
  <si>
    <t>Inspected evidence of ownership of the following: e.g. vehicle registration, property documents, machinery import documents etc.</t>
  </si>
  <si>
    <t>Purchase Requisition</t>
  </si>
  <si>
    <t>Date</t>
  </si>
  <si>
    <t>Voucher #</t>
  </si>
  <si>
    <t>Description of Transaction</t>
  </si>
  <si>
    <t>Lead Schedule</t>
  </si>
  <si>
    <t>W.P. Ref.</t>
  </si>
  <si>
    <t>Property, plant and equipment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</si>
  <si>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</si>
  <si>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</si>
  <si>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</si>
  <si>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</si>
  <si>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</si>
  <si>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</si>
  <si>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</si>
  <si>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</si>
  <si>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</si>
  <si>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</si>
  <si>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Sub Head:</t>
  </si>
  <si>
    <t>Tools and Equipment</t>
  </si>
  <si>
    <t>Office Equipment</t>
  </si>
  <si>
    <t>Computers and Peripherals</t>
  </si>
  <si>
    <t>Document logical commercial reasons for major additions and disposal made during the year and check whether the additions are in accordance with the objects of the company.</t>
  </si>
  <si>
    <t>Made a selection of fixed assets held by client at year-end and physically inspected them using sheet to floor and floor to sheet to ensure that:</t>
  </si>
  <si>
    <t>Attached Sampling Sheet</t>
  </si>
  <si>
    <t>Performance of Physical Inspection</t>
  </si>
  <si>
    <t>Supplier Name</t>
  </si>
  <si>
    <t>Qty</t>
  </si>
  <si>
    <t>Quotations</t>
  </si>
  <si>
    <t>Mathematical Accuracy</t>
  </si>
  <si>
    <t>Proper Classification</t>
  </si>
  <si>
    <t>Cheque #</t>
  </si>
  <si>
    <t>Cheque Amount</t>
  </si>
  <si>
    <t>Cheque Date</t>
  </si>
  <si>
    <t>Supplier's
Invoice #</t>
  </si>
  <si>
    <t>Purchase Order #</t>
  </si>
  <si>
    <t>Goods Received Note #</t>
  </si>
  <si>
    <t>Payment
Approval</t>
  </si>
  <si>
    <t>Income Tax Withholding %</t>
  </si>
  <si>
    <t>Income Tax Withholding Amount</t>
  </si>
  <si>
    <t>Net Payment</t>
  </si>
  <si>
    <t>Traced in Bank</t>
  </si>
  <si>
    <t>Performed the above mentioned procedures to ensure various assertions</t>
  </si>
  <si>
    <t>Sales Tax Withholding %</t>
  </si>
  <si>
    <t>Sales Tax Withholding Amount</t>
  </si>
  <si>
    <t>Sales Tax %</t>
  </si>
  <si>
    <t>Sales Tax Amount</t>
  </si>
  <si>
    <t>VOUCHING FOR ADDITIONS</t>
  </si>
  <si>
    <t>VOUCHING FOR DELETIONS</t>
  </si>
  <si>
    <t>Name of Buyer</t>
  </si>
  <si>
    <t>Date of Acquisition</t>
  </si>
  <si>
    <t>Opening Written Down Value</t>
  </si>
  <si>
    <t>Disposal date</t>
  </si>
  <si>
    <t>No of Months in use</t>
  </si>
  <si>
    <t>WDV as per our calculation</t>
  </si>
  <si>
    <t>WDV as per client</t>
  </si>
  <si>
    <t>Difference</t>
  </si>
  <si>
    <t>Sales Proceeds</t>
  </si>
  <si>
    <t>Gain / (loss) on disposal as per our calculation</t>
  </si>
  <si>
    <t>Gain / (loss) on disposal as per General Ledger</t>
  </si>
  <si>
    <t>Depreciation Rate</t>
  </si>
  <si>
    <t>Depreciation expense till disposal date</t>
  </si>
  <si>
    <t>Acc. Dep. till disposal as per General Ledger</t>
  </si>
  <si>
    <t>Acc. Dep. till disposal as per our calculation</t>
  </si>
  <si>
    <t>Opening Acc. Dep.</t>
  </si>
  <si>
    <t>Cost of Asset</t>
  </si>
  <si>
    <t>RECALCULATION OF DEPRECIATION WORKING</t>
  </si>
  <si>
    <t>Total Assets</t>
  </si>
  <si>
    <t xml:space="preserve">---------------------------------------- Rupees ---------------------------------------- </t>
  </si>
  <si>
    <t>Building - freehold</t>
  </si>
  <si>
    <t>Opening balance</t>
  </si>
  <si>
    <t>Additions during the period</t>
  </si>
  <si>
    <t>Disposals during the period</t>
  </si>
  <si>
    <t>Expense for the period</t>
  </si>
  <si>
    <t>Closing balance</t>
  </si>
  <si>
    <t>Opening Net Book Value</t>
  </si>
  <si>
    <t>Depreciation rate</t>
  </si>
  <si>
    <t>Opening accumulated depreciation</t>
  </si>
  <si>
    <t>Depreciation not charged on the assets disposed-off during the year</t>
  </si>
  <si>
    <t xml:space="preserve">Expected depreciation charge for the year </t>
  </si>
  <si>
    <t>Depreciation on opening balance for the whole year</t>
  </si>
  <si>
    <t>Depreciation on the additions of assets during the year</t>
  </si>
  <si>
    <t>Depreciation as per General Ledger</t>
  </si>
  <si>
    <t>Compare current year expenses with last year expenses and ensure that any significant variation should be properly and logically reasoned</t>
  </si>
  <si>
    <t>Assessed the appropriateness of depreciation method and rate in view of the flow of economic benefits and useful life of the assets</t>
  </si>
  <si>
    <t>Checked the reasonableness of depreciation expense by applying depreciation rate to closing cost/ carrying value as per the method adopted</t>
  </si>
  <si>
    <t>Analytical Procedures</t>
  </si>
  <si>
    <t>Determined the reasonableness of accounting policy and depreciation method, rates and their consistency with prior years.</t>
  </si>
  <si>
    <t>Checked calculation of depreciation of selected assets.</t>
  </si>
  <si>
    <t>Assessed the reasonableness of allocation to manufacturing costs, admin cost etc.</t>
  </si>
  <si>
    <t xml:space="preserve">Ensured that none of the assets has been impaired or the recoverable amount of an asset is not less than its carrying amount. </t>
  </si>
  <si>
    <t>Ensured that any subsequent addition has been depreciated over remaining useful life and not simply depreciated by applying the depreciation rate.</t>
  </si>
  <si>
    <t>For Revalued Assets</t>
  </si>
  <si>
    <t>Depreciation is charged on revalued amount and remaining useful life</t>
  </si>
  <si>
    <t>Any asset's revaluation results in deficit should not be adjusted against other assets' surplus but should be immediately charged.</t>
  </si>
  <si>
    <t>Checked proper posting in general ledger.</t>
  </si>
  <si>
    <t>Ensured payments made and are reflected in the bank statements.</t>
  </si>
  <si>
    <t>Checked supporting documents like transfer deeds and other evidences.</t>
  </si>
  <si>
    <t>Ensured receipts are reflected in the bank statements.</t>
  </si>
  <si>
    <t>Sub-Lead Schedule</t>
  </si>
  <si>
    <t>Asset's Physical Verification</t>
  </si>
  <si>
    <t>ASSET'S PHYSICAL VERIFICATION</t>
  </si>
  <si>
    <t>Vouching for Additions</t>
  </si>
  <si>
    <t>Vouching for Disposals</t>
  </si>
  <si>
    <t>Recalculation of Depreciation Working</t>
  </si>
  <si>
    <t>Vouching for CWIP</t>
  </si>
  <si>
    <t>Adjusting Entries</t>
  </si>
  <si>
    <t>ADJUSTING ENTRIES</t>
  </si>
  <si>
    <t>Entry Proposed</t>
  </si>
  <si>
    <t>Amount</t>
  </si>
  <si>
    <t>Debit</t>
  </si>
  <si>
    <t>Credit</t>
  </si>
  <si>
    <t>B.S.01</t>
  </si>
  <si>
    <t>Analytical Procedures:</t>
  </si>
  <si>
    <t>Ensures that revalued amount and incremental depreciation has been recognized in other comprehensive income.</t>
  </si>
  <si>
    <t>Posted in Fixed Assets Register</t>
  </si>
  <si>
    <t>Opening cost / revalued amount</t>
  </si>
  <si>
    <t>Ensured that closing balances as per our working paper file are in match with closing balance as per general ledger.</t>
  </si>
  <si>
    <t>Determined and ensured that disclosures have been made in accordance with the requirements of Fifth Schedule to the Companies Act, 2017 and the applicable IASs / IFRSs.</t>
  </si>
  <si>
    <t>For additions in leased assets during the year, checked from lease agreements that the lease is a finance lease in substance.</t>
  </si>
  <si>
    <t>Entire class of assets had been revalued on periodical basis.</t>
  </si>
  <si>
    <t>Evaluation of Controls</t>
  </si>
  <si>
    <t>Purchase order</t>
  </si>
  <si>
    <t>Invoice</t>
  </si>
  <si>
    <t>GRN approved by</t>
  </si>
  <si>
    <t>Quantity</t>
  </si>
  <si>
    <t>Quantity matched with PO &amp; GRN</t>
  </si>
  <si>
    <t>Store Supervisor</t>
  </si>
  <si>
    <t>Store Manager</t>
  </si>
  <si>
    <t>Checked the capital/revenue analysis of invoices.</t>
  </si>
  <si>
    <t>Ensured that CWIP is valued properly.</t>
  </si>
  <si>
    <t>Ensured that enteries are made properly in Fixed asset register.</t>
  </si>
  <si>
    <t>Checked whether the assets are properly tagged and insured.</t>
  </si>
  <si>
    <t>Reviewed policies and procedures in place for addition &amp; disposal.</t>
  </si>
  <si>
    <t>Checked whether quotations were obtained from approved list of suppliers.</t>
  </si>
  <si>
    <t>Checked for approval of quotations from senior management..</t>
  </si>
  <si>
    <t>Inspected whether invoices are approved by respected personnel.</t>
  </si>
  <si>
    <t>Checked whether gain/loss on disposal is accurately calculated.</t>
  </si>
  <si>
    <t>Approved by Manger</t>
  </si>
  <si>
    <t>Approved  by Accountant</t>
  </si>
  <si>
    <t>Test of Controls</t>
  </si>
  <si>
    <t>Date prepared:</t>
  </si>
  <si>
    <t>Date reviewed:</t>
  </si>
  <si>
    <t>ABC &amp; Co.</t>
  </si>
  <si>
    <t>(Chartered Accountants)</t>
  </si>
  <si>
    <t>ABC Limited</t>
  </si>
  <si>
    <t>Fixed assets are presented and all disclosures have been given in accordance with the Fifth Schedule of the Companies Act, 2017 and relevant IASs / IFRSs.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</si>
  <si>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</si>
  <si>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</si>
  <si>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Assessed the reasonableness of design of system of internal control by enquiring relevant client personnel and documenting the same.</t>
  </si>
  <si>
    <t>To ensure that expenditure is properly authorised, we:</t>
  </si>
  <si>
    <t>Examined a sample of additions &amp; disposal to check for approval from at appropriate level of management.</t>
  </si>
  <si>
    <t>To ensure that all assets are correctly recorded, we:</t>
  </si>
  <si>
    <t>To ensure that all assets are completely recorded, we:</t>
  </si>
  <si>
    <t>Reviewed GRNs to ensure entries are properly recorded for the same.</t>
  </si>
  <si>
    <t>To ensure that all assets are classified completely, we:</t>
  </si>
  <si>
    <t>Reviewed chart of accounts</t>
  </si>
  <si>
    <t>Reviewed entries made by the accounting staff</t>
  </si>
  <si>
    <t>To ensure that expenditure is correctly classified as capital expenditure, we:</t>
  </si>
  <si>
    <t>Reviewed entries for recorded assets.</t>
  </si>
  <si>
    <t>Reviewed authorization for acquisition.</t>
  </si>
  <si>
    <t>Reviewed expenditure policy for self construction.</t>
  </si>
  <si>
    <t>Reviewed policy for Identification of individual asset.</t>
  </si>
  <si>
    <t>Reviewed depreciation method and detailed record.</t>
  </si>
  <si>
    <t>Discussed capitalization or expenses policy.</t>
  </si>
  <si>
    <t>Reviewed safeguard from theft and misuse of assets.</t>
  </si>
  <si>
    <t>Reviewed adequacy of insurance for assets.</t>
  </si>
  <si>
    <t>Reviewed authorization for retirement and sale of assset.</t>
  </si>
  <si>
    <t>Reviewed controls over fully depreciated assets.</t>
  </si>
  <si>
    <t>Purchase Requisition #</t>
  </si>
  <si>
    <t>Approved supplier list maintained?</t>
  </si>
  <si>
    <t>Quotation Reference</t>
  </si>
  <si>
    <t>Prepared by</t>
  </si>
  <si>
    <t>Authorised by Director</t>
  </si>
  <si>
    <t xml:space="preserve"> Invoice #</t>
  </si>
  <si>
    <t>Invoices sequentially numbered?</t>
  </si>
  <si>
    <t>GRN # / GIN #</t>
  </si>
  <si>
    <t>Proper posting in GL (Yes / No)</t>
  </si>
  <si>
    <t>Reconciliation of Payments with A/P (Yes / No)</t>
  </si>
  <si>
    <t>Purchase reconciled with Inventory Change (Yes / No)</t>
  </si>
  <si>
    <t>Updated Agreement in Place (Yes / No)</t>
  </si>
  <si>
    <t>M. Basit</t>
  </si>
  <si>
    <t>A. Arif</t>
  </si>
  <si>
    <t>Observations</t>
  </si>
  <si>
    <t>None.</t>
  </si>
  <si>
    <t>Amount Vertified</t>
  </si>
  <si>
    <t>Total Population</t>
  </si>
  <si>
    <t>Population Covered</t>
  </si>
  <si>
    <t>Invoice Amount</t>
  </si>
  <si>
    <t>Total Verified</t>
  </si>
  <si>
    <t>Year ended June 30, 2023</t>
  </si>
  <si>
    <t>Total</t>
  </si>
  <si>
    <t>Closing cost / revalued amount</t>
  </si>
  <si>
    <t>Closing accumulated depreciation</t>
  </si>
  <si>
    <t>Closing Written Down Value</t>
  </si>
  <si>
    <t>Sampling Method</t>
  </si>
  <si>
    <t>Random Table</t>
  </si>
  <si>
    <t>Sample size (Planned)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</si>
</sst>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&quot;Rs.&quot;#,##0"/>
    <numFmt numFmtId="166" formatCode="&quot;£&quot;#,##0_);\(&quot;£&quot;#,##0\)"/>
    <numFmt numFmtId="167" formatCode="[$-409]d/mmm/yy;@"/>
    <numFmt numFmtId="168" formatCode="[$]dd\-mmm\-yyyy;@" x16r2:formatCode16="[$-en-PK,1]dd\-mmm\-yyyy;@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  <font>
      <b/>
      <sz val="10"/>
      <name val="Book Antiqua"/>
      <family val="1"/>
    </font>
    <font>
      <sz val="10"/>
      <name val="Book Antiqua"/>
      <family val="1"/>
    </font>
    <font>
      <sz val="10"/>
      <color theme="1"/>
      <name val="Book Antiqua"/>
      <family val="1"/>
    </font>
    <font>
      <b/>
      <sz val="10"/>
      <color indexed="8"/>
      <name val="Book Antiqua"/>
      <family val="1"/>
    </font>
    <font>
      <b/>
      <sz val="10"/>
      <color theme="1"/>
      <name val="Book Antiqua"/>
      <family val="1"/>
    </font>
    <font>
      <b/>
      <u/>
      <sz val="10"/>
      <color theme="1"/>
      <name val="Book Antiqua"/>
      <family val="1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b/>
      <i/>
      <sz val="10"/>
      <color theme="1"/>
      <name val="Book Antiqua"/>
      <family val="1"/>
    </font>
    <font>
      <i/>
      <sz val="10"/>
      <color theme="1"/>
      <name val="Book Antiqua"/>
      <family val="1"/>
    </font>
    <font>
      <i/>
      <sz val="10"/>
      <name val="Book Antiqua"/>
      <family val="1"/>
    </font>
    <font>
      <i/>
      <sz val="10"/>
      <color theme="9" tint="-0.499984740745262"/>
      <name val="Book Antiqua"/>
      <family val="1"/>
    </font>
    <font>
      <b/>
      <sz val="10"/>
      <color theme="0"/>
      <name val="Book Antiqua"/>
      <family val="1"/>
    </font>
    <font>
      <b/>
      <u/>
      <sz val="10"/>
      <name val="Book Antiqua"/>
      <family val="1"/>
    </font>
    <font>
      <sz val="10"/>
      <color indexed="8"/>
      <name val="Book Antiqua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 style="dotted">
        <color rgb="FFC00000"/>
      </right>
      <top/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thin">
        <color theme="0"/>
      </right>
      <top/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double">
        <color theme="0"/>
      </left>
      <right/>
      <top/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/>
      <diagonal/>
    </border>
    <border>
      <left style="dotted">
        <color rgb="FFC00000"/>
      </left>
      <right style="dotted">
        <color rgb="FFC00000"/>
      </right>
      <top/>
      <bottom/>
      <diagonal/>
    </border>
    <border>
      <left/>
      <right/>
      <top style="thin">
        <color rgb="FFC00000"/>
      </top>
      <bottom style="double">
        <color rgb="FFC00000"/>
      </bottom>
      <diagonal/>
    </border>
    <border>
      <left style="dotted">
        <color rgb="FFC00000"/>
      </left>
      <right/>
      <top style="thin">
        <color rgb="FFC00000"/>
      </top>
      <bottom style="dotted">
        <color rgb="FFC00000"/>
      </bottom>
      <diagonal/>
    </border>
    <border>
      <left/>
      <right style="dotted">
        <color rgb="FFC00000"/>
      </right>
      <top style="thin">
        <color rgb="FFC00000"/>
      </top>
      <bottom style="dotted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/>
      <right/>
      <top/>
      <bottom style="thin">
        <color rgb="FFC00000"/>
      </bottom>
      <diagonal/>
    </border>
  </borders>
  <cellStyleXfs count="7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2" applyNumberFormat="0" applyAlignment="0" applyProtection="0"/>
    <xf numFmtId="0" fontId="17" fillId="0" borderId="7" applyNumberFormat="0" applyFill="0" applyAlignment="0" applyProtection="0"/>
    <xf numFmtId="0" fontId="18" fillId="22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3" borderId="8" applyNumberFormat="0" applyFont="0" applyAlignment="0" applyProtection="0"/>
    <xf numFmtId="0" fontId="20" fillId="20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3" fillId="0" borderId="0"/>
    <xf numFmtId="167" fontId="3" fillId="0" borderId="0"/>
    <xf numFmtId="37" fontId="24" fillId="0" borderId="0"/>
    <xf numFmtId="167" fontId="3" fillId="0" borderId="0"/>
  </cellStyleXfs>
  <cellXfs count="257">
    <xf numFmtId="0" fontId="0" fillId="0" borderId="0" xfId="0"/>
    <xf numFmtId="0" fontId="28" fillId="0" borderId="0" xfId="3" applyNumberFormat="1" applyFont="1" applyFill="1" applyBorder="1" applyAlignment="1" applyProtection="1">
      <alignment vertical="center"/>
    </xf>
    <xf numFmtId="9" fontId="27" fillId="0" borderId="0" xfId="70" applyFont="1" applyFill="1" applyBorder="1" applyAlignment="1">
      <alignment vertical="center"/>
    </xf>
    <xf numFmtId="0" fontId="29" fillId="0" borderId="0" xfId="3" applyNumberFormat="1" applyFont="1" applyFill="1" applyBorder="1" applyAlignment="1" applyProtection="1">
      <alignment vertical="center"/>
    </xf>
    <xf numFmtId="0" fontId="29" fillId="0" borderId="0" xfId="3" applyNumberFormat="1" applyFont="1" applyFill="1" applyAlignment="1">
      <alignment horizontal="left" vertical="center"/>
    </xf>
    <xf numFmtId="43" fontId="29" fillId="0" borderId="0" xfId="3" applyFont="1" applyFill="1" applyAlignment="1">
      <alignment vertical="center"/>
    </xf>
    <xf numFmtId="43" fontId="29" fillId="0" borderId="0" xfId="3" applyFont="1" applyFill="1" applyAlignment="1"/>
    <xf numFmtId="9" fontId="27" fillId="0" borderId="0" xfId="70" applyFont="1" applyFill="1"/>
    <xf numFmtId="0" fontId="25" fillId="0" borderId="0" xfId="3" applyNumberFormat="1" applyFont="1" applyFill="1" applyBorder="1" applyAlignment="1" applyProtection="1">
      <alignment vertical="center"/>
    </xf>
    <xf numFmtId="0" fontId="25" fillId="0" borderId="0" xfId="3" applyNumberFormat="1" applyFont="1" applyFill="1" applyAlignment="1">
      <alignment horizontal="left" vertical="center"/>
    </xf>
    <xf numFmtId="43" fontId="25" fillId="0" borderId="0" xfId="3" applyFont="1" applyFill="1" applyAlignment="1">
      <alignment horizontal="center" vertical="center" wrapText="1"/>
    </xf>
    <xf numFmtId="43" fontId="25" fillId="0" borderId="0" xfId="3" applyFont="1" applyFill="1" applyAlignment="1">
      <alignment horizontal="center" wrapText="1"/>
    </xf>
    <xf numFmtId="9" fontId="26" fillId="0" borderId="0" xfId="70" applyFont="1" applyFill="1" applyAlignment="1">
      <alignment horizontal="center" vertical="center" wrapText="1"/>
    </xf>
    <xf numFmtId="164" fontId="26" fillId="0" borderId="17" xfId="1" applyNumberFormat="1" applyFont="1" applyFill="1" applyBorder="1" applyAlignment="1">
      <alignment horizontal="center" vertical="center" wrapText="1"/>
    </xf>
    <xf numFmtId="164" fontId="26" fillId="0" borderId="0" xfId="1" applyNumberFormat="1" applyFont="1" applyFill="1" applyBorder="1" applyAlignment="1">
      <alignment horizontal="center" vertical="center" wrapText="1"/>
    </xf>
    <xf numFmtId="164" fontId="25" fillId="0" borderId="0" xfId="1" applyNumberFormat="1" applyFont="1" applyFill="1" applyBorder="1" applyAlignment="1">
      <alignment horizontal="center" vertical="center" wrapText="1"/>
    </xf>
    <xf numFmtId="164" fontId="26" fillId="0" borderId="29" xfId="1" applyNumberFormat="1" applyFont="1" applyFill="1" applyBorder="1" applyAlignment="1">
      <alignment horizontal="center" vertical="center" wrapText="1"/>
    </xf>
    <xf numFmtId="164" fontId="25" fillId="0" borderId="29" xfId="1" applyNumberFormat="1" applyFont="1" applyFill="1" applyBorder="1" applyAlignment="1">
      <alignment horizontal="center" vertical="center" wrapText="1"/>
    </xf>
    <xf numFmtId="164" fontId="26" fillId="0" borderId="0" xfId="69" applyNumberFormat="1" applyFont="1" applyFill="1" applyBorder="1" applyAlignment="1">
      <alignment horizontal="center" vertical="center" wrapText="1"/>
    </xf>
    <xf numFmtId="164" fontId="25" fillId="0" borderId="0" xfId="69" applyNumberFormat="1" applyFont="1" applyFill="1" applyBorder="1" applyAlignment="1">
      <alignment horizontal="center" vertical="center" wrapText="1"/>
    </xf>
    <xf numFmtId="0" fontId="39" fillId="0" borderId="0" xfId="3" applyNumberFormat="1" applyFont="1" applyFill="1" applyBorder="1" applyAlignment="1" applyProtection="1">
      <alignment vertical="center"/>
    </xf>
    <xf numFmtId="0" fontId="25" fillId="0" borderId="0" xfId="4" applyFont="1"/>
    <xf numFmtId="0" fontId="26" fillId="0" borderId="0" xfId="4" applyFont="1"/>
    <xf numFmtId="0" fontId="26" fillId="0" borderId="0" xfId="4" applyFont="1" applyAlignment="1">
      <alignment horizontal="center"/>
    </xf>
    <xf numFmtId="0" fontId="25" fillId="0" borderId="0" xfId="4" quotePrefix="1" applyFont="1" applyAlignment="1">
      <alignment horizontal="right" vertical="center"/>
    </xf>
    <xf numFmtId="0" fontId="26" fillId="0" borderId="0" xfId="4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3" applyNumberFormat="1" applyFont="1" applyFill="1" applyAlignment="1">
      <alignment vertical="center"/>
    </xf>
    <xf numFmtId="0" fontId="28" fillId="0" borderId="0" xfId="3" applyNumberFormat="1" applyFont="1" applyFill="1" applyAlignment="1">
      <alignment horizontal="center" vertical="center"/>
    </xf>
    <xf numFmtId="0" fontId="28" fillId="0" borderId="0" xfId="4" applyFont="1" applyAlignment="1">
      <alignment horizontal="left" vertical="center"/>
    </xf>
    <xf numFmtId="0" fontId="25" fillId="0" borderId="0" xfId="3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4" applyFont="1" applyAlignment="1">
      <alignment horizontal="center" vertical="center"/>
    </xf>
    <xf numFmtId="0" fontId="25" fillId="0" borderId="0" xfId="4" applyFont="1" applyAlignment="1">
      <alignment horizontal="center"/>
    </xf>
    <xf numFmtId="0" fontId="29" fillId="0" borderId="19" xfId="4" applyFont="1" applyBorder="1" applyAlignment="1">
      <alignment horizontal="center" vertical="center"/>
    </xf>
    <xf numFmtId="0" fontId="29" fillId="0" borderId="19" xfId="4" applyFont="1" applyBorder="1" applyAlignment="1">
      <alignment horizontal="center" vertical="center" wrapText="1"/>
    </xf>
    <xf numFmtId="0" fontId="26" fillId="0" borderId="17" xfId="4" applyFont="1" applyBorder="1" applyAlignment="1">
      <alignment horizontal="center" vertical="center"/>
    </xf>
    <xf numFmtId="0" fontId="26" fillId="0" borderId="17" xfId="4" applyFont="1" applyBorder="1" applyAlignment="1">
      <alignment vertical="center"/>
    </xf>
    <xf numFmtId="0" fontId="26" fillId="0" borderId="17" xfId="4" applyFont="1" applyBorder="1"/>
    <xf numFmtId="0" fontId="26" fillId="0" borderId="17" xfId="4" applyFont="1" applyBorder="1" applyAlignment="1">
      <alignment horizontal="left" vertical="center"/>
    </xf>
    <xf numFmtId="0" fontId="25" fillId="0" borderId="0" xfId="4" applyFont="1" applyAlignment="1">
      <alignment vertical="center"/>
    </xf>
    <xf numFmtId="0" fontId="25" fillId="0" borderId="0" xfId="2" applyFont="1" applyAlignment="1">
      <alignment horizontal="left" vertical="center"/>
    </xf>
    <xf numFmtId="0" fontId="25" fillId="0" borderId="0" xfId="4" applyFont="1" applyAlignment="1">
      <alignment horizontal="righ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top"/>
    </xf>
    <xf numFmtId="0" fontId="27" fillId="0" borderId="0" xfId="0" applyFont="1" applyAlignment="1">
      <alignment vertical="top"/>
    </xf>
    <xf numFmtId="0" fontId="29" fillId="0" borderId="0" xfId="0" applyFont="1" applyAlignment="1">
      <alignment horizontal="center" vertical="center"/>
    </xf>
    <xf numFmtId="0" fontId="27" fillId="0" borderId="17" xfId="0" quotePrefix="1" applyFont="1" applyBorder="1" applyAlignment="1">
      <alignment horizontal="center" vertical="center" wrapText="1"/>
    </xf>
    <xf numFmtId="0" fontId="27" fillId="0" borderId="17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0" fontId="27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27" fillId="0" borderId="0" xfId="0" quotePrefix="1" applyFont="1" applyAlignment="1">
      <alignment horizontal="center" vertical="top"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top" wrapText="1"/>
    </xf>
    <xf numFmtId="0" fontId="26" fillId="0" borderId="0" xfId="2" applyFont="1" applyAlignment="1">
      <alignment vertical="center"/>
    </xf>
    <xf numFmtId="0" fontId="25" fillId="0" borderId="0" xfId="2" applyFont="1" applyAlignment="1">
      <alignment vertical="center"/>
    </xf>
    <xf numFmtId="0" fontId="29" fillId="0" borderId="0" xfId="0" applyFont="1"/>
    <xf numFmtId="0" fontId="27" fillId="0" borderId="0" xfId="0" applyFont="1"/>
    <xf numFmtId="0" fontId="27" fillId="0" borderId="0" xfId="0" applyFont="1" applyAlignment="1">
      <alignment horizontal="center" vertical="center" wrapText="1"/>
    </xf>
    <xf numFmtId="164" fontId="27" fillId="0" borderId="0" xfId="1" applyNumberFormat="1" applyFont="1" applyFill="1"/>
    <xf numFmtId="0" fontId="29" fillId="0" borderId="0" xfId="0" applyFont="1" applyAlignment="1">
      <alignment horizontal="right"/>
    </xf>
    <xf numFmtId="0" fontId="29" fillId="0" borderId="0" xfId="0" applyFont="1" applyAlignment="1">
      <alignment horizontal="center"/>
    </xf>
    <xf numFmtId="0" fontId="29" fillId="0" borderId="0" xfId="2" applyFont="1" applyAlignment="1">
      <alignment vertical="center"/>
    </xf>
    <xf numFmtId="0" fontId="27" fillId="0" borderId="0" xfId="2" applyFont="1" applyAlignment="1">
      <alignment horizontal="left" vertical="center" indent="1"/>
    </xf>
    <xf numFmtId="0" fontId="29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 wrapText="1"/>
    </xf>
    <xf numFmtId="164" fontId="29" fillId="0" borderId="19" xfId="1" applyNumberFormat="1" applyFont="1" applyFill="1" applyBorder="1" applyAlignment="1">
      <alignment horizontal="center" vertical="center"/>
    </xf>
    <xf numFmtId="0" fontId="27" fillId="0" borderId="18" xfId="0" applyFont="1" applyBorder="1"/>
    <xf numFmtId="0" fontId="27" fillId="0" borderId="18" xfId="0" applyFont="1" applyBorder="1" applyAlignment="1">
      <alignment horizontal="center" vertical="center" wrapText="1"/>
    </xf>
    <xf numFmtId="164" fontId="27" fillId="0" borderId="18" xfId="1" applyNumberFormat="1" applyFont="1" applyFill="1" applyBorder="1"/>
    <xf numFmtId="0" fontId="27" fillId="0" borderId="17" xfId="0" applyFont="1" applyBorder="1"/>
    <xf numFmtId="164" fontId="27" fillId="0" borderId="17" xfId="1" applyNumberFormat="1" applyFont="1" applyFill="1" applyBorder="1"/>
    <xf numFmtId="0" fontId="27" fillId="0" borderId="0" xfId="2" applyFont="1" applyAlignment="1">
      <alignment vertical="center"/>
    </xf>
    <xf numFmtId="0" fontId="29" fillId="0" borderId="0" xfId="2" applyFont="1" applyAlignment="1">
      <alignment horizontal="right" vertical="center"/>
    </xf>
    <xf numFmtId="0" fontId="27" fillId="0" borderId="0" xfId="2" applyFont="1" applyAlignment="1">
      <alignment horizontal="center" vertical="center"/>
    </xf>
    <xf numFmtId="0" fontId="27" fillId="0" borderId="0" xfId="4" applyFont="1"/>
    <xf numFmtId="0" fontId="27" fillId="0" borderId="0" xfId="4" applyFont="1" applyAlignment="1">
      <alignment horizontal="left"/>
    </xf>
    <xf numFmtId="0" fontId="30" fillId="0" borderId="0" xfId="0" applyFont="1" applyAlignment="1">
      <alignment vertical="center"/>
    </xf>
    <xf numFmtId="0" fontId="29" fillId="0" borderId="0" xfId="2" applyFont="1" applyAlignment="1">
      <alignment horizontal="center" vertical="center" wrapText="1"/>
    </xf>
    <xf numFmtId="0" fontId="29" fillId="0" borderId="0" xfId="0" applyFont="1" applyAlignment="1">
      <alignment horizontal="left" indent="1"/>
    </xf>
    <xf numFmtId="0" fontId="26" fillId="0" borderId="0" xfId="2" applyFont="1" applyAlignment="1">
      <alignment horizontal="left" vertical="center" indent="2"/>
    </xf>
    <xf numFmtId="0" fontId="29" fillId="0" borderId="0" xfId="2" applyFont="1" applyAlignment="1">
      <alignment horizontal="left" vertical="center" indent="1"/>
    </xf>
    <xf numFmtId="0" fontId="31" fillId="0" borderId="0" xfId="0" applyFont="1" applyAlignment="1">
      <alignment horizontal="left" vertical="center" indent="2"/>
    </xf>
    <xf numFmtId="0" fontId="32" fillId="0" borderId="0" xfId="0" applyFont="1" applyAlignment="1">
      <alignment horizontal="left" vertical="center" indent="2"/>
    </xf>
    <xf numFmtId="0" fontId="27" fillId="0" borderId="0" xfId="10" applyFont="1" applyAlignment="1">
      <alignment vertical="center"/>
    </xf>
    <xf numFmtId="0" fontId="29" fillId="0" borderId="19" xfId="10" applyFont="1" applyBorder="1" applyAlignment="1">
      <alignment horizontal="center" vertical="center" wrapText="1"/>
    </xf>
    <xf numFmtId="0" fontId="29" fillId="0" borderId="0" xfId="10" applyFont="1" applyAlignment="1">
      <alignment horizontal="left" vertical="center"/>
    </xf>
    <xf numFmtId="164" fontId="29" fillId="0" borderId="19" xfId="1" applyNumberFormat="1" applyFont="1" applyFill="1" applyBorder="1" applyAlignment="1">
      <alignment horizontal="center" vertical="center" wrapText="1"/>
    </xf>
    <xf numFmtId="0" fontId="27" fillId="0" borderId="0" xfId="2" applyFont="1" applyAlignment="1">
      <alignment horizontal="left" vertical="center"/>
    </xf>
    <xf numFmtId="0" fontId="26" fillId="0" borderId="11" xfId="4" applyFont="1" applyBorder="1" applyAlignment="1">
      <alignment horizontal="center" wrapText="1"/>
    </xf>
    <xf numFmtId="0" fontId="26" fillId="0" borderId="0" xfId="4" applyFont="1" applyAlignment="1">
      <alignment horizontal="center" wrapText="1"/>
    </xf>
    <xf numFmtId="0" fontId="27" fillId="0" borderId="0" xfId="0" applyFont="1" applyAlignment="1">
      <alignment horizontal="left"/>
    </xf>
    <xf numFmtId="0" fontId="26" fillId="0" borderId="0" xfId="0" applyFont="1" applyAlignment="1">
      <alignment horizontal="justify" vertical="top" wrapText="1"/>
    </xf>
    <xf numFmtId="0" fontId="27" fillId="0" borderId="0" xfId="0" applyFont="1" applyAlignment="1">
      <alignment horizontal="left" indent="1"/>
    </xf>
    <xf numFmtId="0" fontId="25" fillId="0" borderId="0" xfId="0" applyFont="1" applyAlignment="1">
      <alignment horizontal="left" vertical="top"/>
    </xf>
    <xf numFmtId="0" fontId="29" fillId="0" borderId="0" xfId="0" applyFont="1" applyAlignment="1">
      <alignment horizontal="left"/>
    </xf>
    <xf numFmtId="0" fontId="33" fillId="0" borderId="0" xfId="0" applyFont="1" applyAlignment="1">
      <alignment horizontal="left" indent="1"/>
    </xf>
    <xf numFmtId="0" fontId="34" fillId="0" borderId="0" xfId="0" applyFont="1" applyAlignment="1">
      <alignment horizontal="left" indent="1"/>
    </xf>
    <xf numFmtId="0" fontId="34" fillId="0" borderId="0" xfId="0" applyFont="1" applyAlignment="1">
      <alignment horizontal="left" indent="2"/>
    </xf>
    <xf numFmtId="0" fontId="33" fillId="0" borderId="0" xfId="0" applyFont="1" applyAlignment="1">
      <alignment horizontal="left"/>
    </xf>
    <xf numFmtId="0" fontId="35" fillId="0" borderId="0" xfId="0" applyFont="1" applyAlignment="1">
      <alignment horizontal="left" indent="2"/>
    </xf>
    <xf numFmtId="0" fontId="36" fillId="0" borderId="0" xfId="0" applyFont="1" applyAlignment="1">
      <alignment horizontal="left"/>
    </xf>
    <xf numFmtId="0" fontId="35" fillId="0" borderId="0" xfId="0" applyFont="1"/>
    <xf numFmtId="0" fontId="36" fillId="0" borderId="0" xfId="0" applyFont="1"/>
    <xf numFmtId="0" fontId="34" fillId="0" borderId="0" xfId="0" applyFont="1"/>
    <xf numFmtId="0" fontId="37" fillId="0" borderId="0" xfId="0" applyFont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6" fillId="0" borderId="0" xfId="2" applyFont="1" applyAlignment="1">
      <alignment horizontal="left" vertical="center"/>
    </xf>
    <xf numFmtId="0" fontId="26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 vertical="center" wrapText="1"/>
    </xf>
    <xf numFmtId="0" fontId="25" fillId="0" borderId="0" xfId="2" applyFont="1" applyAlignment="1">
      <alignment horizontal="right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26" fillId="0" borderId="0" xfId="0" applyFont="1"/>
    <xf numFmtId="0" fontId="25" fillId="0" borderId="0" xfId="2" applyFont="1" applyAlignment="1">
      <alignment horizontal="left" vertical="center" indent="1"/>
    </xf>
    <xf numFmtId="0" fontId="26" fillId="0" borderId="0" xfId="0" applyFont="1" applyAlignment="1">
      <alignment horizontal="left" vertical="top" indent="2"/>
    </xf>
    <xf numFmtId="0" fontId="26" fillId="0" borderId="0" xfId="2" applyFont="1" applyAlignment="1">
      <alignment horizontal="left" vertical="top" indent="2"/>
    </xf>
    <xf numFmtId="0" fontId="26" fillId="0" borderId="0" xfId="2" applyFont="1" applyAlignment="1">
      <alignment vertical="top" wrapText="1"/>
    </xf>
    <xf numFmtId="0" fontId="26" fillId="0" borderId="0" xfId="2" applyFont="1" applyAlignment="1">
      <alignment horizontal="center" vertical="top" wrapText="1"/>
    </xf>
    <xf numFmtId="0" fontId="25" fillId="0" borderId="0" xfId="2" applyFont="1" applyAlignment="1">
      <alignment horizontal="left" vertical="top" indent="2"/>
    </xf>
    <xf numFmtId="0" fontId="26" fillId="0" borderId="0" xfId="2" applyFont="1" applyAlignment="1">
      <alignment horizontal="left" vertical="top" wrapText="1" indent="2"/>
    </xf>
    <xf numFmtId="0" fontId="25" fillId="0" borderId="0" xfId="10" applyFont="1" applyAlignment="1">
      <alignment horizontal="center" vertical="center" wrapText="1"/>
    </xf>
    <xf numFmtId="0" fontId="25" fillId="0" borderId="0" xfId="10" applyFont="1" applyAlignment="1">
      <alignment horizontal="left" vertical="center"/>
    </xf>
    <xf numFmtId="37" fontId="29" fillId="0" borderId="19" xfId="73" applyFont="1" applyBorder="1" applyAlignment="1">
      <alignment horizontal="center" vertical="center" wrapText="1"/>
    </xf>
    <xf numFmtId="37" fontId="37" fillId="0" borderId="0" xfId="73" applyFont="1" applyAlignment="1">
      <alignment horizontal="center" vertical="center" wrapText="1"/>
    </xf>
    <xf numFmtId="167" fontId="37" fillId="0" borderId="23" xfId="72" applyFont="1" applyBorder="1" applyAlignment="1">
      <alignment horizontal="center" vertical="center"/>
    </xf>
    <xf numFmtId="0" fontId="26" fillId="0" borderId="0" xfId="10" applyFont="1" applyAlignment="1">
      <alignment vertical="center"/>
    </xf>
    <xf numFmtId="0" fontId="26" fillId="0" borderId="0" xfId="2" applyFont="1" applyAlignment="1">
      <alignment horizontal="center" vertical="center"/>
    </xf>
    <xf numFmtId="0" fontId="25" fillId="0" borderId="0" xfId="2" applyFont="1" applyAlignment="1">
      <alignment horizontal="right" vertical="center"/>
    </xf>
    <xf numFmtId="0" fontId="25" fillId="0" borderId="0" xfId="2" applyFont="1" applyAlignment="1">
      <alignment horizontal="center" vertical="center"/>
    </xf>
    <xf numFmtId="0" fontId="26" fillId="0" borderId="0" xfId="2" applyFont="1" applyAlignment="1">
      <alignment horizontal="left" vertical="top" wrapText="1"/>
    </xf>
    <xf numFmtId="0" fontId="29" fillId="0" borderId="19" xfId="2" applyFont="1" applyBorder="1" applyAlignment="1">
      <alignment horizontal="center" vertical="center"/>
    </xf>
    <xf numFmtId="0" fontId="26" fillId="0" borderId="18" xfId="2" applyFont="1" applyBorder="1" applyAlignment="1">
      <alignment horizontal="center" vertical="center"/>
    </xf>
    <xf numFmtId="164" fontId="25" fillId="0" borderId="18" xfId="1" applyNumberFormat="1" applyFont="1" applyFill="1" applyBorder="1" applyAlignment="1">
      <alignment horizontal="right" vertical="center"/>
    </xf>
    <xf numFmtId="164" fontId="26" fillId="0" borderId="18" xfId="1" applyNumberFormat="1" applyFont="1" applyFill="1" applyBorder="1" applyAlignment="1">
      <alignment horizontal="right" vertical="center"/>
    </xf>
    <xf numFmtId="9" fontId="26" fillId="0" borderId="18" xfId="70" applyFont="1" applyFill="1" applyBorder="1" applyAlignment="1">
      <alignment horizontal="center" vertical="center"/>
    </xf>
    <xf numFmtId="0" fontId="26" fillId="0" borderId="17" xfId="2" applyFont="1" applyBorder="1" applyAlignment="1">
      <alignment horizontal="center" vertical="center"/>
    </xf>
    <xf numFmtId="164" fontId="26" fillId="0" borderId="17" xfId="1" applyNumberFormat="1" applyFont="1" applyFill="1" applyBorder="1" applyAlignment="1">
      <alignment horizontal="right" vertical="center"/>
    </xf>
    <xf numFmtId="9" fontId="26" fillId="0" borderId="17" xfId="70" applyFont="1" applyFill="1" applyBorder="1" applyAlignment="1">
      <alignment horizontal="center" vertical="center"/>
    </xf>
    <xf numFmtId="164" fontId="26" fillId="0" borderId="17" xfId="1" applyNumberFormat="1" applyFont="1" applyFill="1" applyBorder="1" applyAlignment="1">
      <alignment horizontal="center" vertical="center"/>
    </xf>
    <xf numFmtId="0" fontId="27" fillId="0" borderId="17" xfId="0" quotePrefix="1" applyFont="1" applyBorder="1" applyAlignment="1">
      <alignment horizontal="center" vertical="top" wrapText="1"/>
    </xf>
    <xf numFmtId="0" fontId="27" fillId="0" borderId="17" xfId="0" applyFont="1" applyBorder="1" applyAlignment="1">
      <alignment vertical="justify" wrapText="1"/>
    </xf>
    <xf numFmtId="0" fontId="27" fillId="0" borderId="17" xfId="0" applyFont="1" applyBorder="1" applyAlignment="1">
      <alignment vertical="top" wrapText="1"/>
    </xf>
    <xf numFmtId="0" fontId="27" fillId="0" borderId="0" xfId="0" applyFont="1" applyAlignment="1">
      <alignment vertical="justify" wrapText="1"/>
    </xf>
    <xf numFmtId="0" fontId="26" fillId="0" borderId="17" xfId="2" quotePrefix="1" applyFont="1" applyBorder="1" applyAlignment="1">
      <alignment horizontal="center" vertical="center"/>
    </xf>
    <xf numFmtId="0" fontId="26" fillId="0" borderId="17" xfId="2" applyFont="1" applyBorder="1" applyAlignment="1">
      <alignment vertical="justify"/>
    </xf>
    <xf numFmtId="0" fontId="26" fillId="0" borderId="17" xfId="2" applyFont="1" applyBorder="1" applyAlignment="1">
      <alignment vertical="center"/>
    </xf>
    <xf numFmtId="0" fontId="26" fillId="0" borderId="0" xfId="2" quotePrefix="1" applyFont="1" applyAlignment="1">
      <alignment horizontal="center" vertical="center"/>
    </xf>
    <xf numFmtId="0" fontId="26" fillId="0" borderId="0" xfId="2" applyFont="1" applyAlignment="1">
      <alignment vertical="justify"/>
    </xf>
    <xf numFmtId="0" fontId="26" fillId="0" borderId="0" xfId="0" applyFont="1" applyAlignment="1">
      <alignment vertical="center" wrapText="1"/>
    </xf>
    <xf numFmtId="0" fontId="29" fillId="0" borderId="0" xfId="0" applyFont="1" applyAlignment="1">
      <alignment vertical="top"/>
    </xf>
    <xf numFmtId="0" fontId="35" fillId="0" borderId="0" xfId="0" applyFont="1" applyAlignment="1">
      <alignment horizontal="left" indent="5"/>
    </xf>
    <xf numFmtId="0" fontId="34" fillId="0" borderId="0" xfId="0" applyFont="1" applyAlignment="1">
      <alignment horizontal="left" indent="5"/>
    </xf>
    <xf numFmtId="164" fontId="27" fillId="0" borderId="18" xfId="1" applyNumberFormat="1" applyFont="1" applyBorder="1"/>
    <xf numFmtId="164" fontId="27" fillId="0" borderId="17" xfId="1" applyNumberFormat="1" applyFont="1" applyBorder="1"/>
    <xf numFmtId="164" fontId="27" fillId="0" borderId="0" xfId="1" applyNumberFormat="1" applyFont="1"/>
    <xf numFmtId="164" fontId="29" fillId="0" borderId="0" xfId="1" applyNumberFormat="1" applyFont="1" applyAlignment="1">
      <alignment vertical="center"/>
    </xf>
    <xf numFmtId="168" fontId="27" fillId="0" borderId="18" xfId="0" applyNumberFormat="1" applyFont="1" applyBorder="1" applyAlignment="1">
      <alignment horizontal="center"/>
    </xf>
    <xf numFmtId="168" fontId="27" fillId="0" borderId="17" xfId="0" applyNumberFormat="1" applyFont="1" applyBorder="1" applyAlignment="1">
      <alignment horizontal="center"/>
    </xf>
    <xf numFmtId="168" fontId="27" fillId="0" borderId="0" xfId="0" applyNumberFormat="1" applyFont="1" applyAlignment="1">
      <alignment horizontal="center"/>
    </xf>
    <xf numFmtId="168" fontId="27" fillId="0" borderId="0" xfId="2" applyNumberFormat="1" applyFont="1" applyAlignment="1">
      <alignment horizontal="center" vertical="center"/>
    </xf>
    <xf numFmtId="0" fontId="26" fillId="0" borderId="1" xfId="4" applyFont="1" applyBorder="1" applyAlignment="1">
      <alignment horizontal="center" vertical="center"/>
    </xf>
    <xf numFmtId="168" fontId="26" fillId="0" borderId="1" xfId="4" applyNumberFormat="1" applyFont="1" applyBorder="1" applyAlignment="1">
      <alignment horizontal="center" vertical="center"/>
    </xf>
    <xf numFmtId="0" fontId="26" fillId="0" borderId="11" xfId="4" applyFont="1" applyBorder="1" applyAlignment="1">
      <alignment horizontal="center" vertical="center"/>
    </xf>
    <xf numFmtId="168" fontId="26" fillId="0" borderId="11" xfId="4" applyNumberFormat="1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164" fontId="29" fillId="0" borderId="0" xfId="1" applyNumberFormat="1" applyFont="1" applyAlignment="1"/>
    <xf numFmtId="164" fontId="27" fillId="0" borderId="0" xfId="1" applyNumberFormat="1" applyFont="1" applyAlignment="1"/>
    <xf numFmtId="164" fontId="26" fillId="0" borderId="0" xfId="1" applyNumberFormat="1" applyFont="1" applyAlignment="1">
      <alignment horizontal="justify" vertical="top"/>
    </xf>
    <xf numFmtId="164" fontId="29" fillId="0" borderId="19" xfId="1" applyNumberFormat="1" applyFont="1" applyBorder="1" applyAlignment="1">
      <alignment horizontal="center" vertical="center"/>
    </xf>
    <xf numFmtId="164" fontId="27" fillId="0" borderId="17" xfId="1" applyNumberFormat="1" applyFont="1" applyBorder="1" applyAlignment="1">
      <alignment horizontal="center" vertical="center"/>
    </xf>
    <xf numFmtId="168" fontId="26" fillId="0" borderId="0" xfId="4" applyNumberFormat="1" applyFont="1" applyAlignment="1">
      <alignment horizontal="center" vertical="center"/>
    </xf>
    <xf numFmtId="0" fontId="29" fillId="0" borderId="0" xfId="2" applyFont="1" applyAlignment="1">
      <alignment vertical="center" wrapText="1"/>
    </xf>
    <xf numFmtId="0" fontId="29" fillId="0" borderId="0" xfId="2" applyFont="1" applyAlignment="1">
      <alignment horizontal="left" vertical="center"/>
    </xf>
    <xf numFmtId="0" fontId="27" fillId="0" borderId="24" xfId="0" applyFont="1" applyBorder="1"/>
    <xf numFmtId="0" fontId="27" fillId="0" borderId="25" xfId="0" applyFont="1" applyBorder="1"/>
    <xf numFmtId="0" fontId="27" fillId="0" borderId="26" xfId="0" applyFont="1" applyBorder="1"/>
    <xf numFmtId="0" fontId="25" fillId="0" borderId="0" xfId="2" applyFont="1" applyAlignment="1">
      <alignment vertical="center" wrapText="1"/>
    </xf>
    <xf numFmtId="0" fontId="26" fillId="0" borderId="30" xfId="2" applyFont="1" applyBorder="1" applyAlignment="1">
      <alignment horizontal="left" vertical="center" indent="1"/>
    </xf>
    <xf numFmtId="0" fontId="26" fillId="0" borderId="31" xfId="2" applyFont="1" applyBorder="1" applyAlignment="1">
      <alignment horizontal="left" vertical="center" indent="1"/>
    </xf>
    <xf numFmtId="0" fontId="25" fillId="0" borderId="32" xfId="2" applyFont="1" applyBorder="1" applyAlignment="1">
      <alignment horizontal="left" vertical="center" indent="1"/>
    </xf>
    <xf numFmtId="0" fontId="25" fillId="0" borderId="33" xfId="2" applyFont="1" applyBorder="1" applyAlignment="1">
      <alignment horizontal="left" vertical="center" indent="1"/>
    </xf>
    <xf numFmtId="0" fontId="26" fillId="0" borderId="32" xfId="3" applyNumberFormat="1" applyFont="1" applyFill="1" applyBorder="1" applyAlignment="1">
      <alignment horizontal="left" vertical="center" indent="3"/>
    </xf>
    <xf numFmtId="0" fontId="26" fillId="0" borderId="33" xfId="3" applyNumberFormat="1" applyFont="1" applyFill="1" applyBorder="1" applyAlignment="1">
      <alignment horizontal="left" vertical="center" indent="3"/>
    </xf>
    <xf numFmtId="0" fontId="26" fillId="0" borderId="32" xfId="2" applyFont="1" applyBorder="1" applyAlignment="1">
      <alignment horizontal="left" vertical="center" indent="3"/>
    </xf>
    <xf numFmtId="0" fontId="26" fillId="0" borderId="33" xfId="2" applyFont="1" applyBorder="1" applyAlignment="1">
      <alignment horizontal="left" vertical="center" indent="3"/>
    </xf>
    <xf numFmtId="0" fontId="26" fillId="0" borderId="32" xfId="2" applyFont="1" applyBorder="1" applyAlignment="1">
      <alignment horizontal="left" vertical="center" indent="1"/>
    </xf>
    <xf numFmtId="0" fontId="26" fillId="0" borderId="33" xfId="2" applyFont="1" applyBorder="1" applyAlignment="1">
      <alignment horizontal="left" vertical="center" indent="1"/>
    </xf>
    <xf numFmtId="164" fontId="25" fillId="0" borderId="17" xfId="1" applyNumberFormat="1" applyFont="1" applyFill="1" applyBorder="1" applyAlignment="1">
      <alignment horizontal="right" vertical="center"/>
    </xf>
    <xf numFmtId="9" fontId="25" fillId="0" borderId="17" xfId="70" applyFont="1" applyFill="1" applyBorder="1" applyAlignment="1">
      <alignment horizontal="center" vertical="center"/>
    </xf>
    <xf numFmtId="164" fontId="26" fillId="0" borderId="28" xfId="1" applyNumberFormat="1" applyFont="1" applyFill="1" applyBorder="1" applyAlignment="1">
      <alignment horizontal="center" vertical="center" wrapText="1"/>
    </xf>
    <xf numFmtId="164" fontId="25" fillId="0" borderId="28" xfId="1" applyNumberFormat="1" applyFont="1" applyFill="1" applyBorder="1" applyAlignment="1">
      <alignment horizontal="center" vertical="center" wrapText="1"/>
    </xf>
    <xf numFmtId="0" fontId="27" fillId="0" borderId="0" xfId="0" quotePrefix="1" applyFont="1" applyAlignment="1">
      <alignment horizontal="center" vertical="center" wrapText="1"/>
    </xf>
    <xf numFmtId="0" fontId="25" fillId="0" borderId="19" xfId="10" applyFont="1" applyBorder="1" applyAlignment="1">
      <alignment horizontal="center" vertical="center" wrapText="1"/>
    </xf>
    <xf numFmtId="0" fontId="26" fillId="0" borderId="0" xfId="10" applyFont="1" applyAlignment="1">
      <alignment horizontal="center" vertical="center" wrapText="1"/>
    </xf>
    <xf numFmtId="0" fontId="25" fillId="0" borderId="17" xfId="10" applyFont="1" applyBorder="1" applyAlignment="1">
      <alignment horizontal="center" vertical="center" wrapText="1"/>
    </xf>
    <xf numFmtId="167" fontId="37" fillId="0" borderId="0" xfId="72" applyFont="1" applyAlignment="1">
      <alignment horizontal="center" vertical="center"/>
    </xf>
    <xf numFmtId="164" fontId="25" fillId="0" borderId="0" xfId="1" applyNumberFormat="1" applyFont="1"/>
    <xf numFmtId="164" fontId="27" fillId="0" borderId="0" xfId="1" applyNumberFormat="1" applyFont="1" applyAlignment="1">
      <alignment vertical="center"/>
    </xf>
    <xf numFmtId="164" fontId="29" fillId="0" borderId="0" xfId="1" applyNumberFormat="1" applyFont="1" applyAlignment="1">
      <alignment horizontal="right" vertical="center"/>
    </xf>
    <xf numFmtId="164" fontId="26" fillId="0" borderId="0" xfId="1" applyNumberFormat="1" applyFont="1"/>
    <xf numFmtId="164" fontId="27" fillId="0" borderId="0" xfId="1" applyNumberFormat="1" applyFont="1" applyAlignment="1">
      <alignment horizontal="center" vertical="center"/>
    </xf>
    <xf numFmtId="164" fontId="27" fillId="0" borderId="0" xfId="1" applyNumberFormat="1" applyFont="1" applyFill="1" applyBorder="1" applyAlignment="1">
      <alignment vertical="center"/>
    </xf>
    <xf numFmtId="164" fontId="29" fillId="0" borderId="0" xfId="1" applyNumberFormat="1" applyFont="1" applyFill="1" applyAlignment="1">
      <alignment vertical="center"/>
    </xf>
    <xf numFmtId="164" fontId="27" fillId="0" borderId="0" xfId="1" applyNumberFormat="1" applyFont="1" applyAlignment="1">
      <alignment horizontal="left"/>
    </xf>
    <xf numFmtId="164" fontId="28" fillId="0" borderId="0" xfId="1" applyNumberFormat="1" applyFont="1" applyAlignment="1">
      <alignment horizontal="left" vertical="center"/>
    </xf>
    <xf numFmtId="164" fontId="26" fillId="0" borderId="11" xfId="1" applyNumberFormat="1" applyFont="1" applyBorder="1" applyAlignment="1">
      <alignment horizontal="center" vertical="center"/>
    </xf>
    <xf numFmtId="164" fontId="29" fillId="0" borderId="0" xfId="1" applyNumberFormat="1" applyFont="1" applyFill="1" applyAlignment="1"/>
    <xf numFmtId="164" fontId="30" fillId="0" borderId="0" xfId="1" applyNumberFormat="1" applyFont="1" applyAlignment="1">
      <alignment vertical="center"/>
    </xf>
    <xf numFmtId="164" fontId="29" fillId="0" borderId="0" xfId="1" applyNumberFormat="1" applyFont="1" applyAlignment="1">
      <alignment vertical="center" wrapText="1"/>
    </xf>
    <xf numFmtId="164" fontId="27" fillId="0" borderId="0" xfId="1" applyNumberFormat="1" applyFont="1" applyAlignment="1">
      <alignment vertical="center" wrapText="1"/>
    </xf>
    <xf numFmtId="164" fontId="29" fillId="0" borderId="0" xfId="1" applyNumberFormat="1" applyFont="1"/>
    <xf numFmtId="164" fontId="26" fillId="0" borderId="0" xfId="1" applyNumberFormat="1" applyFont="1" applyAlignment="1">
      <alignment vertical="center"/>
    </xf>
    <xf numFmtId="164" fontId="26" fillId="0" borderId="0" xfId="1" applyNumberFormat="1" applyFont="1" applyAlignment="1">
      <alignment horizontal="justify" vertical="top" wrapText="1"/>
    </xf>
    <xf numFmtId="164" fontId="27" fillId="0" borderId="0" xfId="1" applyNumberFormat="1" applyFont="1" applyAlignment="1">
      <alignment horizontal="center" vertical="center" wrapText="1"/>
    </xf>
    <xf numFmtId="164" fontId="29" fillId="0" borderId="0" xfId="1" applyNumberFormat="1" applyFont="1" applyAlignment="1">
      <alignment horizontal="center" vertical="center" wrapText="1"/>
    </xf>
    <xf numFmtId="164" fontId="29" fillId="0" borderId="19" xfId="1" applyNumberFormat="1" applyFont="1" applyBorder="1" applyAlignment="1">
      <alignment horizontal="center" vertical="center" wrapText="1"/>
    </xf>
    <xf numFmtId="164" fontId="29" fillId="0" borderId="27" xfId="1" applyNumberFormat="1" applyFont="1" applyBorder="1"/>
    <xf numFmtId="164" fontId="29" fillId="0" borderId="18" xfId="1" applyNumberFormat="1" applyFont="1" applyBorder="1"/>
    <xf numFmtId="164" fontId="29" fillId="0" borderId="28" xfId="1" applyNumberFormat="1" applyFont="1" applyBorder="1"/>
    <xf numFmtId="164" fontId="29" fillId="0" borderId="29" xfId="1" applyNumberFormat="1" applyFont="1" applyBorder="1"/>
    <xf numFmtId="164" fontId="29" fillId="0" borderId="34" xfId="1" applyNumberFormat="1" applyFont="1" applyBorder="1"/>
    <xf numFmtId="164" fontId="29" fillId="0" borderId="0" xfId="1" applyNumberFormat="1" applyFont="1" applyBorder="1"/>
    <xf numFmtId="164" fontId="27" fillId="0" borderId="0" xfId="1" applyNumberFormat="1" applyFont="1" applyBorder="1"/>
    <xf numFmtId="0" fontId="27" fillId="0" borderId="0" xfId="2" applyFont="1" applyAlignment="1">
      <alignment horizontal="left" vertical="center" wrapText="1" indent="1"/>
    </xf>
    <xf numFmtId="164" fontId="27" fillId="0" borderId="17" xfId="1" applyNumberFormat="1" applyFont="1" applyBorder="1" applyAlignment="1">
      <alignment horizontal="center"/>
    </xf>
    <xf numFmtId="164" fontId="27" fillId="0" borderId="0" xfId="1" applyNumberFormat="1" applyFont="1" applyBorder="1" applyAlignment="1">
      <alignment horizontal="center" vertical="center"/>
    </xf>
    <xf numFmtId="164" fontId="27" fillId="0" borderId="0" xfId="1" applyNumberFormat="1" applyFont="1" applyFill="1" applyBorder="1"/>
    <xf numFmtId="0" fontId="29" fillId="0" borderId="19" xfId="0" applyFont="1" applyBorder="1" applyAlignment="1">
      <alignment horizontal="center" vertical="top"/>
    </xf>
    <xf numFmtId="0" fontId="29" fillId="0" borderId="19" xfId="0" applyFont="1" applyBorder="1" applyAlignment="1">
      <alignment horizontal="center" vertical="top" wrapText="1"/>
    </xf>
    <xf numFmtId="0" fontId="29" fillId="0" borderId="20" xfId="0" quotePrefix="1" applyFont="1" applyBorder="1" applyAlignment="1">
      <alignment horizontal="center" vertical="center" wrapText="1"/>
    </xf>
    <xf numFmtId="0" fontId="29" fillId="0" borderId="22" xfId="0" quotePrefix="1" applyFont="1" applyBorder="1" applyAlignment="1">
      <alignment horizontal="center" vertical="center" wrapText="1"/>
    </xf>
    <xf numFmtId="0" fontId="29" fillId="0" borderId="19" xfId="0" quotePrefix="1" applyFont="1" applyBorder="1" applyAlignment="1">
      <alignment horizontal="center" vertical="center" wrapText="1"/>
    </xf>
    <xf numFmtId="0" fontId="26" fillId="0" borderId="0" xfId="2" applyFont="1" applyAlignment="1">
      <alignment horizontal="left" vertical="top" wrapText="1" indent="2"/>
    </xf>
    <xf numFmtId="0" fontId="29" fillId="0" borderId="19" xfId="2" applyFont="1" applyBorder="1" applyAlignment="1">
      <alignment horizontal="center" vertical="center" wrapText="1"/>
    </xf>
    <xf numFmtId="0" fontId="31" fillId="0" borderId="0" xfId="0" applyFont="1" applyAlignment="1">
      <alignment horizontal="left" vertical="top" wrapText="1" indent="2"/>
    </xf>
    <xf numFmtId="37" fontId="29" fillId="0" borderId="19" xfId="73" applyFont="1" applyBorder="1" applyAlignment="1">
      <alignment horizontal="center" vertical="center" wrapText="1"/>
    </xf>
    <xf numFmtId="0" fontId="26" fillId="0" borderId="0" xfId="10" applyFont="1" applyAlignment="1">
      <alignment vertical="center"/>
    </xf>
    <xf numFmtId="0" fontId="25" fillId="0" borderId="0" xfId="10" applyFont="1" applyAlignment="1">
      <alignment horizontal="center" vertical="center" wrapText="1"/>
    </xf>
    <xf numFmtId="167" fontId="29" fillId="0" borderId="19" xfId="72" applyFont="1" applyBorder="1" applyAlignment="1">
      <alignment horizontal="center" vertical="center" textRotation="90"/>
    </xf>
    <xf numFmtId="0" fontId="29" fillId="0" borderId="19" xfId="10" applyFont="1" applyBorder="1" applyAlignment="1">
      <alignment horizontal="center" vertical="center" wrapText="1"/>
    </xf>
    <xf numFmtId="0" fontId="29" fillId="0" borderId="19" xfId="10" quotePrefix="1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6" fillId="0" borderId="0" xfId="0" applyFont="1" applyAlignment="1">
      <alignment horizontal="justify" vertical="top" wrapText="1"/>
    </xf>
    <xf numFmtId="0" fontId="27" fillId="0" borderId="0" xfId="0" applyFont="1" applyAlignment="1">
      <alignment horizontal="left"/>
    </xf>
    <xf numFmtId="164" fontId="29" fillId="0" borderId="19" xfId="1" applyNumberFormat="1" applyFont="1" applyBorder="1" applyAlignment="1">
      <alignment horizontal="center" vertical="center" wrapText="1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 2 2" xfId="71" xr:uid="{00000000-0005-0000-0000-000034000000}"/>
    <cellStyle name="Normal 2" xfId="10" xr:uid="{00000000-0005-0000-0000-000035000000}"/>
    <cellStyle name="Normal 2 2" xfId="55" xr:uid="{00000000-0005-0000-0000-000036000000}"/>
    <cellStyle name="Normal 29" xfId="74" xr:uid="{00000000-0005-0000-0000-000037000000}"/>
    <cellStyle name="Normal 3" xfId="2" xr:uid="{00000000-0005-0000-0000-000038000000}"/>
    <cellStyle name="Normal 3 2" xfId="56" xr:uid="{00000000-0005-0000-0000-000039000000}"/>
    <cellStyle name="Normal 3 2 2" xfId="72" xr:uid="{00000000-0005-0000-0000-00003A000000}"/>
    <cellStyle name="Normal 3 3" xfId="11" xr:uid="{00000000-0005-0000-0000-00003B000000}"/>
    <cellStyle name="Normal 4" xfId="4" xr:uid="{00000000-0005-0000-0000-00003C000000}"/>
    <cellStyle name="Normal 4 2" xfId="12" xr:uid="{00000000-0005-0000-0000-00003D000000}"/>
    <cellStyle name="Normal 4 3" xfId="57" xr:uid="{00000000-0005-0000-0000-00003E000000}"/>
    <cellStyle name="Normal 5" xfId="13" xr:uid="{00000000-0005-0000-0000-00003F000000}"/>
    <cellStyle name="Normal 5 2" xfId="58" xr:uid="{00000000-0005-0000-0000-000040000000}"/>
    <cellStyle name="Normal 7" xfId="59" xr:uid="{00000000-0005-0000-0000-000041000000}"/>
    <cellStyle name="Normal 9" xfId="14" xr:uid="{00000000-0005-0000-0000-000042000000}"/>
    <cellStyle name="Normal_depnote" xfId="73" xr:uid="{00000000-0005-0000-0000-000043000000}"/>
    <cellStyle name="Note 2" xfId="60" xr:uid="{00000000-0005-0000-0000-000044000000}"/>
    <cellStyle name="Output 2" xfId="61" xr:uid="{00000000-0005-0000-0000-000045000000}"/>
    <cellStyle name="Percent" xfId="70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R43"/>
  <sheetViews>
    <sheetView showGridLines="0" tabSelected="1" zoomScale="90" zoomScaleNormal="90" zoomScaleSheetLayoutView="100" workbookViewId="0">
      <selection activeCell="J4" sqref="J4"/>
    </sheetView>
  </sheetViews>
  <sheetFormatPr defaultColWidth="0" defaultRowHeight="13.5" zeroHeight="1"/>
  <cols>
    <col min="1" max="1" width="1.28515625" style="25" customWidth="1"/>
    <col min="2" max="2" width="8.42578125" style="25" customWidth="1"/>
    <col min="3" max="3" width="1.28515625" style="25" customWidth="1"/>
    <col min="4" max="4" width="44" style="25" customWidth="1"/>
    <col min="5" max="5" width="1.28515625" style="25" customWidth="1"/>
    <col min="6" max="6" width="12.140625" style="32" customWidth="1"/>
    <col min="7" max="7" width="1.28515625" style="25" customWidth="1"/>
    <col min="8" max="8" width="14.5703125" style="25" bestFit="1" customWidth="1"/>
    <col min="9" max="9" width="1.28515625" style="25" customWidth="1"/>
    <col min="10" max="10" width="18.85546875" style="25" customWidth="1"/>
    <col min="11" max="11" width="1.42578125" style="25" customWidth="1"/>
    <col min="12" max="257" width="10.42578125" style="25" hidden="1"/>
    <col min="258" max="258" width="8.42578125" style="25" hidden="1"/>
    <col min="259" max="260" width="12.85546875" style="25" hidden="1"/>
    <col min="261" max="261" width="9.7109375" style="25" hidden="1"/>
    <col min="262" max="262" width="7.28515625" style="25" hidden="1"/>
    <col min="263" max="263" width="8.140625" style="25" hidden="1"/>
    <col min="264" max="264" width="12.85546875" style="25" hidden="1"/>
    <col min="265" max="266" width="13.28515625" style="25" hidden="1"/>
    <col min="267" max="513" width="10.42578125" style="25" hidden="1"/>
    <col min="514" max="514" width="8.42578125" style="25" hidden="1"/>
    <col min="515" max="516" width="12.85546875" style="25" hidden="1"/>
    <col min="517" max="517" width="9.7109375" style="25" hidden="1"/>
    <col min="518" max="518" width="7.28515625" style="25" hidden="1"/>
    <col min="519" max="519" width="8.140625" style="25" hidden="1"/>
    <col min="520" max="520" width="12.85546875" style="25" hidden="1"/>
    <col min="521" max="522" width="13.28515625" style="25" hidden="1"/>
    <col min="523" max="769" width="10.42578125" style="25" hidden="1"/>
    <col min="770" max="770" width="8.42578125" style="25" hidden="1"/>
    <col min="771" max="772" width="12.85546875" style="25" hidden="1"/>
    <col min="773" max="773" width="9.7109375" style="25" hidden="1"/>
    <col min="774" max="774" width="7.28515625" style="25" hidden="1"/>
    <col min="775" max="775" width="8.140625" style="25" hidden="1"/>
    <col min="776" max="776" width="12.85546875" style="25" hidden="1"/>
    <col min="777" max="778" width="13.28515625" style="25" hidden="1"/>
    <col min="779" max="1025" width="10.42578125" style="25" hidden="1"/>
    <col min="1026" max="1026" width="8.42578125" style="25" hidden="1"/>
    <col min="1027" max="1028" width="12.85546875" style="25" hidden="1"/>
    <col min="1029" max="1029" width="9.7109375" style="25" hidden="1"/>
    <col min="1030" max="1030" width="7.28515625" style="25" hidden="1"/>
    <col min="1031" max="1031" width="8.140625" style="25" hidden="1"/>
    <col min="1032" max="1032" width="12.85546875" style="25" hidden="1"/>
    <col min="1033" max="1034" width="13.28515625" style="25" hidden="1"/>
    <col min="1035" max="1281" width="10.42578125" style="25" hidden="1"/>
    <col min="1282" max="1282" width="8.42578125" style="25" hidden="1"/>
    <col min="1283" max="1284" width="12.85546875" style="25" hidden="1"/>
    <col min="1285" max="1285" width="9.7109375" style="25" hidden="1"/>
    <col min="1286" max="1286" width="7.28515625" style="25" hidden="1"/>
    <col min="1287" max="1287" width="8.140625" style="25" hidden="1"/>
    <col min="1288" max="1288" width="12.85546875" style="25" hidden="1"/>
    <col min="1289" max="1290" width="13.28515625" style="25" hidden="1"/>
    <col min="1291" max="1537" width="10.42578125" style="25" hidden="1"/>
    <col min="1538" max="1538" width="8.42578125" style="25" hidden="1"/>
    <col min="1539" max="1540" width="12.85546875" style="25" hidden="1"/>
    <col min="1541" max="1541" width="9.7109375" style="25" hidden="1"/>
    <col min="1542" max="1542" width="7.28515625" style="25" hidden="1"/>
    <col min="1543" max="1543" width="8.140625" style="25" hidden="1"/>
    <col min="1544" max="1544" width="12.85546875" style="25" hidden="1"/>
    <col min="1545" max="1546" width="13.28515625" style="25" hidden="1"/>
    <col min="1547" max="1793" width="10.42578125" style="25" hidden="1"/>
    <col min="1794" max="1794" width="8.42578125" style="25" hidden="1"/>
    <col min="1795" max="1796" width="12.85546875" style="25" hidden="1"/>
    <col min="1797" max="1797" width="9.7109375" style="25" hidden="1"/>
    <col min="1798" max="1798" width="7.28515625" style="25" hidden="1"/>
    <col min="1799" max="1799" width="8.140625" style="25" hidden="1"/>
    <col min="1800" max="1800" width="12.85546875" style="25" hidden="1"/>
    <col min="1801" max="1802" width="13.28515625" style="25" hidden="1"/>
    <col min="1803" max="2049" width="10.42578125" style="25" hidden="1"/>
    <col min="2050" max="2050" width="8.42578125" style="25" hidden="1"/>
    <col min="2051" max="2052" width="12.85546875" style="25" hidden="1"/>
    <col min="2053" max="2053" width="9.7109375" style="25" hidden="1"/>
    <col min="2054" max="2054" width="7.28515625" style="25" hidden="1"/>
    <col min="2055" max="2055" width="8.140625" style="25" hidden="1"/>
    <col min="2056" max="2056" width="12.85546875" style="25" hidden="1"/>
    <col min="2057" max="2058" width="13.28515625" style="25" hidden="1"/>
    <col min="2059" max="2305" width="10.42578125" style="25" hidden="1"/>
    <col min="2306" max="2306" width="8.42578125" style="25" hidden="1"/>
    <col min="2307" max="2308" width="12.85546875" style="25" hidden="1"/>
    <col min="2309" max="2309" width="9.7109375" style="25" hidden="1"/>
    <col min="2310" max="2310" width="7.28515625" style="25" hidden="1"/>
    <col min="2311" max="2311" width="8.140625" style="25" hidden="1"/>
    <col min="2312" max="2312" width="12.85546875" style="25" hidden="1"/>
    <col min="2313" max="2314" width="13.28515625" style="25" hidden="1"/>
    <col min="2315" max="2561" width="10.42578125" style="25" hidden="1"/>
    <col min="2562" max="2562" width="8.42578125" style="25" hidden="1"/>
    <col min="2563" max="2564" width="12.85546875" style="25" hidden="1"/>
    <col min="2565" max="2565" width="9.7109375" style="25" hidden="1"/>
    <col min="2566" max="2566" width="7.28515625" style="25" hidden="1"/>
    <col min="2567" max="2567" width="8.140625" style="25" hidden="1"/>
    <col min="2568" max="2568" width="12.85546875" style="25" hidden="1"/>
    <col min="2569" max="2570" width="13.28515625" style="25" hidden="1"/>
    <col min="2571" max="2817" width="10.42578125" style="25" hidden="1"/>
    <col min="2818" max="2818" width="8.42578125" style="25" hidden="1"/>
    <col min="2819" max="2820" width="12.85546875" style="25" hidden="1"/>
    <col min="2821" max="2821" width="9.7109375" style="25" hidden="1"/>
    <col min="2822" max="2822" width="7.28515625" style="25" hidden="1"/>
    <col min="2823" max="2823" width="8.140625" style="25" hidden="1"/>
    <col min="2824" max="2824" width="12.85546875" style="25" hidden="1"/>
    <col min="2825" max="2826" width="13.28515625" style="25" hidden="1"/>
    <col min="2827" max="3073" width="10.42578125" style="25" hidden="1"/>
    <col min="3074" max="3074" width="8.42578125" style="25" hidden="1"/>
    <col min="3075" max="3076" width="12.85546875" style="25" hidden="1"/>
    <col min="3077" max="3077" width="9.7109375" style="25" hidden="1"/>
    <col min="3078" max="3078" width="7.28515625" style="25" hidden="1"/>
    <col min="3079" max="3079" width="8.140625" style="25" hidden="1"/>
    <col min="3080" max="3080" width="12.85546875" style="25" hidden="1"/>
    <col min="3081" max="3082" width="13.28515625" style="25" hidden="1"/>
    <col min="3083" max="3329" width="10.42578125" style="25" hidden="1"/>
    <col min="3330" max="3330" width="8.42578125" style="25" hidden="1"/>
    <col min="3331" max="3332" width="12.85546875" style="25" hidden="1"/>
    <col min="3333" max="3333" width="9.7109375" style="25" hidden="1"/>
    <col min="3334" max="3334" width="7.28515625" style="25" hidden="1"/>
    <col min="3335" max="3335" width="8.140625" style="25" hidden="1"/>
    <col min="3336" max="3336" width="12.85546875" style="25" hidden="1"/>
    <col min="3337" max="3338" width="13.28515625" style="25" hidden="1"/>
    <col min="3339" max="3585" width="10.42578125" style="25" hidden="1"/>
    <col min="3586" max="3586" width="8.42578125" style="25" hidden="1"/>
    <col min="3587" max="3588" width="12.85546875" style="25" hidden="1"/>
    <col min="3589" max="3589" width="9.7109375" style="25" hidden="1"/>
    <col min="3590" max="3590" width="7.28515625" style="25" hidden="1"/>
    <col min="3591" max="3591" width="8.140625" style="25" hidden="1"/>
    <col min="3592" max="3592" width="12.85546875" style="25" hidden="1"/>
    <col min="3593" max="3594" width="13.28515625" style="25" hidden="1"/>
    <col min="3595" max="3841" width="10.42578125" style="25" hidden="1"/>
    <col min="3842" max="3842" width="8.42578125" style="25" hidden="1"/>
    <col min="3843" max="3844" width="12.85546875" style="25" hidden="1"/>
    <col min="3845" max="3845" width="9.7109375" style="25" hidden="1"/>
    <col min="3846" max="3846" width="7.28515625" style="25" hidden="1"/>
    <col min="3847" max="3847" width="8.140625" style="25" hidden="1"/>
    <col min="3848" max="3848" width="12.85546875" style="25" hidden="1"/>
    <col min="3849" max="3850" width="13.28515625" style="25" hidden="1"/>
    <col min="3851" max="4097" width="10.42578125" style="25" hidden="1"/>
    <col min="4098" max="4098" width="8.42578125" style="25" hidden="1"/>
    <col min="4099" max="4100" width="12.85546875" style="25" hidden="1"/>
    <col min="4101" max="4101" width="9.7109375" style="25" hidden="1"/>
    <col min="4102" max="4102" width="7.28515625" style="25" hidden="1"/>
    <col min="4103" max="4103" width="8.140625" style="25" hidden="1"/>
    <col min="4104" max="4104" width="12.85546875" style="25" hidden="1"/>
    <col min="4105" max="4106" width="13.28515625" style="25" hidden="1"/>
    <col min="4107" max="4353" width="10.42578125" style="25" hidden="1"/>
    <col min="4354" max="4354" width="8.42578125" style="25" hidden="1"/>
    <col min="4355" max="4356" width="12.85546875" style="25" hidden="1"/>
    <col min="4357" max="4357" width="9.7109375" style="25" hidden="1"/>
    <col min="4358" max="4358" width="7.28515625" style="25" hidden="1"/>
    <col min="4359" max="4359" width="8.140625" style="25" hidden="1"/>
    <col min="4360" max="4360" width="12.85546875" style="25" hidden="1"/>
    <col min="4361" max="4362" width="13.28515625" style="25" hidden="1"/>
    <col min="4363" max="4609" width="10.42578125" style="25" hidden="1"/>
    <col min="4610" max="4610" width="8.42578125" style="25" hidden="1"/>
    <col min="4611" max="4612" width="12.85546875" style="25" hidden="1"/>
    <col min="4613" max="4613" width="9.7109375" style="25" hidden="1"/>
    <col min="4614" max="4614" width="7.28515625" style="25" hidden="1"/>
    <col min="4615" max="4615" width="8.140625" style="25" hidden="1"/>
    <col min="4616" max="4616" width="12.85546875" style="25" hidden="1"/>
    <col min="4617" max="4618" width="13.28515625" style="25" hidden="1"/>
    <col min="4619" max="4865" width="10.42578125" style="25" hidden="1"/>
    <col min="4866" max="4866" width="8.42578125" style="25" hidden="1"/>
    <col min="4867" max="4868" width="12.85546875" style="25" hidden="1"/>
    <col min="4869" max="4869" width="9.7109375" style="25" hidden="1"/>
    <col min="4870" max="4870" width="7.28515625" style="25" hidden="1"/>
    <col min="4871" max="4871" width="8.140625" style="25" hidden="1"/>
    <col min="4872" max="4872" width="12.85546875" style="25" hidden="1"/>
    <col min="4873" max="4874" width="13.28515625" style="25" hidden="1"/>
    <col min="4875" max="5121" width="10.42578125" style="25" hidden="1"/>
    <col min="5122" max="5122" width="8.42578125" style="25" hidden="1"/>
    <col min="5123" max="5124" width="12.85546875" style="25" hidden="1"/>
    <col min="5125" max="5125" width="9.7109375" style="25" hidden="1"/>
    <col min="5126" max="5126" width="7.28515625" style="25" hidden="1"/>
    <col min="5127" max="5127" width="8.140625" style="25" hidden="1"/>
    <col min="5128" max="5128" width="12.85546875" style="25" hidden="1"/>
    <col min="5129" max="5130" width="13.28515625" style="25" hidden="1"/>
    <col min="5131" max="5377" width="10.42578125" style="25" hidden="1"/>
    <col min="5378" max="5378" width="8.42578125" style="25" hidden="1"/>
    <col min="5379" max="5380" width="12.85546875" style="25" hidden="1"/>
    <col min="5381" max="5381" width="9.7109375" style="25" hidden="1"/>
    <col min="5382" max="5382" width="7.28515625" style="25" hidden="1"/>
    <col min="5383" max="5383" width="8.140625" style="25" hidden="1"/>
    <col min="5384" max="5384" width="12.85546875" style="25" hidden="1"/>
    <col min="5385" max="5386" width="13.28515625" style="25" hidden="1"/>
    <col min="5387" max="5633" width="10.42578125" style="25" hidden="1"/>
    <col min="5634" max="5634" width="8.42578125" style="25" hidden="1"/>
    <col min="5635" max="5636" width="12.85546875" style="25" hidden="1"/>
    <col min="5637" max="5637" width="9.7109375" style="25" hidden="1"/>
    <col min="5638" max="5638" width="7.28515625" style="25" hidden="1"/>
    <col min="5639" max="5639" width="8.140625" style="25" hidden="1"/>
    <col min="5640" max="5640" width="12.85546875" style="25" hidden="1"/>
    <col min="5641" max="5642" width="13.28515625" style="25" hidden="1"/>
    <col min="5643" max="5889" width="10.42578125" style="25" hidden="1"/>
    <col min="5890" max="5890" width="8.42578125" style="25" hidden="1"/>
    <col min="5891" max="5892" width="12.85546875" style="25" hidden="1"/>
    <col min="5893" max="5893" width="9.7109375" style="25" hidden="1"/>
    <col min="5894" max="5894" width="7.28515625" style="25" hidden="1"/>
    <col min="5895" max="5895" width="8.140625" style="25" hidden="1"/>
    <col min="5896" max="5896" width="12.85546875" style="25" hidden="1"/>
    <col min="5897" max="5898" width="13.28515625" style="25" hidden="1"/>
    <col min="5899" max="6145" width="10.42578125" style="25" hidden="1"/>
    <col min="6146" max="6146" width="8.42578125" style="25" hidden="1"/>
    <col min="6147" max="6148" width="12.85546875" style="25" hidden="1"/>
    <col min="6149" max="6149" width="9.7109375" style="25" hidden="1"/>
    <col min="6150" max="6150" width="7.28515625" style="25" hidden="1"/>
    <col min="6151" max="6151" width="8.140625" style="25" hidden="1"/>
    <col min="6152" max="6152" width="12.85546875" style="25" hidden="1"/>
    <col min="6153" max="6154" width="13.28515625" style="25" hidden="1"/>
    <col min="6155" max="6401" width="10.42578125" style="25" hidden="1"/>
    <col min="6402" max="6402" width="8.42578125" style="25" hidden="1"/>
    <col min="6403" max="6404" width="12.85546875" style="25" hidden="1"/>
    <col min="6405" max="6405" width="9.7109375" style="25" hidden="1"/>
    <col min="6406" max="6406" width="7.28515625" style="25" hidden="1"/>
    <col min="6407" max="6407" width="8.140625" style="25" hidden="1"/>
    <col min="6408" max="6408" width="12.85546875" style="25" hidden="1"/>
    <col min="6409" max="6410" width="13.28515625" style="25" hidden="1"/>
    <col min="6411" max="6657" width="10.42578125" style="25" hidden="1"/>
    <col min="6658" max="6658" width="8.42578125" style="25" hidden="1"/>
    <col min="6659" max="6660" width="12.85546875" style="25" hidden="1"/>
    <col min="6661" max="6661" width="9.7109375" style="25" hidden="1"/>
    <col min="6662" max="6662" width="7.28515625" style="25" hidden="1"/>
    <col min="6663" max="6663" width="8.140625" style="25" hidden="1"/>
    <col min="6664" max="6664" width="12.85546875" style="25" hidden="1"/>
    <col min="6665" max="6666" width="13.28515625" style="25" hidden="1"/>
    <col min="6667" max="6913" width="10.42578125" style="25" hidden="1"/>
    <col min="6914" max="6914" width="8.42578125" style="25" hidden="1"/>
    <col min="6915" max="6916" width="12.85546875" style="25" hidden="1"/>
    <col min="6917" max="6917" width="9.7109375" style="25" hidden="1"/>
    <col min="6918" max="6918" width="7.28515625" style="25" hidden="1"/>
    <col min="6919" max="6919" width="8.140625" style="25" hidden="1"/>
    <col min="6920" max="6920" width="12.85546875" style="25" hidden="1"/>
    <col min="6921" max="6922" width="13.28515625" style="25" hidden="1"/>
    <col min="6923" max="7169" width="10.42578125" style="25" hidden="1"/>
    <col min="7170" max="7170" width="8.42578125" style="25" hidden="1"/>
    <col min="7171" max="7172" width="12.85546875" style="25" hidden="1"/>
    <col min="7173" max="7173" width="9.7109375" style="25" hidden="1"/>
    <col min="7174" max="7174" width="7.28515625" style="25" hidden="1"/>
    <col min="7175" max="7175" width="8.140625" style="25" hidden="1"/>
    <col min="7176" max="7176" width="12.85546875" style="25" hidden="1"/>
    <col min="7177" max="7178" width="13.28515625" style="25" hidden="1"/>
    <col min="7179" max="7425" width="10.42578125" style="25" hidden="1"/>
    <col min="7426" max="7426" width="8.42578125" style="25" hidden="1"/>
    <col min="7427" max="7428" width="12.85546875" style="25" hidden="1"/>
    <col min="7429" max="7429" width="9.7109375" style="25" hidden="1"/>
    <col min="7430" max="7430" width="7.28515625" style="25" hidden="1"/>
    <col min="7431" max="7431" width="8.140625" style="25" hidden="1"/>
    <col min="7432" max="7432" width="12.85546875" style="25" hidden="1"/>
    <col min="7433" max="7434" width="13.28515625" style="25" hidden="1"/>
    <col min="7435" max="7681" width="10.42578125" style="25" hidden="1"/>
    <col min="7682" max="7682" width="8.42578125" style="25" hidden="1"/>
    <col min="7683" max="7684" width="12.85546875" style="25" hidden="1"/>
    <col min="7685" max="7685" width="9.7109375" style="25" hidden="1"/>
    <col min="7686" max="7686" width="7.28515625" style="25" hidden="1"/>
    <col min="7687" max="7687" width="8.140625" style="25" hidden="1"/>
    <col min="7688" max="7688" width="12.85546875" style="25" hidden="1"/>
    <col min="7689" max="7690" width="13.28515625" style="25" hidden="1"/>
    <col min="7691" max="7937" width="10.42578125" style="25" hidden="1"/>
    <col min="7938" max="7938" width="8.42578125" style="25" hidden="1"/>
    <col min="7939" max="7940" width="12.85546875" style="25" hidden="1"/>
    <col min="7941" max="7941" width="9.7109375" style="25" hidden="1"/>
    <col min="7942" max="7942" width="7.28515625" style="25" hidden="1"/>
    <col min="7943" max="7943" width="8.140625" style="25" hidden="1"/>
    <col min="7944" max="7944" width="12.85546875" style="25" hidden="1"/>
    <col min="7945" max="7946" width="13.28515625" style="25" hidden="1"/>
    <col min="7947" max="8193" width="10.42578125" style="25" hidden="1"/>
    <col min="8194" max="8194" width="8.42578125" style="25" hidden="1"/>
    <col min="8195" max="8196" width="12.85546875" style="25" hidden="1"/>
    <col min="8197" max="8197" width="9.7109375" style="25" hidden="1"/>
    <col min="8198" max="8198" width="7.28515625" style="25" hidden="1"/>
    <col min="8199" max="8199" width="8.140625" style="25" hidden="1"/>
    <col min="8200" max="8200" width="12.85546875" style="25" hidden="1"/>
    <col min="8201" max="8202" width="13.28515625" style="25" hidden="1"/>
    <col min="8203" max="8449" width="10.42578125" style="25" hidden="1"/>
    <col min="8450" max="8450" width="8.42578125" style="25" hidden="1"/>
    <col min="8451" max="8452" width="12.85546875" style="25" hidden="1"/>
    <col min="8453" max="8453" width="9.7109375" style="25" hidden="1"/>
    <col min="8454" max="8454" width="7.28515625" style="25" hidden="1"/>
    <col min="8455" max="8455" width="8.140625" style="25" hidden="1"/>
    <col min="8456" max="8456" width="12.85546875" style="25" hidden="1"/>
    <col min="8457" max="8458" width="13.28515625" style="25" hidden="1"/>
    <col min="8459" max="8705" width="10.42578125" style="25" hidden="1"/>
    <col min="8706" max="8706" width="8.42578125" style="25" hidden="1"/>
    <col min="8707" max="8708" width="12.85546875" style="25" hidden="1"/>
    <col min="8709" max="8709" width="9.7109375" style="25" hidden="1"/>
    <col min="8710" max="8710" width="7.28515625" style="25" hidden="1"/>
    <col min="8711" max="8711" width="8.140625" style="25" hidden="1"/>
    <col min="8712" max="8712" width="12.85546875" style="25" hidden="1"/>
    <col min="8713" max="8714" width="13.28515625" style="25" hidden="1"/>
    <col min="8715" max="8961" width="10.42578125" style="25" hidden="1"/>
    <col min="8962" max="8962" width="8.42578125" style="25" hidden="1"/>
    <col min="8963" max="8964" width="12.85546875" style="25" hidden="1"/>
    <col min="8965" max="8965" width="9.7109375" style="25" hidden="1"/>
    <col min="8966" max="8966" width="7.28515625" style="25" hidden="1"/>
    <col min="8967" max="8967" width="8.140625" style="25" hidden="1"/>
    <col min="8968" max="8968" width="12.85546875" style="25" hidden="1"/>
    <col min="8969" max="8970" width="13.28515625" style="25" hidden="1"/>
    <col min="8971" max="9217" width="10.42578125" style="25" hidden="1"/>
    <col min="9218" max="9218" width="8.42578125" style="25" hidden="1"/>
    <col min="9219" max="9220" width="12.85546875" style="25" hidden="1"/>
    <col min="9221" max="9221" width="9.7109375" style="25" hidden="1"/>
    <col min="9222" max="9222" width="7.28515625" style="25" hidden="1"/>
    <col min="9223" max="9223" width="8.140625" style="25" hidden="1"/>
    <col min="9224" max="9224" width="12.85546875" style="25" hidden="1"/>
    <col min="9225" max="9226" width="13.28515625" style="25" hidden="1"/>
    <col min="9227" max="9473" width="10.42578125" style="25" hidden="1"/>
    <col min="9474" max="9474" width="8.42578125" style="25" hidden="1"/>
    <col min="9475" max="9476" width="12.85546875" style="25" hidden="1"/>
    <col min="9477" max="9477" width="9.7109375" style="25" hidden="1"/>
    <col min="9478" max="9478" width="7.28515625" style="25" hidden="1"/>
    <col min="9479" max="9479" width="8.140625" style="25" hidden="1"/>
    <col min="9480" max="9480" width="12.85546875" style="25" hidden="1"/>
    <col min="9481" max="9482" width="13.28515625" style="25" hidden="1"/>
    <col min="9483" max="9729" width="10.42578125" style="25" hidden="1"/>
    <col min="9730" max="9730" width="8.42578125" style="25" hidden="1"/>
    <col min="9731" max="9732" width="12.85546875" style="25" hidden="1"/>
    <col min="9733" max="9733" width="9.7109375" style="25" hidden="1"/>
    <col min="9734" max="9734" width="7.28515625" style="25" hidden="1"/>
    <col min="9735" max="9735" width="8.140625" style="25" hidden="1"/>
    <col min="9736" max="9736" width="12.85546875" style="25" hidden="1"/>
    <col min="9737" max="9738" width="13.28515625" style="25" hidden="1"/>
    <col min="9739" max="9985" width="10.42578125" style="25" hidden="1"/>
    <col min="9986" max="9986" width="8.42578125" style="25" hidden="1"/>
    <col min="9987" max="9988" width="12.85546875" style="25" hidden="1"/>
    <col min="9989" max="9989" width="9.7109375" style="25" hidden="1"/>
    <col min="9990" max="9990" width="7.28515625" style="25" hidden="1"/>
    <col min="9991" max="9991" width="8.140625" style="25" hidden="1"/>
    <col min="9992" max="9992" width="12.85546875" style="25" hidden="1"/>
    <col min="9993" max="9994" width="13.28515625" style="25" hidden="1"/>
    <col min="9995" max="10241" width="10.42578125" style="25" hidden="1"/>
    <col min="10242" max="10242" width="8.42578125" style="25" hidden="1"/>
    <col min="10243" max="10244" width="12.85546875" style="25" hidden="1"/>
    <col min="10245" max="10245" width="9.7109375" style="25" hidden="1"/>
    <col min="10246" max="10246" width="7.28515625" style="25" hidden="1"/>
    <col min="10247" max="10247" width="8.140625" style="25" hidden="1"/>
    <col min="10248" max="10248" width="12.85546875" style="25" hidden="1"/>
    <col min="10249" max="10250" width="13.28515625" style="25" hidden="1"/>
    <col min="10251" max="10497" width="10.42578125" style="25" hidden="1"/>
    <col min="10498" max="10498" width="8.42578125" style="25" hidden="1"/>
    <col min="10499" max="10500" width="12.85546875" style="25" hidden="1"/>
    <col min="10501" max="10501" width="9.7109375" style="25" hidden="1"/>
    <col min="10502" max="10502" width="7.28515625" style="25" hidden="1"/>
    <col min="10503" max="10503" width="8.140625" style="25" hidden="1"/>
    <col min="10504" max="10504" width="12.85546875" style="25" hidden="1"/>
    <col min="10505" max="10506" width="13.28515625" style="25" hidden="1"/>
    <col min="10507" max="10753" width="10.42578125" style="25" hidden="1"/>
    <col min="10754" max="10754" width="8.42578125" style="25" hidden="1"/>
    <col min="10755" max="10756" width="12.85546875" style="25" hidden="1"/>
    <col min="10757" max="10757" width="9.7109375" style="25" hidden="1"/>
    <col min="10758" max="10758" width="7.28515625" style="25" hidden="1"/>
    <col min="10759" max="10759" width="8.140625" style="25" hidden="1"/>
    <col min="10760" max="10760" width="12.85546875" style="25" hidden="1"/>
    <col min="10761" max="10762" width="13.28515625" style="25" hidden="1"/>
    <col min="10763" max="11009" width="10.42578125" style="25" hidden="1"/>
    <col min="11010" max="11010" width="8.42578125" style="25" hidden="1"/>
    <col min="11011" max="11012" width="12.85546875" style="25" hidden="1"/>
    <col min="11013" max="11013" width="9.7109375" style="25" hidden="1"/>
    <col min="11014" max="11014" width="7.28515625" style="25" hidden="1"/>
    <col min="11015" max="11015" width="8.140625" style="25" hidden="1"/>
    <col min="11016" max="11016" width="12.85546875" style="25" hidden="1"/>
    <col min="11017" max="11018" width="13.28515625" style="25" hidden="1"/>
    <col min="11019" max="11265" width="10.42578125" style="25" hidden="1"/>
    <col min="11266" max="11266" width="8.42578125" style="25" hidden="1"/>
    <col min="11267" max="11268" width="12.85546875" style="25" hidden="1"/>
    <col min="11269" max="11269" width="9.7109375" style="25" hidden="1"/>
    <col min="11270" max="11270" width="7.28515625" style="25" hidden="1"/>
    <col min="11271" max="11271" width="8.140625" style="25" hidden="1"/>
    <col min="11272" max="11272" width="12.85546875" style="25" hidden="1"/>
    <col min="11273" max="11274" width="13.28515625" style="25" hidden="1"/>
    <col min="11275" max="11521" width="10.42578125" style="25" hidden="1"/>
    <col min="11522" max="11522" width="8.42578125" style="25" hidden="1"/>
    <col min="11523" max="11524" width="12.85546875" style="25" hidden="1"/>
    <col min="11525" max="11525" width="9.7109375" style="25" hidden="1"/>
    <col min="11526" max="11526" width="7.28515625" style="25" hidden="1"/>
    <col min="11527" max="11527" width="8.140625" style="25" hidden="1"/>
    <col min="11528" max="11528" width="12.85546875" style="25" hidden="1"/>
    <col min="11529" max="11530" width="13.28515625" style="25" hidden="1"/>
    <col min="11531" max="11777" width="10.42578125" style="25" hidden="1"/>
    <col min="11778" max="11778" width="8.42578125" style="25" hidden="1"/>
    <col min="11779" max="11780" width="12.85546875" style="25" hidden="1"/>
    <col min="11781" max="11781" width="9.7109375" style="25" hidden="1"/>
    <col min="11782" max="11782" width="7.28515625" style="25" hidden="1"/>
    <col min="11783" max="11783" width="8.140625" style="25" hidden="1"/>
    <col min="11784" max="11784" width="12.85546875" style="25" hidden="1"/>
    <col min="11785" max="11786" width="13.28515625" style="25" hidden="1"/>
    <col min="11787" max="12033" width="10.42578125" style="25" hidden="1"/>
    <col min="12034" max="12034" width="8.42578125" style="25" hidden="1"/>
    <col min="12035" max="12036" width="12.85546875" style="25" hidden="1"/>
    <col min="12037" max="12037" width="9.7109375" style="25" hidden="1"/>
    <col min="12038" max="12038" width="7.28515625" style="25" hidden="1"/>
    <col min="12039" max="12039" width="8.140625" style="25" hidden="1"/>
    <col min="12040" max="12040" width="12.85546875" style="25" hidden="1"/>
    <col min="12041" max="12042" width="13.28515625" style="25" hidden="1"/>
    <col min="12043" max="12289" width="10.42578125" style="25" hidden="1"/>
    <col min="12290" max="12290" width="8.42578125" style="25" hidden="1"/>
    <col min="12291" max="12292" width="12.85546875" style="25" hidden="1"/>
    <col min="12293" max="12293" width="9.7109375" style="25" hidden="1"/>
    <col min="12294" max="12294" width="7.28515625" style="25" hidden="1"/>
    <col min="12295" max="12295" width="8.140625" style="25" hidden="1"/>
    <col min="12296" max="12296" width="12.85546875" style="25" hidden="1"/>
    <col min="12297" max="12298" width="13.28515625" style="25" hidden="1"/>
    <col min="12299" max="12545" width="10.42578125" style="25" hidden="1"/>
    <col min="12546" max="12546" width="8.42578125" style="25" hidden="1"/>
    <col min="12547" max="12548" width="12.85546875" style="25" hidden="1"/>
    <col min="12549" max="12549" width="9.7109375" style="25" hidden="1"/>
    <col min="12550" max="12550" width="7.28515625" style="25" hidden="1"/>
    <col min="12551" max="12551" width="8.140625" style="25" hidden="1"/>
    <col min="12552" max="12552" width="12.85546875" style="25" hidden="1"/>
    <col min="12553" max="12554" width="13.28515625" style="25" hidden="1"/>
    <col min="12555" max="12801" width="10.42578125" style="25" hidden="1"/>
    <col min="12802" max="12802" width="8.42578125" style="25" hidden="1"/>
    <col min="12803" max="12804" width="12.85546875" style="25" hidden="1"/>
    <col min="12805" max="12805" width="9.7109375" style="25" hidden="1"/>
    <col min="12806" max="12806" width="7.28515625" style="25" hidden="1"/>
    <col min="12807" max="12807" width="8.140625" style="25" hidden="1"/>
    <col min="12808" max="12808" width="12.85546875" style="25" hidden="1"/>
    <col min="12809" max="12810" width="13.28515625" style="25" hidden="1"/>
    <col min="12811" max="13057" width="10.42578125" style="25" hidden="1"/>
    <col min="13058" max="13058" width="8.42578125" style="25" hidden="1"/>
    <col min="13059" max="13060" width="12.85546875" style="25" hidden="1"/>
    <col min="13061" max="13061" width="9.7109375" style="25" hidden="1"/>
    <col min="13062" max="13062" width="7.28515625" style="25" hidden="1"/>
    <col min="13063" max="13063" width="8.140625" style="25" hidden="1"/>
    <col min="13064" max="13064" width="12.85546875" style="25" hidden="1"/>
    <col min="13065" max="13066" width="13.28515625" style="25" hidden="1"/>
    <col min="13067" max="13313" width="10.42578125" style="25" hidden="1"/>
    <col min="13314" max="13314" width="8.42578125" style="25" hidden="1"/>
    <col min="13315" max="13316" width="12.85546875" style="25" hidden="1"/>
    <col min="13317" max="13317" width="9.7109375" style="25" hidden="1"/>
    <col min="13318" max="13318" width="7.28515625" style="25" hidden="1"/>
    <col min="13319" max="13319" width="8.140625" style="25" hidden="1"/>
    <col min="13320" max="13320" width="12.85546875" style="25" hidden="1"/>
    <col min="13321" max="13322" width="13.28515625" style="25" hidden="1"/>
    <col min="13323" max="13569" width="10.42578125" style="25" hidden="1"/>
    <col min="13570" max="13570" width="8.42578125" style="25" hidden="1"/>
    <col min="13571" max="13572" width="12.85546875" style="25" hidden="1"/>
    <col min="13573" max="13573" width="9.7109375" style="25" hidden="1"/>
    <col min="13574" max="13574" width="7.28515625" style="25" hidden="1"/>
    <col min="13575" max="13575" width="8.140625" style="25" hidden="1"/>
    <col min="13576" max="13576" width="12.85546875" style="25" hidden="1"/>
    <col min="13577" max="13578" width="13.28515625" style="25" hidden="1"/>
    <col min="13579" max="13825" width="10.42578125" style="25" hidden="1"/>
    <col min="13826" max="13826" width="8.42578125" style="25" hidden="1"/>
    <col min="13827" max="13828" width="12.85546875" style="25" hidden="1"/>
    <col min="13829" max="13829" width="9.7109375" style="25" hidden="1"/>
    <col min="13830" max="13830" width="7.28515625" style="25" hidden="1"/>
    <col min="13831" max="13831" width="8.140625" style="25" hidden="1"/>
    <col min="13832" max="13832" width="12.85546875" style="25" hidden="1"/>
    <col min="13833" max="13834" width="13.28515625" style="25" hidden="1"/>
    <col min="13835" max="14081" width="10.42578125" style="25" hidden="1"/>
    <col min="14082" max="14082" width="8.42578125" style="25" hidden="1"/>
    <col min="14083" max="14084" width="12.85546875" style="25" hidden="1"/>
    <col min="14085" max="14085" width="9.7109375" style="25" hidden="1"/>
    <col min="14086" max="14086" width="7.28515625" style="25" hidden="1"/>
    <col min="14087" max="14087" width="8.140625" style="25" hidden="1"/>
    <col min="14088" max="14088" width="12.85546875" style="25" hidden="1"/>
    <col min="14089" max="14090" width="13.28515625" style="25" hidden="1"/>
    <col min="14091" max="14337" width="10.42578125" style="25" hidden="1"/>
    <col min="14338" max="14338" width="8.42578125" style="25" hidden="1"/>
    <col min="14339" max="14340" width="12.85546875" style="25" hidden="1"/>
    <col min="14341" max="14341" width="9.7109375" style="25" hidden="1"/>
    <col min="14342" max="14342" width="7.28515625" style="25" hidden="1"/>
    <col min="14343" max="14343" width="8.140625" style="25" hidden="1"/>
    <col min="14344" max="14344" width="12.85546875" style="25" hidden="1"/>
    <col min="14345" max="14346" width="13.28515625" style="25" hidden="1"/>
    <col min="14347" max="14593" width="10.42578125" style="25" hidden="1"/>
    <col min="14594" max="14594" width="8.42578125" style="25" hidden="1"/>
    <col min="14595" max="14596" width="12.85546875" style="25" hidden="1"/>
    <col min="14597" max="14597" width="9.7109375" style="25" hidden="1"/>
    <col min="14598" max="14598" width="7.28515625" style="25" hidden="1"/>
    <col min="14599" max="14599" width="8.140625" style="25" hidden="1"/>
    <col min="14600" max="14600" width="12.85546875" style="25" hidden="1"/>
    <col min="14601" max="14602" width="13.28515625" style="25" hidden="1"/>
    <col min="14603" max="14849" width="10.42578125" style="25" hidden="1"/>
    <col min="14850" max="14850" width="8.42578125" style="25" hidden="1"/>
    <col min="14851" max="14852" width="12.85546875" style="25" hidden="1"/>
    <col min="14853" max="14853" width="9.7109375" style="25" hidden="1"/>
    <col min="14854" max="14854" width="7.28515625" style="25" hidden="1"/>
    <col min="14855" max="14855" width="8.140625" style="25" hidden="1"/>
    <col min="14856" max="14856" width="12.85546875" style="25" hidden="1"/>
    <col min="14857" max="14858" width="13.28515625" style="25" hidden="1"/>
    <col min="14859" max="15105" width="10.42578125" style="25" hidden="1"/>
    <col min="15106" max="15106" width="8.42578125" style="25" hidden="1"/>
    <col min="15107" max="15108" width="12.85546875" style="25" hidden="1"/>
    <col min="15109" max="15109" width="9.7109375" style="25" hidden="1"/>
    <col min="15110" max="15110" width="7.28515625" style="25" hidden="1"/>
    <col min="15111" max="15111" width="8.140625" style="25" hidden="1"/>
    <col min="15112" max="15112" width="12.85546875" style="25" hidden="1"/>
    <col min="15113" max="15114" width="13.28515625" style="25" hidden="1"/>
    <col min="15115" max="15361" width="10.42578125" style="25" hidden="1"/>
    <col min="15362" max="15362" width="8.42578125" style="25" hidden="1"/>
    <col min="15363" max="15364" width="12.85546875" style="25" hidden="1"/>
    <col min="15365" max="15365" width="9.7109375" style="25" hidden="1"/>
    <col min="15366" max="15366" width="7.28515625" style="25" hidden="1"/>
    <col min="15367" max="15367" width="8.140625" style="25" hidden="1"/>
    <col min="15368" max="15368" width="12.85546875" style="25" hidden="1"/>
    <col min="15369" max="15370" width="13.28515625" style="25" hidden="1"/>
    <col min="15371" max="15617" width="10.42578125" style="25" hidden="1"/>
    <col min="15618" max="15618" width="8.42578125" style="25" hidden="1"/>
    <col min="15619" max="15620" width="12.85546875" style="25" hidden="1"/>
    <col min="15621" max="15621" width="9.7109375" style="25" hidden="1"/>
    <col min="15622" max="15622" width="7.28515625" style="25" hidden="1"/>
    <col min="15623" max="15623" width="8.140625" style="25" hidden="1"/>
    <col min="15624" max="15624" width="12.85546875" style="25" hidden="1"/>
    <col min="15625" max="15626" width="13.28515625" style="25" hidden="1"/>
    <col min="15627" max="15873" width="10.42578125" style="25" hidden="1"/>
    <col min="15874" max="15874" width="8.42578125" style="25" hidden="1"/>
    <col min="15875" max="15876" width="12.85546875" style="25" hidden="1"/>
    <col min="15877" max="15877" width="9.7109375" style="25" hidden="1"/>
    <col min="15878" max="15878" width="7.28515625" style="25" hidden="1"/>
    <col min="15879" max="15879" width="8.140625" style="25" hidden="1"/>
    <col min="15880" max="15880" width="12.85546875" style="25" hidden="1"/>
    <col min="15881" max="15882" width="13.28515625" style="25" hidden="1"/>
    <col min="15883" max="16129" width="10.42578125" style="25" hidden="1"/>
    <col min="16130" max="16130" width="8.42578125" style="25" hidden="1"/>
    <col min="16131" max="16132" width="12.85546875" style="25" hidden="1"/>
    <col min="16133" max="16133" width="9.7109375" style="25" hidden="1"/>
    <col min="16134" max="16134" width="7.28515625" style="25" hidden="1"/>
    <col min="16135" max="16135" width="8.140625" style="25" hidden="1"/>
    <col min="16136" max="16136" width="12.85546875" style="25" hidden="1"/>
    <col min="16137" max="16138" width="13.28515625" style="25" hidden="1"/>
    <col min="16139" max="16384" width="10.42578125" style="25" hidden="1"/>
  </cols>
  <sheetData>
    <row r="1" spans="2:10" ht="15">
      <c r="B1" s="21" t="s">
        <v>192</v>
      </c>
      <c r="D1" s="22"/>
      <c r="F1" s="23"/>
      <c r="H1" s="22"/>
      <c r="J1" s="24" t="s">
        <v>161</v>
      </c>
    </row>
    <row r="2" spans="2:10" s="40" customFormat="1" ht="15">
      <c r="B2" s="21" t="s">
        <v>193</v>
      </c>
      <c r="D2" s="21"/>
      <c r="F2" s="33"/>
      <c r="H2" s="21"/>
    </row>
    <row r="3" spans="2:10">
      <c r="B3" s="22"/>
      <c r="D3" s="22"/>
      <c r="F3" s="23"/>
      <c r="H3" s="22"/>
      <c r="J3" s="26"/>
    </row>
    <row r="4" spans="2:10" ht="15">
      <c r="B4" s="1" t="s">
        <v>0</v>
      </c>
      <c r="D4" s="27" t="s">
        <v>194</v>
      </c>
      <c r="F4" s="28"/>
      <c r="H4" s="29" t="s">
        <v>9</v>
      </c>
      <c r="J4" s="32"/>
    </row>
    <row r="5" spans="2:10" ht="15">
      <c r="B5" s="1" t="s">
        <v>1</v>
      </c>
      <c r="D5" s="27" t="s">
        <v>239</v>
      </c>
      <c r="F5" s="30"/>
      <c r="H5" s="29" t="s">
        <v>190</v>
      </c>
      <c r="J5" s="171"/>
    </row>
    <row r="6" spans="2:10" ht="15">
      <c r="B6" s="1" t="s">
        <v>2</v>
      </c>
      <c r="D6" s="31" t="s">
        <v>56</v>
      </c>
      <c r="F6" s="30"/>
      <c r="H6" s="29" t="s">
        <v>10</v>
      </c>
      <c r="J6" s="170"/>
    </row>
    <row r="7" spans="2:10" ht="15">
      <c r="H7" s="29" t="s">
        <v>191</v>
      </c>
      <c r="J7" s="171"/>
    </row>
    <row r="8" spans="2:10" ht="15">
      <c r="B8" s="21" t="s">
        <v>4</v>
      </c>
      <c r="D8" s="21"/>
      <c r="F8" s="21"/>
      <c r="H8" s="21"/>
      <c r="J8" s="21"/>
    </row>
    <row r="9" spans="2:10" ht="15">
      <c r="B9" s="33"/>
      <c r="D9" s="33"/>
      <c r="F9" s="33"/>
      <c r="H9" s="33"/>
      <c r="J9" s="33"/>
    </row>
    <row r="10" spans="2:10" ht="30">
      <c r="B10" s="34" t="s">
        <v>5</v>
      </c>
      <c r="D10" s="34" t="s">
        <v>57</v>
      </c>
      <c r="F10" s="35" t="s">
        <v>55</v>
      </c>
      <c r="H10" s="35" t="s">
        <v>6</v>
      </c>
      <c r="J10" s="35" t="s">
        <v>7</v>
      </c>
    </row>
    <row r="11" spans="2:10">
      <c r="B11" s="32"/>
      <c r="J11" s="22"/>
    </row>
    <row r="12" spans="2:10">
      <c r="B12" s="36">
        <v>1</v>
      </c>
      <c r="D12" s="37" t="s">
        <v>42</v>
      </c>
      <c r="F12" s="36" t="str">
        <f>$J$1&amp;" - "&amp;B12</f>
        <v>B.S.01 - 1</v>
      </c>
      <c r="H12" s="37"/>
      <c r="J12" s="38"/>
    </row>
    <row r="13" spans="2:10">
      <c r="B13" s="36"/>
      <c r="D13" s="37"/>
      <c r="F13" s="36"/>
      <c r="H13" s="37"/>
      <c r="J13" s="38"/>
    </row>
    <row r="14" spans="2:10">
      <c r="B14" s="36">
        <f>B12+1</f>
        <v>2</v>
      </c>
      <c r="D14" s="37" t="s">
        <v>54</v>
      </c>
      <c r="F14" s="36" t="str">
        <f>$J$1&amp;" - "&amp;B14</f>
        <v>B.S.01 - 2</v>
      </c>
      <c r="H14" s="37"/>
      <c r="J14" s="38"/>
    </row>
    <row r="15" spans="2:10">
      <c r="B15" s="36"/>
      <c r="D15" s="37"/>
      <c r="F15" s="36"/>
      <c r="H15" s="37"/>
      <c r="J15" s="38"/>
    </row>
    <row r="16" spans="2:10">
      <c r="B16" s="36">
        <f>B14+1</f>
        <v>3</v>
      </c>
      <c r="D16" s="37" t="s">
        <v>148</v>
      </c>
      <c r="F16" s="36" t="str">
        <f>$J$1&amp;" - "&amp;B16</f>
        <v>B.S.01 - 3</v>
      </c>
      <c r="H16" s="37"/>
      <c r="J16" s="38"/>
    </row>
    <row r="17" spans="2:10">
      <c r="B17" s="36"/>
      <c r="D17" s="37"/>
      <c r="F17" s="36"/>
      <c r="H17" s="37"/>
      <c r="J17" s="38"/>
    </row>
    <row r="18" spans="2:10">
      <c r="B18" s="36">
        <f>B16+1</f>
        <v>4</v>
      </c>
      <c r="D18" s="37" t="s">
        <v>189</v>
      </c>
      <c r="F18" s="36" t="str">
        <f>$J$1&amp;" - "&amp;B18</f>
        <v>B.S.01 - 4</v>
      </c>
      <c r="H18" s="37"/>
      <c r="J18" s="38"/>
    </row>
    <row r="19" spans="2:10">
      <c r="B19" s="36"/>
      <c r="D19" s="37"/>
      <c r="F19" s="36"/>
      <c r="H19" s="37"/>
      <c r="J19" s="38"/>
    </row>
    <row r="20" spans="2:10">
      <c r="B20" s="36">
        <f>B18+1</f>
        <v>5</v>
      </c>
      <c r="D20" s="37" t="s">
        <v>149</v>
      </c>
      <c r="F20" s="36" t="str">
        <f>$J$1&amp;" - "&amp;B20</f>
        <v>B.S.01 - 5</v>
      </c>
      <c r="H20" s="37"/>
      <c r="J20" s="38"/>
    </row>
    <row r="21" spans="2:10">
      <c r="B21" s="36"/>
      <c r="D21" s="37"/>
      <c r="F21" s="36"/>
      <c r="H21" s="37"/>
      <c r="J21" s="38"/>
    </row>
    <row r="22" spans="2:10">
      <c r="B22" s="36">
        <f>B20+1</f>
        <v>6</v>
      </c>
      <c r="D22" s="37" t="s">
        <v>151</v>
      </c>
      <c r="F22" s="36" t="str">
        <f>$J$1&amp;" - "&amp;B22</f>
        <v>B.S.01 - 6</v>
      </c>
      <c r="H22" s="37"/>
      <c r="J22" s="38"/>
    </row>
    <row r="23" spans="2:10">
      <c r="B23" s="36"/>
      <c r="D23" s="37"/>
      <c r="F23" s="36"/>
      <c r="H23" s="37"/>
      <c r="J23" s="38"/>
    </row>
    <row r="24" spans="2:10">
      <c r="B24" s="36">
        <f>B22+1</f>
        <v>7</v>
      </c>
      <c r="D24" s="37" t="s">
        <v>152</v>
      </c>
      <c r="F24" s="36" t="str">
        <f>$J$1&amp;" - "&amp;B24</f>
        <v>B.S.01 - 7</v>
      </c>
      <c r="H24" s="37"/>
      <c r="J24" s="38"/>
    </row>
    <row r="25" spans="2:10">
      <c r="B25" s="36"/>
      <c r="D25" s="37"/>
      <c r="F25" s="36"/>
      <c r="H25" s="37"/>
      <c r="J25" s="38"/>
    </row>
    <row r="26" spans="2:10">
      <c r="B26" s="36">
        <f>B24+1</f>
        <v>8</v>
      </c>
      <c r="D26" s="37" t="s">
        <v>153</v>
      </c>
      <c r="F26" s="36" t="str">
        <f>$J$1&amp;" - "&amp;B26</f>
        <v>B.S.01 - 8</v>
      </c>
      <c r="H26" s="37"/>
      <c r="J26" s="38"/>
    </row>
    <row r="27" spans="2:10">
      <c r="B27" s="36"/>
      <c r="D27" s="37"/>
      <c r="F27" s="36"/>
      <c r="H27" s="37"/>
      <c r="J27" s="38"/>
    </row>
    <row r="28" spans="2:10">
      <c r="B28" s="36">
        <f>B26+1</f>
        <v>9</v>
      </c>
      <c r="D28" s="37" t="s">
        <v>154</v>
      </c>
      <c r="F28" s="36" t="str">
        <f>$J$1&amp;" - "&amp;B28</f>
        <v>B.S.01 - 9</v>
      </c>
      <c r="H28" s="37"/>
      <c r="J28" s="38"/>
    </row>
    <row r="29" spans="2:10">
      <c r="B29" s="36"/>
      <c r="D29" s="37"/>
      <c r="F29" s="36"/>
      <c r="H29" s="37"/>
      <c r="J29" s="38"/>
    </row>
    <row r="30" spans="2:10">
      <c r="B30" s="36">
        <f>B28+1</f>
        <v>10</v>
      </c>
      <c r="D30" s="37" t="s">
        <v>155</v>
      </c>
      <c r="F30" s="36" t="str">
        <f>$J$1&amp;" - "&amp;B30</f>
        <v>B.S.01 - 10</v>
      </c>
      <c r="H30" s="37"/>
      <c r="J30" s="38"/>
    </row>
    <row r="31" spans="2:10">
      <c r="B31" s="36"/>
      <c r="D31" s="37"/>
      <c r="F31" s="36"/>
      <c r="H31" s="37"/>
      <c r="J31" s="38"/>
    </row>
    <row r="32" spans="2:10">
      <c r="B32" s="36"/>
      <c r="D32" s="37"/>
      <c r="F32" s="36"/>
      <c r="H32" s="37"/>
      <c r="J32" s="38"/>
    </row>
    <row r="33" spans="2:10">
      <c r="B33" s="36"/>
      <c r="D33" s="37"/>
      <c r="F33" s="36"/>
      <c r="H33" s="37"/>
      <c r="J33" s="38"/>
    </row>
    <row r="34" spans="2:10">
      <c r="B34" s="36"/>
      <c r="D34" s="39"/>
      <c r="F34" s="36"/>
      <c r="H34" s="37"/>
      <c r="J34" s="38"/>
    </row>
    <row r="35" spans="2:10">
      <c r="B35" s="36"/>
      <c r="D35" s="39"/>
      <c r="F35" s="36"/>
      <c r="H35" s="37"/>
      <c r="J35" s="38"/>
    </row>
    <row r="36" spans="2:10">
      <c r="B36" s="36"/>
      <c r="D36" s="39"/>
      <c r="F36" s="36"/>
      <c r="H36" s="37"/>
      <c r="J36" s="38"/>
    </row>
    <row r="37" spans="2:10">
      <c r="B37" s="36"/>
      <c r="D37" s="37"/>
      <c r="F37" s="36"/>
      <c r="H37" s="37"/>
      <c r="J37" s="38"/>
    </row>
    <row r="38" spans="2:10">
      <c r="B38" s="36"/>
      <c r="D38" s="37"/>
      <c r="F38" s="36"/>
      <c r="H38" s="37"/>
      <c r="J38" s="38"/>
    </row>
    <row r="39" spans="2:10">
      <c r="B39" s="36"/>
      <c r="D39" s="37"/>
      <c r="F39" s="36"/>
      <c r="H39" s="37"/>
      <c r="J39" s="38"/>
    </row>
    <row r="40" spans="2:10"/>
    <row r="41" spans="2:10"/>
    <row r="42" spans="2:10"/>
    <row r="43" spans="2:10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5"/>
  <sheetViews>
    <sheetView showGridLines="0" zoomScale="90" zoomScaleNormal="90" zoomScaleSheetLayoutView="100" workbookViewId="0">
      <selection activeCell="G6" sqref="G6"/>
    </sheetView>
  </sheetViews>
  <sheetFormatPr defaultColWidth="0" defaultRowHeight="13.5" zeroHeight="1"/>
  <cols>
    <col min="1" max="1" width="1" style="26" customWidth="1"/>
    <col min="2" max="2" width="10" style="26" customWidth="1"/>
    <col min="3" max="3" width="1" style="26" customWidth="1"/>
    <col min="4" max="4" width="61.42578125" style="26" customWidth="1"/>
    <col min="5" max="5" width="1" style="26" customWidth="1"/>
    <col min="6" max="6" width="14.7109375" style="26" customWidth="1"/>
    <col min="7" max="7" width="16.5703125" style="26" customWidth="1"/>
    <col min="8" max="8" width="1" style="26" customWidth="1"/>
    <col min="9" max="9" width="9.140625" style="26" hidden="1" customWidth="1"/>
    <col min="10" max="12" width="0" style="26" hidden="1" customWidth="1"/>
    <col min="13" max="16384" width="9.140625" style="26" hidden="1"/>
  </cols>
  <sheetData>
    <row r="1" spans="2:8" s="40" customFormat="1" ht="15">
      <c r="B1" s="40" t="str">
        <f>Index!$B$1</f>
        <v>ABC &amp; Co.</v>
      </c>
      <c r="F1" s="41"/>
      <c r="G1" s="42" t="str">
        <f>Index!F12</f>
        <v>B.S.01 - 1</v>
      </c>
    </row>
    <row r="2" spans="2:8" s="40" customFormat="1" ht="15">
      <c r="B2" s="40" t="str">
        <f>Index!$B$2</f>
        <v>(Chartered Accountants)</v>
      </c>
      <c r="F2" s="41"/>
    </row>
    <row r="3" spans="2:8" s="25" customFormat="1">
      <c r="G3" s="26"/>
      <c r="H3" s="26"/>
    </row>
    <row r="4" spans="2:8" s="25" customFormat="1" ht="15">
      <c r="B4" s="1" t="str">
        <f>Index!B4</f>
        <v xml:space="preserve">Client: </v>
      </c>
      <c r="D4" s="27" t="str">
        <f>Index!$D$4</f>
        <v>ABC Limited</v>
      </c>
      <c r="F4" s="29" t="str">
        <f>Index!$H$4</f>
        <v>Prepared by:</v>
      </c>
      <c r="G4" s="172" t="str">
        <f>IF(Index!$J$4="","",Index!$J$4)</f>
        <v/>
      </c>
    </row>
    <row r="5" spans="2:8" s="25" customFormat="1" ht="15">
      <c r="B5" s="1" t="str">
        <f>Index!B5</f>
        <v>Period:</v>
      </c>
      <c r="D5" s="27" t="str">
        <f>Index!$D$5</f>
        <v>Year ended June 30, 2023</v>
      </c>
      <c r="F5" s="29" t="str">
        <f>Index!$H$5</f>
        <v>Date prepared:</v>
      </c>
      <c r="G5" s="173" t="str">
        <f>IF(Index!$J$5="","",Index!$J$5)</f>
        <v/>
      </c>
    </row>
    <row r="6" spans="2:8" s="25" customFormat="1" ht="15">
      <c r="B6" s="1" t="str">
        <f>Index!B6</f>
        <v>Head:</v>
      </c>
      <c r="D6" s="27" t="str">
        <f>Index!$D$6</f>
        <v>Property, plant and equipment</v>
      </c>
      <c r="F6" s="29" t="str">
        <f>Index!$H$6</f>
        <v>Reviewed by:</v>
      </c>
      <c r="G6" s="172" t="str">
        <f>IF(Index!$J$6="","",Index!$J$6)</f>
        <v/>
      </c>
    </row>
    <row r="7" spans="2:8" ht="15">
      <c r="B7" s="25"/>
      <c r="D7" s="25"/>
      <c r="F7" s="29" t="str">
        <f>Index!$H$7</f>
        <v>Date reviewed:</v>
      </c>
      <c r="G7" s="173" t="str">
        <f>IF(Index!$J$7="","",Index!$J$7)</f>
        <v/>
      </c>
      <c r="H7" s="25"/>
    </row>
    <row r="8" spans="2:8" s="25" customFormat="1" ht="15">
      <c r="B8" s="40" t="str">
        <f>UPPER("Audit Objectives and Conclusions")</f>
        <v>AUDIT OBJECTIVES AND CONCLUSIONS</v>
      </c>
      <c r="D8" s="40"/>
      <c r="F8" s="40"/>
      <c r="G8" s="40"/>
      <c r="H8" s="40"/>
    </row>
    <row r="9" spans="2:8"/>
    <row r="10" spans="2:8" s="45" customFormat="1" ht="14.25" customHeight="1">
      <c r="B10" s="239" t="s">
        <v>5</v>
      </c>
      <c r="D10" s="239" t="s">
        <v>16</v>
      </c>
      <c r="F10" s="237" t="s">
        <v>60</v>
      </c>
      <c r="G10" s="237"/>
      <c r="H10" s="44"/>
    </row>
    <row r="11" spans="2:8" ht="15">
      <c r="B11" s="240"/>
      <c r="D11" s="240"/>
      <c r="F11" s="66" t="s">
        <v>63</v>
      </c>
      <c r="G11" s="67" t="s">
        <v>64</v>
      </c>
      <c r="H11" s="46"/>
    </row>
    <row r="12" spans="2:8" s="45" customFormat="1" ht="15">
      <c r="B12" s="159"/>
      <c r="D12" s="159"/>
    </row>
    <row r="13" spans="2:8" s="55" customFormat="1">
      <c r="B13" s="149">
        <f>B12+1</f>
        <v>1</v>
      </c>
      <c r="D13" s="150" t="s">
        <v>17</v>
      </c>
      <c r="F13" s="151"/>
      <c r="G13" s="151"/>
    </row>
    <row r="14" spans="2:8" s="55" customFormat="1">
      <c r="B14" s="149">
        <f t="shared" ref="B14:B18" si="0">B13+1</f>
        <v>2</v>
      </c>
      <c r="D14" s="150" t="s">
        <v>18</v>
      </c>
      <c r="F14" s="151"/>
      <c r="G14" s="151"/>
    </row>
    <row r="15" spans="2:8" s="55" customFormat="1">
      <c r="B15" s="149">
        <f t="shared" si="0"/>
        <v>3</v>
      </c>
      <c r="D15" s="150" t="s">
        <v>19</v>
      </c>
      <c r="F15" s="151"/>
      <c r="G15" s="151"/>
    </row>
    <row r="16" spans="2:8" s="55" customFormat="1" ht="27">
      <c r="B16" s="149">
        <f t="shared" si="0"/>
        <v>4</v>
      </c>
      <c r="D16" s="150" t="s">
        <v>20</v>
      </c>
      <c r="F16" s="151"/>
      <c r="G16" s="151"/>
    </row>
    <row r="17" spans="2:11" s="55" customFormat="1" ht="27">
      <c r="B17" s="149">
        <f t="shared" si="0"/>
        <v>5</v>
      </c>
      <c r="D17" s="150" t="s">
        <v>30</v>
      </c>
      <c r="F17" s="151"/>
      <c r="G17" s="151"/>
    </row>
    <row r="18" spans="2:11" s="55" customFormat="1" ht="40.5">
      <c r="B18" s="149">
        <f t="shared" si="0"/>
        <v>6</v>
      </c>
      <c r="D18" s="150" t="s">
        <v>195</v>
      </c>
      <c r="F18" s="151"/>
      <c r="G18" s="151"/>
    </row>
    <row r="19" spans="2:11" s="55" customFormat="1">
      <c r="B19" s="149"/>
      <c r="D19" s="150"/>
      <c r="F19" s="151"/>
      <c r="G19" s="151"/>
    </row>
    <row r="20" spans="2:11" s="55" customFormat="1">
      <c r="B20" s="53"/>
      <c r="D20" s="152"/>
    </row>
    <row r="21" spans="2:11" s="55" customFormat="1" ht="14.25" customHeight="1">
      <c r="B21" s="241" t="s">
        <v>5</v>
      </c>
      <c r="D21" s="241" t="s">
        <v>62</v>
      </c>
      <c r="F21" s="238" t="s">
        <v>61</v>
      </c>
      <c r="G21" s="238"/>
    </row>
    <row r="22" spans="2:11" s="56" customFormat="1" ht="15">
      <c r="B22" s="241"/>
      <c r="D22" s="241"/>
      <c r="F22" s="66" t="s">
        <v>63</v>
      </c>
      <c r="G22" s="67" t="s">
        <v>64</v>
      </c>
    </row>
    <row r="23" spans="2:11" s="45" customFormat="1" ht="15">
      <c r="B23" s="159"/>
      <c r="D23" s="159"/>
    </row>
    <row r="24" spans="2:11" s="56" customFormat="1">
      <c r="B24" s="153">
        <f>B23+1</f>
        <v>1</v>
      </c>
      <c r="D24" s="154" t="s">
        <v>58</v>
      </c>
      <c r="F24" s="155"/>
      <c r="G24" s="155"/>
    </row>
    <row r="25" spans="2:11" s="56" customFormat="1" ht="27">
      <c r="B25" s="153">
        <f t="shared" ref="B25:B27" si="1">B24+1</f>
        <v>2</v>
      </c>
      <c r="D25" s="154" t="s">
        <v>59</v>
      </c>
      <c r="F25" s="155"/>
      <c r="G25" s="155"/>
    </row>
    <row r="26" spans="2:11" s="56" customFormat="1" ht="40.5">
      <c r="B26" s="153">
        <f t="shared" si="1"/>
        <v>3</v>
      </c>
      <c r="D26" s="154" t="s">
        <v>196</v>
      </c>
      <c r="F26" s="155"/>
      <c r="G26" s="155"/>
    </row>
    <row r="27" spans="2:11" s="56" customFormat="1" ht="27">
      <c r="B27" s="153">
        <f t="shared" si="1"/>
        <v>4</v>
      </c>
      <c r="D27" s="154" t="s">
        <v>197</v>
      </c>
      <c r="F27" s="155"/>
      <c r="G27" s="155"/>
    </row>
    <row r="28" spans="2:11">
      <c r="B28" s="51"/>
      <c r="D28" s="150"/>
      <c r="F28" s="50"/>
      <c r="G28" s="50"/>
      <c r="H28" s="49"/>
    </row>
    <row r="29" spans="2:11" s="56" customFormat="1">
      <c r="B29" s="156"/>
      <c r="D29" s="157"/>
    </row>
    <row r="30" spans="2:11" s="56" customFormat="1" hidden="1"/>
    <row r="31" spans="2:11" s="56" customFormat="1" ht="15" hidden="1">
      <c r="F31" s="57"/>
      <c r="G31" s="57"/>
      <c r="H31" s="57"/>
      <c r="I31" s="57"/>
      <c r="J31" s="57"/>
      <c r="K31" s="57"/>
    </row>
    <row r="32" spans="2:11" s="56" customFormat="1" hidden="1"/>
    <row r="33"/>
    <row r="34"/>
    <row r="35"/>
  </sheetData>
  <mergeCells count="6">
    <mergeCell ref="F10:G10"/>
    <mergeCell ref="F21:G21"/>
    <mergeCell ref="D10:D11"/>
    <mergeCell ref="B10:B11"/>
    <mergeCell ref="B21:B22"/>
    <mergeCell ref="D21:D22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A53"/>
  <sheetViews>
    <sheetView showGridLines="0" zoomScale="90" zoomScaleNormal="90" zoomScaleSheetLayoutView="100" workbookViewId="0">
      <selection activeCell="G2" sqref="G2"/>
    </sheetView>
  </sheetViews>
  <sheetFormatPr defaultColWidth="0" defaultRowHeight="13.5" zeroHeight="1"/>
  <cols>
    <col min="1" max="1" width="1" style="26" customWidth="1"/>
    <col min="2" max="2" width="7.7109375" style="56" customWidth="1"/>
    <col min="3" max="3" width="33" style="56" customWidth="1"/>
    <col min="4" max="4" width="1" style="26" customWidth="1"/>
    <col min="5" max="5" width="11.7109375" style="136" bestFit="1" customWidth="1"/>
    <col min="6" max="6" width="1" style="26" customWidth="1"/>
    <col min="7" max="8" width="14.42578125" style="56" customWidth="1"/>
    <col min="9" max="9" width="1" style="26" customWidth="1"/>
    <col min="10" max="11" width="14.42578125" style="56" customWidth="1"/>
    <col min="12" max="12" width="1" style="26" customWidth="1"/>
    <col min="13" max="13" width="21.7109375" style="56" bestFit="1" customWidth="1"/>
    <col min="14" max="14" width="1" style="26" customWidth="1"/>
    <col min="15" max="16384" width="9.140625" style="56" hidden="1"/>
  </cols>
  <sheetData>
    <row r="1" spans="1:14" s="57" customFormat="1" ht="15">
      <c r="A1" s="40"/>
      <c r="B1" s="21" t="str">
        <f>Index!B1</f>
        <v>ABC &amp; Co.</v>
      </c>
      <c r="D1" s="40"/>
      <c r="E1" s="138"/>
      <c r="F1" s="40"/>
      <c r="I1" s="40"/>
      <c r="K1" s="40"/>
      <c r="L1" s="40"/>
      <c r="M1" s="137" t="str">
        <f>Index!F14</f>
        <v>B.S.01 - 2</v>
      </c>
    </row>
    <row r="2" spans="1:14" s="57" customFormat="1" ht="15">
      <c r="A2" s="40"/>
      <c r="B2" s="21" t="str">
        <f>Index!B2</f>
        <v>(Chartered Accountants)</v>
      </c>
      <c r="D2" s="40"/>
      <c r="E2" s="138"/>
      <c r="F2" s="40"/>
      <c r="G2" s="43"/>
      <c r="I2" s="40"/>
      <c r="K2" s="40"/>
      <c r="L2" s="40"/>
    </row>
    <row r="3" spans="1:14">
      <c r="A3" s="25"/>
      <c r="D3" s="25"/>
      <c r="F3" s="25"/>
      <c r="I3" s="25"/>
      <c r="L3" s="25"/>
      <c r="N3" s="25"/>
    </row>
    <row r="4" spans="1:14" s="22" customFormat="1" ht="15">
      <c r="A4" s="26"/>
      <c r="B4" s="1" t="s">
        <v>0</v>
      </c>
      <c r="C4" s="27" t="str">
        <f>Index!D4</f>
        <v>ABC Limited</v>
      </c>
      <c r="D4" s="26"/>
      <c r="E4" s="23"/>
      <c r="F4" s="26"/>
      <c r="I4" s="26"/>
      <c r="K4" s="29" t="str">
        <f>Index!$H$4</f>
        <v>Prepared by:</v>
      </c>
      <c r="L4" s="26"/>
      <c r="M4" s="172" t="str">
        <f>IF(Index!$J$4="","",Index!$J$4)</f>
        <v/>
      </c>
      <c r="N4" s="26"/>
    </row>
    <row r="5" spans="1:14" s="22" customFormat="1" ht="15">
      <c r="A5" s="25"/>
      <c r="B5" s="1" t="s">
        <v>1</v>
      </c>
      <c r="C5" s="27" t="str">
        <f>Index!D5</f>
        <v>Year ended June 30, 2023</v>
      </c>
      <c r="D5" s="25"/>
      <c r="E5" s="23"/>
      <c r="F5" s="25"/>
      <c r="I5" s="25"/>
      <c r="K5" s="29" t="str">
        <f>Index!$H$5</f>
        <v>Date prepared:</v>
      </c>
      <c r="L5" s="25"/>
      <c r="M5" s="173" t="str">
        <f>IF(Index!$J$5="","",Index!$J$5)</f>
        <v/>
      </c>
      <c r="N5" s="25"/>
    </row>
    <row r="6" spans="1:14" s="22" customFormat="1" ht="15">
      <c r="A6" s="25"/>
      <c r="B6" s="1" t="s">
        <v>2</v>
      </c>
      <c r="C6" s="27" t="str">
        <f>Index!D6</f>
        <v>Property, plant and equipment</v>
      </c>
      <c r="D6" s="25"/>
      <c r="E6" s="23"/>
      <c r="F6" s="25"/>
      <c r="I6" s="25"/>
      <c r="K6" s="29" t="str">
        <f>Index!$H$6</f>
        <v>Reviewed by:</v>
      </c>
      <c r="L6" s="25"/>
      <c r="M6" s="172" t="str">
        <f>IF(Index!$J$6="","",Index!$J$6)</f>
        <v/>
      </c>
      <c r="N6" s="25"/>
    </row>
    <row r="7" spans="1:14" s="22" customFormat="1" ht="15">
      <c r="A7" s="25"/>
      <c r="B7" s="20"/>
      <c r="C7" s="27"/>
      <c r="D7" s="25"/>
      <c r="E7" s="23"/>
      <c r="F7" s="25"/>
      <c r="I7" s="25"/>
      <c r="K7" s="29" t="str">
        <f>Index!$H$7</f>
        <v>Date reviewed:</v>
      </c>
      <c r="L7" s="25"/>
      <c r="M7" s="173" t="str">
        <f>IF(Index!$J$7="","",Index!$J$7)</f>
        <v/>
      </c>
      <c r="N7" s="25"/>
    </row>
    <row r="8" spans="1:14" ht="15">
      <c r="B8" s="57" t="s">
        <v>8</v>
      </c>
      <c r="C8" s="57"/>
      <c r="E8" s="57"/>
      <c r="G8" s="57"/>
      <c r="H8" s="57"/>
      <c r="J8" s="57"/>
      <c r="K8" s="57"/>
      <c r="M8" s="57"/>
    </row>
    <row r="9" spans="1:14" ht="15">
      <c r="B9" s="57"/>
      <c r="C9" s="57"/>
      <c r="E9" s="57"/>
      <c r="G9" s="57"/>
      <c r="H9" s="57"/>
      <c r="J9" s="57"/>
      <c r="K9" s="57"/>
      <c r="M9" s="57"/>
    </row>
    <row r="10" spans="1:14" ht="15">
      <c r="A10" s="56"/>
      <c r="B10" s="57" t="s">
        <v>40</v>
      </c>
      <c r="D10" s="56"/>
      <c r="F10" s="56"/>
      <c r="I10" s="56"/>
      <c r="L10" s="56"/>
      <c r="N10" s="56"/>
    </row>
    <row r="11" spans="1:14" ht="15">
      <c r="A11" s="56"/>
      <c r="B11" s="123" t="s">
        <v>162</v>
      </c>
      <c r="D11" s="56"/>
      <c r="F11" s="56"/>
      <c r="I11" s="56"/>
      <c r="L11" s="56"/>
      <c r="N11" s="56"/>
    </row>
    <row r="12" spans="1:14" ht="14.25" customHeight="1">
      <c r="B12" s="242" t="s">
        <v>65</v>
      </c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</row>
    <row r="13" spans="1:14" ht="15">
      <c r="A13" s="56"/>
      <c r="B13" s="123" t="s">
        <v>31</v>
      </c>
      <c r="C13" s="139"/>
      <c r="D13" s="56"/>
      <c r="E13" s="127"/>
      <c r="F13" s="56"/>
      <c r="G13" s="139"/>
      <c r="H13" s="139"/>
      <c r="I13" s="56"/>
      <c r="J13" s="139"/>
      <c r="K13" s="139"/>
      <c r="L13" s="56"/>
      <c r="M13" s="139"/>
      <c r="N13" s="56"/>
    </row>
    <row r="14" spans="1:14" ht="14.25" customHeight="1">
      <c r="A14" s="56"/>
      <c r="B14" s="242" t="s">
        <v>41</v>
      </c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56"/>
    </row>
    <row r="15" spans="1:14">
      <c r="A15" s="56"/>
      <c r="B15" s="242" t="s">
        <v>166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56"/>
    </row>
    <row r="16" spans="1:14" ht="14.25" customHeight="1">
      <c r="A16" s="56"/>
      <c r="B16" s="244" t="s">
        <v>167</v>
      </c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56"/>
    </row>
    <row r="17" spans="1:27"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</row>
    <row r="18" spans="1:27">
      <c r="A18" s="25"/>
      <c r="B18" s="56" t="s">
        <v>3</v>
      </c>
      <c r="D18" s="25"/>
      <c r="F18" s="25"/>
      <c r="I18" s="25"/>
      <c r="L18" s="25"/>
      <c r="N18" s="25"/>
    </row>
    <row r="19" spans="1:27" s="59" customFormat="1" ht="15">
      <c r="B19" s="97" t="s">
        <v>232</v>
      </c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</row>
    <row r="20" spans="1:27" s="59" customFormat="1">
      <c r="B20" s="93" t="s">
        <v>233</v>
      </c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</row>
    <row r="21" spans="1:27" s="59" customFormat="1">
      <c r="B21" s="93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spans="1:27" s="59" customFormat="1" ht="15">
      <c r="B22" s="97" t="s">
        <v>62</v>
      </c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</row>
    <row r="23" spans="1:27" s="59" customFormat="1">
      <c r="B23" s="93" t="s">
        <v>61</v>
      </c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1:27">
      <c r="A24" s="56"/>
      <c r="C24" s="115"/>
      <c r="D24" s="56"/>
      <c r="E24" s="115"/>
      <c r="F24" s="56"/>
      <c r="G24" s="116"/>
      <c r="H24" s="116"/>
      <c r="I24" s="56"/>
      <c r="J24" s="116"/>
      <c r="K24" s="116"/>
      <c r="L24" s="56"/>
      <c r="M24" s="116"/>
      <c r="N24" s="116"/>
      <c r="O24" s="116"/>
      <c r="P24" s="116"/>
      <c r="Q24" s="116"/>
      <c r="R24" s="116"/>
      <c r="S24" s="116"/>
      <c r="T24" s="116"/>
      <c r="U24" s="116"/>
      <c r="V24" s="116"/>
    </row>
    <row r="25" spans="1:27" ht="15" customHeight="1">
      <c r="B25" s="243" t="s">
        <v>57</v>
      </c>
      <c r="C25" s="243"/>
      <c r="E25" s="243" t="s">
        <v>55</v>
      </c>
      <c r="G25" s="140">
        <v>2023</v>
      </c>
      <c r="H25" s="140">
        <f>G25-1</f>
        <v>2022</v>
      </c>
      <c r="J25" s="140" t="s">
        <v>14</v>
      </c>
      <c r="K25" s="140" t="s">
        <v>14</v>
      </c>
      <c r="M25" s="243" t="s">
        <v>15</v>
      </c>
    </row>
    <row r="26" spans="1:27" ht="15">
      <c r="A26" s="45"/>
      <c r="B26" s="243"/>
      <c r="C26" s="243"/>
      <c r="D26" s="45"/>
      <c r="E26" s="243"/>
      <c r="F26" s="45"/>
      <c r="G26" s="140" t="s">
        <v>66</v>
      </c>
      <c r="H26" s="140" t="s">
        <v>66</v>
      </c>
      <c r="I26" s="45"/>
      <c r="J26" s="140" t="s">
        <v>66</v>
      </c>
      <c r="K26" s="140" t="s">
        <v>21</v>
      </c>
      <c r="L26" s="45"/>
      <c r="M26" s="243"/>
      <c r="N26" s="45"/>
    </row>
    <row r="27" spans="1:27" ht="15">
      <c r="B27" s="187"/>
      <c r="C27" s="188"/>
      <c r="E27" s="141"/>
      <c r="G27" s="142"/>
      <c r="H27" s="143"/>
      <c r="J27" s="143"/>
      <c r="K27" s="144"/>
      <c r="M27" s="143"/>
    </row>
    <row r="28" spans="1:27" ht="15">
      <c r="A28" s="45"/>
      <c r="B28" s="189" t="str">
        <f>C6</f>
        <v>Property, plant and equipment</v>
      </c>
      <c r="C28" s="190"/>
      <c r="D28" s="45"/>
      <c r="E28" s="145"/>
      <c r="F28" s="45"/>
      <c r="G28" s="146"/>
      <c r="H28" s="146"/>
      <c r="I28" s="45"/>
      <c r="J28" s="146"/>
      <c r="K28" s="147"/>
      <c r="L28" s="45"/>
      <c r="M28" s="146"/>
      <c r="N28" s="45"/>
    </row>
    <row r="29" spans="1:27">
      <c r="A29" s="55"/>
      <c r="B29" s="191" t="s">
        <v>11</v>
      </c>
      <c r="C29" s="192"/>
      <c r="D29" s="55"/>
      <c r="E29" s="145" t="str">
        <f>SubLead!T1</f>
        <v>B.S.01 - 3</v>
      </c>
      <c r="F29" s="55"/>
      <c r="G29" s="148"/>
      <c r="H29" s="146"/>
      <c r="I29" s="55"/>
      <c r="J29" s="146">
        <f>G29-H29</f>
        <v>0</v>
      </c>
      <c r="K29" s="147" t="str">
        <f>IFERROR(J29/H29,"")</f>
        <v/>
      </c>
      <c r="L29" s="55"/>
      <c r="M29" s="146"/>
      <c r="N29" s="55"/>
    </row>
    <row r="30" spans="1:27">
      <c r="A30" s="55"/>
      <c r="B30" s="193" t="s">
        <v>12</v>
      </c>
      <c r="C30" s="194"/>
      <c r="D30" s="55"/>
      <c r="E30" s="145" t="str">
        <f>'Vouching-CWIP.'!Z1</f>
        <v>B.S.01 - 9</v>
      </c>
      <c r="F30" s="55"/>
      <c r="G30" s="148"/>
      <c r="H30" s="146"/>
      <c r="I30" s="55"/>
      <c r="J30" s="146">
        <f>G30-H30</f>
        <v>0</v>
      </c>
      <c r="K30" s="147" t="str">
        <f>IFERROR(J30/H30,"")</f>
        <v/>
      </c>
      <c r="L30" s="55"/>
      <c r="M30" s="146"/>
      <c r="N30" s="55"/>
    </row>
    <row r="31" spans="1:27">
      <c r="A31" s="55"/>
      <c r="B31" s="193"/>
      <c r="C31" s="194"/>
      <c r="D31" s="55"/>
      <c r="E31" s="145"/>
      <c r="F31" s="55"/>
      <c r="G31" s="146"/>
      <c r="H31" s="146"/>
      <c r="I31" s="55"/>
      <c r="J31" s="146"/>
      <c r="K31" s="147"/>
      <c r="L31" s="55"/>
      <c r="M31" s="146"/>
      <c r="N31" s="55"/>
    </row>
    <row r="32" spans="1:27">
      <c r="A32" s="55"/>
      <c r="B32" s="193"/>
      <c r="C32" s="194"/>
      <c r="D32" s="55"/>
      <c r="E32" s="145"/>
      <c r="F32" s="55"/>
      <c r="G32" s="146"/>
      <c r="H32" s="146"/>
      <c r="I32" s="55"/>
      <c r="J32" s="146"/>
      <c r="K32" s="147"/>
      <c r="L32" s="55"/>
      <c r="M32" s="146"/>
      <c r="N32" s="55"/>
    </row>
    <row r="33" spans="1:14">
      <c r="A33" s="55"/>
      <c r="B33" s="193"/>
      <c r="C33" s="194"/>
      <c r="D33" s="55"/>
      <c r="E33" s="145"/>
      <c r="F33" s="55"/>
      <c r="G33" s="146"/>
      <c r="H33" s="146"/>
      <c r="I33" s="55"/>
      <c r="J33" s="146"/>
      <c r="K33" s="147"/>
      <c r="L33" s="55"/>
      <c r="M33" s="146"/>
      <c r="N33" s="55"/>
    </row>
    <row r="34" spans="1:14">
      <c r="A34" s="55"/>
      <c r="B34" s="193"/>
      <c r="C34" s="194"/>
      <c r="D34" s="55"/>
      <c r="E34" s="145"/>
      <c r="F34" s="55"/>
      <c r="G34" s="146"/>
      <c r="H34" s="146"/>
      <c r="I34" s="55"/>
      <c r="J34" s="146"/>
      <c r="K34" s="147"/>
      <c r="L34" s="55"/>
      <c r="M34" s="146"/>
      <c r="N34" s="55"/>
    </row>
    <row r="35" spans="1:14">
      <c r="A35" s="55"/>
      <c r="B35" s="193"/>
      <c r="C35" s="194"/>
      <c r="D35" s="55"/>
      <c r="E35" s="145"/>
      <c r="F35" s="55"/>
      <c r="G35" s="146"/>
      <c r="H35" s="146"/>
      <c r="I35" s="55"/>
      <c r="J35" s="146"/>
      <c r="K35" s="147"/>
      <c r="L35" s="55"/>
      <c r="M35" s="146"/>
      <c r="N35" s="55"/>
    </row>
    <row r="36" spans="1:14">
      <c r="A36" s="55"/>
      <c r="B36" s="193"/>
      <c r="C36" s="194"/>
      <c r="D36" s="55"/>
      <c r="E36" s="145"/>
      <c r="F36" s="55"/>
      <c r="G36" s="146"/>
      <c r="H36" s="146"/>
      <c r="I36" s="55"/>
      <c r="J36" s="146"/>
      <c r="K36" s="147"/>
      <c r="L36" s="55"/>
      <c r="M36" s="146"/>
      <c r="N36" s="55"/>
    </row>
    <row r="37" spans="1:14">
      <c r="A37" s="55"/>
      <c r="B37" s="193"/>
      <c r="C37" s="194"/>
      <c r="D37" s="55"/>
      <c r="E37" s="145"/>
      <c r="F37" s="55"/>
      <c r="G37" s="146"/>
      <c r="H37" s="146"/>
      <c r="I37" s="55"/>
      <c r="J37" s="146"/>
      <c r="K37" s="147"/>
      <c r="L37" s="55"/>
      <c r="M37" s="146"/>
      <c r="N37" s="55"/>
    </row>
    <row r="38" spans="1:14">
      <c r="A38" s="56"/>
      <c r="B38" s="193"/>
      <c r="C38" s="194"/>
      <c r="D38" s="56"/>
      <c r="E38" s="145"/>
      <c r="F38" s="56"/>
      <c r="G38" s="146"/>
      <c r="H38" s="146"/>
      <c r="I38" s="56"/>
      <c r="J38" s="146"/>
      <c r="K38" s="147"/>
      <c r="L38" s="56"/>
      <c r="M38" s="146"/>
      <c r="N38" s="56"/>
    </row>
    <row r="39" spans="1:14">
      <c r="A39" s="56"/>
      <c r="B39" s="195"/>
      <c r="C39" s="196"/>
      <c r="D39" s="56"/>
      <c r="E39" s="145"/>
      <c r="F39" s="56"/>
      <c r="G39" s="146"/>
      <c r="H39" s="146"/>
      <c r="I39" s="56"/>
      <c r="J39" s="146"/>
      <c r="K39" s="147"/>
      <c r="L39" s="56"/>
      <c r="M39" s="146"/>
      <c r="N39" s="56"/>
    </row>
    <row r="40" spans="1:14" s="57" customFormat="1" ht="15">
      <c r="B40" s="189" t="s">
        <v>240</v>
      </c>
      <c r="C40" s="190"/>
      <c r="E40" s="174"/>
      <c r="G40" s="197">
        <f>SUM(G27:G39)</f>
        <v>0</v>
      </c>
      <c r="H40" s="197">
        <f>SUM(H27:H38)</f>
        <v>0</v>
      </c>
      <c r="J40" s="197">
        <f>SUM(J27:J38)</f>
        <v>0</v>
      </c>
      <c r="K40" s="198"/>
      <c r="M40" s="197"/>
    </row>
    <row r="41" spans="1:14">
      <c r="A41" s="56"/>
      <c r="D41" s="56"/>
      <c r="F41" s="56"/>
      <c r="I41" s="56"/>
      <c r="L41" s="56"/>
      <c r="N41" s="56"/>
    </row>
    <row r="44" spans="1:14"/>
    <row r="45" spans="1:14"/>
    <row r="46" spans="1:14"/>
    <row r="47" spans="1:14"/>
    <row r="48" spans="1:14"/>
    <row r="49"/>
    <row r="50"/>
    <row r="51"/>
    <row r="52"/>
    <row r="53"/>
  </sheetData>
  <mergeCells count="7">
    <mergeCell ref="B12:M12"/>
    <mergeCell ref="M25:M26"/>
    <mergeCell ref="B25:C26"/>
    <mergeCell ref="E25:E26"/>
    <mergeCell ref="B15:M15"/>
    <mergeCell ref="B14:M14"/>
    <mergeCell ref="B16:M17"/>
  </mergeCells>
  <printOptions horizontalCentered="1"/>
  <pageMargins left="0.25" right="0.25" top="0.75" bottom="0.75" header="0.3" footer="0.3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Y46"/>
  <sheetViews>
    <sheetView showGridLines="0" topLeftCell="D26" zoomScale="90" zoomScaleNormal="90" zoomScaleSheetLayoutView="100" workbookViewId="0">
      <selection activeCell="T26" sqref="T26"/>
    </sheetView>
  </sheetViews>
  <sheetFormatPr defaultColWidth="10.28515625" defaultRowHeight="13.5"/>
  <cols>
    <col min="1" max="1" width="1" style="56" customWidth="1"/>
    <col min="2" max="2" width="11.28515625" style="56" customWidth="1"/>
    <col min="3" max="3" width="26.7109375" style="115" customWidth="1"/>
    <col min="4" max="4" width="1.42578125" style="115" customWidth="1"/>
    <col min="5" max="5" width="11.5703125" style="115" customWidth="1"/>
    <col min="6" max="6" width="1.42578125" style="115" customWidth="1"/>
    <col min="7" max="7" width="14.7109375" style="116" bestFit="1" customWidth="1"/>
    <col min="8" max="15" width="14.5703125" style="116" customWidth="1"/>
    <col min="16" max="16" width="0.5703125" style="116" customWidth="1"/>
    <col min="17" max="18" width="14.5703125" style="116" customWidth="1"/>
    <col min="19" max="19" width="1" style="116" customWidth="1"/>
    <col min="20" max="20" width="15.5703125" style="116" customWidth="1"/>
    <col min="21" max="21" width="1" style="56" customWidth="1"/>
    <col min="22" max="16384" width="10.28515625" style="56"/>
  </cols>
  <sheetData>
    <row r="1" spans="2:20" ht="15">
      <c r="B1" s="21" t="str">
        <f>Index!B1</f>
        <v>ABC &amp; Co.</v>
      </c>
      <c r="I1" s="117"/>
      <c r="T1" s="118" t="str">
        <f>Index!F16</f>
        <v>B.S.01 - 3</v>
      </c>
    </row>
    <row r="2" spans="2:20" ht="15">
      <c r="B2" s="22" t="str">
        <f>Index!B2</f>
        <v>(Chartered Accountants)</v>
      </c>
      <c r="I2" s="119"/>
      <c r="N2" s="117"/>
    </row>
    <row r="3" spans="2:20" ht="15">
      <c r="B3" s="120"/>
      <c r="I3" s="119"/>
      <c r="J3" s="117"/>
    </row>
    <row r="4" spans="2:20" s="22" customFormat="1" ht="15">
      <c r="B4" s="8" t="s">
        <v>0</v>
      </c>
      <c r="C4" s="9" t="str">
        <f>Index!D4</f>
        <v>ABC Limited</v>
      </c>
      <c r="D4" s="9"/>
      <c r="E4" s="9"/>
      <c r="F4" s="9"/>
      <c r="G4" s="10"/>
      <c r="H4" s="92"/>
      <c r="I4" s="92"/>
      <c r="J4" s="92"/>
      <c r="K4" s="92"/>
      <c r="L4" s="92"/>
      <c r="M4" s="92"/>
      <c r="N4" s="92"/>
      <c r="O4" s="92"/>
      <c r="P4" s="92"/>
      <c r="R4" s="29" t="str">
        <f>Index!$H$4</f>
        <v>Prepared by:</v>
      </c>
      <c r="S4" s="91"/>
      <c r="T4" s="172" t="str">
        <f>IF(Index!$J$4="","",Index!$J$4)</f>
        <v/>
      </c>
    </row>
    <row r="5" spans="2:20" s="22" customFormat="1" ht="15">
      <c r="B5" s="8" t="s">
        <v>1</v>
      </c>
      <c r="C5" s="9" t="str">
        <f>Index!D5</f>
        <v>Year ended June 30, 2023</v>
      </c>
      <c r="D5" s="9"/>
      <c r="E5" s="9"/>
      <c r="F5" s="9"/>
      <c r="G5" s="11"/>
      <c r="H5" s="92"/>
      <c r="I5" s="92"/>
      <c r="J5" s="92"/>
      <c r="K5" s="92"/>
      <c r="L5" s="92"/>
      <c r="M5" s="92"/>
      <c r="N5" s="92"/>
      <c r="O5" s="92"/>
      <c r="P5" s="92"/>
      <c r="R5" s="29" t="str">
        <f>Index!$H$5</f>
        <v>Date prepared:</v>
      </c>
      <c r="S5" s="92"/>
      <c r="T5" s="173" t="str">
        <f>IF(Index!$J$5="","",Index!$J$5)</f>
        <v/>
      </c>
    </row>
    <row r="6" spans="2:20" s="22" customFormat="1" ht="15">
      <c r="B6" s="8" t="s">
        <v>2</v>
      </c>
      <c r="C6" s="9" t="str">
        <f>Index!D6</f>
        <v>Property, plant and equipment</v>
      </c>
      <c r="D6" s="9"/>
      <c r="E6" s="9"/>
      <c r="F6" s="9"/>
      <c r="G6" s="121"/>
      <c r="H6" s="92"/>
      <c r="I6" s="92"/>
      <c r="J6" s="92"/>
      <c r="K6" s="92"/>
      <c r="L6" s="92"/>
      <c r="M6" s="92"/>
      <c r="N6" s="92"/>
      <c r="O6" s="92"/>
      <c r="P6" s="92"/>
      <c r="R6" s="29" t="str">
        <f>Index!$H$6</f>
        <v>Reviewed by:</v>
      </c>
      <c r="S6" s="91"/>
      <c r="T6" s="172" t="str">
        <f>IF(Index!$J$6="","",Index!$J$6)</f>
        <v/>
      </c>
    </row>
    <row r="7" spans="2:20" s="22" customFormat="1" ht="15">
      <c r="B7" s="8" t="s">
        <v>67</v>
      </c>
      <c r="C7" s="9" t="str">
        <f>Lead!B29</f>
        <v>Operating fixed assets</v>
      </c>
      <c r="D7" s="9"/>
      <c r="E7" s="9"/>
      <c r="F7" s="9"/>
      <c r="G7" s="11"/>
      <c r="H7" s="92"/>
      <c r="I7" s="92"/>
      <c r="J7" s="92"/>
      <c r="K7" s="92"/>
      <c r="L7" s="92"/>
      <c r="M7" s="92"/>
      <c r="N7" s="92"/>
      <c r="O7" s="92"/>
      <c r="P7" s="92"/>
      <c r="R7" s="29" t="str">
        <f>Index!$H$7</f>
        <v>Date reviewed:</v>
      </c>
      <c r="S7" s="92"/>
      <c r="T7" s="173" t="str">
        <f>IF(Index!$J$7="","",Index!$J$7)</f>
        <v/>
      </c>
    </row>
    <row r="8" spans="2:20" s="22" customFormat="1" ht="15">
      <c r="B8" s="122"/>
      <c r="C8" s="9"/>
      <c r="D8" s="9"/>
      <c r="E8" s="9"/>
      <c r="F8" s="9"/>
      <c r="G8" s="11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</row>
    <row r="9" spans="2:20" ht="15" customHeight="1">
      <c r="B9" s="57" t="s">
        <v>29</v>
      </c>
      <c r="C9" s="186"/>
      <c r="D9" s="186"/>
      <c r="E9" s="186"/>
      <c r="F9" s="186"/>
      <c r="G9" s="186"/>
      <c r="H9" s="186"/>
      <c r="I9" s="186"/>
      <c r="J9" s="186"/>
      <c r="K9" s="158"/>
      <c r="L9" s="158"/>
      <c r="M9" s="158"/>
      <c r="N9" s="158"/>
      <c r="O9" s="158"/>
      <c r="P9" s="158"/>
      <c r="Q9" s="158"/>
      <c r="R9" s="158"/>
      <c r="S9" s="158"/>
      <c r="T9" s="158"/>
    </row>
    <row r="10" spans="2:20" ht="15" customHeight="1">
      <c r="B10" s="186"/>
      <c r="C10" s="186"/>
      <c r="D10" s="186"/>
      <c r="E10" s="186"/>
      <c r="F10" s="186"/>
      <c r="G10" s="186"/>
      <c r="H10" s="186"/>
      <c r="I10" s="186"/>
      <c r="J10" s="186"/>
      <c r="K10" s="158"/>
      <c r="L10" s="158"/>
      <c r="M10" s="158"/>
      <c r="N10" s="158"/>
      <c r="O10" s="158"/>
      <c r="P10" s="158"/>
      <c r="Q10" s="158"/>
      <c r="R10" s="158"/>
      <c r="S10" s="158"/>
      <c r="T10" s="158"/>
    </row>
    <row r="11" spans="2:20" ht="15">
      <c r="B11" s="57" t="s">
        <v>32</v>
      </c>
      <c r="C11" s="41"/>
      <c r="D11" s="41"/>
      <c r="E11" s="41"/>
      <c r="F11" s="41"/>
    </row>
    <row r="12" spans="2:20" ht="15">
      <c r="B12" s="123" t="s">
        <v>31</v>
      </c>
      <c r="C12" s="41"/>
      <c r="D12" s="41"/>
      <c r="E12" s="41"/>
      <c r="F12" s="41"/>
    </row>
    <row r="13" spans="2:20">
      <c r="B13" s="124" t="s">
        <v>33</v>
      </c>
      <c r="C13" s="56"/>
      <c r="D13" s="56"/>
      <c r="E13" s="56"/>
      <c r="F13" s="56"/>
      <c r="O13" s="12"/>
      <c r="P13" s="12"/>
      <c r="Q13" s="12"/>
      <c r="R13" s="12"/>
      <c r="S13" s="12"/>
      <c r="T13" s="12"/>
    </row>
    <row r="14" spans="2:20">
      <c r="B14" s="124" t="s">
        <v>34</v>
      </c>
      <c r="C14" s="56"/>
      <c r="D14" s="56"/>
      <c r="E14" s="56"/>
      <c r="F14" s="56"/>
      <c r="O14" s="12"/>
      <c r="P14" s="12"/>
      <c r="Q14" s="12"/>
      <c r="R14" s="12"/>
      <c r="S14" s="12"/>
      <c r="T14" s="12"/>
    </row>
    <row r="15" spans="2:20">
      <c r="B15" s="125" t="s">
        <v>71</v>
      </c>
      <c r="C15" s="126"/>
      <c r="D15" s="126"/>
      <c r="E15" s="126"/>
      <c r="F15" s="126"/>
      <c r="G15" s="127"/>
      <c r="H15" s="127"/>
      <c r="I15" s="127"/>
      <c r="J15" s="127"/>
      <c r="K15" s="127"/>
      <c r="L15" s="127"/>
      <c r="O15" s="12"/>
      <c r="P15" s="12"/>
      <c r="Q15" s="12"/>
      <c r="R15" s="12"/>
      <c r="S15" s="12"/>
      <c r="T15" s="12"/>
    </row>
    <row r="16" spans="2:20">
      <c r="B16" s="125"/>
      <c r="C16" s="126"/>
      <c r="D16" s="126"/>
      <c r="E16" s="126"/>
      <c r="F16" s="126"/>
      <c r="G16" s="127"/>
      <c r="H16" s="127"/>
      <c r="I16" s="127"/>
      <c r="J16" s="127"/>
      <c r="K16" s="127"/>
      <c r="L16" s="127"/>
      <c r="O16" s="12"/>
      <c r="P16" s="12"/>
      <c r="Q16" s="12"/>
      <c r="R16" s="12"/>
      <c r="S16" s="12"/>
      <c r="T16" s="12"/>
    </row>
    <row r="17" spans="2:25" ht="15">
      <c r="B17" s="128" t="s">
        <v>141</v>
      </c>
      <c r="C17" s="126"/>
      <c r="D17" s="126"/>
      <c r="E17" s="126"/>
      <c r="F17" s="126"/>
      <c r="G17" s="127"/>
      <c r="H17" s="127"/>
      <c r="I17" s="127"/>
      <c r="J17" s="127"/>
      <c r="K17" s="127"/>
      <c r="L17" s="127"/>
      <c r="O17" s="12"/>
      <c r="P17" s="12"/>
      <c r="Q17" s="12"/>
      <c r="R17" s="12"/>
      <c r="S17" s="12"/>
      <c r="T17" s="12"/>
    </row>
    <row r="18" spans="2:25">
      <c r="B18" s="125" t="s">
        <v>169</v>
      </c>
      <c r="C18" s="126"/>
      <c r="D18" s="126"/>
      <c r="E18" s="126"/>
      <c r="F18" s="126"/>
      <c r="G18" s="127"/>
      <c r="H18" s="127"/>
      <c r="I18" s="127"/>
      <c r="J18" s="127"/>
      <c r="K18" s="127"/>
      <c r="L18" s="127"/>
      <c r="O18" s="12"/>
      <c r="P18" s="12"/>
      <c r="Q18" s="12"/>
      <c r="R18" s="12"/>
      <c r="S18" s="12"/>
      <c r="T18" s="12"/>
    </row>
    <row r="19" spans="2:25">
      <c r="B19" s="125" t="s">
        <v>163</v>
      </c>
      <c r="C19" s="129"/>
      <c r="D19" s="129"/>
      <c r="E19" s="129"/>
      <c r="F19" s="129"/>
      <c r="G19" s="129"/>
      <c r="H19" s="129"/>
      <c r="I19" s="129"/>
      <c r="J19" s="129"/>
      <c r="K19" s="129"/>
      <c r="L19" s="56"/>
      <c r="M19" s="56"/>
      <c r="N19" s="56"/>
      <c r="O19" s="56"/>
      <c r="P19" s="56"/>
      <c r="Q19" s="56"/>
      <c r="R19" s="56"/>
      <c r="S19" s="56"/>
      <c r="T19" s="56"/>
    </row>
    <row r="20" spans="2:25">
      <c r="B20" s="125" t="s">
        <v>143</v>
      </c>
      <c r="C20" s="129"/>
      <c r="D20" s="129"/>
      <c r="E20" s="129"/>
      <c r="F20" s="129"/>
      <c r="G20" s="129"/>
      <c r="H20" s="129"/>
      <c r="I20" s="129"/>
      <c r="J20" s="129"/>
      <c r="K20" s="129"/>
      <c r="L20" s="56"/>
      <c r="M20" s="56"/>
      <c r="N20" s="56"/>
      <c r="O20" s="56"/>
      <c r="P20" s="56"/>
      <c r="Q20" s="56"/>
      <c r="R20" s="56"/>
      <c r="S20" s="56"/>
      <c r="T20" s="56"/>
    </row>
    <row r="21" spans="2:25">
      <c r="B21" s="125"/>
      <c r="C21" s="129"/>
      <c r="D21" s="129"/>
      <c r="E21" s="129"/>
      <c r="F21" s="129"/>
      <c r="G21" s="129"/>
      <c r="H21" s="129"/>
      <c r="I21" s="129"/>
      <c r="J21" s="129"/>
      <c r="K21" s="129"/>
      <c r="L21" s="56"/>
      <c r="M21" s="56"/>
      <c r="N21" s="56"/>
      <c r="O21" s="56"/>
      <c r="P21" s="56"/>
      <c r="Q21" s="56"/>
      <c r="R21" s="56"/>
      <c r="S21" s="56"/>
      <c r="T21" s="56"/>
    </row>
    <row r="22" spans="2:25" s="59" customFormat="1" ht="15">
      <c r="B22" s="97" t="s">
        <v>232</v>
      </c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 spans="2:25" s="59" customFormat="1">
      <c r="B23" s="93" t="s">
        <v>233</v>
      </c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 spans="2:25" s="59" customFormat="1">
      <c r="B24" s="93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 spans="2:25" s="59" customFormat="1" ht="15">
      <c r="B25" s="97" t="s">
        <v>62</v>
      </c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 spans="2:25" s="59" customFormat="1">
      <c r="B26" s="93" t="s">
        <v>61</v>
      </c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8" spans="2:25" s="131" customFormat="1" ht="15">
      <c r="B28" s="130"/>
      <c r="C28" s="130"/>
      <c r="D28" s="130"/>
      <c r="E28" s="130"/>
      <c r="F28" s="130"/>
      <c r="G28" s="249" t="s">
        <v>28</v>
      </c>
      <c r="H28" s="249"/>
      <c r="I28" s="249"/>
      <c r="J28" s="249"/>
      <c r="K28" s="249"/>
      <c r="L28" s="249"/>
      <c r="M28" s="249"/>
      <c r="N28" s="249"/>
      <c r="O28" s="249"/>
      <c r="P28" s="116"/>
      <c r="Q28" s="249" t="s">
        <v>22</v>
      </c>
      <c r="R28" s="249"/>
      <c r="S28" s="116"/>
      <c r="T28" s="249" t="s">
        <v>116</v>
      </c>
    </row>
    <row r="29" spans="2:25" s="131" customFormat="1" ht="30">
      <c r="B29" s="247"/>
      <c r="C29" s="247"/>
      <c r="D29" s="130"/>
      <c r="E29" s="202" t="s">
        <v>55</v>
      </c>
      <c r="F29" s="130"/>
      <c r="G29" s="87" t="s">
        <v>27</v>
      </c>
      <c r="H29" s="87" t="s">
        <v>118</v>
      </c>
      <c r="I29" s="87" t="s">
        <v>26</v>
      </c>
      <c r="J29" s="87" t="s">
        <v>25</v>
      </c>
      <c r="K29" s="87" t="s">
        <v>68</v>
      </c>
      <c r="L29" s="87" t="s">
        <v>24</v>
      </c>
      <c r="M29" s="87" t="s">
        <v>69</v>
      </c>
      <c r="N29" s="87" t="s">
        <v>70</v>
      </c>
      <c r="O29" s="87" t="s">
        <v>23</v>
      </c>
      <c r="P29" s="116"/>
      <c r="Q29" s="87" t="s">
        <v>26</v>
      </c>
      <c r="R29" s="87" t="s">
        <v>23</v>
      </c>
      <c r="S29" s="116"/>
      <c r="T29" s="249"/>
    </row>
    <row r="30" spans="2:25" s="131" customFormat="1" ht="15">
      <c r="B30" s="130"/>
      <c r="C30" s="130"/>
      <c r="D30" s="130"/>
      <c r="E30" s="130"/>
      <c r="F30" s="130"/>
      <c r="G30" s="250" t="s">
        <v>117</v>
      </c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</row>
    <row r="31" spans="2:25" s="131" customFormat="1" ht="15">
      <c r="B31" s="130"/>
      <c r="C31" s="130"/>
      <c r="D31" s="130"/>
      <c r="E31" s="130"/>
      <c r="F31" s="130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</row>
    <row r="32" spans="2:25" s="131" customFormat="1" ht="38.25" customHeight="1">
      <c r="B32" s="248" t="s">
        <v>43</v>
      </c>
      <c r="C32" s="132" t="s">
        <v>119</v>
      </c>
      <c r="D32" s="133"/>
      <c r="E32" s="204" t="str">
        <f>'Depreciation-Working'!Q1</f>
        <v>B.S.01 - 8</v>
      </c>
      <c r="F32" s="133"/>
      <c r="G32" s="13"/>
      <c r="H32" s="13"/>
      <c r="I32" s="13"/>
      <c r="J32" s="13"/>
      <c r="K32" s="13"/>
      <c r="L32" s="13"/>
      <c r="M32" s="13"/>
      <c r="N32" s="13"/>
      <c r="O32" s="13"/>
      <c r="P32" s="199"/>
      <c r="Q32" s="13"/>
      <c r="R32" s="13"/>
      <c r="S32" s="199"/>
      <c r="T32" s="13">
        <f>SUM(G32:R32)</f>
        <v>0</v>
      </c>
    </row>
    <row r="33" spans="2:20" s="131" customFormat="1" ht="38.25" customHeight="1">
      <c r="B33" s="248"/>
      <c r="C33" s="132" t="s">
        <v>120</v>
      </c>
      <c r="D33" s="133"/>
      <c r="E33" s="204" t="str">
        <f>'Additions-Vouching'!AA1</f>
        <v>B.S.01 - 6</v>
      </c>
      <c r="F33" s="133"/>
      <c r="G33" s="13"/>
      <c r="H33" s="13"/>
      <c r="I33" s="13"/>
      <c r="J33" s="13"/>
      <c r="K33" s="13"/>
      <c r="L33" s="13"/>
      <c r="M33" s="13"/>
      <c r="N33" s="13"/>
      <c r="O33" s="13"/>
      <c r="P33" s="199"/>
      <c r="Q33" s="13"/>
      <c r="R33" s="13"/>
      <c r="S33" s="200"/>
      <c r="T33" s="13">
        <f t="shared" ref="T33:T40" si="0">SUM(G33:R33)</f>
        <v>0</v>
      </c>
    </row>
    <row r="34" spans="2:20" s="131" customFormat="1" ht="38.25" customHeight="1">
      <c r="B34" s="248"/>
      <c r="C34" s="132" t="s">
        <v>121</v>
      </c>
      <c r="D34" s="133"/>
      <c r="E34" s="204" t="str">
        <f>'Disposals-Vouching'!V1</f>
        <v>B.S.01 - 7</v>
      </c>
      <c r="F34" s="133"/>
      <c r="G34" s="13"/>
      <c r="H34" s="13"/>
      <c r="I34" s="13"/>
      <c r="J34" s="13"/>
      <c r="K34" s="13"/>
      <c r="L34" s="13"/>
      <c r="M34" s="13"/>
      <c r="N34" s="13"/>
      <c r="O34" s="13"/>
      <c r="P34" s="199"/>
      <c r="Q34" s="13"/>
      <c r="R34" s="13"/>
      <c r="S34" s="200"/>
      <c r="T34" s="13">
        <f t="shared" si="0"/>
        <v>0</v>
      </c>
    </row>
    <row r="35" spans="2:20" s="131" customFormat="1" ht="38.25" customHeight="1">
      <c r="B35" s="248"/>
      <c r="C35" s="132" t="s">
        <v>123</v>
      </c>
      <c r="D35" s="133"/>
      <c r="E35" s="204" t="str">
        <f>E32</f>
        <v>B.S.01 - 8</v>
      </c>
      <c r="F35" s="133"/>
      <c r="G35" s="13"/>
      <c r="H35" s="13"/>
      <c r="I35" s="13"/>
      <c r="J35" s="13"/>
      <c r="K35" s="13"/>
      <c r="L35" s="13"/>
      <c r="M35" s="13"/>
      <c r="N35" s="13"/>
      <c r="O35" s="13"/>
      <c r="P35" s="199"/>
      <c r="Q35" s="13"/>
      <c r="R35" s="13"/>
      <c r="S35" s="200"/>
      <c r="T35" s="13">
        <f t="shared" si="0"/>
        <v>0</v>
      </c>
    </row>
    <row r="36" spans="2:20" s="131" customFormat="1" ht="15">
      <c r="B36" s="205"/>
      <c r="C36" s="133"/>
      <c r="D36" s="133"/>
      <c r="E36" s="133"/>
      <c r="F36" s="133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5"/>
      <c r="T36" s="14"/>
    </row>
    <row r="37" spans="2:20" s="131" customFormat="1" ht="54" customHeight="1">
      <c r="B37" s="248" t="s">
        <v>13</v>
      </c>
      <c r="C37" s="132" t="s">
        <v>119</v>
      </c>
      <c r="D37" s="133"/>
      <c r="E37" s="204" t="str">
        <f>E32</f>
        <v>B.S.01 - 8</v>
      </c>
      <c r="F37" s="133"/>
      <c r="G37" s="13"/>
      <c r="H37" s="13"/>
      <c r="I37" s="13"/>
      <c r="J37" s="13"/>
      <c r="K37" s="13"/>
      <c r="L37" s="13"/>
      <c r="M37" s="13"/>
      <c r="N37" s="13"/>
      <c r="O37" s="13"/>
      <c r="P37" s="199"/>
      <c r="Q37" s="13"/>
      <c r="R37" s="13"/>
      <c r="S37" s="200"/>
      <c r="T37" s="13">
        <f t="shared" si="0"/>
        <v>0</v>
      </c>
    </row>
    <row r="38" spans="2:20" s="131" customFormat="1" ht="54" customHeight="1">
      <c r="B38" s="248"/>
      <c r="C38" s="132" t="s">
        <v>122</v>
      </c>
      <c r="D38" s="133"/>
      <c r="E38" s="204" t="str">
        <f>E37</f>
        <v>B.S.01 - 8</v>
      </c>
      <c r="F38" s="133"/>
      <c r="G38" s="13"/>
      <c r="H38" s="13"/>
      <c r="I38" s="13"/>
      <c r="J38" s="13"/>
      <c r="K38" s="13"/>
      <c r="L38" s="13"/>
      <c r="M38" s="13"/>
      <c r="N38" s="13"/>
      <c r="O38" s="13"/>
      <c r="P38" s="199"/>
      <c r="Q38" s="13"/>
      <c r="R38" s="13"/>
      <c r="S38" s="200"/>
      <c r="T38" s="13">
        <f t="shared" si="0"/>
        <v>0</v>
      </c>
    </row>
    <row r="39" spans="2:20" s="131" customFormat="1" ht="54" customHeight="1">
      <c r="B39" s="248"/>
      <c r="C39" s="132" t="s">
        <v>121</v>
      </c>
      <c r="D39" s="133"/>
      <c r="E39" s="204" t="str">
        <f>'Disposals-Vouching'!V1</f>
        <v>B.S.01 - 7</v>
      </c>
      <c r="F39" s="133"/>
      <c r="G39" s="13"/>
      <c r="H39" s="13"/>
      <c r="I39" s="13"/>
      <c r="J39" s="13"/>
      <c r="K39" s="13"/>
      <c r="L39" s="13"/>
      <c r="M39" s="13"/>
      <c r="N39" s="13"/>
      <c r="O39" s="13"/>
      <c r="P39" s="199"/>
      <c r="Q39" s="13"/>
      <c r="R39" s="13"/>
      <c r="S39" s="200"/>
      <c r="T39" s="13">
        <f t="shared" si="0"/>
        <v>0</v>
      </c>
    </row>
    <row r="40" spans="2:20" s="131" customFormat="1" ht="54" customHeight="1">
      <c r="B40" s="248"/>
      <c r="C40" s="132" t="s">
        <v>123</v>
      </c>
      <c r="D40" s="133"/>
      <c r="E40" s="204" t="str">
        <f>E37</f>
        <v>B.S.01 - 8</v>
      </c>
      <c r="F40" s="133"/>
      <c r="G40" s="13"/>
      <c r="H40" s="13"/>
      <c r="I40" s="13"/>
      <c r="J40" s="13"/>
      <c r="K40" s="13"/>
      <c r="L40" s="13"/>
      <c r="M40" s="13"/>
      <c r="N40" s="13"/>
      <c r="O40" s="13"/>
      <c r="P40" s="199"/>
      <c r="Q40" s="13"/>
      <c r="R40" s="13"/>
      <c r="S40" s="200"/>
      <c r="T40" s="13">
        <f t="shared" si="0"/>
        <v>0</v>
      </c>
    </row>
    <row r="41" spans="2:20" s="131" customFormat="1" ht="15">
      <c r="B41" s="134"/>
      <c r="C41" s="133"/>
      <c r="D41" s="133"/>
      <c r="E41" s="133"/>
      <c r="F41" s="133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5"/>
      <c r="T41" s="15"/>
    </row>
    <row r="42" spans="2:20" s="131" customFormat="1" ht="19.5" customHeight="1" thickBot="1">
      <c r="B42" s="245" t="s">
        <v>124</v>
      </c>
      <c r="C42" s="245"/>
      <c r="D42" s="133"/>
      <c r="E42" s="204" t="str">
        <f>'Depreciation-Working'!Q1</f>
        <v>B.S.01 - 8</v>
      </c>
      <c r="F42" s="133"/>
      <c r="G42" s="16">
        <f t="shared" ref="G42:O42" si="1">G32-G37</f>
        <v>0</v>
      </c>
      <c r="H42" s="16">
        <f t="shared" si="1"/>
        <v>0</v>
      </c>
      <c r="I42" s="16">
        <f t="shared" si="1"/>
        <v>0</v>
      </c>
      <c r="J42" s="16">
        <f t="shared" si="1"/>
        <v>0</v>
      </c>
      <c r="K42" s="16">
        <f t="shared" si="1"/>
        <v>0</v>
      </c>
      <c r="L42" s="16">
        <f t="shared" si="1"/>
        <v>0</v>
      </c>
      <c r="M42" s="16">
        <f t="shared" si="1"/>
        <v>0</v>
      </c>
      <c r="N42" s="16">
        <f t="shared" si="1"/>
        <v>0</v>
      </c>
      <c r="O42" s="16">
        <f t="shared" si="1"/>
        <v>0</v>
      </c>
      <c r="P42" s="14"/>
      <c r="Q42" s="16">
        <f>Q32-Q37</f>
        <v>0</v>
      </c>
      <c r="R42" s="16">
        <f>R32-R37</f>
        <v>0</v>
      </c>
      <c r="S42" s="15"/>
      <c r="T42" s="17">
        <f>SUM(G42:R42)</f>
        <v>0</v>
      </c>
    </row>
    <row r="43" spans="2:20" s="131" customFormat="1" ht="15.75" thickTop="1">
      <c r="B43" s="135"/>
      <c r="C43" s="135"/>
      <c r="D43" s="135"/>
      <c r="E43" s="135"/>
      <c r="F43" s="13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5"/>
      <c r="T43" s="15"/>
    </row>
    <row r="44" spans="2:20" s="135" customFormat="1" ht="15.75" thickBot="1">
      <c r="B44" s="245" t="s">
        <v>44</v>
      </c>
      <c r="C44" s="245"/>
      <c r="D44" s="133"/>
      <c r="E44" s="204" t="str">
        <f>E42</f>
        <v>B.S.01 - 8</v>
      </c>
      <c r="F44" s="133"/>
      <c r="G44" s="16">
        <f t="shared" ref="G44:O44" si="2">G35-G40</f>
        <v>0</v>
      </c>
      <c r="H44" s="16">
        <f t="shared" si="2"/>
        <v>0</v>
      </c>
      <c r="I44" s="16">
        <f t="shared" si="2"/>
        <v>0</v>
      </c>
      <c r="J44" s="16">
        <f t="shared" si="2"/>
        <v>0</v>
      </c>
      <c r="K44" s="16">
        <f t="shared" si="2"/>
        <v>0</v>
      </c>
      <c r="L44" s="16">
        <f t="shared" si="2"/>
        <v>0</v>
      </c>
      <c r="M44" s="16">
        <f t="shared" si="2"/>
        <v>0</v>
      </c>
      <c r="N44" s="16">
        <f t="shared" si="2"/>
        <v>0</v>
      </c>
      <c r="O44" s="16">
        <f t="shared" si="2"/>
        <v>0</v>
      </c>
      <c r="P44" s="14"/>
      <c r="Q44" s="16">
        <f>Q35-Q40</f>
        <v>0</v>
      </c>
      <c r="R44" s="16">
        <f>R35-R40</f>
        <v>0</v>
      </c>
      <c r="S44" s="15"/>
      <c r="T44" s="17">
        <f>SUM(G44:R44)</f>
        <v>0</v>
      </c>
    </row>
    <row r="45" spans="2:20" s="135" customFormat="1" ht="15.75" thickTop="1">
      <c r="B45" s="246"/>
      <c r="C45" s="246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9"/>
      <c r="T45" s="19"/>
    </row>
    <row r="46" spans="2:20" ht="15">
      <c r="T46" s="204" t="str">
        <f>Lead!M1</f>
        <v>B.S.01 - 2</v>
      </c>
    </row>
  </sheetData>
  <mergeCells count="10">
    <mergeCell ref="G28:O28"/>
    <mergeCell ref="Q28:R28"/>
    <mergeCell ref="T28:T29"/>
    <mergeCell ref="G30:T30"/>
    <mergeCell ref="B32:B35"/>
    <mergeCell ref="B44:C44"/>
    <mergeCell ref="B45:C45"/>
    <mergeCell ref="B29:C29"/>
    <mergeCell ref="B37:B40"/>
    <mergeCell ref="B42:C42"/>
  </mergeCells>
  <printOptions horizontalCentered="1"/>
  <pageMargins left="0.25" right="0.25" top="0.75" bottom="0.75" header="0.3" footer="0.3"/>
  <pageSetup scale="5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247"/>
  <sheetViews>
    <sheetView showGridLines="0" topLeftCell="K1" zoomScale="90" zoomScaleNormal="90" zoomScaleSheetLayoutView="100" workbookViewId="0">
      <selection activeCell="V17" sqref="V17"/>
    </sheetView>
  </sheetViews>
  <sheetFormatPr defaultColWidth="0" defaultRowHeight="13.5"/>
  <cols>
    <col min="1" max="1" width="1" style="59" customWidth="1"/>
    <col min="2" max="2" width="12.42578125" style="59" customWidth="1"/>
    <col min="3" max="3" width="14" style="59" customWidth="1"/>
    <col min="4" max="4" width="40.42578125" style="59" customWidth="1"/>
    <col min="5" max="5" width="15.7109375" style="59" customWidth="1"/>
    <col min="6" max="7" width="15.5703125" style="59" customWidth="1"/>
    <col min="8" max="11" width="15.7109375" style="59" customWidth="1"/>
    <col min="12" max="13" width="15.28515625" style="60" customWidth="1"/>
    <col min="14" max="17" width="16.140625" style="60" customWidth="1"/>
    <col min="18" max="19" width="13.5703125" style="60" customWidth="1"/>
    <col min="20" max="20" width="12.42578125" style="60" customWidth="1"/>
    <col min="21" max="21" width="18.28515625" style="60" customWidth="1"/>
    <col min="22" max="22" width="16.7109375" style="60" customWidth="1"/>
    <col min="23" max="23" width="16.42578125" style="60" customWidth="1"/>
    <col min="24" max="24" width="0.85546875" style="59" customWidth="1"/>
    <col min="25" max="34" width="9.140625" style="59" hidden="1" customWidth="1"/>
    <col min="35" max="73" width="0" style="59" hidden="1" customWidth="1"/>
    <col min="74" max="16384" width="9.140625" style="59" hidden="1"/>
  </cols>
  <sheetData>
    <row r="1" spans="2:23" ht="15">
      <c r="B1" s="58" t="str">
        <f>Index!B1</f>
        <v>ABC &amp; Co.</v>
      </c>
      <c r="U1" s="116"/>
      <c r="V1" s="116"/>
      <c r="W1" s="118" t="str">
        <f>Index!F18</f>
        <v>B.S.01 - 4</v>
      </c>
    </row>
    <row r="2" spans="2:23">
      <c r="B2" s="59" t="str">
        <f>Index!B2</f>
        <v>(Chartered Accountants)</v>
      </c>
      <c r="U2" s="116"/>
      <c r="V2" s="116"/>
      <c r="W2" s="116"/>
    </row>
    <row r="3" spans="2:23" ht="15">
      <c r="B3" s="58"/>
      <c r="U3" s="116"/>
      <c r="V3" s="116"/>
      <c r="W3" s="116"/>
    </row>
    <row r="4" spans="2:23" ht="15">
      <c r="B4" s="58" t="s">
        <v>0</v>
      </c>
      <c r="C4" s="58" t="str">
        <f>Index!D4</f>
        <v>ABC Limited</v>
      </c>
      <c r="D4" s="58"/>
      <c r="E4" s="58"/>
      <c r="V4" s="29" t="str">
        <f>Index!$H$4</f>
        <v>Prepared by:</v>
      </c>
      <c r="W4" s="172" t="s">
        <v>230</v>
      </c>
    </row>
    <row r="5" spans="2:23" ht="15" customHeight="1">
      <c r="B5" s="58" t="s">
        <v>1</v>
      </c>
      <c r="C5" s="58" t="str">
        <f>Index!D5</f>
        <v>Year ended June 30, 2023</v>
      </c>
      <c r="D5" s="58"/>
      <c r="E5" s="58"/>
      <c r="V5" s="29" t="str">
        <f>Index!$H$5</f>
        <v>Date prepared:</v>
      </c>
      <c r="W5" s="173" t="str">
        <f>IF(Index!$J$5="","",Index!$J$5)</f>
        <v/>
      </c>
    </row>
    <row r="6" spans="2:23" ht="15">
      <c r="B6" s="58" t="s">
        <v>2</v>
      </c>
      <c r="C6" s="58" t="str">
        <f>Index!D6</f>
        <v>Property, plant and equipment</v>
      </c>
      <c r="D6" s="58"/>
      <c r="E6" s="58"/>
      <c r="V6" s="29" t="str">
        <f>Index!$H$6</f>
        <v>Reviewed by:</v>
      </c>
      <c r="W6" s="172" t="s">
        <v>231</v>
      </c>
    </row>
    <row r="7" spans="2:23" ht="15">
      <c r="B7" s="58"/>
      <c r="C7" s="58"/>
      <c r="D7" s="58"/>
      <c r="E7" s="58"/>
      <c r="V7" s="29" t="str">
        <f>Index!$H$7</f>
        <v>Date reviewed:</v>
      </c>
      <c r="W7" s="173" t="str">
        <f>IF(Index!$J$7="","",Index!$J$7)</f>
        <v/>
      </c>
    </row>
    <row r="8" spans="2:23" ht="15">
      <c r="B8" s="58" t="s">
        <v>170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spans="2:23" ht="15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</row>
    <row r="10" spans="2:23" ht="15" customHeight="1">
      <c r="B10" s="97" t="s">
        <v>32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 spans="2:23" ht="15" customHeight="1">
      <c r="B11" s="98" t="s">
        <v>198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 spans="2:23" s="99" customFormat="1" ht="15" customHeight="1">
      <c r="B12" s="98" t="s">
        <v>199</v>
      </c>
    </row>
    <row r="13" spans="2:23" s="93" customFormat="1" ht="15" customHeight="1">
      <c r="B13" s="100" t="s">
        <v>182</v>
      </c>
      <c r="D13" s="97"/>
      <c r="E13" s="97"/>
      <c r="F13" s="97"/>
      <c r="G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</row>
    <row r="14" spans="2:23" s="93" customFormat="1" ht="15" customHeight="1">
      <c r="B14" s="100" t="s">
        <v>200</v>
      </c>
      <c r="D14" s="97"/>
      <c r="E14" s="97"/>
      <c r="F14" s="99"/>
      <c r="G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</row>
    <row r="15" spans="2:23" s="93" customFormat="1" ht="15" customHeight="1">
      <c r="B15" s="100" t="s">
        <v>183</v>
      </c>
      <c r="D15" s="97"/>
      <c r="E15" s="97"/>
      <c r="F15" s="97"/>
      <c r="G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</row>
    <row r="16" spans="2:23" s="93" customFormat="1" ht="15" customHeight="1">
      <c r="B16" s="100" t="s">
        <v>184</v>
      </c>
      <c r="D16" s="97"/>
      <c r="E16" s="97"/>
      <c r="F16" s="97"/>
      <c r="G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</row>
    <row r="17" spans="2:23" s="93" customFormat="1" ht="15" customHeight="1">
      <c r="B17" s="100" t="s">
        <v>185</v>
      </c>
      <c r="D17" s="97"/>
      <c r="E17" s="97"/>
      <c r="F17" s="97"/>
      <c r="G17" s="99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</row>
    <row r="18" spans="2:23" s="93" customFormat="1" ht="15" customHeight="1">
      <c r="B18" s="101" t="s">
        <v>201</v>
      </c>
      <c r="D18" s="97"/>
      <c r="E18" s="97"/>
      <c r="F18" s="97"/>
      <c r="G18" s="99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</row>
    <row r="19" spans="2:23" s="93" customFormat="1" ht="15" customHeight="1">
      <c r="B19" s="102" t="s">
        <v>180</v>
      </c>
      <c r="D19" s="97"/>
      <c r="E19" s="97"/>
      <c r="F19" s="97"/>
      <c r="G19" s="99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</row>
    <row r="20" spans="2:23" s="93" customFormat="1" ht="15" customHeight="1">
      <c r="B20" s="100" t="s">
        <v>179</v>
      </c>
      <c r="D20" s="97"/>
      <c r="E20" s="97"/>
      <c r="F20" s="97"/>
      <c r="G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</row>
    <row r="21" spans="2:23" s="93" customFormat="1" ht="15" customHeight="1">
      <c r="B21" s="100" t="s">
        <v>186</v>
      </c>
      <c r="D21" s="97"/>
      <c r="E21" s="97"/>
      <c r="F21" s="97"/>
      <c r="G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</row>
    <row r="22" spans="2:23" s="93" customFormat="1" ht="15" customHeight="1">
      <c r="B22" s="101" t="s">
        <v>202</v>
      </c>
      <c r="D22" s="97"/>
      <c r="E22" s="97"/>
      <c r="F22" s="97"/>
      <c r="G22" s="99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</row>
    <row r="23" spans="2:23" s="93" customFormat="1" ht="15" customHeight="1">
      <c r="B23" s="100" t="s">
        <v>181</v>
      </c>
      <c r="D23" s="97"/>
      <c r="E23" s="97"/>
      <c r="F23" s="97"/>
      <c r="G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</row>
    <row r="24" spans="2:23" s="93" customFormat="1" ht="15" customHeight="1">
      <c r="B24" s="100" t="s">
        <v>203</v>
      </c>
      <c r="D24" s="97"/>
      <c r="E24" s="97"/>
      <c r="F24" s="97"/>
      <c r="G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</row>
    <row r="25" spans="2:23" s="93" customFormat="1" ht="15" customHeight="1">
      <c r="B25" s="101" t="s">
        <v>204</v>
      </c>
      <c r="D25" s="103"/>
      <c r="E25" s="103"/>
      <c r="F25" s="97"/>
      <c r="G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</row>
    <row r="26" spans="2:23" s="93" customFormat="1" ht="15" customHeight="1">
      <c r="B26" s="100" t="s">
        <v>205</v>
      </c>
      <c r="D26" s="103"/>
      <c r="E26" s="103"/>
      <c r="F26" s="97"/>
      <c r="G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</row>
    <row r="27" spans="2:23" s="93" customFormat="1" ht="15" customHeight="1">
      <c r="B27" s="100" t="s">
        <v>206</v>
      </c>
      <c r="D27" s="103"/>
      <c r="E27" s="103"/>
      <c r="F27" s="97"/>
      <c r="G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</row>
    <row r="28" spans="2:23" s="93" customFormat="1" ht="15">
      <c r="B28" s="100"/>
      <c r="D28" s="103"/>
      <c r="E28" s="103"/>
      <c r="F28" s="97"/>
      <c r="G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</row>
    <row r="29" spans="2:23" s="93" customFormat="1" ht="15">
      <c r="B29" s="101" t="s">
        <v>207</v>
      </c>
      <c r="D29" s="97"/>
      <c r="E29" s="97"/>
      <c r="F29" s="97"/>
      <c r="G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</row>
    <row r="30" spans="2:23" ht="15">
      <c r="B30" s="160">
        <v>1</v>
      </c>
      <c r="C30" s="104" t="s">
        <v>208</v>
      </c>
      <c r="D30" s="105"/>
      <c r="E30" s="105"/>
      <c r="F30" s="104"/>
      <c r="G30" s="105"/>
      <c r="H30" s="105"/>
      <c r="I30" s="105"/>
      <c r="J30" s="105"/>
      <c r="K30" s="105"/>
      <c r="U30" s="59"/>
    </row>
    <row r="31" spans="2:23" ht="15">
      <c r="B31" s="161">
        <f>B30+1</f>
        <v>2</v>
      </c>
      <c r="C31" s="104" t="s">
        <v>209</v>
      </c>
      <c r="D31" s="105"/>
      <c r="E31" s="105"/>
      <c r="F31" s="104"/>
      <c r="G31" s="105"/>
      <c r="H31" s="105"/>
      <c r="I31" s="105"/>
      <c r="J31" s="105"/>
      <c r="K31" s="105"/>
      <c r="U31" s="59"/>
    </row>
    <row r="32" spans="2:23" ht="15">
      <c r="B32" s="161">
        <f t="shared" ref="B32:B40" si="0">B31+1</f>
        <v>3</v>
      </c>
      <c r="C32" s="106" t="s">
        <v>210</v>
      </c>
      <c r="D32" s="105"/>
      <c r="E32" s="105"/>
      <c r="F32" s="104"/>
      <c r="G32" s="105"/>
      <c r="H32" s="105"/>
      <c r="I32" s="105"/>
      <c r="J32" s="105"/>
      <c r="K32" s="105"/>
      <c r="U32" s="59"/>
    </row>
    <row r="33" spans="2:23" ht="15">
      <c r="B33" s="161">
        <f t="shared" si="0"/>
        <v>4</v>
      </c>
      <c r="C33" s="104" t="s">
        <v>211</v>
      </c>
      <c r="D33" s="105"/>
      <c r="E33" s="105"/>
      <c r="F33" s="104"/>
      <c r="G33" s="105"/>
      <c r="H33" s="105"/>
      <c r="I33" s="105"/>
      <c r="J33" s="105"/>
      <c r="K33" s="105"/>
      <c r="U33" s="59"/>
    </row>
    <row r="34" spans="2:23" ht="15">
      <c r="B34" s="161">
        <f t="shared" si="0"/>
        <v>5</v>
      </c>
      <c r="C34" s="104" t="s">
        <v>214</v>
      </c>
      <c r="D34" s="105"/>
      <c r="E34" s="105"/>
      <c r="F34" s="104"/>
      <c r="G34" s="105"/>
      <c r="H34" s="105"/>
      <c r="I34" s="105"/>
      <c r="J34" s="105"/>
      <c r="K34" s="105"/>
      <c r="U34" s="59"/>
    </row>
    <row r="35" spans="2:23" ht="15">
      <c r="B35" s="161">
        <f t="shared" si="0"/>
        <v>6</v>
      </c>
      <c r="C35" s="104" t="s">
        <v>213</v>
      </c>
      <c r="D35" s="105"/>
      <c r="E35" s="105"/>
      <c r="F35" s="104"/>
      <c r="G35" s="105"/>
      <c r="H35" s="105"/>
      <c r="I35" s="105"/>
      <c r="J35" s="105"/>
      <c r="K35" s="105"/>
      <c r="U35" s="59"/>
    </row>
    <row r="36" spans="2:23" ht="15">
      <c r="B36" s="161">
        <f t="shared" si="0"/>
        <v>7</v>
      </c>
      <c r="C36" s="104" t="s">
        <v>212</v>
      </c>
      <c r="D36" s="105"/>
      <c r="E36" s="105"/>
      <c r="F36" s="104"/>
      <c r="G36" s="105"/>
      <c r="H36" s="105"/>
      <c r="I36" s="105"/>
      <c r="J36" s="105"/>
      <c r="K36" s="105"/>
      <c r="U36" s="59"/>
    </row>
    <row r="37" spans="2:23" ht="15">
      <c r="B37" s="161">
        <f t="shared" si="0"/>
        <v>8</v>
      </c>
      <c r="C37" s="104" t="s">
        <v>215</v>
      </c>
      <c r="D37" s="105"/>
      <c r="E37" s="105"/>
      <c r="F37" s="104"/>
      <c r="G37" s="105"/>
      <c r="H37" s="105"/>
      <c r="I37" s="105"/>
      <c r="J37" s="105"/>
      <c r="K37" s="105" t="s">
        <v>3</v>
      </c>
      <c r="U37" s="59"/>
    </row>
    <row r="38" spans="2:23" ht="15">
      <c r="B38" s="161">
        <f t="shared" si="0"/>
        <v>9</v>
      </c>
      <c r="C38" s="104" t="s">
        <v>216</v>
      </c>
      <c r="D38" s="105"/>
      <c r="E38" s="105"/>
      <c r="F38" s="104"/>
      <c r="G38" s="105"/>
      <c r="H38" s="105"/>
      <c r="I38" s="105"/>
      <c r="J38" s="105"/>
      <c r="K38" s="105"/>
      <c r="U38" s="59"/>
    </row>
    <row r="39" spans="2:23" ht="15">
      <c r="B39" s="161">
        <f t="shared" si="0"/>
        <v>10</v>
      </c>
      <c r="C39" s="104" t="s">
        <v>217</v>
      </c>
      <c r="D39" s="105"/>
      <c r="E39" s="105"/>
      <c r="F39" s="104"/>
      <c r="G39" s="105"/>
      <c r="H39" s="105"/>
      <c r="I39" s="105"/>
      <c r="J39" s="105"/>
      <c r="K39" s="105"/>
      <c r="U39" s="59"/>
    </row>
    <row r="40" spans="2:23" ht="15">
      <c r="B40" s="161">
        <f t="shared" si="0"/>
        <v>11</v>
      </c>
      <c r="C40" s="104" t="s">
        <v>178</v>
      </c>
      <c r="D40" s="105"/>
      <c r="E40" s="105"/>
      <c r="F40" s="104"/>
      <c r="G40" s="105"/>
      <c r="H40" s="105"/>
      <c r="I40" s="105"/>
      <c r="J40" s="105"/>
      <c r="K40" s="105"/>
      <c r="U40" s="59"/>
    </row>
    <row r="42" spans="2:23" ht="15">
      <c r="B42" s="97" t="s">
        <v>232</v>
      </c>
    </row>
    <row r="43" spans="2:23">
      <c r="B43" s="59" t="s">
        <v>233</v>
      </c>
    </row>
    <row r="45" spans="2:23" ht="15">
      <c r="B45" s="97" t="s">
        <v>62</v>
      </c>
    </row>
    <row r="46" spans="2:23">
      <c r="B46" s="59" t="s">
        <v>61</v>
      </c>
    </row>
    <row r="48" spans="2:23" ht="15">
      <c r="J48" s="251" t="s">
        <v>171</v>
      </c>
      <c r="K48" s="252"/>
      <c r="L48" s="252"/>
      <c r="M48" s="253"/>
      <c r="N48" s="251" t="s">
        <v>172</v>
      </c>
      <c r="O48" s="252"/>
      <c r="P48" s="253"/>
      <c r="Q48" s="107"/>
      <c r="R48" s="251" t="s">
        <v>173</v>
      </c>
      <c r="S48" s="253"/>
      <c r="T48" s="108"/>
      <c r="U48" s="109"/>
      <c r="V48" s="109"/>
      <c r="W48" s="109"/>
    </row>
    <row r="49" spans="1:25" s="113" customFormat="1" ht="57" customHeight="1">
      <c r="A49" s="110"/>
      <c r="B49" s="67" t="s">
        <v>51</v>
      </c>
      <c r="C49" s="67" t="s">
        <v>52</v>
      </c>
      <c r="D49" s="67" t="s">
        <v>57</v>
      </c>
      <c r="E49" s="67" t="s">
        <v>174</v>
      </c>
      <c r="F49" s="67" t="s">
        <v>234</v>
      </c>
      <c r="G49" s="67" t="s">
        <v>218</v>
      </c>
      <c r="H49" s="67" t="s">
        <v>219</v>
      </c>
      <c r="I49" s="67" t="s">
        <v>220</v>
      </c>
      <c r="J49" s="67" t="s">
        <v>221</v>
      </c>
      <c r="K49" s="67" t="s">
        <v>187</v>
      </c>
      <c r="L49" s="67" t="s">
        <v>188</v>
      </c>
      <c r="M49" s="67" t="s">
        <v>222</v>
      </c>
      <c r="N49" s="67" t="s">
        <v>223</v>
      </c>
      <c r="O49" s="67" t="s">
        <v>224</v>
      </c>
      <c r="P49" s="67" t="s">
        <v>175</v>
      </c>
      <c r="Q49" s="67" t="s">
        <v>225</v>
      </c>
      <c r="R49" s="111" t="s">
        <v>176</v>
      </c>
      <c r="S49" s="111" t="s">
        <v>177</v>
      </c>
      <c r="T49" s="67" t="s">
        <v>226</v>
      </c>
      <c r="U49" s="67" t="s">
        <v>227</v>
      </c>
      <c r="V49" s="67" t="s">
        <v>228</v>
      </c>
      <c r="W49" s="67" t="s">
        <v>229</v>
      </c>
      <c r="X49" s="108"/>
      <c r="Y49" s="112"/>
    </row>
    <row r="50" spans="1:25">
      <c r="B50" s="166"/>
      <c r="C50" s="69"/>
      <c r="D50" s="69"/>
      <c r="E50" s="162"/>
      <c r="F50" s="162"/>
      <c r="G50" s="69"/>
      <c r="H50" s="69"/>
      <c r="I50" s="69"/>
      <c r="J50" s="69"/>
      <c r="K50" s="69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114"/>
    </row>
    <row r="51" spans="1:25">
      <c r="B51" s="167"/>
      <c r="C51" s="72"/>
      <c r="D51" s="72"/>
      <c r="E51" s="163"/>
      <c r="F51" s="163"/>
      <c r="G51" s="72"/>
      <c r="H51" s="72"/>
      <c r="I51" s="72"/>
      <c r="J51" s="72"/>
      <c r="K51" s="7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60"/>
    </row>
    <row r="52" spans="1:25">
      <c r="B52" s="167"/>
      <c r="C52" s="72"/>
      <c r="D52" s="72"/>
      <c r="E52" s="163"/>
      <c r="F52" s="163"/>
      <c r="G52" s="72"/>
      <c r="H52" s="72"/>
      <c r="I52" s="72"/>
      <c r="J52" s="72"/>
      <c r="K52" s="7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60"/>
    </row>
    <row r="53" spans="1:25">
      <c r="B53" s="167"/>
      <c r="C53" s="72"/>
      <c r="D53" s="72"/>
      <c r="E53" s="163"/>
      <c r="F53" s="163"/>
      <c r="G53" s="72"/>
      <c r="H53" s="72"/>
      <c r="I53" s="72"/>
      <c r="J53" s="72"/>
      <c r="K53" s="7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60"/>
    </row>
    <row r="54" spans="1:25">
      <c r="B54" s="167"/>
      <c r="C54" s="72"/>
      <c r="D54" s="72"/>
      <c r="E54" s="163"/>
      <c r="F54" s="163"/>
      <c r="G54" s="72"/>
      <c r="H54" s="72"/>
      <c r="I54" s="72"/>
      <c r="J54" s="72"/>
      <c r="K54" s="7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60"/>
    </row>
    <row r="55" spans="1:25">
      <c r="B55" s="167"/>
      <c r="C55" s="72"/>
      <c r="D55" s="72"/>
      <c r="E55" s="163"/>
      <c r="F55" s="163"/>
      <c r="G55" s="72"/>
      <c r="H55" s="72"/>
      <c r="I55" s="72"/>
      <c r="J55" s="72"/>
      <c r="K55" s="7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60"/>
    </row>
    <row r="56" spans="1:25">
      <c r="B56" s="167"/>
      <c r="C56" s="72"/>
      <c r="D56" s="72"/>
      <c r="E56" s="163"/>
      <c r="F56" s="163"/>
      <c r="G56" s="72"/>
      <c r="H56" s="72"/>
      <c r="I56" s="72"/>
      <c r="J56" s="72"/>
      <c r="K56" s="7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60"/>
    </row>
    <row r="57" spans="1:25">
      <c r="B57" s="167"/>
      <c r="C57" s="72"/>
      <c r="D57" s="72"/>
      <c r="E57" s="163"/>
      <c r="F57" s="163"/>
      <c r="G57" s="72"/>
      <c r="H57" s="72"/>
      <c r="I57" s="72"/>
      <c r="J57" s="72"/>
      <c r="K57" s="7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60"/>
    </row>
    <row r="58" spans="1:25">
      <c r="B58" s="167"/>
      <c r="C58" s="72"/>
      <c r="D58" s="72"/>
      <c r="E58" s="163"/>
      <c r="F58" s="163"/>
      <c r="G58" s="72"/>
      <c r="H58" s="72"/>
      <c r="I58" s="72"/>
      <c r="J58" s="72"/>
      <c r="K58" s="7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60"/>
    </row>
    <row r="59" spans="1:25">
      <c r="B59" s="167"/>
      <c r="C59" s="72"/>
      <c r="D59" s="72"/>
      <c r="E59" s="163"/>
      <c r="F59" s="163"/>
      <c r="G59" s="72"/>
      <c r="H59" s="72"/>
      <c r="I59" s="72"/>
      <c r="J59" s="72"/>
      <c r="K59" s="7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60"/>
    </row>
    <row r="60" spans="1:25">
      <c r="B60" s="167"/>
      <c r="C60" s="72"/>
      <c r="D60" s="72"/>
      <c r="E60" s="163"/>
      <c r="F60" s="163"/>
      <c r="G60" s="72"/>
      <c r="H60" s="72"/>
      <c r="I60" s="72"/>
      <c r="J60" s="72"/>
      <c r="K60" s="7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60"/>
    </row>
    <row r="61" spans="1:25">
      <c r="B61" s="167"/>
      <c r="C61" s="72"/>
      <c r="D61" s="72"/>
      <c r="E61" s="163"/>
      <c r="F61" s="163"/>
      <c r="G61" s="72"/>
      <c r="H61" s="72"/>
      <c r="I61" s="72"/>
      <c r="J61" s="72"/>
      <c r="K61" s="7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60"/>
    </row>
    <row r="62" spans="1:25">
      <c r="B62" s="167"/>
      <c r="C62" s="72"/>
      <c r="D62" s="72"/>
      <c r="E62" s="163"/>
      <c r="F62" s="163"/>
      <c r="G62" s="72"/>
      <c r="H62" s="72"/>
      <c r="I62" s="72"/>
      <c r="J62" s="72"/>
      <c r="K62" s="7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60"/>
    </row>
    <row r="63" spans="1:25">
      <c r="B63" s="167"/>
      <c r="C63" s="72"/>
      <c r="D63" s="72"/>
      <c r="E63" s="163"/>
      <c r="F63" s="163"/>
      <c r="G63" s="72"/>
      <c r="H63" s="72"/>
      <c r="I63" s="72"/>
      <c r="J63" s="72"/>
      <c r="K63" s="7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60"/>
    </row>
    <row r="64" spans="1:25" ht="15">
      <c r="B64" s="169"/>
      <c r="C64" s="64"/>
      <c r="D64" s="64"/>
      <c r="E64" s="165"/>
      <c r="F64" s="164"/>
      <c r="X64" s="60"/>
    </row>
    <row r="65" spans="2:24" ht="15">
      <c r="B65" s="169"/>
      <c r="C65" s="64"/>
      <c r="D65" s="64"/>
      <c r="E65" s="165"/>
      <c r="F65" s="164"/>
      <c r="X65" s="60"/>
    </row>
    <row r="66" spans="2:24" ht="15">
      <c r="B66" s="169"/>
      <c r="C66" s="64"/>
      <c r="D66" s="64"/>
      <c r="E66" s="165"/>
      <c r="F66" s="164"/>
      <c r="X66" s="60"/>
    </row>
    <row r="67" spans="2:24" ht="6" customHeight="1">
      <c r="B67" s="168"/>
      <c r="E67" s="164"/>
      <c r="F67" s="164"/>
      <c r="X67" s="60"/>
    </row>
    <row r="68" spans="2:24">
      <c r="B68" s="168"/>
      <c r="E68" s="164"/>
      <c r="F68" s="164"/>
      <c r="X68" s="60"/>
    </row>
    <row r="69" spans="2:24">
      <c r="B69" s="168"/>
      <c r="E69" s="164"/>
      <c r="F69" s="164"/>
      <c r="X69" s="60"/>
    </row>
    <row r="70" spans="2:24">
      <c r="B70" s="168"/>
      <c r="E70" s="164"/>
      <c r="F70" s="164"/>
      <c r="X70" s="60"/>
    </row>
    <row r="71" spans="2:24">
      <c r="B71" s="168"/>
      <c r="E71" s="164"/>
      <c r="F71" s="164"/>
      <c r="X71" s="60"/>
    </row>
    <row r="72" spans="2:24">
      <c r="B72" s="168"/>
      <c r="E72" s="164"/>
      <c r="F72" s="164"/>
      <c r="X72" s="60"/>
    </row>
    <row r="73" spans="2:24">
      <c r="B73" s="168"/>
      <c r="E73" s="164"/>
      <c r="F73" s="164"/>
      <c r="X73" s="60"/>
    </row>
    <row r="74" spans="2:24">
      <c r="B74" s="168"/>
      <c r="E74" s="164"/>
      <c r="F74" s="164"/>
      <c r="X74" s="60"/>
    </row>
    <row r="75" spans="2:24">
      <c r="B75" s="168"/>
      <c r="E75" s="164"/>
      <c r="F75" s="164"/>
      <c r="X75" s="60"/>
    </row>
    <row r="76" spans="2:24">
      <c r="B76" s="168"/>
      <c r="E76" s="164"/>
      <c r="F76" s="164"/>
      <c r="X76" s="60"/>
    </row>
    <row r="77" spans="2:24">
      <c r="B77" s="168"/>
      <c r="E77" s="164"/>
      <c r="F77" s="164"/>
      <c r="X77" s="60"/>
    </row>
    <row r="78" spans="2:24">
      <c r="B78" s="168"/>
      <c r="E78" s="164"/>
      <c r="F78" s="164"/>
      <c r="X78" s="60"/>
    </row>
    <row r="79" spans="2:24">
      <c r="B79" s="168"/>
      <c r="E79" s="164"/>
      <c r="F79" s="164"/>
      <c r="X79" s="60"/>
    </row>
    <row r="80" spans="2:24">
      <c r="B80" s="168"/>
      <c r="E80" s="164"/>
      <c r="F80" s="164"/>
      <c r="X80" s="60"/>
    </row>
    <row r="81" spans="2:24">
      <c r="B81" s="168"/>
      <c r="E81" s="164"/>
      <c r="F81" s="164"/>
      <c r="X81" s="60"/>
    </row>
    <row r="82" spans="2:24">
      <c r="B82" s="168"/>
      <c r="E82" s="164"/>
      <c r="F82" s="164"/>
      <c r="X82" s="60"/>
    </row>
    <row r="83" spans="2:24">
      <c r="B83" s="168"/>
      <c r="E83" s="164"/>
      <c r="F83" s="164"/>
      <c r="X83" s="60"/>
    </row>
    <row r="84" spans="2:24">
      <c r="B84" s="168"/>
      <c r="E84" s="164"/>
      <c r="F84" s="164"/>
      <c r="X84" s="60"/>
    </row>
    <row r="85" spans="2:24">
      <c r="B85" s="168"/>
      <c r="E85" s="164"/>
      <c r="F85" s="164"/>
      <c r="X85" s="60"/>
    </row>
    <row r="86" spans="2:24">
      <c r="B86" s="168"/>
      <c r="E86" s="164"/>
      <c r="F86" s="164"/>
      <c r="X86" s="60"/>
    </row>
    <row r="87" spans="2:24">
      <c r="B87" s="168"/>
      <c r="E87" s="164"/>
      <c r="F87" s="164"/>
      <c r="X87" s="60"/>
    </row>
    <row r="88" spans="2:24">
      <c r="B88" s="168"/>
      <c r="E88" s="164"/>
      <c r="F88" s="164"/>
      <c r="X88" s="60"/>
    </row>
    <row r="89" spans="2:24">
      <c r="B89" s="168"/>
      <c r="E89" s="164"/>
      <c r="F89" s="164"/>
      <c r="X89" s="60"/>
    </row>
    <row r="90" spans="2:24">
      <c r="B90" s="168"/>
      <c r="E90" s="164"/>
      <c r="F90" s="164"/>
      <c r="X90" s="60"/>
    </row>
    <row r="91" spans="2:24">
      <c r="B91" s="168"/>
      <c r="E91" s="164"/>
      <c r="F91" s="164"/>
      <c r="X91" s="60"/>
    </row>
    <row r="92" spans="2:24">
      <c r="B92" s="168"/>
      <c r="E92" s="164"/>
      <c r="F92" s="164"/>
      <c r="X92" s="60"/>
    </row>
    <row r="93" spans="2:24">
      <c r="B93" s="168"/>
      <c r="E93" s="164"/>
      <c r="F93" s="164"/>
      <c r="X93" s="60"/>
    </row>
    <row r="94" spans="2:24">
      <c r="B94" s="168"/>
      <c r="E94" s="164"/>
      <c r="F94" s="164"/>
      <c r="X94" s="60"/>
    </row>
    <row r="95" spans="2:24">
      <c r="B95" s="168"/>
      <c r="E95" s="164"/>
      <c r="F95" s="164"/>
      <c r="X95" s="60"/>
    </row>
    <row r="96" spans="2:24">
      <c r="B96" s="168"/>
      <c r="E96" s="164"/>
      <c r="F96" s="164"/>
      <c r="X96" s="60"/>
    </row>
    <row r="97" spans="2:24">
      <c r="B97" s="168"/>
      <c r="E97" s="164"/>
      <c r="F97" s="164"/>
      <c r="X97" s="60"/>
    </row>
    <row r="98" spans="2:24">
      <c r="B98" s="168"/>
      <c r="E98" s="164"/>
      <c r="F98" s="164"/>
      <c r="X98" s="60"/>
    </row>
    <row r="99" spans="2:24">
      <c r="B99" s="168"/>
      <c r="E99" s="164"/>
      <c r="F99" s="164"/>
      <c r="X99" s="60"/>
    </row>
    <row r="100" spans="2:24">
      <c r="B100" s="168"/>
      <c r="E100" s="164"/>
      <c r="F100" s="164"/>
      <c r="X100" s="60"/>
    </row>
    <row r="101" spans="2:24">
      <c r="B101" s="168"/>
      <c r="E101" s="164"/>
      <c r="F101" s="164"/>
      <c r="X101" s="60"/>
    </row>
    <row r="102" spans="2:24">
      <c r="B102" s="168"/>
      <c r="E102" s="164"/>
      <c r="F102" s="164"/>
      <c r="X102" s="60"/>
    </row>
    <row r="103" spans="2:24">
      <c r="B103" s="168"/>
      <c r="E103" s="164"/>
      <c r="F103" s="164"/>
      <c r="X103" s="60"/>
    </row>
    <row r="104" spans="2:24">
      <c r="B104" s="168"/>
      <c r="E104" s="164"/>
      <c r="F104" s="164"/>
      <c r="X104" s="60"/>
    </row>
    <row r="105" spans="2:24">
      <c r="B105" s="168"/>
      <c r="E105" s="164"/>
      <c r="F105" s="164"/>
      <c r="X105" s="60"/>
    </row>
    <row r="106" spans="2:24">
      <c r="B106" s="168"/>
      <c r="E106" s="164"/>
      <c r="F106" s="164"/>
    </row>
    <row r="107" spans="2:24">
      <c r="B107" s="168"/>
      <c r="E107" s="164"/>
      <c r="F107" s="164"/>
    </row>
    <row r="108" spans="2:24">
      <c r="B108" s="168"/>
      <c r="E108" s="164"/>
      <c r="F108" s="164"/>
    </row>
    <row r="109" spans="2:24">
      <c r="B109" s="168"/>
      <c r="E109" s="164"/>
      <c r="F109" s="164"/>
    </row>
    <row r="110" spans="2:24">
      <c r="B110" s="168"/>
      <c r="E110" s="164"/>
      <c r="F110" s="164"/>
    </row>
    <row r="111" spans="2:24">
      <c r="B111" s="168"/>
      <c r="E111" s="164"/>
      <c r="F111" s="164"/>
    </row>
    <row r="112" spans="2:24">
      <c r="B112" s="168"/>
      <c r="E112" s="164"/>
      <c r="F112" s="164"/>
    </row>
    <row r="113" spans="2:6">
      <c r="B113" s="168"/>
      <c r="E113" s="164"/>
      <c r="F113" s="164"/>
    </row>
    <row r="114" spans="2:6">
      <c r="B114" s="168"/>
      <c r="E114" s="164"/>
      <c r="F114" s="164"/>
    </row>
    <row r="115" spans="2:6">
      <c r="B115" s="168"/>
      <c r="E115" s="164"/>
      <c r="F115" s="164"/>
    </row>
    <row r="116" spans="2:6">
      <c r="B116" s="168"/>
      <c r="E116" s="164"/>
      <c r="F116" s="164"/>
    </row>
    <row r="117" spans="2:6">
      <c r="B117" s="168"/>
      <c r="E117" s="164"/>
      <c r="F117" s="164"/>
    </row>
    <row r="118" spans="2:6">
      <c r="B118" s="168"/>
      <c r="E118" s="164"/>
      <c r="F118" s="164"/>
    </row>
    <row r="119" spans="2:6">
      <c r="B119" s="168"/>
      <c r="E119" s="164"/>
      <c r="F119" s="164"/>
    </row>
    <row r="120" spans="2:6">
      <c r="B120" s="168"/>
      <c r="E120" s="164"/>
      <c r="F120" s="164"/>
    </row>
    <row r="121" spans="2:6">
      <c r="B121" s="168"/>
      <c r="E121" s="164"/>
      <c r="F121" s="164"/>
    </row>
    <row r="122" spans="2:6">
      <c r="B122" s="168"/>
      <c r="E122" s="164"/>
      <c r="F122" s="164"/>
    </row>
    <row r="123" spans="2:6">
      <c r="B123" s="168"/>
      <c r="E123" s="164"/>
      <c r="F123" s="164"/>
    </row>
    <row r="124" spans="2:6">
      <c r="B124" s="168"/>
      <c r="E124" s="164"/>
      <c r="F124" s="164"/>
    </row>
    <row r="125" spans="2:6">
      <c r="B125" s="168"/>
      <c r="E125" s="164"/>
      <c r="F125" s="164"/>
    </row>
    <row r="126" spans="2:6">
      <c r="B126" s="168"/>
      <c r="E126" s="164"/>
      <c r="F126" s="164"/>
    </row>
    <row r="127" spans="2:6">
      <c r="B127" s="168"/>
      <c r="E127" s="164"/>
      <c r="F127" s="164"/>
    </row>
    <row r="128" spans="2:6">
      <c r="B128" s="168"/>
      <c r="E128" s="164"/>
      <c r="F128" s="164"/>
    </row>
    <row r="129" spans="2:6">
      <c r="B129" s="168"/>
      <c r="E129" s="164"/>
      <c r="F129" s="164"/>
    </row>
    <row r="130" spans="2:6">
      <c r="B130" s="168"/>
      <c r="E130" s="164"/>
      <c r="F130" s="164"/>
    </row>
    <row r="131" spans="2:6">
      <c r="B131" s="168"/>
      <c r="E131" s="164"/>
      <c r="F131" s="164"/>
    </row>
    <row r="132" spans="2:6">
      <c r="B132" s="168"/>
      <c r="E132" s="164"/>
      <c r="F132" s="164"/>
    </row>
    <row r="133" spans="2:6">
      <c r="B133" s="168"/>
      <c r="E133" s="164"/>
      <c r="F133" s="164"/>
    </row>
    <row r="134" spans="2:6">
      <c r="B134" s="168"/>
      <c r="E134" s="164"/>
      <c r="F134" s="164"/>
    </row>
    <row r="135" spans="2:6">
      <c r="B135" s="168"/>
      <c r="E135" s="164"/>
      <c r="F135" s="164"/>
    </row>
    <row r="136" spans="2:6">
      <c r="B136" s="168"/>
      <c r="E136" s="164"/>
      <c r="F136" s="164"/>
    </row>
    <row r="137" spans="2:6">
      <c r="B137" s="168"/>
      <c r="E137" s="164"/>
      <c r="F137" s="164"/>
    </row>
    <row r="138" spans="2:6">
      <c r="B138" s="168"/>
      <c r="E138" s="164"/>
      <c r="F138" s="164"/>
    </row>
    <row r="139" spans="2:6">
      <c r="B139" s="168"/>
      <c r="E139" s="164"/>
      <c r="F139" s="164"/>
    </row>
    <row r="140" spans="2:6">
      <c r="B140" s="168"/>
      <c r="E140" s="164"/>
      <c r="F140" s="164"/>
    </row>
    <row r="141" spans="2:6">
      <c r="B141" s="168"/>
      <c r="E141" s="164"/>
      <c r="F141" s="164"/>
    </row>
    <row r="142" spans="2:6">
      <c r="B142" s="168"/>
      <c r="E142" s="164"/>
      <c r="F142" s="164"/>
    </row>
    <row r="143" spans="2:6">
      <c r="B143" s="168"/>
      <c r="E143" s="164"/>
      <c r="F143" s="164"/>
    </row>
    <row r="144" spans="2:6">
      <c r="B144" s="168"/>
      <c r="E144" s="164"/>
      <c r="F144" s="164"/>
    </row>
    <row r="145" spans="2:6">
      <c r="B145" s="168"/>
      <c r="E145" s="164"/>
      <c r="F145" s="164"/>
    </row>
    <row r="146" spans="2:6">
      <c r="B146" s="168"/>
      <c r="E146" s="164"/>
      <c r="F146" s="164"/>
    </row>
    <row r="147" spans="2:6">
      <c r="B147" s="168"/>
      <c r="E147" s="164"/>
      <c r="F147" s="164"/>
    </row>
    <row r="148" spans="2:6">
      <c r="B148" s="168"/>
      <c r="E148" s="164"/>
      <c r="F148" s="164"/>
    </row>
    <row r="149" spans="2:6">
      <c r="B149" s="168"/>
      <c r="E149" s="164"/>
      <c r="F149" s="164"/>
    </row>
    <row r="150" spans="2:6">
      <c r="B150" s="168"/>
      <c r="E150" s="164"/>
      <c r="F150" s="164"/>
    </row>
    <row r="151" spans="2:6">
      <c r="B151" s="168"/>
      <c r="E151" s="164"/>
      <c r="F151" s="164"/>
    </row>
    <row r="152" spans="2:6">
      <c r="B152" s="168"/>
      <c r="E152" s="164"/>
      <c r="F152" s="164"/>
    </row>
    <row r="153" spans="2:6">
      <c r="B153" s="168"/>
      <c r="E153" s="164"/>
      <c r="F153" s="164"/>
    </row>
    <row r="154" spans="2:6">
      <c r="B154" s="168"/>
      <c r="E154" s="164"/>
      <c r="F154" s="164"/>
    </row>
    <row r="155" spans="2:6">
      <c r="B155" s="168"/>
      <c r="E155" s="164"/>
      <c r="F155" s="164"/>
    </row>
    <row r="156" spans="2:6">
      <c r="B156" s="168"/>
      <c r="E156" s="164"/>
      <c r="F156" s="164"/>
    </row>
    <row r="157" spans="2:6">
      <c r="B157" s="168"/>
      <c r="E157" s="164"/>
      <c r="F157" s="164"/>
    </row>
    <row r="158" spans="2:6">
      <c r="B158" s="168"/>
      <c r="E158" s="164"/>
      <c r="F158" s="164"/>
    </row>
    <row r="159" spans="2:6">
      <c r="B159" s="168"/>
      <c r="E159" s="164"/>
      <c r="F159" s="164"/>
    </row>
    <row r="160" spans="2:6">
      <c r="B160" s="168"/>
      <c r="E160" s="164"/>
      <c r="F160" s="164"/>
    </row>
    <row r="161" spans="2:6">
      <c r="B161" s="168"/>
      <c r="E161" s="164"/>
      <c r="F161" s="164"/>
    </row>
    <row r="162" spans="2:6">
      <c r="B162" s="168"/>
      <c r="E162" s="164"/>
      <c r="F162" s="164"/>
    </row>
    <row r="163" spans="2:6">
      <c r="B163" s="168"/>
      <c r="E163" s="164"/>
      <c r="F163" s="164"/>
    </row>
    <row r="164" spans="2:6">
      <c r="B164" s="168"/>
      <c r="E164" s="164"/>
      <c r="F164" s="164"/>
    </row>
    <row r="165" spans="2:6">
      <c r="B165" s="168"/>
      <c r="E165" s="164"/>
      <c r="F165" s="164"/>
    </row>
    <row r="166" spans="2:6">
      <c r="B166" s="168"/>
      <c r="E166" s="164"/>
      <c r="F166" s="164"/>
    </row>
    <row r="167" spans="2:6">
      <c r="B167" s="168"/>
      <c r="E167" s="164"/>
      <c r="F167" s="164"/>
    </row>
    <row r="168" spans="2:6">
      <c r="B168" s="168"/>
      <c r="E168" s="164"/>
      <c r="F168" s="164"/>
    </row>
    <row r="169" spans="2:6">
      <c r="B169" s="168"/>
      <c r="E169" s="164"/>
      <c r="F169" s="164"/>
    </row>
    <row r="170" spans="2:6">
      <c r="B170" s="168"/>
      <c r="E170" s="164"/>
      <c r="F170" s="164"/>
    </row>
    <row r="171" spans="2:6">
      <c r="B171" s="168"/>
      <c r="E171" s="164"/>
      <c r="F171" s="164"/>
    </row>
    <row r="172" spans="2:6">
      <c r="B172" s="168"/>
      <c r="E172" s="164"/>
      <c r="F172" s="164"/>
    </row>
    <row r="173" spans="2:6">
      <c r="B173" s="168"/>
      <c r="E173" s="164"/>
      <c r="F173" s="164"/>
    </row>
    <row r="174" spans="2:6">
      <c r="B174" s="168"/>
      <c r="E174" s="164"/>
      <c r="F174" s="164"/>
    </row>
    <row r="175" spans="2:6">
      <c r="B175" s="168"/>
      <c r="E175" s="164"/>
      <c r="F175" s="164"/>
    </row>
    <row r="176" spans="2:6">
      <c r="B176" s="168"/>
      <c r="E176" s="164"/>
      <c r="F176" s="164"/>
    </row>
    <row r="177" spans="2:6">
      <c r="B177" s="168"/>
      <c r="E177" s="164"/>
      <c r="F177" s="164"/>
    </row>
    <row r="178" spans="2:6">
      <c r="B178" s="168"/>
      <c r="E178" s="164"/>
      <c r="F178" s="164"/>
    </row>
    <row r="179" spans="2:6">
      <c r="B179" s="168"/>
      <c r="E179" s="164"/>
      <c r="F179" s="164"/>
    </row>
    <row r="180" spans="2:6">
      <c r="B180" s="168"/>
      <c r="E180" s="164"/>
      <c r="F180" s="164"/>
    </row>
    <row r="181" spans="2:6">
      <c r="B181" s="168"/>
      <c r="E181" s="164"/>
      <c r="F181" s="164"/>
    </row>
    <row r="182" spans="2:6">
      <c r="B182" s="168"/>
      <c r="E182" s="164"/>
      <c r="F182" s="164"/>
    </row>
    <row r="183" spans="2:6">
      <c r="B183" s="168"/>
      <c r="E183" s="164"/>
      <c r="F183" s="164"/>
    </row>
    <row r="184" spans="2:6">
      <c r="B184" s="168"/>
      <c r="E184" s="164"/>
      <c r="F184" s="164"/>
    </row>
    <row r="185" spans="2:6">
      <c r="B185" s="168"/>
      <c r="E185" s="164"/>
      <c r="F185" s="164"/>
    </row>
    <row r="186" spans="2:6">
      <c r="B186" s="168"/>
      <c r="E186" s="164"/>
      <c r="F186" s="164"/>
    </row>
    <row r="187" spans="2:6">
      <c r="B187" s="168"/>
      <c r="E187" s="164"/>
      <c r="F187" s="164"/>
    </row>
    <row r="188" spans="2:6">
      <c r="B188" s="168"/>
      <c r="E188" s="164"/>
      <c r="F188" s="164"/>
    </row>
    <row r="189" spans="2:6">
      <c r="B189" s="168"/>
      <c r="E189" s="164"/>
      <c r="F189" s="164"/>
    </row>
    <row r="190" spans="2:6">
      <c r="B190" s="168"/>
      <c r="E190" s="164"/>
      <c r="F190" s="164"/>
    </row>
    <row r="191" spans="2:6">
      <c r="B191" s="168"/>
      <c r="E191" s="164"/>
      <c r="F191" s="164"/>
    </row>
    <row r="192" spans="2:6">
      <c r="B192" s="168"/>
      <c r="E192" s="164"/>
      <c r="F192" s="164"/>
    </row>
    <row r="193" spans="2:6">
      <c r="B193" s="168"/>
      <c r="E193" s="164"/>
      <c r="F193" s="164"/>
    </row>
    <row r="194" spans="2:6">
      <c r="B194" s="168"/>
      <c r="E194" s="164"/>
      <c r="F194" s="164"/>
    </row>
    <row r="195" spans="2:6">
      <c r="B195" s="168"/>
      <c r="E195" s="164"/>
      <c r="F195" s="164"/>
    </row>
    <row r="196" spans="2:6">
      <c r="B196" s="168"/>
      <c r="E196" s="164"/>
      <c r="F196" s="164"/>
    </row>
    <row r="197" spans="2:6">
      <c r="B197" s="168"/>
      <c r="E197" s="164"/>
      <c r="F197" s="164"/>
    </row>
    <row r="198" spans="2:6">
      <c r="B198" s="168"/>
      <c r="E198" s="164"/>
      <c r="F198" s="164"/>
    </row>
    <row r="199" spans="2:6">
      <c r="B199" s="168"/>
      <c r="E199" s="164"/>
      <c r="F199" s="164"/>
    </row>
    <row r="200" spans="2:6">
      <c r="B200" s="168"/>
      <c r="E200" s="164"/>
      <c r="F200" s="164"/>
    </row>
    <row r="201" spans="2:6">
      <c r="B201" s="168"/>
      <c r="E201" s="164"/>
      <c r="F201" s="164"/>
    </row>
    <row r="202" spans="2:6">
      <c r="B202" s="168"/>
      <c r="E202" s="164"/>
      <c r="F202" s="164"/>
    </row>
    <row r="203" spans="2:6">
      <c r="B203" s="168"/>
      <c r="E203" s="164"/>
      <c r="F203" s="164"/>
    </row>
    <row r="204" spans="2:6">
      <c r="B204" s="168"/>
      <c r="E204" s="164"/>
      <c r="F204" s="164"/>
    </row>
    <row r="205" spans="2:6">
      <c r="B205" s="168"/>
      <c r="E205" s="164"/>
      <c r="F205" s="164"/>
    </row>
    <row r="206" spans="2:6">
      <c r="B206" s="168"/>
      <c r="E206" s="164"/>
      <c r="F206" s="164"/>
    </row>
    <row r="207" spans="2:6">
      <c r="B207" s="168"/>
      <c r="E207" s="164"/>
      <c r="F207" s="164"/>
    </row>
    <row r="208" spans="2:6">
      <c r="B208" s="168"/>
      <c r="E208" s="164"/>
      <c r="F208" s="164"/>
    </row>
    <row r="209" spans="2:6">
      <c r="B209" s="168"/>
      <c r="E209" s="164"/>
      <c r="F209" s="164"/>
    </row>
    <row r="210" spans="2:6">
      <c r="B210" s="168"/>
      <c r="E210" s="164"/>
      <c r="F210" s="164"/>
    </row>
    <row r="211" spans="2:6">
      <c r="B211" s="168"/>
      <c r="E211" s="164"/>
      <c r="F211" s="164"/>
    </row>
    <row r="212" spans="2:6">
      <c r="B212" s="168"/>
      <c r="E212" s="164"/>
      <c r="F212" s="164"/>
    </row>
    <row r="213" spans="2:6">
      <c r="B213" s="168"/>
      <c r="E213" s="164"/>
      <c r="F213" s="164"/>
    </row>
    <row r="214" spans="2:6">
      <c r="B214" s="168"/>
      <c r="E214" s="164"/>
      <c r="F214" s="164"/>
    </row>
    <row r="215" spans="2:6">
      <c r="B215" s="168"/>
      <c r="E215" s="164"/>
      <c r="F215" s="164"/>
    </row>
    <row r="216" spans="2:6">
      <c r="B216" s="168"/>
      <c r="E216" s="164"/>
      <c r="F216" s="164"/>
    </row>
    <row r="217" spans="2:6">
      <c r="B217" s="168"/>
      <c r="E217" s="164"/>
      <c r="F217" s="164"/>
    </row>
    <row r="218" spans="2:6">
      <c r="B218" s="168"/>
      <c r="E218" s="164"/>
      <c r="F218" s="164"/>
    </row>
    <row r="219" spans="2:6">
      <c r="B219" s="168"/>
      <c r="E219" s="164"/>
      <c r="F219" s="164"/>
    </row>
    <row r="220" spans="2:6">
      <c r="B220" s="168"/>
      <c r="E220" s="164"/>
      <c r="F220" s="164"/>
    </row>
    <row r="221" spans="2:6">
      <c r="B221" s="168"/>
      <c r="E221" s="164"/>
      <c r="F221" s="164"/>
    </row>
    <row r="222" spans="2:6">
      <c r="B222" s="168"/>
      <c r="E222" s="164"/>
      <c r="F222" s="164"/>
    </row>
    <row r="223" spans="2:6">
      <c r="B223" s="168"/>
      <c r="E223" s="164"/>
      <c r="F223" s="164"/>
    </row>
    <row r="224" spans="2:6">
      <c r="B224" s="168"/>
      <c r="E224" s="164"/>
      <c r="F224" s="164"/>
    </row>
    <row r="225" spans="2:6">
      <c r="B225" s="168"/>
      <c r="E225" s="164"/>
      <c r="F225" s="164"/>
    </row>
    <row r="226" spans="2:6">
      <c r="B226" s="168"/>
      <c r="E226" s="164"/>
      <c r="F226" s="164"/>
    </row>
    <row r="227" spans="2:6">
      <c r="B227" s="168"/>
      <c r="E227" s="164"/>
      <c r="F227" s="164"/>
    </row>
    <row r="228" spans="2:6">
      <c r="B228" s="168"/>
      <c r="E228" s="164"/>
      <c r="F228" s="164"/>
    </row>
    <row r="229" spans="2:6">
      <c r="B229" s="168"/>
      <c r="E229" s="164"/>
      <c r="F229" s="164"/>
    </row>
    <row r="230" spans="2:6">
      <c r="B230" s="168"/>
      <c r="E230" s="164"/>
      <c r="F230" s="164"/>
    </row>
    <row r="231" spans="2:6">
      <c r="B231" s="168"/>
      <c r="E231" s="164"/>
      <c r="F231" s="164"/>
    </row>
    <row r="232" spans="2:6">
      <c r="B232" s="168"/>
      <c r="E232" s="164"/>
      <c r="F232" s="164"/>
    </row>
    <row r="233" spans="2:6">
      <c r="B233" s="168"/>
      <c r="E233" s="164"/>
      <c r="F233" s="164"/>
    </row>
    <row r="234" spans="2:6">
      <c r="B234" s="168"/>
      <c r="E234" s="164"/>
      <c r="F234" s="164"/>
    </row>
    <row r="235" spans="2:6">
      <c r="B235" s="168"/>
      <c r="E235" s="164"/>
      <c r="F235" s="164"/>
    </row>
    <row r="236" spans="2:6">
      <c r="B236" s="168"/>
      <c r="E236" s="164"/>
      <c r="F236" s="164"/>
    </row>
    <row r="237" spans="2:6">
      <c r="B237" s="168"/>
      <c r="E237" s="164"/>
      <c r="F237" s="164"/>
    </row>
    <row r="238" spans="2:6">
      <c r="B238" s="168"/>
      <c r="E238" s="164"/>
      <c r="F238" s="164"/>
    </row>
    <row r="239" spans="2:6">
      <c r="B239" s="168"/>
      <c r="E239" s="164"/>
      <c r="F239" s="164"/>
    </row>
    <row r="240" spans="2:6">
      <c r="B240" s="168"/>
      <c r="E240" s="164"/>
      <c r="F240" s="164"/>
    </row>
    <row r="241" spans="2:6">
      <c r="B241" s="168"/>
      <c r="E241" s="164"/>
      <c r="F241" s="164"/>
    </row>
    <row r="242" spans="2:6">
      <c r="B242" s="168"/>
      <c r="E242" s="164"/>
      <c r="F242" s="164"/>
    </row>
    <row r="243" spans="2:6">
      <c r="B243" s="168"/>
      <c r="E243" s="164"/>
      <c r="F243" s="164"/>
    </row>
    <row r="244" spans="2:6">
      <c r="B244" s="168"/>
      <c r="E244" s="164"/>
      <c r="F244" s="164"/>
    </row>
    <row r="245" spans="2:6">
      <c r="B245" s="168"/>
      <c r="E245" s="164"/>
      <c r="F245" s="164"/>
    </row>
    <row r="246" spans="2:6">
      <c r="B246" s="168"/>
      <c r="E246" s="164"/>
      <c r="F246" s="164"/>
    </row>
    <row r="247" spans="2:6">
      <c r="B247" s="168"/>
      <c r="E247" s="164"/>
      <c r="F247" s="164"/>
    </row>
  </sheetData>
  <mergeCells count="3">
    <mergeCell ref="J48:M48"/>
    <mergeCell ref="N48:P48"/>
    <mergeCell ref="R48:S48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W34"/>
  <sheetViews>
    <sheetView showGridLines="0" zoomScale="90" zoomScaleNormal="90" zoomScaleSheetLayoutView="100" workbookViewId="0">
      <selection activeCell="G9" sqref="G9"/>
    </sheetView>
  </sheetViews>
  <sheetFormatPr defaultColWidth="0" defaultRowHeight="13.5" zeroHeight="1"/>
  <cols>
    <col min="1" max="1" width="1" style="59" customWidth="1"/>
    <col min="2" max="2" width="11.5703125" style="59" customWidth="1"/>
    <col min="3" max="6" width="9.140625" style="59" customWidth="1"/>
    <col min="7" max="7" width="7.140625" style="59" customWidth="1"/>
    <col min="8" max="8" width="9.140625" style="59" customWidth="1"/>
    <col min="9" max="9" width="15.5703125" style="59" customWidth="1"/>
    <col min="10" max="10" width="17.5703125" style="59" customWidth="1"/>
    <col min="11" max="11" width="1" style="59" customWidth="1"/>
    <col min="12" max="13" width="0" style="59" hidden="1" customWidth="1"/>
    <col min="14" max="16384" width="9.140625" style="59" hidden="1"/>
  </cols>
  <sheetData>
    <row r="1" spans="2:10" s="74" customFormat="1" ht="15">
      <c r="B1" s="21" t="str">
        <f>Index!B1</f>
        <v>ABC &amp; Co.</v>
      </c>
      <c r="C1" s="90"/>
      <c r="J1" s="75" t="str">
        <f>Index!F20</f>
        <v>B.S.01 - 5</v>
      </c>
    </row>
    <row r="2" spans="2:10" s="74" customFormat="1" ht="15">
      <c r="B2" s="22" t="str">
        <f>Index!B2</f>
        <v>(Chartered Accountants)</v>
      </c>
      <c r="C2" s="90"/>
      <c r="F2" s="76"/>
      <c r="H2" s="64"/>
    </row>
    <row r="3" spans="2:10" s="74" customFormat="1">
      <c r="B3" s="26"/>
      <c r="C3" s="90"/>
      <c r="F3" s="76"/>
      <c r="J3" s="2"/>
    </row>
    <row r="4" spans="2:10" s="77" customFormat="1" ht="15">
      <c r="B4" s="3" t="s">
        <v>0</v>
      </c>
      <c r="C4" s="4" t="str">
        <f>Index!D4</f>
        <v>ABC Limited</v>
      </c>
      <c r="E4" s="5"/>
      <c r="H4" s="78"/>
      <c r="I4" s="29" t="str">
        <f>Index!$H$4</f>
        <v>Prepared by:</v>
      </c>
      <c r="J4" s="172" t="s">
        <v>230</v>
      </c>
    </row>
    <row r="5" spans="2:10" s="77" customFormat="1" ht="15">
      <c r="B5" s="3" t="s">
        <v>1</v>
      </c>
      <c r="C5" s="4" t="str">
        <f>Index!D5</f>
        <v>Year ended June 30, 2023</v>
      </c>
      <c r="E5" s="6"/>
      <c r="H5" s="78"/>
      <c r="I5" s="29" t="str">
        <f>Index!$H$5</f>
        <v>Date prepared:</v>
      </c>
      <c r="J5" s="173" t="str">
        <f>IF(Index!$J$5="","",Index!$J$5)</f>
        <v/>
      </c>
    </row>
    <row r="6" spans="2:10" s="77" customFormat="1" ht="15">
      <c r="B6" s="3" t="s">
        <v>2</v>
      </c>
      <c r="C6" s="4" t="str">
        <f>Index!D6</f>
        <v>Property, plant and equipment</v>
      </c>
      <c r="D6" s="79"/>
      <c r="E6" s="79"/>
      <c r="H6" s="78"/>
      <c r="I6" s="29" t="str">
        <f>Index!$H$6</f>
        <v>Reviewed by:</v>
      </c>
      <c r="J6" s="172" t="s">
        <v>231</v>
      </c>
    </row>
    <row r="7" spans="2:10" s="77" customFormat="1" ht="15">
      <c r="B7" s="3" t="s">
        <v>67</v>
      </c>
      <c r="C7" s="4" t="str">
        <f>Lead!B29</f>
        <v>Operating fixed assets</v>
      </c>
      <c r="E7" s="6"/>
      <c r="H7" s="78"/>
      <c r="I7" s="29" t="str">
        <f>Index!$H$7</f>
        <v>Date reviewed:</v>
      </c>
      <c r="J7" s="173" t="str">
        <f>IF(Index!$J$7="","",Index!$J$7)</f>
        <v/>
      </c>
    </row>
    <row r="8" spans="2:10" s="77" customFormat="1" ht="15">
      <c r="B8" s="59"/>
      <c r="C8" s="4"/>
      <c r="E8" s="6"/>
      <c r="I8" s="78"/>
      <c r="J8" s="7"/>
    </row>
    <row r="9" spans="2:10" s="74" customFormat="1" ht="15" customHeight="1">
      <c r="B9" s="64" t="s">
        <v>150</v>
      </c>
      <c r="C9" s="181"/>
      <c r="D9" s="181"/>
      <c r="E9" s="181"/>
      <c r="F9" s="181"/>
      <c r="G9" s="49"/>
      <c r="H9" s="49"/>
      <c r="I9" s="49"/>
      <c r="J9" s="49"/>
    </row>
    <row r="10" spans="2:10" s="74" customFormat="1" ht="15">
      <c r="B10" s="80"/>
      <c r="C10" s="80"/>
      <c r="D10" s="80"/>
      <c r="E10" s="80"/>
      <c r="F10" s="80"/>
      <c r="G10" s="49"/>
      <c r="H10" s="49"/>
      <c r="I10" s="49"/>
      <c r="J10" s="49"/>
    </row>
    <row r="11" spans="2:10">
      <c r="B11" s="183" t="s">
        <v>74</v>
      </c>
      <c r="C11" s="184"/>
      <c r="D11" s="184"/>
      <c r="E11" s="184"/>
      <c r="F11" s="184"/>
      <c r="G11" s="184"/>
      <c r="H11" s="184"/>
      <c r="I11" s="184"/>
      <c r="J11" s="185"/>
    </row>
    <row r="12" spans="2:10" ht="15">
      <c r="B12" s="58"/>
    </row>
    <row r="13" spans="2:10">
      <c r="B13" s="255" t="s">
        <v>45</v>
      </c>
      <c r="C13" s="255"/>
      <c r="D13" s="255"/>
      <c r="E13" s="255"/>
      <c r="F13" s="255"/>
      <c r="G13" s="255"/>
      <c r="H13" s="255"/>
      <c r="I13" s="255"/>
      <c r="J13" s="255"/>
    </row>
    <row r="14" spans="2:10"/>
    <row r="15" spans="2:10" ht="15">
      <c r="B15" s="64" t="s">
        <v>32</v>
      </c>
    </row>
    <row r="16" spans="2:10">
      <c r="B16" s="254" t="s">
        <v>72</v>
      </c>
      <c r="C16" s="254"/>
      <c r="D16" s="254"/>
      <c r="E16" s="254"/>
      <c r="F16" s="254"/>
      <c r="G16" s="254"/>
      <c r="H16" s="254"/>
      <c r="I16" s="254"/>
      <c r="J16" s="254"/>
    </row>
    <row r="17" spans="2:23">
      <c r="B17" s="254"/>
      <c r="C17" s="254"/>
      <c r="D17" s="254"/>
      <c r="E17" s="254"/>
      <c r="F17" s="254"/>
      <c r="G17" s="254"/>
      <c r="H17" s="254"/>
      <c r="I17" s="254"/>
      <c r="J17" s="254"/>
    </row>
    <row r="18" spans="2:23">
      <c r="B18" s="95" t="s">
        <v>46</v>
      </c>
      <c r="C18" s="93"/>
      <c r="D18" s="93"/>
      <c r="E18" s="93"/>
      <c r="F18" s="93"/>
      <c r="G18" s="93"/>
      <c r="H18" s="93"/>
      <c r="I18" s="93"/>
      <c r="J18" s="93"/>
    </row>
    <row r="19" spans="2:23">
      <c r="B19" s="95" t="s">
        <v>47</v>
      </c>
      <c r="C19" s="93"/>
      <c r="D19" s="93"/>
      <c r="E19" s="93"/>
      <c r="F19" s="93"/>
      <c r="G19" s="93"/>
      <c r="H19" s="93"/>
      <c r="I19" s="93"/>
      <c r="J19" s="93"/>
    </row>
    <row r="20" spans="2:23">
      <c r="B20" s="95" t="s">
        <v>48</v>
      </c>
    </row>
    <row r="21" spans="2:23"/>
    <row r="22" spans="2:23">
      <c r="B22" s="254" t="s">
        <v>49</v>
      </c>
      <c r="C22" s="254"/>
      <c r="D22" s="254"/>
      <c r="E22" s="254"/>
      <c r="F22" s="254"/>
      <c r="G22" s="254"/>
      <c r="H22" s="254"/>
      <c r="I22" s="254"/>
      <c r="J22" s="254"/>
    </row>
    <row r="23" spans="2:23">
      <c r="B23" s="254"/>
      <c r="C23" s="254"/>
      <c r="D23" s="254"/>
      <c r="E23" s="254"/>
      <c r="F23" s="254"/>
      <c r="G23" s="254"/>
      <c r="H23" s="254"/>
      <c r="I23" s="254"/>
      <c r="J23" s="254"/>
    </row>
    <row r="24" spans="2:23">
      <c r="B24" s="94"/>
      <c r="C24" s="94"/>
      <c r="D24" s="94"/>
      <c r="E24" s="94"/>
      <c r="F24" s="94"/>
      <c r="G24" s="94"/>
      <c r="H24" s="94"/>
      <c r="I24" s="94"/>
      <c r="J24" s="94"/>
    </row>
    <row r="25" spans="2:23" ht="15">
      <c r="B25" s="96" t="s">
        <v>73</v>
      </c>
      <c r="C25" s="94"/>
      <c r="D25" s="94"/>
      <c r="E25" s="94"/>
      <c r="F25" s="94"/>
      <c r="G25" s="94"/>
      <c r="H25" s="94"/>
      <c r="I25" s="94"/>
      <c r="J25" s="94"/>
    </row>
    <row r="26" spans="2:23" ht="15">
      <c r="B26" s="96"/>
      <c r="C26" s="94"/>
      <c r="D26" s="94"/>
      <c r="E26" s="94"/>
      <c r="F26" s="94"/>
      <c r="G26" s="94"/>
      <c r="H26" s="94"/>
      <c r="I26" s="94"/>
      <c r="J26" s="94"/>
    </row>
    <row r="27" spans="2:23" ht="15">
      <c r="B27" s="97" t="s">
        <v>232</v>
      </c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</row>
    <row r="28" spans="2:23">
      <c r="B28" s="59" t="s">
        <v>233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</row>
    <row r="29" spans="2:23"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</row>
    <row r="30" spans="2:23" ht="15">
      <c r="B30" s="97" t="s">
        <v>62</v>
      </c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</row>
    <row r="31" spans="2:23">
      <c r="B31" s="59" t="s">
        <v>61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</row>
    <row r="32" spans="2:23"/>
    <row r="33"/>
    <row r="34"/>
  </sheetData>
  <mergeCells count="3">
    <mergeCell ref="B16:J17"/>
    <mergeCell ref="B13:J13"/>
    <mergeCell ref="B22:J23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BH76"/>
  <sheetViews>
    <sheetView showGridLines="0" zoomScale="90" zoomScaleNormal="90" zoomScaleSheetLayoutView="100" workbookViewId="0">
      <selection activeCell="F20" sqref="F20"/>
    </sheetView>
  </sheetViews>
  <sheetFormatPr defaultColWidth="0" defaultRowHeight="13.5" zeroHeight="1"/>
  <cols>
    <col min="1" max="1" width="1" style="59" customWidth="1"/>
    <col min="2" max="2" width="11.28515625" style="59" customWidth="1"/>
    <col min="3" max="3" width="12.28515625" style="59" customWidth="1"/>
    <col min="4" max="5" width="34.42578125" style="59" customWidth="1"/>
    <col min="6" max="6" width="19.140625" style="176" customWidth="1"/>
    <col min="7" max="8" width="13.5703125" style="60" customWidth="1"/>
    <col min="9" max="9" width="13.5703125" style="61" customWidth="1"/>
    <col min="10" max="24" width="13.5703125" style="60" customWidth="1"/>
    <col min="25" max="25" width="14.5703125" style="60" customWidth="1"/>
    <col min="26" max="27" width="16.140625" style="60" customWidth="1"/>
    <col min="28" max="28" width="0.85546875" style="59" customWidth="1"/>
    <col min="29" max="38" width="9.140625" style="59" hidden="1" customWidth="1"/>
    <col min="39" max="60" width="0" style="59" hidden="1" customWidth="1"/>
    <col min="61" max="16384" width="9.140625" style="59" hidden="1"/>
  </cols>
  <sheetData>
    <row r="1" spans="2:27" ht="15">
      <c r="B1" s="58" t="str">
        <f>SubLead!B1</f>
        <v>ABC &amp; Co.</v>
      </c>
      <c r="Y1" s="59"/>
      <c r="AA1" s="62" t="str">
        <f>Index!F22</f>
        <v>B.S.01 - 6</v>
      </c>
    </row>
    <row r="2" spans="2:27">
      <c r="B2" s="59" t="str">
        <f>SubLead!B2</f>
        <v>(Chartered Accountants)</v>
      </c>
      <c r="Y2" s="59"/>
      <c r="AA2" s="59"/>
    </row>
    <row r="3" spans="2:27" ht="15">
      <c r="B3" s="58"/>
    </row>
    <row r="4" spans="2:27" ht="15">
      <c r="B4" s="58" t="str">
        <f>SubLead!B4</f>
        <v xml:space="preserve">Client: </v>
      </c>
      <c r="C4" s="58" t="str">
        <f>Index!D4</f>
        <v>ABC Limited</v>
      </c>
    </row>
    <row r="5" spans="2:27" ht="15">
      <c r="B5" s="58" t="str">
        <f>SubLead!B5</f>
        <v>Period:</v>
      </c>
      <c r="C5" s="58" t="str">
        <f>Index!D5</f>
        <v>Year ended June 30, 2023</v>
      </c>
      <c r="Z5" s="29" t="str">
        <f>Index!$H$4</f>
        <v>Prepared by:</v>
      </c>
      <c r="AA5" s="172" t="s">
        <v>230</v>
      </c>
    </row>
    <row r="6" spans="2:27" ht="15">
      <c r="B6" s="58" t="str">
        <f>SubLead!B6</f>
        <v>Head:</v>
      </c>
      <c r="C6" s="58" t="str">
        <f>Index!D6</f>
        <v>Property, plant and equipment</v>
      </c>
      <c r="Z6" s="29" t="str">
        <f>Index!$H$5</f>
        <v>Date prepared:</v>
      </c>
      <c r="AA6" s="173" t="str">
        <f>IF(Index!$J$5="","",Index!$J$5)</f>
        <v/>
      </c>
    </row>
    <row r="7" spans="2:27" ht="15">
      <c r="B7" s="58" t="str">
        <f>SubLead!B7</f>
        <v>Sub Head:</v>
      </c>
      <c r="C7" s="58" t="str">
        <f>Lead!B29</f>
        <v>Operating fixed assets</v>
      </c>
      <c r="Z7" s="29" t="str">
        <f>Index!$H$6</f>
        <v>Reviewed by:</v>
      </c>
      <c r="AA7" s="172" t="s">
        <v>231</v>
      </c>
    </row>
    <row r="8" spans="2:27" ht="15">
      <c r="B8" s="58"/>
      <c r="C8" s="58"/>
      <c r="Z8" s="29" t="str">
        <f>Index!$H$7</f>
        <v>Date reviewed:</v>
      </c>
      <c r="AA8" s="173" t="str">
        <f>IF(Index!$J$7="","",Index!$J$7)</f>
        <v/>
      </c>
    </row>
    <row r="9" spans="2:27" ht="15">
      <c r="B9" s="58" t="s">
        <v>96</v>
      </c>
      <c r="C9" s="58"/>
      <c r="D9" s="58"/>
      <c r="E9" s="58"/>
      <c r="F9" s="175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2:27" ht="15">
      <c r="B10" s="58"/>
      <c r="C10" s="58"/>
      <c r="D10" s="58"/>
      <c r="E10" s="58"/>
      <c r="F10" s="175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2:27" ht="15">
      <c r="B11" s="64" t="s">
        <v>32</v>
      </c>
      <c r="C11" s="64"/>
    </row>
    <row r="12" spans="2:27" ht="15">
      <c r="B12" s="65" t="s">
        <v>36</v>
      </c>
      <c r="C12" s="64"/>
    </row>
    <row r="13" spans="2:27" ht="15">
      <c r="B13" s="65" t="s">
        <v>37</v>
      </c>
      <c r="C13" s="64"/>
    </row>
    <row r="14" spans="2:27" ht="15">
      <c r="B14" s="65" t="s">
        <v>144</v>
      </c>
      <c r="C14" s="64"/>
    </row>
    <row r="15" spans="2:27" ht="15">
      <c r="B15" s="65" t="s">
        <v>145</v>
      </c>
      <c r="C15" s="64"/>
    </row>
    <row r="16" spans="2:27" ht="15">
      <c r="B16" s="65" t="s">
        <v>168</v>
      </c>
      <c r="C16" s="64"/>
    </row>
    <row r="17" spans="2:27" ht="15">
      <c r="B17" s="96"/>
      <c r="C17" s="94"/>
      <c r="D17" s="94"/>
      <c r="E17" s="94"/>
      <c r="F17" s="177"/>
      <c r="G17" s="94"/>
      <c r="H17" s="94"/>
      <c r="I17" s="94"/>
      <c r="J17" s="94"/>
      <c r="K17" s="94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 spans="2:27" ht="15">
      <c r="B18" s="97" t="s">
        <v>232</v>
      </c>
      <c r="E18" s="72" t="s">
        <v>238</v>
      </c>
      <c r="F18" s="163">
        <f>SUM(F25:F97)</f>
        <v>0</v>
      </c>
      <c r="G18" s="233"/>
      <c r="H18" s="59"/>
      <c r="I18" s="59"/>
      <c r="J18" s="59"/>
      <c r="K18" s="59"/>
      <c r="L18" s="59"/>
      <c r="Y18" s="59"/>
      <c r="Z18" s="59"/>
      <c r="AA18" s="59"/>
    </row>
    <row r="19" spans="2:27">
      <c r="B19" s="59" t="s">
        <v>233</v>
      </c>
      <c r="E19" s="72" t="s">
        <v>235</v>
      </c>
      <c r="F19" s="163"/>
      <c r="G19" s="52" t="str">
        <f>Lead!M1</f>
        <v>B.S.01 - 2</v>
      </c>
      <c r="H19" s="59"/>
      <c r="I19" s="59"/>
      <c r="J19" s="59"/>
      <c r="K19" s="59"/>
      <c r="L19" s="59"/>
      <c r="Y19" s="59"/>
      <c r="Z19" s="59"/>
      <c r="AA19" s="59"/>
    </row>
    <row r="20" spans="2:27">
      <c r="E20" s="72" t="s">
        <v>236</v>
      </c>
      <c r="F20" s="147" t="str">
        <f>IFERROR(F18/F19,"")</f>
        <v/>
      </c>
      <c r="G20" s="233"/>
      <c r="H20" s="59"/>
      <c r="I20" s="59"/>
      <c r="J20" s="59"/>
      <c r="K20" s="59"/>
      <c r="L20" s="59"/>
      <c r="Y20" s="59"/>
      <c r="Z20" s="59"/>
      <c r="AA20" s="59"/>
    </row>
    <row r="21" spans="2:27" ht="15">
      <c r="B21" s="97" t="s">
        <v>62</v>
      </c>
      <c r="E21" s="72" t="s">
        <v>244</v>
      </c>
      <c r="F21" s="234" t="s">
        <v>245</v>
      </c>
      <c r="G21" s="233"/>
      <c r="H21" s="59"/>
      <c r="I21" s="59"/>
      <c r="J21" s="59"/>
      <c r="K21" s="59"/>
      <c r="L21" s="59"/>
      <c r="Y21" s="59"/>
      <c r="Z21" s="59"/>
      <c r="AA21" s="59"/>
    </row>
    <row r="22" spans="2:27">
      <c r="B22" s="59" t="s">
        <v>61</v>
      </c>
      <c r="E22" s="72" t="s">
        <v>246</v>
      </c>
      <c r="F22" s="163"/>
      <c r="G22" s="233"/>
      <c r="H22" s="59"/>
      <c r="I22" s="59"/>
      <c r="J22" s="59"/>
      <c r="K22" s="59"/>
      <c r="L22" s="59"/>
      <c r="Y22" s="59"/>
      <c r="Z22" s="59"/>
      <c r="AA22" s="59"/>
    </row>
    <row r="23" spans="2:27"/>
    <row r="24" spans="2:27" s="46" customFormat="1" ht="45">
      <c r="B24" s="66" t="s">
        <v>51</v>
      </c>
      <c r="C24" s="66" t="s">
        <v>52</v>
      </c>
      <c r="D24" s="66" t="s">
        <v>53</v>
      </c>
      <c r="E24" s="66" t="s">
        <v>75</v>
      </c>
      <c r="F24" s="178" t="s">
        <v>237</v>
      </c>
      <c r="G24" s="67" t="s">
        <v>50</v>
      </c>
      <c r="H24" s="67" t="s">
        <v>77</v>
      </c>
      <c r="I24" s="68" t="s">
        <v>76</v>
      </c>
      <c r="J24" s="67" t="s">
        <v>84</v>
      </c>
      <c r="K24" s="67" t="s">
        <v>85</v>
      </c>
      <c r="L24" s="67" t="s">
        <v>83</v>
      </c>
      <c r="M24" s="67" t="s">
        <v>78</v>
      </c>
      <c r="N24" s="67" t="s">
        <v>79</v>
      </c>
      <c r="O24" s="67" t="s">
        <v>86</v>
      </c>
      <c r="P24" s="67" t="s">
        <v>164</v>
      </c>
      <c r="Q24" s="67" t="s">
        <v>94</v>
      </c>
      <c r="R24" s="67" t="s">
        <v>95</v>
      </c>
      <c r="S24" s="67" t="s">
        <v>92</v>
      </c>
      <c r="T24" s="67" t="s">
        <v>93</v>
      </c>
      <c r="U24" s="67" t="s">
        <v>87</v>
      </c>
      <c r="V24" s="67" t="s">
        <v>88</v>
      </c>
      <c r="W24" s="67" t="s">
        <v>89</v>
      </c>
      <c r="X24" s="67" t="s">
        <v>90</v>
      </c>
      <c r="Y24" s="67" t="s">
        <v>82</v>
      </c>
      <c r="Z24" s="67" t="s">
        <v>80</v>
      </c>
      <c r="AA24" s="67" t="s">
        <v>81</v>
      </c>
    </row>
    <row r="25" spans="2:27">
      <c r="F25" s="235"/>
      <c r="I25" s="236"/>
    </row>
    <row r="26" spans="2:27">
      <c r="B26" s="72"/>
      <c r="C26" s="72"/>
      <c r="D26" s="72"/>
      <c r="E26" s="72"/>
      <c r="F26" s="179"/>
      <c r="G26" s="52"/>
      <c r="H26" s="52"/>
      <c r="I26" s="73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 spans="2:27">
      <c r="B27" s="72"/>
      <c r="C27" s="72"/>
      <c r="D27" s="72"/>
      <c r="E27" s="72"/>
      <c r="F27" s="179"/>
      <c r="G27" s="52"/>
      <c r="H27" s="52"/>
      <c r="I27" s="73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 spans="2:27">
      <c r="B28" s="72"/>
      <c r="C28" s="72"/>
      <c r="D28" s="72"/>
      <c r="E28" s="72"/>
      <c r="F28" s="179"/>
      <c r="G28" s="52"/>
      <c r="H28" s="52"/>
      <c r="I28" s="73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 spans="2:27">
      <c r="B29" s="72"/>
      <c r="C29" s="72"/>
      <c r="D29" s="72"/>
      <c r="E29" s="72"/>
      <c r="F29" s="179"/>
      <c r="G29" s="52"/>
      <c r="H29" s="52"/>
      <c r="I29" s="73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2:27">
      <c r="B30" s="72"/>
      <c r="C30" s="72"/>
      <c r="D30" s="72"/>
      <c r="E30" s="72"/>
      <c r="F30" s="179"/>
      <c r="G30" s="52"/>
      <c r="H30" s="52"/>
      <c r="I30" s="73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2:27">
      <c r="B31" s="72"/>
      <c r="C31" s="72"/>
      <c r="D31" s="72"/>
      <c r="E31" s="72"/>
      <c r="F31" s="179"/>
      <c r="G31" s="52"/>
      <c r="H31" s="52"/>
      <c r="I31" s="73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 spans="2:27">
      <c r="B32" s="72"/>
      <c r="C32" s="72"/>
      <c r="D32" s="72"/>
      <c r="E32" s="72"/>
      <c r="F32" s="179"/>
      <c r="G32" s="52"/>
      <c r="H32" s="52"/>
      <c r="I32" s="73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 spans="2:27">
      <c r="B33" s="72"/>
      <c r="C33" s="72"/>
      <c r="D33" s="72"/>
      <c r="E33" s="72"/>
      <c r="F33" s="179"/>
      <c r="G33" s="52"/>
      <c r="H33" s="52"/>
      <c r="I33" s="73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2:27">
      <c r="B34" s="72"/>
      <c r="C34" s="72"/>
      <c r="D34" s="72"/>
      <c r="E34" s="72"/>
      <c r="F34" s="179"/>
      <c r="G34" s="52"/>
      <c r="H34" s="52"/>
      <c r="I34" s="73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spans="2:27">
      <c r="B35" s="72"/>
      <c r="C35" s="72"/>
      <c r="D35" s="72"/>
      <c r="E35" s="72"/>
      <c r="F35" s="179"/>
      <c r="G35" s="52"/>
      <c r="H35" s="52"/>
      <c r="I35" s="73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 spans="2:27">
      <c r="B36" s="72"/>
      <c r="C36" s="72"/>
      <c r="D36" s="72"/>
      <c r="E36" s="72"/>
      <c r="F36" s="179"/>
      <c r="G36" s="52"/>
      <c r="H36" s="52"/>
      <c r="I36" s="73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 spans="2:27">
      <c r="B37" s="72"/>
      <c r="C37" s="72"/>
      <c r="D37" s="72"/>
      <c r="E37" s="72"/>
      <c r="F37" s="179"/>
      <c r="G37" s="52"/>
      <c r="H37" s="52"/>
      <c r="I37" s="73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 spans="2:27">
      <c r="B38" s="72"/>
      <c r="C38" s="72"/>
      <c r="D38" s="72"/>
      <c r="E38" s="72"/>
      <c r="F38" s="179"/>
      <c r="G38" s="52"/>
      <c r="H38" s="52"/>
      <c r="I38" s="73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 spans="2:27">
      <c r="B39" s="72"/>
      <c r="C39" s="72"/>
      <c r="D39" s="72"/>
      <c r="E39" s="72"/>
      <c r="F39" s="179"/>
      <c r="G39" s="52"/>
      <c r="H39" s="52"/>
      <c r="I39" s="73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 spans="2:27">
      <c r="B40" s="72"/>
      <c r="C40" s="72"/>
      <c r="D40" s="72"/>
      <c r="E40" s="72"/>
      <c r="F40" s="179"/>
      <c r="G40" s="52"/>
      <c r="H40" s="52"/>
      <c r="I40" s="73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 spans="2:27">
      <c r="B41" s="72"/>
      <c r="C41" s="72"/>
      <c r="D41" s="72"/>
      <c r="E41" s="72"/>
      <c r="F41" s="179"/>
      <c r="G41" s="52"/>
      <c r="H41" s="52"/>
      <c r="I41" s="73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 spans="2:27">
      <c r="B42" s="72"/>
      <c r="C42" s="72"/>
      <c r="D42" s="72"/>
      <c r="E42" s="72"/>
      <c r="F42" s="179"/>
      <c r="G42" s="52"/>
      <c r="H42" s="52"/>
      <c r="I42" s="73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 spans="2:27">
      <c r="B43" s="72"/>
      <c r="C43" s="72"/>
      <c r="D43" s="72"/>
      <c r="E43" s="72"/>
      <c r="F43" s="179"/>
      <c r="G43" s="52"/>
      <c r="H43" s="52"/>
      <c r="I43" s="73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 spans="2:27">
      <c r="B44" s="72"/>
      <c r="C44" s="72"/>
      <c r="D44" s="72"/>
      <c r="E44" s="72"/>
      <c r="F44" s="179"/>
      <c r="G44" s="52"/>
      <c r="H44" s="52"/>
      <c r="I44" s="73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 spans="2:27">
      <c r="B45" s="72"/>
      <c r="C45" s="72"/>
      <c r="D45" s="72"/>
      <c r="E45" s="72"/>
      <c r="F45" s="179"/>
      <c r="G45" s="52"/>
      <c r="H45" s="52"/>
      <c r="I45" s="73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 spans="2:27">
      <c r="B46" s="72"/>
      <c r="C46" s="72"/>
      <c r="D46" s="72"/>
      <c r="E46" s="72"/>
      <c r="F46" s="179"/>
      <c r="G46" s="52"/>
      <c r="H46" s="52"/>
      <c r="I46" s="73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 spans="2:27">
      <c r="B47" s="72"/>
      <c r="C47" s="72"/>
      <c r="D47" s="72"/>
      <c r="E47" s="72"/>
      <c r="F47" s="179"/>
      <c r="G47" s="52"/>
      <c r="H47" s="52"/>
      <c r="I47" s="73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 spans="2:27">
      <c r="B48" s="72"/>
      <c r="C48" s="72"/>
      <c r="D48" s="72"/>
      <c r="E48" s="72"/>
      <c r="F48" s="179"/>
      <c r="G48" s="52"/>
      <c r="H48" s="52"/>
      <c r="I48" s="73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 spans="2:27">
      <c r="B49" s="72"/>
      <c r="C49" s="72"/>
      <c r="D49" s="72"/>
      <c r="E49" s="72"/>
      <c r="F49" s="179"/>
      <c r="G49" s="52"/>
      <c r="H49" s="52"/>
      <c r="I49" s="73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 spans="2:27">
      <c r="B50" s="72"/>
      <c r="C50" s="72"/>
      <c r="D50" s="72"/>
      <c r="E50" s="72"/>
      <c r="F50" s="179"/>
      <c r="G50" s="52"/>
      <c r="H50" s="52"/>
      <c r="I50" s="73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 spans="2:27">
      <c r="B51" s="72"/>
      <c r="C51" s="72"/>
      <c r="D51" s="72"/>
      <c r="E51" s="72"/>
      <c r="F51" s="179"/>
      <c r="G51" s="52"/>
      <c r="H51" s="52"/>
      <c r="I51" s="73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 spans="2:27">
      <c r="B52" s="72"/>
      <c r="C52" s="72"/>
      <c r="D52" s="72"/>
      <c r="E52" s="72"/>
      <c r="F52" s="179"/>
      <c r="G52" s="52"/>
      <c r="H52" s="52"/>
      <c r="I52" s="73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 spans="2:27"/>
    <row r="54" spans="2:27"/>
    <row r="55" spans="2:27"/>
    <row r="56" spans="2:27"/>
    <row r="63" spans="2:27"/>
    <row r="64" spans="2:27"/>
    <row r="65"/>
    <row r="66"/>
    <row r="67"/>
    <row r="68"/>
    <row r="69"/>
    <row r="70"/>
    <row r="71"/>
    <row r="72"/>
    <row r="73"/>
    <row r="74"/>
    <row r="75"/>
    <row r="76"/>
  </sheetData>
  <printOptions horizontalCentered="1"/>
  <pageMargins left="0.25" right="0.25" top="0.75" bottom="0.75" header="0.3" footer="0.3"/>
  <pageSetup scale="70" fitToWidth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BG61"/>
  <sheetViews>
    <sheetView showGridLines="0" topLeftCell="J1" zoomScale="90" zoomScaleNormal="90" zoomScaleSheetLayoutView="100" workbookViewId="0">
      <selection activeCell="B9" sqref="B9"/>
    </sheetView>
  </sheetViews>
  <sheetFormatPr defaultColWidth="0" defaultRowHeight="13.5" zeroHeight="1"/>
  <cols>
    <col min="1" max="1" width="1" style="59" customWidth="1"/>
    <col min="2" max="2" width="11.28515625" style="59" customWidth="1"/>
    <col min="3" max="3" width="12.28515625" style="59" customWidth="1"/>
    <col min="4" max="5" width="34.42578125" style="59" customWidth="1"/>
    <col min="6" max="7" width="14.5703125" style="60" customWidth="1"/>
    <col min="8" max="8" width="14.5703125" style="61" customWidth="1"/>
    <col min="9" max="9" width="17.140625" style="60" customWidth="1"/>
    <col min="10" max="13" width="14.5703125" style="60" customWidth="1"/>
    <col min="14" max="14" width="16.42578125" style="60" customWidth="1"/>
    <col min="15" max="15" width="16.7109375" style="60" customWidth="1"/>
    <col min="16" max="19" width="14.5703125" style="60" customWidth="1"/>
    <col min="20" max="20" width="16.85546875" style="60" customWidth="1"/>
    <col min="21" max="21" width="17" style="60" customWidth="1"/>
    <col min="22" max="22" width="14.5703125" style="60" customWidth="1"/>
    <col min="23" max="23" width="1" style="59" customWidth="1"/>
    <col min="24" max="33" width="9.140625" style="59" hidden="1" customWidth="1"/>
    <col min="34" max="59" width="0" style="59" hidden="1" customWidth="1"/>
    <col min="60" max="16384" width="9.140625" style="59" hidden="1"/>
  </cols>
  <sheetData>
    <row r="1" spans="2:26" ht="15">
      <c r="B1" s="58" t="str">
        <f>SubLead!B1</f>
        <v>ABC &amp; Co.</v>
      </c>
      <c r="V1" s="62" t="str">
        <f>Index!F24</f>
        <v>B.S.01 - 7</v>
      </c>
    </row>
    <row r="2" spans="2:26">
      <c r="B2" s="59" t="str">
        <f>SubLead!B2</f>
        <v>(Chartered Accountants)</v>
      </c>
      <c r="V2" s="59"/>
    </row>
    <row r="3" spans="2:26" ht="15">
      <c r="B3" s="58"/>
    </row>
    <row r="4" spans="2:26" ht="15">
      <c r="B4" s="58" t="str">
        <f>SubLead!B4</f>
        <v xml:space="preserve">Client: </v>
      </c>
      <c r="C4" s="58" t="str">
        <f>SubLead!C4</f>
        <v>ABC Limited</v>
      </c>
      <c r="U4" s="29" t="str">
        <f>Index!$H$4</f>
        <v>Prepared by:</v>
      </c>
      <c r="V4" s="172" t="str">
        <f>IF(Index!$J$4="","",Index!$J$4)</f>
        <v/>
      </c>
    </row>
    <row r="5" spans="2:26" ht="15">
      <c r="B5" s="58" t="str">
        <f>SubLead!B5</f>
        <v>Period:</v>
      </c>
      <c r="C5" s="58" t="str">
        <f>SubLead!C5</f>
        <v>Year ended June 30, 2023</v>
      </c>
      <c r="U5" s="29" t="str">
        <f>Index!$H$5</f>
        <v>Date prepared:</v>
      </c>
      <c r="V5" s="173" t="str">
        <f>IF(Index!$J$5="","",Index!$J$5)</f>
        <v/>
      </c>
    </row>
    <row r="6" spans="2:26" ht="15">
      <c r="B6" s="58" t="str">
        <f>SubLead!B6</f>
        <v>Head:</v>
      </c>
      <c r="C6" s="58" t="str">
        <f>SubLead!C6</f>
        <v>Property, plant and equipment</v>
      </c>
      <c r="U6" s="29" t="str">
        <f>Index!$H$6</f>
        <v>Reviewed by:</v>
      </c>
      <c r="V6" s="172" t="str">
        <f>IF(Index!$J$6="","",Index!$J$6)</f>
        <v/>
      </c>
    </row>
    <row r="7" spans="2:26" ht="15">
      <c r="B7" s="58" t="str">
        <f>SubLead!B7</f>
        <v>Sub Head:</v>
      </c>
      <c r="C7" s="58" t="str">
        <f>SubLead!C7</f>
        <v>Operating fixed assets</v>
      </c>
      <c r="U7" s="29" t="str">
        <f>Index!$H$7</f>
        <v>Date reviewed:</v>
      </c>
      <c r="V7" s="173" t="str">
        <f>IF(Index!$J$7="","",Index!$J$7)</f>
        <v/>
      </c>
    </row>
    <row r="8" spans="2:26" ht="15">
      <c r="B8" s="58"/>
      <c r="C8" s="58"/>
    </row>
    <row r="9" spans="2:26" ht="15">
      <c r="B9" s="58" t="s">
        <v>97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</row>
    <row r="10" spans="2:26" ht="15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</row>
    <row r="11" spans="2:26" ht="15">
      <c r="B11" s="64" t="s">
        <v>32</v>
      </c>
      <c r="C11" s="64"/>
    </row>
    <row r="12" spans="2:26" ht="15">
      <c r="B12" s="65" t="s">
        <v>146</v>
      </c>
      <c r="C12" s="64"/>
      <c r="W12" s="60"/>
      <c r="X12" s="60"/>
      <c r="Y12" s="60"/>
      <c r="Z12" s="60"/>
    </row>
    <row r="13" spans="2:26" ht="15">
      <c r="B13" s="65" t="s">
        <v>37</v>
      </c>
      <c r="C13" s="64"/>
      <c r="W13" s="60"/>
      <c r="X13" s="60"/>
      <c r="Y13" s="60"/>
      <c r="Z13" s="60"/>
    </row>
    <row r="14" spans="2:26" ht="15">
      <c r="B14" s="65" t="s">
        <v>144</v>
      </c>
      <c r="C14" s="64"/>
      <c r="W14" s="60"/>
      <c r="X14" s="60"/>
      <c r="Y14" s="60"/>
      <c r="Z14" s="60"/>
    </row>
    <row r="15" spans="2:26" ht="15">
      <c r="B15" s="65" t="s">
        <v>147</v>
      </c>
      <c r="C15" s="64"/>
      <c r="W15" s="60"/>
      <c r="X15" s="60"/>
      <c r="Y15" s="60"/>
      <c r="Z15" s="60"/>
    </row>
    <row r="16" spans="2:26" ht="15">
      <c r="B16" s="65" t="s">
        <v>91</v>
      </c>
      <c r="C16" s="64"/>
    </row>
    <row r="17" spans="2:24" ht="15">
      <c r="B17" s="96"/>
      <c r="C17" s="94"/>
      <c r="D17" s="94"/>
      <c r="E17" s="94"/>
      <c r="F17" s="177"/>
      <c r="G17" s="94"/>
      <c r="H17" s="94"/>
      <c r="I17" s="94"/>
      <c r="J17" s="94"/>
      <c r="K17" s="94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</row>
    <row r="18" spans="2:24" ht="15">
      <c r="B18" s="97" t="s">
        <v>232</v>
      </c>
      <c r="F18" s="176"/>
      <c r="G18" s="59"/>
      <c r="H18" s="59"/>
      <c r="I18" s="59"/>
      <c r="J18" s="59"/>
      <c r="K18" s="59"/>
      <c r="L18" s="59"/>
      <c r="W18" s="60"/>
      <c r="X18" s="60"/>
    </row>
    <row r="19" spans="2:24">
      <c r="B19" s="59" t="s">
        <v>233</v>
      </c>
      <c r="F19" s="176"/>
      <c r="G19" s="59"/>
      <c r="H19" s="59"/>
      <c r="I19" s="59"/>
      <c r="J19" s="59"/>
      <c r="K19" s="59"/>
      <c r="L19" s="59"/>
      <c r="W19" s="60"/>
      <c r="X19" s="60"/>
    </row>
    <row r="20" spans="2:24">
      <c r="F20" s="176"/>
      <c r="G20" s="59"/>
      <c r="H20" s="59"/>
      <c r="I20" s="59"/>
      <c r="J20" s="59"/>
      <c r="K20" s="59"/>
      <c r="L20" s="59"/>
      <c r="W20" s="60"/>
      <c r="X20" s="60"/>
    </row>
    <row r="21" spans="2:24" ht="15">
      <c r="B21" s="97" t="s">
        <v>62</v>
      </c>
      <c r="F21" s="176"/>
      <c r="G21" s="59"/>
      <c r="H21" s="59"/>
      <c r="I21" s="59"/>
      <c r="J21" s="59"/>
      <c r="K21" s="59"/>
      <c r="L21" s="59"/>
      <c r="W21" s="60"/>
      <c r="X21" s="60"/>
    </row>
    <row r="22" spans="2:24">
      <c r="B22" s="59" t="s">
        <v>61</v>
      </c>
      <c r="F22" s="176"/>
      <c r="G22" s="59"/>
      <c r="H22" s="59"/>
      <c r="I22" s="59"/>
      <c r="J22" s="59"/>
      <c r="K22" s="59"/>
      <c r="L22" s="59"/>
      <c r="W22" s="60"/>
      <c r="X22" s="60"/>
    </row>
    <row r="23" spans="2:24">
      <c r="F23" s="176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</row>
    <row r="24" spans="2:24"/>
    <row r="25" spans="2:24" s="46" customFormat="1" ht="45">
      <c r="B25" s="66" t="s">
        <v>51</v>
      </c>
      <c r="C25" s="66" t="s">
        <v>52</v>
      </c>
      <c r="D25" s="66" t="s">
        <v>53</v>
      </c>
      <c r="E25" s="66" t="s">
        <v>98</v>
      </c>
      <c r="F25" s="67" t="s">
        <v>99</v>
      </c>
      <c r="G25" s="67" t="s">
        <v>114</v>
      </c>
      <c r="H25" s="89" t="s">
        <v>113</v>
      </c>
      <c r="I25" s="67" t="s">
        <v>100</v>
      </c>
      <c r="J25" s="67" t="s">
        <v>101</v>
      </c>
      <c r="K25" s="67" t="s">
        <v>102</v>
      </c>
      <c r="L25" s="67" t="s">
        <v>109</v>
      </c>
      <c r="M25" s="67" t="s">
        <v>110</v>
      </c>
      <c r="N25" s="67" t="s">
        <v>112</v>
      </c>
      <c r="O25" s="67" t="s">
        <v>111</v>
      </c>
      <c r="P25" s="67" t="s">
        <v>103</v>
      </c>
      <c r="Q25" s="67" t="s">
        <v>104</v>
      </c>
      <c r="R25" s="67" t="s">
        <v>105</v>
      </c>
      <c r="S25" s="67" t="s">
        <v>106</v>
      </c>
      <c r="T25" s="67" t="s">
        <v>107</v>
      </c>
      <c r="U25" s="67" t="s">
        <v>108</v>
      </c>
      <c r="V25" s="67" t="s">
        <v>105</v>
      </c>
    </row>
    <row r="26" spans="2:24">
      <c r="B26" s="69"/>
      <c r="C26" s="69"/>
      <c r="D26" s="69"/>
      <c r="E26" s="69"/>
      <c r="F26" s="70"/>
      <c r="G26" s="70"/>
      <c r="H26" s="71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</row>
    <row r="27" spans="2:24">
      <c r="B27" s="72"/>
      <c r="C27" s="72"/>
      <c r="D27" s="72"/>
      <c r="E27" s="72"/>
      <c r="F27" s="52"/>
      <c r="G27" s="52"/>
      <c r="H27" s="73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</row>
    <row r="28" spans="2:24">
      <c r="B28" s="72"/>
      <c r="C28" s="72"/>
      <c r="D28" s="72"/>
      <c r="E28" s="72"/>
      <c r="F28" s="52"/>
      <c r="G28" s="52"/>
      <c r="H28" s="73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</row>
    <row r="29" spans="2:24">
      <c r="B29" s="72"/>
      <c r="C29" s="72"/>
      <c r="D29" s="72"/>
      <c r="E29" s="72"/>
      <c r="F29" s="52"/>
      <c r="G29" s="52"/>
      <c r="H29" s="73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</row>
    <row r="30" spans="2:24">
      <c r="B30" s="72"/>
      <c r="C30" s="72"/>
      <c r="D30" s="72"/>
      <c r="E30" s="72"/>
      <c r="F30" s="52"/>
      <c r="G30" s="52"/>
      <c r="H30" s="73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</row>
    <row r="31" spans="2:24">
      <c r="B31" s="72"/>
      <c r="C31" s="72"/>
      <c r="D31" s="72"/>
      <c r="E31" s="72"/>
      <c r="F31" s="52"/>
      <c r="G31" s="52"/>
      <c r="H31" s="73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</row>
    <row r="32" spans="2:24">
      <c r="B32" s="72"/>
      <c r="C32" s="72"/>
      <c r="D32" s="72"/>
      <c r="E32" s="72"/>
      <c r="F32" s="52"/>
      <c r="G32" s="52"/>
      <c r="H32" s="73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</row>
    <row r="33" spans="2:22">
      <c r="B33" s="72"/>
      <c r="C33" s="72"/>
      <c r="D33" s="72"/>
      <c r="E33" s="72"/>
      <c r="F33" s="52"/>
      <c r="G33" s="52"/>
      <c r="H33" s="73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</row>
    <row r="34" spans="2:22">
      <c r="B34" s="72"/>
      <c r="C34" s="72"/>
      <c r="D34" s="72"/>
      <c r="E34" s="72"/>
      <c r="F34" s="52"/>
      <c r="G34" s="52"/>
      <c r="H34" s="73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</row>
    <row r="35" spans="2:22">
      <c r="B35" s="72"/>
      <c r="C35" s="72"/>
      <c r="D35" s="72"/>
      <c r="E35" s="72"/>
      <c r="F35" s="52"/>
      <c r="G35" s="52"/>
      <c r="H35" s="73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</row>
    <row r="36" spans="2:22">
      <c r="B36" s="72"/>
      <c r="C36" s="72"/>
      <c r="D36" s="72"/>
      <c r="E36" s="72"/>
      <c r="F36" s="52"/>
      <c r="G36" s="52"/>
      <c r="H36" s="73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</row>
    <row r="37" spans="2:22">
      <c r="B37" s="72"/>
      <c r="C37" s="72"/>
      <c r="D37" s="72"/>
      <c r="E37" s="72"/>
      <c r="F37" s="52"/>
      <c r="G37" s="52"/>
      <c r="H37" s="73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</row>
    <row r="38" spans="2:22">
      <c r="B38" s="72"/>
      <c r="C38" s="72"/>
      <c r="D38" s="72"/>
      <c r="E38" s="72"/>
      <c r="F38" s="52"/>
      <c r="G38" s="52"/>
      <c r="H38" s="73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</row>
    <row r="39" spans="2:22">
      <c r="B39" s="72"/>
      <c r="C39" s="72"/>
      <c r="D39" s="72"/>
      <c r="E39" s="72"/>
      <c r="F39" s="52"/>
      <c r="G39" s="52"/>
      <c r="H39" s="73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</row>
    <row r="40" spans="2:22">
      <c r="B40" s="72"/>
      <c r="C40" s="72"/>
      <c r="D40" s="72"/>
      <c r="E40" s="72"/>
      <c r="F40" s="52"/>
      <c r="G40" s="52"/>
      <c r="H40" s="73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</row>
    <row r="41" spans="2:22">
      <c r="B41" s="72"/>
      <c r="C41" s="72"/>
      <c r="D41" s="72"/>
      <c r="E41" s="72"/>
      <c r="F41" s="52"/>
      <c r="G41" s="52"/>
      <c r="H41" s="73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</row>
    <row r="42" spans="2:22">
      <c r="B42" s="72"/>
      <c r="C42" s="72"/>
      <c r="D42" s="72"/>
      <c r="E42" s="72"/>
      <c r="F42" s="52"/>
      <c r="G42" s="52"/>
      <c r="H42" s="73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</row>
    <row r="43" spans="2:22">
      <c r="B43" s="72"/>
      <c r="C43" s="72"/>
      <c r="D43" s="72"/>
      <c r="E43" s="72"/>
      <c r="F43" s="52"/>
      <c r="G43" s="52"/>
      <c r="H43" s="73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</row>
    <row r="44" spans="2:22">
      <c r="B44" s="72"/>
      <c r="C44" s="72"/>
      <c r="D44" s="72"/>
      <c r="E44" s="72"/>
      <c r="F44" s="52"/>
      <c r="G44" s="52"/>
      <c r="H44" s="73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</row>
    <row r="45" spans="2:22">
      <c r="B45" s="72"/>
      <c r="C45" s="72"/>
      <c r="D45" s="72"/>
      <c r="E45" s="72"/>
      <c r="F45" s="52"/>
      <c r="G45" s="52"/>
      <c r="H45" s="7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</row>
    <row r="46" spans="2:22">
      <c r="B46" s="72"/>
      <c r="C46" s="72"/>
      <c r="D46" s="72"/>
      <c r="E46" s="72"/>
      <c r="F46" s="52"/>
      <c r="G46" s="52"/>
      <c r="H46" s="73">
        <f>SUM(H25:H45)</f>
        <v>0</v>
      </c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</row>
    <row r="47" spans="2:22"/>
    <row r="48" spans="2:22"/>
    <row r="49"/>
    <row r="50"/>
    <row r="56"/>
    <row r="57"/>
    <row r="58"/>
    <row r="59"/>
    <row r="60"/>
    <row r="61"/>
  </sheetData>
  <printOptions horizontalCentered="1"/>
  <pageMargins left="0.25" right="0.25" top="0.75" bottom="0.75" header="0.3" footer="0.3"/>
  <pageSetup scale="7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1:X71"/>
  <sheetViews>
    <sheetView showGridLines="0" zoomScale="90" zoomScaleNormal="90" zoomScaleSheetLayoutView="100" workbookViewId="0"/>
  </sheetViews>
  <sheetFormatPr defaultColWidth="0" defaultRowHeight="13.5" zeroHeight="1"/>
  <cols>
    <col min="1" max="1" width="1" style="59" customWidth="1"/>
    <col min="2" max="2" width="11.85546875" style="59" customWidth="1"/>
    <col min="3" max="3" width="54.7109375" style="59" customWidth="1"/>
    <col min="4" max="12" width="12.85546875" style="164" customWidth="1"/>
    <col min="13" max="13" width="0.85546875" style="164" customWidth="1"/>
    <col min="14" max="15" width="13.7109375" style="164" customWidth="1"/>
    <col min="16" max="16" width="0.85546875" style="164" customWidth="1"/>
    <col min="17" max="17" width="15.7109375" style="164" customWidth="1"/>
    <col min="18" max="18" width="0.85546875" style="59" customWidth="1"/>
    <col min="19" max="16384" width="9.140625" style="59" hidden="1"/>
  </cols>
  <sheetData>
    <row r="1" spans="1:17" s="74" customFormat="1" ht="15">
      <c r="B1" s="21" t="str">
        <f>Index!B1</f>
        <v>ABC &amp; Co.</v>
      </c>
      <c r="C1" s="21"/>
      <c r="D1" s="206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8" t="str">
        <f>Index!F26</f>
        <v>B.S.01 - 8</v>
      </c>
    </row>
    <row r="2" spans="1:17" s="74" customFormat="1" ht="15">
      <c r="B2" s="22" t="str">
        <f>Index!B2</f>
        <v>(Chartered Accountants)</v>
      </c>
      <c r="C2" s="22"/>
      <c r="D2" s="209"/>
      <c r="E2" s="207"/>
      <c r="F2" s="207"/>
      <c r="G2" s="210"/>
      <c r="H2" s="207"/>
      <c r="I2" s="207"/>
      <c r="J2" s="165"/>
      <c r="K2" s="207"/>
      <c r="L2" s="207"/>
      <c r="M2" s="207"/>
      <c r="N2" s="207"/>
      <c r="O2" s="207"/>
      <c r="P2" s="207"/>
      <c r="Q2" s="207"/>
    </row>
    <row r="3" spans="1:17" s="74" customFormat="1">
      <c r="B3" s="26"/>
      <c r="C3" s="26"/>
      <c r="D3" s="207"/>
      <c r="E3" s="207"/>
      <c r="F3" s="207"/>
      <c r="G3" s="210"/>
      <c r="H3" s="207"/>
      <c r="I3" s="207"/>
      <c r="J3" s="207"/>
      <c r="K3" s="207"/>
      <c r="L3" s="207"/>
      <c r="M3" s="207"/>
      <c r="N3" s="207"/>
      <c r="O3" s="207"/>
      <c r="P3" s="211"/>
      <c r="Q3" s="207"/>
    </row>
    <row r="4" spans="1:17" s="77" customFormat="1" ht="15">
      <c r="B4" s="3" t="s">
        <v>0</v>
      </c>
      <c r="C4" s="4" t="str">
        <f>Index!D4</f>
        <v>ABC Limited</v>
      </c>
      <c r="D4" s="164"/>
      <c r="E4" s="164"/>
      <c r="F4" s="212"/>
      <c r="G4" s="164"/>
      <c r="H4" s="164"/>
      <c r="I4" s="164"/>
      <c r="J4" s="213"/>
      <c r="K4" s="164"/>
      <c r="L4" s="164"/>
      <c r="M4" s="164"/>
      <c r="N4" s="164"/>
      <c r="O4" s="214" t="str">
        <f>Index!$H$4</f>
        <v>Prepared by:</v>
      </c>
      <c r="P4" s="164"/>
      <c r="Q4" s="215" t="str">
        <f>IF(Index!$J$4="","",Index!$J$4)</f>
        <v/>
      </c>
    </row>
    <row r="5" spans="1:17" s="77" customFormat="1" ht="15">
      <c r="B5" s="3" t="s">
        <v>1</v>
      </c>
      <c r="C5" s="4" t="str">
        <f>Index!D5</f>
        <v>Year ended June 30, 2023</v>
      </c>
      <c r="D5" s="164"/>
      <c r="E5" s="164"/>
      <c r="F5" s="216"/>
      <c r="G5" s="164"/>
      <c r="H5" s="164"/>
      <c r="I5" s="164"/>
      <c r="J5" s="213"/>
      <c r="K5" s="164"/>
      <c r="L5" s="164"/>
      <c r="M5" s="164"/>
      <c r="N5" s="164"/>
      <c r="O5" s="214" t="str">
        <f>Index!$H$5</f>
        <v>Date prepared:</v>
      </c>
      <c r="P5" s="164"/>
      <c r="Q5" s="215" t="str">
        <f>IF(Index!$J$5="","",Index!$J$5)</f>
        <v/>
      </c>
    </row>
    <row r="6" spans="1:17" s="77" customFormat="1" ht="15">
      <c r="B6" s="3" t="s">
        <v>2</v>
      </c>
      <c r="C6" s="4" t="str">
        <f>Index!D6</f>
        <v>Property, plant and equipment</v>
      </c>
      <c r="D6" s="164"/>
      <c r="E6" s="217"/>
      <c r="F6" s="217"/>
      <c r="G6" s="164"/>
      <c r="H6" s="164"/>
      <c r="I6" s="164"/>
      <c r="J6" s="213"/>
      <c r="K6" s="164"/>
      <c r="L6" s="164"/>
      <c r="M6" s="164"/>
      <c r="N6" s="164"/>
      <c r="O6" s="214" t="str">
        <f>Index!$H$6</f>
        <v>Reviewed by:</v>
      </c>
      <c r="P6" s="164"/>
      <c r="Q6" s="215" t="str">
        <f>IF(Index!$J$6="","",Index!$J$6)</f>
        <v/>
      </c>
    </row>
    <row r="7" spans="1:17" s="77" customFormat="1" ht="15">
      <c r="B7" s="3" t="s">
        <v>67</v>
      </c>
      <c r="C7" s="4" t="str">
        <f>Lead!B29</f>
        <v>Operating fixed assets</v>
      </c>
      <c r="D7" s="164"/>
      <c r="E7" s="164"/>
      <c r="F7" s="216"/>
      <c r="G7" s="164"/>
      <c r="H7" s="164"/>
      <c r="I7" s="164"/>
      <c r="J7" s="213"/>
      <c r="K7" s="164"/>
      <c r="L7" s="164"/>
      <c r="M7" s="164"/>
      <c r="N7" s="164"/>
      <c r="O7" s="214" t="str">
        <f>Index!$H$7</f>
        <v>Date reviewed:</v>
      </c>
      <c r="P7" s="164"/>
      <c r="Q7" s="215" t="str">
        <f>IF(Index!$J$7="","",Index!$J$7)</f>
        <v/>
      </c>
    </row>
    <row r="8" spans="1:17" s="77" customFormat="1" ht="15">
      <c r="B8" s="59"/>
      <c r="C8" s="59"/>
      <c r="D8" s="164"/>
      <c r="E8" s="164"/>
      <c r="F8" s="216"/>
      <c r="G8" s="164"/>
      <c r="H8" s="164"/>
      <c r="I8" s="164"/>
      <c r="J8" s="164"/>
      <c r="K8" s="213"/>
      <c r="L8" s="213"/>
      <c r="M8" s="213"/>
      <c r="N8" s="213"/>
      <c r="O8" s="213"/>
      <c r="P8" s="61"/>
      <c r="Q8" s="164"/>
    </row>
    <row r="9" spans="1:17" s="74" customFormat="1" ht="15" customHeight="1">
      <c r="B9" s="182" t="s">
        <v>115</v>
      </c>
      <c r="C9" s="181"/>
      <c r="D9" s="218"/>
      <c r="E9" s="218"/>
      <c r="F9" s="218"/>
      <c r="G9" s="218"/>
      <c r="H9" s="219"/>
      <c r="I9" s="219"/>
      <c r="J9" s="219"/>
      <c r="K9" s="219"/>
      <c r="L9" s="219"/>
      <c r="M9" s="219"/>
      <c r="N9" s="219"/>
      <c r="O9" s="219"/>
      <c r="P9" s="219"/>
      <c r="Q9" s="207"/>
    </row>
    <row r="10" spans="1:17" s="74" customFormat="1" ht="15" customHeight="1">
      <c r="B10" s="181"/>
      <c r="C10" s="181"/>
      <c r="D10" s="218"/>
      <c r="E10" s="218"/>
      <c r="F10" s="218"/>
      <c r="G10" s="218"/>
      <c r="H10" s="219"/>
      <c r="I10" s="219"/>
      <c r="J10" s="219"/>
      <c r="K10" s="219"/>
      <c r="L10" s="219"/>
      <c r="M10" s="219"/>
      <c r="N10" s="219"/>
      <c r="O10" s="219"/>
      <c r="P10" s="219"/>
      <c r="Q10" s="207"/>
    </row>
    <row r="11" spans="1:17" ht="15">
      <c r="B11" s="58" t="s">
        <v>32</v>
      </c>
      <c r="C11" s="58"/>
      <c r="D11" s="220"/>
    </row>
    <row r="12" spans="1:17" ht="15">
      <c r="B12" s="81" t="s">
        <v>135</v>
      </c>
      <c r="C12" s="58"/>
      <c r="D12" s="220"/>
    </row>
    <row r="13" spans="1:17" s="74" customFormat="1">
      <c r="B13" s="82" t="s">
        <v>133</v>
      </c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</row>
    <row r="14" spans="1:17" s="56" customFormat="1">
      <c r="B14" s="82" t="s">
        <v>134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</row>
    <row r="15" spans="1:17" s="56" customFormat="1">
      <c r="B15" s="82" t="s">
        <v>132</v>
      </c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</row>
    <row r="16" spans="1:17" s="74" customFormat="1">
      <c r="A16" s="56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</row>
    <row r="17" spans="2:24" s="74" customFormat="1" ht="15">
      <c r="B17" s="83" t="s">
        <v>31</v>
      </c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</row>
    <row r="18" spans="2:24" s="74" customFormat="1">
      <c r="B18" s="84" t="s">
        <v>136</v>
      </c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</row>
    <row r="19" spans="2:24">
      <c r="B19" s="84" t="s">
        <v>137</v>
      </c>
    </row>
    <row r="20" spans="2:24" s="56" customFormat="1">
      <c r="B20" s="84" t="s">
        <v>138</v>
      </c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</row>
    <row r="21" spans="2:24" s="56" customFormat="1">
      <c r="B21" s="84" t="s">
        <v>139</v>
      </c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</row>
    <row r="22" spans="2:24" s="56" customFormat="1">
      <c r="B22" s="84" t="s">
        <v>140</v>
      </c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</row>
    <row r="23" spans="2:24" s="56" customFormat="1">
      <c r="B23" s="84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</row>
    <row r="24" spans="2:24" s="56" customFormat="1" ht="15">
      <c r="B24" s="85" t="s">
        <v>141</v>
      </c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</row>
    <row r="25" spans="2:24" s="56" customFormat="1">
      <c r="B25" s="84" t="s">
        <v>142</v>
      </c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</row>
    <row r="26" spans="2:24" ht="15">
      <c r="B26" s="96"/>
      <c r="C26" s="94"/>
      <c r="D26" s="222"/>
      <c r="E26" s="222"/>
      <c r="F26" s="177"/>
      <c r="G26" s="222"/>
      <c r="H26" s="222"/>
      <c r="I26" s="222"/>
      <c r="J26" s="222"/>
      <c r="K26" s="222"/>
    </row>
    <row r="27" spans="2:24" ht="15">
      <c r="B27" s="97" t="s">
        <v>232</v>
      </c>
      <c r="F27" s="176"/>
      <c r="M27" s="223"/>
      <c r="N27" s="223"/>
      <c r="O27" s="223"/>
      <c r="P27" s="223"/>
      <c r="Q27" s="223"/>
      <c r="R27" s="60"/>
      <c r="S27" s="60"/>
      <c r="T27" s="60"/>
      <c r="U27" s="60"/>
      <c r="V27" s="60"/>
      <c r="W27" s="60"/>
      <c r="X27" s="60"/>
    </row>
    <row r="28" spans="2:24">
      <c r="B28" s="59" t="s">
        <v>233</v>
      </c>
      <c r="F28" s="176"/>
      <c r="M28" s="223"/>
      <c r="N28" s="223"/>
      <c r="O28" s="223"/>
      <c r="P28" s="223"/>
      <c r="Q28" s="223"/>
      <c r="R28" s="60"/>
      <c r="S28" s="60"/>
      <c r="T28" s="60"/>
      <c r="U28" s="60"/>
      <c r="V28" s="60"/>
      <c r="W28" s="60"/>
      <c r="X28" s="60"/>
    </row>
    <row r="29" spans="2:24">
      <c r="F29" s="176"/>
      <c r="M29" s="223"/>
      <c r="N29" s="223"/>
      <c r="O29" s="223"/>
      <c r="P29" s="223"/>
      <c r="Q29" s="223"/>
      <c r="R29" s="60"/>
      <c r="S29" s="60"/>
      <c r="T29" s="60"/>
      <c r="U29" s="60"/>
      <c r="V29" s="60"/>
      <c r="W29" s="60"/>
      <c r="X29" s="60"/>
    </row>
    <row r="30" spans="2:24" ht="15">
      <c r="B30" s="97" t="s">
        <v>62</v>
      </c>
      <c r="F30" s="176"/>
      <c r="M30" s="223"/>
      <c r="N30" s="223"/>
      <c r="O30" s="223"/>
      <c r="P30" s="223"/>
      <c r="Q30" s="223"/>
      <c r="R30" s="60"/>
      <c r="S30" s="60"/>
      <c r="T30" s="60"/>
      <c r="U30" s="60"/>
      <c r="V30" s="60"/>
      <c r="W30" s="60"/>
      <c r="X30" s="60"/>
    </row>
    <row r="31" spans="2:24">
      <c r="B31" s="59" t="s">
        <v>61</v>
      </c>
      <c r="F31" s="176"/>
      <c r="M31" s="223"/>
      <c r="N31" s="223"/>
      <c r="O31" s="223"/>
      <c r="P31" s="223"/>
      <c r="Q31" s="223"/>
      <c r="R31" s="60"/>
      <c r="S31" s="60"/>
      <c r="T31" s="60"/>
      <c r="U31" s="60"/>
      <c r="V31" s="60"/>
      <c r="W31" s="60"/>
      <c r="X31" s="60"/>
    </row>
    <row r="32" spans="2:24">
      <c r="F32" s="176"/>
    </row>
    <row r="33" spans="2:17" s="74" customFormat="1" ht="15">
      <c r="B33" s="80"/>
      <c r="C33" s="80"/>
      <c r="D33" s="224"/>
      <c r="E33" s="224"/>
      <c r="F33" s="224"/>
      <c r="G33" s="224"/>
      <c r="H33" s="219"/>
      <c r="I33" s="219"/>
      <c r="J33" s="219"/>
      <c r="K33" s="219"/>
      <c r="L33" s="219"/>
      <c r="M33" s="219"/>
      <c r="N33" s="219"/>
      <c r="O33" s="219"/>
      <c r="P33" s="219"/>
      <c r="Q33" s="207"/>
    </row>
    <row r="34" spans="2:17" s="86" customFormat="1" ht="15">
      <c r="D34" s="256" t="s">
        <v>28</v>
      </c>
      <c r="E34" s="256"/>
      <c r="F34" s="256"/>
      <c r="G34" s="256"/>
      <c r="H34" s="256"/>
      <c r="I34" s="256"/>
      <c r="J34" s="256"/>
      <c r="K34" s="256"/>
      <c r="L34" s="256"/>
      <c r="M34" s="225"/>
      <c r="N34" s="256" t="s">
        <v>22</v>
      </c>
      <c r="O34" s="256"/>
      <c r="P34" s="225"/>
      <c r="Q34" s="256" t="s">
        <v>116</v>
      </c>
    </row>
    <row r="35" spans="2:17" s="88" customFormat="1" ht="45">
      <c r="D35" s="225" t="s">
        <v>27</v>
      </c>
      <c r="E35" s="225" t="s">
        <v>118</v>
      </c>
      <c r="F35" s="225" t="s">
        <v>26</v>
      </c>
      <c r="G35" s="225" t="s">
        <v>25</v>
      </c>
      <c r="H35" s="225" t="s">
        <v>68</v>
      </c>
      <c r="I35" s="225" t="s">
        <v>24</v>
      </c>
      <c r="J35" s="225" t="s">
        <v>69</v>
      </c>
      <c r="K35" s="225" t="s">
        <v>70</v>
      </c>
      <c r="L35" s="225" t="s">
        <v>23</v>
      </c>
      <c r="M35" s="225"/>
      <c r="N35" s="225" t="s">
        <v>26</v>
      </c>
      <c r="O35" s="225" t="s">
        <v>23</v>
      </c>
      <c r="P35" s="225"/>
      <c r="Q35" s="256"/>
    </row>
    <row r="36" spans="2:17" ht="15">
      <c r="B36" s="58"/>
      <c r="C36" s="58"/>
      <c r="D36" s="220"/>
    </row>
    <row r="37" spans="2:17" ht="15">
      <c r="B37" s="58" t="s">
        <v>165</v>
      </c>
      <c r="C37" s="58"/>
      <c r="D37" s="226"/>
      <c r="E37" s="226"/>
      <c r="F37" s="226"/>
      <c r="G37" s="226"/>
      <c r="H37" s="226"/>
      <c r="I37" s="226"/>
      <c r="J37" s="226"/>
      <c r="K37" s="226"/>
      <c r="L37" s="226"/>
      <c r="N37" s="226"/>
      <c r="O37" s="226"/>
      <c r="Q37" s="226"/>
    </row>
    <row r="38" spans="2:17" ht="15">
      <c r="B38" s="58" t="s">
        <v>126</v>
      </c>
      <c r="C38" s="58"/>
      <c r="D38" s="227"/>
      <c r="E38" s="227"/>
      <c r="F38" s="227"/>
      <c r="G38" s="227"/>
      <c r="H38" s="227"/>
      <c r="I38" s="227"/>
      <c r="J38" s="227"/>
      <c r="K38" s="227"/>
      <c r="L38" s="227"/>
      <c r="N38" s="227"/>
      <c r="O38" s="227"/>
      <c r="Q38" s="227"/>
    </row>
    <row r="39" spans="2:17" ht="15.75" thickBot="1">
      <c r="B39" s="58" t="s">
        <v>100</v>
      </c>
      <c r="C39" s="58"/>
      <c r="D39" s="229">
        <f>SUM(D37:D38)</f>
        <v>0</v>
      </c>
      <c r="E39" s="229">
        <f t="shared" ref="E39" si="0">SUM(E37:E38)</f>
        <v>0</v>
      </c>
      <c r="F39" s="229">
        <f t="shared" ref="F39" si="1">SUM(F37:F38)</f>
        <v>0</v>
      </c>
      <c r="G39" s="229">
        <f t="shared" ref="G39" si="2">SUM(G37:G38)</f>
        <v>0</v>
      </c>
      <c r="H39" s="229">
        <f t="shared" ref="H39" si="3">SUM(H37:H38)</f>
        <v>0</v>
      </c>
      <c r="I39" s="229">
        <f t="shared" ref="I39" si="4">SUM(I37:I38)</f>
        <v>0</v>
      </c>
      <c r="J39" s="229">
        <f t="shared" ref="J39" si="5">SUM(J37:J38)</f>
        <v>0</v>
      </c>
      <c r="K39" s="229">
        <f t="shared" ref="K39" si="6">SUM(K37:K38)</f>
        <v>0</v>
      </c>
      <c r="L39" s="229">
        <f t="shared" ref="L39" si="7">SUM(L37:L38)</f>
        <v>0</v>
      </c>
      <c r="N39" s="229">
        <f t="shared" ref="N39" si="8">SUM(N37:N38)</f>
        <v>0</v>
      </c>
      <c r="O39" s="229">
        <f t="shared" ref="O39" si="9">SUM(O37:O38)</f>
        <v>0</v>
      </c>
      <c r="Q39" s="229">
        <f t="shared" ref="Q39" si="10">SUM(Q37:Q38)</f>
        <v>0</v>
      </c>
    </row>
    <row r="40" spans="2:17" ht="15.75" thickTop="1">
      <c r="B40" s="58"/>
      <c r="C40" s="58"/>
      <c r="D40" s="231"/>
      <c r="E40" s="231"/>
      <c r="F40" s="231"/>
      <c r="G40" s="231"/>
      <c r="H40" s="231"/>
      <c r="I40" s="231"/>
      <c r="J40" s="231"/>
      <c r="K40" s="231"/>
      <c r="L40" s="231"/>
      <c r="M40" s="232"/>
      <c r="N40" s="231"/>
      <c r="O40" s="231"/>
      <c r="P40" s="232"/>
      <c r="Q40" s="231"/>
    </row>
    <row r="41" spans="2:17" ht="15">
      <c r="B41" s="58" t="s">
        <v>125</v>
      </c>
      <c r="C41" s="58"/>
      <c r="D41" s="230"/>
      <c r="E41" s="230"/>
      <c r="F41" s="230"/>
      <c r="G41" s="230"/>
      <c r="H41" s="230"/>
      <c r="I41" s="230"/>
      <c r="J41" s="230"/>
      <c r="K41" s="230"/>
      <c r="L41" s="230"/>
      <c r="N41" s="230"/>
      <c r="O41" s="230"/>
      <c r="Q41" s="230"/>
    </row>
    <row r="42" spans="2:17" ht="15">
      <c r="B42" s="58"/>
      <c r="C42" s="58"/>
      <c r="D42" s="220"/>
      <c r="E42" s="220"/>
      <c r="F42" s="220"/>
      <c r="G42" s="220"/>
      <c r="H42" s="220"/>
      <c r="I42" s="220"/>
      <c r="J42" s="220"/>
      <c r="K42" s="220"/>
      <c r="L42" s="220"/>
      <c r="N42" s="220"/>
      <c r="O42" s="220"/>
      <c r="Q42" s="220"/>
    </row>
    <row r="43" spans="2:17" ht="15">
      <c r="B43" s="59" t="s">
        <v>129</v>
      </c>
      <c r="C43" s="58"/>
      <c r="D43" s="226"/>
      <c r="E43" s="226"/>
      <c r="F43" s="226"/>
      <c r="G43" s="226"/>
      <c r="H43" s="226"/>
      <c r="I43" s="226"/>
      <c r="J43" s="226"/>
      <c r="K43" s="226"/>
      <c r="L43" s="226"/>
      <c r="N43" s="226"/>
      <c r="O43" s="226"/>
      <c r="Q43" s="226"/>
    </row>
    <row r="44" spans="2:17" ht="15">
      <c r="B44" s="59" t="s">
        <v>130</v>
      </c>
      <c r="C44" s="58"/>
      <c r="D44" s="228"/>
      <c r="E44" s="228"/>
      <c r="F44" s="228"/>
      <c r="G44" s="228"/>
      <c r="H44" s="228"/>
      <c r="I44" s="228"/>
      <c r="J44" s="228"/>
      <c r="K44" s="228"/>
      <c r="L44" s="228"/>
      <c r="N44" s="228"/>
      <c r="O44" s="228"/>
      <c r="Q44" s="228"/>
    </row>
    <row r="45" spans="2:17" ht="15">
      <c r="B45" s="59" t="s">
        <v>127</v>
      </c>
      <c r="C45" s="58"/>
      <c r="D45" s="227"/>
      <c r="E45" s="227"/>
      <c r="F45" s="227"/>
      <c r="G45" s="227"/>
      <c r="H45" s="227"/>
      <c r="I45" s="227"/>
      <c r="J45" s="227"/>
      <c r="K45" s="227"/>
      <c r="L45" s="227"/>
      <c r="N45" s="227"/>
      <c r="O45" s="227"/>
      <c r="Q45" s="227"/>
    </row>
    <row r="46" spans="2:17" ht="15">
      <c r="B46" s="59" t="s">
        <v>128</v>
      </c>
      <c r="C46" s="58"/>
      <c r="D46" s="220"/>
      <c r="E46" s="220"/>
      <c r="F46" s="220"/>
      <c r="G46" s="220"/>
      <c r="H46" s="220"/>
      <c r="I46" s="220"/>
      <c r="J46" s="220"/>
      <c r="K46" s="220"/>
      <c r="L46" s="220"/>
      <c r="N46" s="220"/>
      <c r="O46" s="220"/>
      <c r="Q46" s="220"/>
    </row>
    <row r="47" spans="2:17" ht="15">
      <c r="B47" s="59" t="s">
        <v>131</v>
      </c>
      <c r="C47" s="58"/>
      <c r="D47" s="220"/>
      <c r="E47" s="220"/>
      <c r="F47" s="220"/>
      <c r="G47" s="220"/>
      <c r="H47" s="220"/>
      <c r="I47" s="220"/>
      <c r="J47" s="220"/>
      <c r="K47" s="220"/>
      <c r="L47" s="220"/>
      <c r="N47" s="220"/>
      <c r="O47" s="220"/>
      <c r="Q47" s="220"/>
    </row>
    <row r="48" spans="2:17" ht="15.75" thickBot="1">
      <c r="B48" s="59" t="s">
        <v>105</v>
      </c>
      <c r="C48" s="58"/>
      <c r="D48" s="229">
        <f>D46-D47</f>
        <v>0</v>
      </c>
      <c r="E48" s="229">
        <f t="shared" ref="E48:Q48" si="11">E46-E47</f>
        <v>0</v>
      </c>
      <c r="F48" s="229">
        <f t="shared" si="11"/>
        <v>0</v>
      </c>
      <c r="G48" s="229">
        <f t="shared" si="11"/>
        <v>0</v>
      </c>
      <c r="H48" s="229">
        <f t="shared" si="11"/>
        <v>0</v>
      </c>
      <c r="I48" s="229">
        <f t="shared" si="11"/>
        <v>0</v>
      </c>
      <c r="J48" s="229">
        <f t="shared" si="11"/>
        <v>0</v>
      </c>
      <c r="K48" s="229">
        <f t="shared" si="11"/>
        <v>0</v>
      </c>
      <c r="L48" s="229">
        <f t="shared" si="11"/>
        <v>0</v>
      </c>
      <c r="N48" s="229">
        <f t="shared" si="11"/>
        <v>0</v>
      </c>
      <c r="O48" s="229">
        <f t="shared" si="11"/>
        <v>0</v>
      </c>
      <c r="Q48" s="229">
        <f t="shared" si="11"/>
        <v>0</v>
      </c>
    </row>
    <row r="49" spans="2:17" ht="15.75" thickTop="1">
      <c r="B49" s="58"/>
      <c r="C49" s="58"/>
      <c r="D49" s="220"/>
    </row>
    <row r="50" spans="2:17" ht="15">
      <c r="B50" s="58" t="s">
        <v>241</v>
      </c>
      <c r="C50" s="58"/>
      <c r="D50" s="226"/>
      <c r="E50" s="226"/>
      <c r="F50" s="226"/>
      <c r="G50" s="226"/>
      <c r="H50" s="226"/>
      <c r="I50" s="226"/>
      <c r="J50" s="226"/>
      <c r="K50" s="226"/>
      <c r="L50" s="226"/>
      <c r="N50" s="226"/>
      <c r="O50" s="226"/>
      <c r="Q50" s="226"/>
    </row>
    <row r="51" spans="2:17" ht="15">
      <c r="B51" s="58" t="s">
        <v>242</v>
      </c>
      <c r="C51" s="58"/>
      <c r="D51" s="227"/>
      <c r="E51" s="227"/>
      <c r="F51" s="227"/>
      <c r="G51" s="227"/>
      <c r="H51" s="227"/>
      <c r="I51" s="227"/>
      <c r="J51" s="227"/>
      <c r="K51" s="227"/>
      <c r="L51" s="227"/>
      <c r="N51" s="227"/>
      <c r="O51" s="227"/>
      <c r="Q51" s="227"/>
    </row>
    <row r="52" spans="2:17" ht="15.75" thickBot="1">
      <c r="B52" s="58" t="s">
        <v>243</v>
      </c>
      <c r="C52" s="58"/>
      <c r="D52" s="229">
        <f>SUM(D50:D51)</f>
        <v>0</v>
      </c>
      <c r="E52" s="229">
        <f t="shared" ref="E52:Q52" si="12">SUM(E50:E51)</f>
        <v>0</v>
      </c>
      <c r="F52" s="229">
        <f t="shared" si="12"/>
        <v>0</v>
      </c>
      <c r="G52" s="229">
        <f t="shared" si="12"/>
        <v>0</v>
      </c>
      <c r="H52" s="229">
        <f t="shared" si="12"/>
        <v>0</v>
      </c>
      <c r="I52" s="229">
        <f t="shared" si="12"/>
        <v>0</v>
      </c>
      <c r="J52" s="229">
        <f t="shared" si="12"/>
        <v>0</v>
      </c>
      <c r="K52" s="229">
        <f t="shared" si="12"/>
        <v>0</v>
      </c>
      <c r="L52" s="229">
        <f t="shared" si="12"/>
        <v>0</v>
      </c>
      <c r="N52" s="229">
        <f t="shared" si="12"/>
        <v>0</v>
      </c>
      <c r="O52" s="229">
        <f t="shared" si="12"/>
        <v>0</v>
      </c>
      <c r="Q52" s="229">
        <f t="shared" si="12"/>
        <v>0</v>
      </c>
    </row>
    <row r="53" spans="2:17" s="56" customFormat="1" ht="15.75" thickTop="1">
      <c r="B53" s="85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</row>
    <row r="54" spans="2:17" s="56" customFormat="1" ht="15">
      <c r="B54" s="85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</row>
    <row r="55" spans="2:17" s="56" customFormat="1">
      <c r="B55" s="84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</row>
    <row r="56" spans="2:17"/>
    <row r="57" spans="2:17"/>
    <row r="58" spans="2:17"/>
    <row r="59" spans="2:17"/>
    <row r="60" spans="2:17"/>
    <row r="61" spans="2:17"/>
    <row r="62" spans="2:17"/>
    <row r="63" spans="2:17"/>
    <row r="64" spans="2:17"/>
    <row r="65"/>
    <row r="66"/>
    <row r="67"/>
    <row r="68"/>
    <row r="69"/>
    <row r="70"/>
    <row r="71"/>
  </sheetData>
  <mergeCells count="3">
    <mergeCell ref="Q34:Q35"/>
    <mergeCell ref="D34:L34"/>
    <mergeCell ref="N34:O34"/>
  </mergeCells>
  <printOptions horizontalCentered="1"/>
  <pageMargins left="0.25" right="0.25" top="0.75" bottom="0.75" header="0.3" footer="0.3"/>
  <pageSetup scale="5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61"/>
  <sheetViews>
    <sheetView showGridLines="0" zoomScale="90" zoomScaleNormal="90" zoomScaleSheetLayoutView="100" workbookViewId="0">
      <selection activeCell="A17" sqref="A17"/>
    </sheetView>
  </sheetViews>
  <sheetFormatPr defaultColWidth="0" defaultRowHeight="13.5" zeroHeight="1"/>
  <cols>
    <col min="1" max="1" width="1" style="59" customWidth="1"/>
    <col min="2" max="2" width="11.28515625" style="59" customWidth="1"/>
    <col min="3" max="3" width="12.28515625" style="59" customWidth="1"/>
    <col min="4" max="5" width="34.42578125" style="59" customWidth="1"/>
    <col min="6" max="7" width="13.5703125" style="60" customWidth="1"/>
    <col min="8" max="8" width="13.5703125" style="61" customWidth="1"/>
    <col min="9" max="23" width="13.5703125" style="60" customWidth="1"/>
    <col min="24" max="24" width="14.5703125" style="60" customWidth="1"/>
    <col min="25" max="25" width="12.42578125" style="60" customWidth="1"/>
    <col min="26" max="26" width="13.5703125" style="60" customWidth="1"/>
    <col min="27" max="27" width="1" style="59" customWidth="1"/>
    <col min="28" max="37" width="9.140625" style="59" hidden="1" customWidth="1"/>
    <col min="38" max="59" width="0" style="59" hidden="1" customWidth="1"/>
    <col min="60" max="16384" width="9.140625" style="59" hidden="1"/>
  </cols>
  <sheetData>
    <row r="1" spans="2:26" ht="15">
      <c r="B1" s="58" t="str">
        <f>SubLead!B1</f>
        <v>ABC &amp; Co.</v>
      </c>
      <c r="X1" s="59"/>
      <c r="Z1" s="62" t="str">
        <f>Index!F28</f>
        <v>B.S.01 - 9</v>
      </c>
    </row>
    <row r="2" spans="2:26">
      <c r="B2" s="59" t="str">
        <f>SubLead!B2</f>
        <v>(Chartered Accountants)</v>
      </c>
      <c r="X2" s="59"/>
      <c r="Z2" s="59"/>
    </row>
    <row r="3" spans="2:26" ht="15">
      <c r="B3" s="58"/>
    </row>
    <row r="4" spans="2:26" ht="15">
      <c r="B4" s="58" t="str">
        <f>SubLead!B4</f>
        <v xml:space="preserve">Client: </v>
      </c>
      <c r="C4" s="58" t="str">
        <f>SubLead!C4</f>
        <v>ABC Limited</v>
      </c>
      <c r="Y4" s="29" t="str">
        <f>Index!$H$4</f>
        <v>Prepared by:</v>
      </c>
      <c r="Z4" s="172" t="str">
        <f>IF(Index!$J$4="","",Index!$J$4)</f>
        <v/>
      </c>
    </row>
    <row r="5" spans="2:26" ht="15">
      <c r="B5" s="58" t="str">
        <f>SubLead!B5</f>
        <v>Period:</v>
      </c>
      <c r="C5" s="58" t="str">
        <f>SubLead!C5</f>
        <v>Year ended June 30, 2023</v>
      </c>
      <c r="Y5" s="29" t="str">
        <f>Index!$H$5</f>
        <v>Date prepared:</v>
      </c>
      <c r="Z5" s="173" t="str">
        <f>IF(Index!$J$5="","",Index!$J$5)</f>
        <v/>
      </c>
    </row>
    <row r="6" spans="2:26" ht="15">
      <c r="B6" s="58" t="str">
        <f>SubLead!B6</f>
        <v>Head:</v>
      </c>
      <c r="C6" s="58" t="str">
        <f>SubLead!C6</f>
        <v>Property, plant and equipment</v>
      </c>
      <c r="Y6" s="29" t="str">
        <f>Index!$H$6</f>
        <v>Reviewed by:</v>
      </c>
      <c r="Z6" s="172" t="str">
        <f>IF(Index!$J$6="","",Index!$J$6)</f>
        <v/>
      </c>
    </row>
    <row r="7" spans="2:26" ht="15">
      <c r="B7" s="58" t="str">
        <f>SubLead!B7</f>
        <v>Sub Head:</v>
      </c>
      <c r="C7" s="58" t="str">
        <f>Lead!B30</f>
        <v>Capital work in progress</v>
      </c>
      <c r="Y7" s="29" t="str">
        <f>Index!$H$7</f>
        <v>Date reviewed:</v>
      </c>
      <c r="Z7" s="173" t="str">
        <f>IF(Index!$J$7="","",Index!$J$7)</f>
        <v/>
      </c>
    </row>
    <row r="8" spans="2:26" ht="15">
      <c r="B8" s="58"/>
      <c r="C8" s="58"/>
    </row>
    <row r="9" spans="2:26" ht="15">
      <c r="B9" s="58" t="s">
        <v>96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2:26" ht="15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2:26" ht="15">
      <c r="B11" s="64" t="s">
        <v>32</v>
      </c>
      <c r="C11" s="64"/>
    </row>
    <row r="12" spans="2:26" ht="15">
      <c r="B12" s="65" t="s">
        <v>36</v>
      </c>
      <c r="C12" s="64"/>
    </row>
    <row r="13" spans="2:26" ht="15">
      <c r="B13" s="65" t="s">
        <v>37</v>
      </c>
      <c r="C13" s="64"/>
    </row>
    <row r="14" spans="2:26" ht="15">
      <c r="B14" s="65" t="s">
        <v>35</v>
      </c>
      <c r="C14" s="64"/>
    </row>
    <row r="15" spans="2:26" ht="15">
      <c r="B15" s="65" t="s">
        <v>38</v>
      </c>
      <c r="C15" s="64"/>
    </row>
    <row r="16" spans="2:26" ht="15">
      <c r="B16" s="65" t="s">
        <v>39</v>
      </c>
      <c r="C16" s="64"/>
    </row>
    <row r="17" spans="2:26" ht="15">
      <c r="B17" s="65"/>
      <c r="C17" s="64"/>
    </row>
    <row r="18" spans="2:26" ht="15">
      <c r="B18" s="97" t="s">
        <v>232</v>
      </c>
      <c r="F18" s="176"/>
      <c r="G18" s="59"/>
      <c r="H18" s="59"/>
      <c r="I18" s="59"/>
      <c r="J18" s="59"/>
      <c r="K18" s="59"/>
      <c r="L18" s="59"/>
      <c r="Y18" s="59"/>
      <c r="Z18" s="59"/>
    </row>
    <row r="19" spans="2:26">
      <c r="B19" s="59" t="s">
        <v>233</v>
      </c>
      <c r="F19" s="176"/>
      <c r="G19" s="59"/>
      <c r="H19" s="59"/>
      <c r="I19" s="59"/>
      <c r="J19" s="59"/>
      <c r="K19" s="59"/>
      <c r="L19" s="59"/>
      <c r="Y19" s="59"/>
      <c r="Z19" s="59"/>
    </row>
    <row r="20" spans="2:26">
      <c r="F20" s="176"/>
      <c r="G20" s="59"/>
      <c r="H20" s="59"/>
      <c r="I20" s="59"/>
      <c r="J20" s="59"/>
      <c r="K20" s="59"/>
      <c r="L20" s="59"/>
      <c r="Y20" s="59"/>
      <c r="Z20" s="59"/>
    </row>
    <row r="21" spans="2:26" ht="15">
      <c r="B21" s="97" t="s">
        <v>62</v>
      </c>
      <c r="F21" s="176"/>
      <c r="G21" s="59"/>
      <c r="H21" s="59"/>
      <c r="I21" s="59"/>
      <c r="J21" s="59"/>
      <c r="K21" s="59"/>
      <c r="L21" s="59"/>
      <c r="Y21" s="59"/>
      <c r="Z21" s="59"/>
    </row>
    <row r="22" spans="2:26">
      <c r="B22" s="59" t="s">
        <v>61</v>
      </c>
      <c r="F22" s="176"/>
      <c r="G22" s="59"/>
      <c r="H22" s="59"/>
      <c r="I22" s="59"/>
      <c r="J22" s="59"/>
      <c r="K22" s="59"/>
      <c r="L22" s="59"/>
      <c r="Y22" s="59"/>
      <c r="Z22" s="59"/>
    </row>
    <row r="23" spans="2:26"/>
    <row r="24" spans="2:26" s="46" customFormat="1" ht="45">
      <c r="B24" s="66" t="s">
        <v>51</v>
      </c>
      <c r="C24" s="66" t="s">
        <v>52</v>
      </c>
      <c r="D24" s="66" t="s">
        <v>53</v>
      </c>
      <c r="E24" s="66" t="s">
        <v>75</v>
      </c>
      <c r="F24" s="67" t="s">
        <v>50</v>
      </c>
      <c r="G24" s="67" t="s">
        <v>77</v>
      </c>
      <c r="H24" s="68" t="s">
        <v>76</v>
      </c>
      <c r="I24" s="67" t="s">
        <v>84</v>
      </c>
      <c r="J24" s="67" t="s">
        <v>85</v>
      </c>
      <c r="K24" s="67" t="s">
        <v>83</v>
      </c>
      <c r="L24" s="67" t="s">
        <v>78</v>
      </c>
      <c r="M24" s="67" t="s">
        <v>79</v>
      </c>
      <c r="N24" s="67" t="s">
        <v>86</v>
      </c>
      <c r="O24" s="67" t="s">
        <v>164</v>
      </c>
      <c r="P24" s="67" t="s">
        <v>94</v>
      </c>
      <c r="Q24" s="67" t="s">
        <v>95</v>
      </c>
      <c r="R24" s="67" t="s">
        <v>92</v>
      </c>
      <c r="S24" s="67" t="s">
        <v>93</v>
      </c>
      <c r="T24" s="67" t="s">
        <v>87</v>
      </c>
      <c r="U24" s="67" t="s">
        <v>88</v>
      </c>
      <c r="V24" s="67" t="s">
        <v>89</v>
      </c>
      <c r="W24" s="67" t="s">
        <v>90</v>
      </c>
      <c r="X24" s="67" t="s">
        <v>82</v>
      </c>
      <c r="Y24" s="67" t="s">
        <v>80</v>
      </c>
      <c r="Z24" s="67" t="s">
        <v>81</v>
      </c>
    </row>
    <row r="25" spans="2:26">
      <c r="B25" s="69"/>
      <c r="C25" s="69"/>
      <c r="D25" s="69"/>
      <c r="E25" s="69"/>
      <c r="F25" s="70"/>
      <c r="G25" s="70"/>
      <c r="H25" s="71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2:26">
      <c r="B26" s="72"/>
      <c r="C26" s="72"/>
      <c r="D26" s="72"/>
      <c r="E26" s="72"/>
      <c r="F26" s="52"/>
      <c r="G26" s="52"/>
      <c r="H26" s="73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2:26">
      <c r="B27" s="72"/>
      <c r="C27" s="72"/>
      <c r="D27" s="72"/>
      <c r="E27" s="72"/>
      <c r="F27" s="52"/>
      <c r="G27" s="52"/>
      <c r="H27" s="73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2:26">
      <c r="B28" s="72"/>
      <c r="C28" s="72"/>
      <c r="D28" s="72"/>
      <c r="E28" s="72"/>
      <c r="F28" s="52"/>
      <c r="G28" s="52"/>
      <c r="H28" s="73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2:26">
      <c r="B29" s="72"/>
      <c r="C29" s="72"/>
      <c r="D29" s="72"/>
      <c r="E29" s="72"/>
      <c r="F29" s="52"/>
      <c r="G29" s="52"/>
      <c r="H29" s="73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2:26">
      <c r="B30" s="72"/>
      <c r="C30" s="72"/>
      <c r="D30" s="72"/>
      <c r="E30" s="72"/>
      <c r="F30" s="52"/>
      <c r="G30" s="52"/>
      <c r="H30" s="73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2:26">
      <c r="B31" s="72"/>
      <c r="C31" s="72"/>
      <c r="D31" s="72"/>
      <c r="E31" s="72"/>
      <c r="F31" s="52"/>
      <c r="G31" s="52"/>
      <c r="H31" s="73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2:26">
      <c r="B32" s="72"/>
      <c r="C32" s="72"/>
      <c r="D32" s="72"/>
      <c r="E32" s="72"/>
      <c r="F32" s="52"/>
      <c r="G32" s="52"/>
      <c r="H32" s="73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2:26">
      <c r="B33" s="72"/>
      <c r="C33" s="72"/>
      <c r="D33" s="72"/>
      <c r="E33" s="72"/>
      <c r="F33" s="52"/>
      <c r="G33" s="52"/>
      <c r="H33" s="73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2:26">
      <c r="B34" s="72"/>
      <c r="C34" s="72"/>
      <c r="D34" s="72"/>
      <c r="E34" s="72"/>
      <c r="F34" s="52"/>
      <c r="G34" s="52"/>
      <c r="H34" s="73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2:26">
      <c r="B35" s="72"/>
      <c r="C35" s="72"/>
      <c r="D35" s="72"/>
      <c r="E35" s="72"/>
      <c r="F35" s="52"/>
      <c r="G35" s="52"/>
      <c r="H35" s="73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2:26">
      <c r="B36" s="72"/>
      <c r="C36" s="72"/>
      <c r="D36" s="72"/>
      <c r="E36" s="72"/>
      <c r="F36" s="52"/>
      <c r="G36" s="52"/>
      <c r="H36" s="73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2:26">
      <c r="B37" s="72"/>
      <c r="C37" s="72"/>
      <c r="D37" s="72"/>
      <c r="E37" s="72"/>
      <c r="F37" s="52"/>
      <c r="G37" s="52"/>
      <c r="H37" s="73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2:26">
      <c r="B38" s="72"/>
      <c r="C38" s="72"/>
      <c r="D38" s="72"/>
      <c r="E38" s="72"/>
      <c r="F38" s="52"/>
      <c r="G38" s="52"/>
      <c r="H38" s="73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2:26">
      <c r="B39" s="72"/>
      <c r="C39" s="72"/>
      <c r="D39" s="72"/>
      <c r="E39" s="72"/>
      <c r="F39" s="52"/>
      <c r="G39" s="52"/>
      <c r="H39" s="73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2:26">
      <c r="B40" s="72"/>
      <c r="C40" s="72"/>
      <c r="D40" s="72"/>
      <c r="E40" s="72"/>
      <c r="F40" s="52"/>
      <c r="G40" s="52"/>
      <c r="H40" s="73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2:26">
      <c r="B41" s="72"/>
      <c r="C41" s="72"/>
      <c r="D41" s="72"/>
      <c r="E41" s="72"/>
      <c r="F41" s="52"/>
      <c r="G41" s="52"/>
      <c r="H41" s="73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2:26">
      <c r="B42" s="72"/>
      <c r="C42" s="72"/>
      <c r="D42" s="72"/>
      <c r="E42" s="72"/>
      <c r="F42" s="52"/>
      <c r="G42" s="52"/>
      <c r="H42" s="73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2:26">
      <c r="B43" s="72"/>
      <c r="C43" s="72"/>
      <c r="D43" s="72"/>
      <c r="E43" s="72"/>
      <c r="F43" s="52"/>
      <c r="G43" s="52"/>
      <c r="H43" s="73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2:26">
      <c r="B44" s="72"/>
      <c r="C44" s="72"/>
      <c r="D44" s="72"/>
      <c r="E44" s="72"/>
      <c r="F44" s="52"/>
      <c r="G44" s="52"/>
      <c r="H44" s="73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2:26">
      <c r="B45" s="72"/>
      <c r="C45" s="72"/>
      <c r="D45" s="72"/>
      <c r="E45" s="72"/>
      <c r="F45" s="52"/>
      <c r="G45" s="52"/>
      <c r="H45" s="73">
        <f>SUM(H24:H44)</f>
        <v>0</v>
      </c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2:26"/>
    <row r="47" spans="2:26"/>
    <row r="49"/>
    <row r="50"/>
    <row r="51"/>
    <row r="56"/>
    <row r="57"/>
    <row r="58"/>
    <row r="59"/>
    <row r="60"/>
    <row r="61"/>
  </sheetData>
  <printOptions horizontalCentered="1"/>
  <pageMargins left="0.25" right="0.25" top="0.75" bottom="0.75" header="0.3" footer="0.3"/>
  <pageSetup scale="70" fitToWidth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7"/>
  <sheetViews>
    <sheetView showGridLines="0" zoomScale="90" zoomScaleNormal="90" zoomScaleSheetLayoutView="100" workbookViewId="0">
      <selection activeCell="B20" sqref="B20"/>
    </sheetView>
  </sheetViews>
  <sheetFormatPr defaultColWidth="0" defaultRowHeight="13.5" zeroHeight="1"/>
  <cols>
    <col min="1" max="1" width="1" style="26" customWidth="1"/>
    <col min="2" max="2" width="10" style="26" customWidth="1"/>
    <col min="3" max="3" width="61.42578125" style="26" customWidth="1"/>
    <col min="4" max="5" width="13.5703125" style="26" customWidth="1"/>
    <col min="6" max="6" width="1" style="26" customWidth="1"/>
    <col min="7" max="7" width="9.140625" style="26" hidden="1" customWidth="1"/>
    <col min="8" max="9" width="0" style="26" hidden="1" customWidth="1"/>
    <col min="10" max="16384" width="9.140625" style="26" hidden="1"/>
  </cols>
  <sheetData>
    <row r="1" spans="2:10" s="25" customFormat="1" ht="15">
      <c r="B1" s="40" t="str">
        <f>Index!B1</f>
        <v>ABC &amp; Co.</v>
      </c>
      <c r="D1" s="41"/>
      <c r="E1" s="42" t="str">
        <f>Index!F30</f>
        <v>B.S.01 - 10</v>
      </c>
    </row>
    <row r="2" spans="2:10" s="25" customFormat="1" ht="15">
      <c r="B2" s="25" t="str">
        <f>Index!B2</f>
        <v>(Chartered Accountants)</v>
      </c>
      <c r="D2" s="41"/>
    </row>
    <row r="3" spans="2:10" s="25" customFormat="1" ht="15">
      <c r="B3" s="40"/>
      <c r="E3" s="26"/>
      <c r="F3" s="26"/>
    </row>
    <row r="4" spans="2:10" ht="15">
      <c r="B4" s="40" t="str">
        <f>Index!B4</f>
        <v xml:space="preserve">Client: </v>
      </c>
      <c r="C4" s="43" t="str">
        <f>Index!D4</f>
        <v>ABC Limited</v>
      </c>
      <c r="D4" s="29" t="str">
        <f>Index!$H$4</f>
        <v>Prepared by:</v>
      </c>
      <c r="E4" s="172" t="str">
        <f>IF(Index!$J$4="","",Index!$J$4)</f>
        <v/>
      </c>
    </row>
    <row r="5" spans="2:10" s="25" customFormat="1" ht="15">
      <c r="B5" s="40" t="str">
        <f>Index!B5</f>
        <v>Period:</v>
      </c>
      <c r="C5" s="43" t="str">
        <f>Index!D5</f>
        <v>Year ended June 30, 2023</v>
      </c>
      <c r="D5" s="29" t="str">
        <f>Index!$H$5</f>
        <v>Date prepared:</v>
      </c>
      <c r="E5" s="173" t="str">
        <f>IF(Index!$J$5="","",Index!$J$5)</f>
        <v/>
      </c>
    </row>
    <row r="6" spans="2:10" s="25" customFormat="1" ht="15">
      <c r="B6" s="40" t="str">
        <f>Index!B6</f>
        <v>Head:</v>
      </c>
      <c r="C6" s="43" t="str">
        <f>Index!D6</f>
        <v>Property, plant and equipment</v>
      </c>
      <c r="D6" s="29" t="str">
        <f>Index!$H$6</f>
        <v>Reviewed by:</v>
      </c>
      <c r="E6" s="172" t="str">
        <f>IF(Index!$J$6="","",Index!$J$6)</f>
        <v/>
      </c>
    </row>
    <row r="7" spans="2:10" ht="15">
      <c r="B7" s="25"/>
      <c r="C7" s="25"/>
      <c r="D7" s="29" t="str">
        <f>Index!$H$7</f>
        <v>Date reviewed:</v>
      </c>
      <c r="E7" s="173" t="str">
        <f>IF(Index!$J$7="","",Index!$J$7)</f>
        <v/>
      </c>
      <c r="F7" s="25"/>
    </row>
    <row r="8" spans="2:10" ht="15">
      <c r="B8" s="25"/>
      <c r="C8" s="25"/>
      <c r="D8" s="29"/>
      <c r="E8" s="180"/>
      <c r="F8" s="25"/>
    </row>
    <row r="9" spans="2:10" s="25" customFormat="1" ht="15">
      <c r="B9" s="40" t="s">
        <v>156</v>
      </c>
      <c r="C9" s="40"/>
      <c r="D9" s="40"/>
      <c r="E9" s="40"/>
      <c r="F9" s="40"/>
    </row>
    <row r="10" spans="2:10"/>
    <row r="11" spans="2:10" s="45" customFormat="1" ht="14.25" customHeight="1">
      <c r="B11" s="241" t="s">
        <v>5</v>
      </c>
      <c r="C11" s="241" t="s">
        <v>157</v>
      </c>
      <c r="D11" s="237" t="s">
        <v>158</v>
      </c>
      <c r="E11" s="237"/>
      <c r="F11" s="44"/>
    </row>
    <row r="12" spans="2:10" ht="15">
      <c r="B12" s="241"/>
      <c r="C12" s="241"/>
      <c r="D12" s="66" t="s">
        <v>159</v>
      </c>
      <c r="E12" s="67" t="s">
        <v>160</v>
      </c>
      <c r="F12" s="46"/>
    </row>
    <row r="13" spans="2:10">
      <c r="B13" s="201"/>
    </row>
    <row r="14" spans="2:10" s="49" customFormat="1">
      <c r="B14" s="47"/>
      <c r="C14" s="48"/>
      <c r="D14" s="48"/>
      <c r="E14" s="48"/>
      <c r="F14" s="26"/>
      <c r="G14" s="26"/>
      <c r="H14" s="26"/>
      <c r="I14" s="26"/>
      <c r="J14" s="26"/>
    </row>
    <row r="15" spans="2:10" s="49" customFormat="1">
      <c r="B15" s="47"/>
      <c r="C15" s="48"/>
      <c r="D15" s="48"/>
      <c r="E15" s="48"/>
      <c r="F15" s="26"/>
      <c r="G15" s="26"/>
      <c r="H15" s="26"/>
      <c r="I15" s="26"/>
      <c r="J15" s="26"/>
    </row>
    <row r="16" spans="2:10" s="49" customFormat="1">
      <c r="B16" s="47"/>
      <c r="C16" s="48"/>
      <c r="D16" s="48"/>
      <c r="E16" s="48"/>
      <c r="F16" s="26"/>
      <c r="G16" s="26"/>
      <c r="H16" s="26"/>
      <c r="I16" s="26"/>
      <c r="J16" s="26"/>
    </row>
    <row r="17" spans="2:10" s="49" customFormat="1">
      <c r="B17" s="47"/>
      <c r="C17" s="48"/>
      <c r="D17" s="48"/>
      <c r="E17" s="48"/>
      <c r="F17" s="26"/>
      <c r="G17" s="26"/>
      <c r="H17" s="26"/>
      <c r="I17" s="26"/>
      <c r="J17" s="26"/>
    </row>
    <row r="18" spans="2:10" s="49" customFormat="1">
      <c r="B18" s="47"/>
      <c r="C18" s="48"/>
      <c r="D18" s="48"/>
      <c r="E18" s="48"/>
      <c r="F18" s="26"/>
      <c r="G18" s="26"/>
      <c r="H18" s="26"/>
      <c r="I18" s="26"/>
      <c r="J18" s="26"/>
    </row>
    <row r="19" spans="2:10" s="49" customFormat="1">
      <c r="B19" s="47"/>
      <c r="C19" s="48"/>
      <c r="D19" s="48"/>
      <c r="E19" s="48"/>
      <c r="F19" s="26"/>
      <c r="G19" s="26"/>
      <c r="H19" s="26"/>
      <c r="I19" s="26"/>
      <c r="J19" s="26"/>
    </row>
    <row r="20" spans="2:10" s="49" customFormat="1">
      <c r="B20" s="47"/>
      <c r="C20" s="48"/>
      <c r="D20" s="48"/>
      <c r="E20" s="48"/>
      <c r="F20" s="26"/>
      <c r="G20" s="26"/>
      <c r="H20" s="26"/>
      <c r="I20" s="26"/>
      <c r="J20" s="26"/>
    </row>
    <row r="21" spans="2:10" s="49" customFormat="1">
      <c r="B21" s="47"/>
      <c r="C21" s="48"/>
      <c r="D21" s="48"/>
      <c r="E21" s="48"/>
      <c r="F21" s="26"/>
      <c r="G21" s="26"/>
      <c r="H21" s="26"/>
      <c r="I21" s="26"/>
      <c r="J21" s="26"/>
    </row>
    <row r="22" spans="2:10" s="49" customFormat="1">
      <c r="B22" s="47"/>
      <c r="C22" s="48"/>
      <c r="D22" s="48"/>
      <c r="E22" s="48"/>
      <c r="F22" s="26"/>
      <c r="G22" s="26"/>
      <c r="H22" s="26"/>
      <c r="I22" s="26"/>
      <c r="J22" s="26"/>
    </row>
    <row r="23" spans="2:10" s="49" customFormat="1">
      <c r="B23" s="47"/>
      <c r="C23" s="50"/>
      <c r="D23" s="51"/>
      <c r="E23" s="51"/>
      <c r="F23" s="26"/>
      <c r="G23" s="26"/>
      <c r="H23" s="26"/>
      <c r="I23" s="26"/>
      <c r="J23" s="26"/>
    </row>
    <row r="24" spans="2:10" s="49" customFormat="1">
      <c r="B24" s="47"/>
      <c r="C24" s="50"/>
      <c r="D24" s="52"/>
      <c r="E24" s="52"/>
    </row>
    <row r="25" spans="2:10" s="49" customFormat="1">
      <c r="B25" s="47"/>
      <c r="C25" s="50"/>
      <c r="D25" s="50"/>
      <c r="E25" s="50"/>
    </row>
    <row r="26" spans="2:10" s="55" customFormat="1" ht="14.25" customHeight="1">
      <c r="B26" s="53"/>
      <c r="C26" s="54"/>
      <c r="D26" s="54"/>
      <c r="E26" s="54"/>
      <c r="F26" s="54"/>
      <c r="G26" s="54"/>
      <c r="H26" s="54"/>
      <c r="I26" s="54"/>
      <c r="J26" s="54"/>
    </row>
    <row r="27" spans="2:10" s="56" customFormat="1" hidden="1"/>
    <row r="28" spans="2:10" s="56" customFormat="1" ht="15" hidden="1">
      <c r="D28" s="57"/>
      <c r="E28" s="57"/>
      <c r="F28" s="57"/>
      <c r="G28" s="57"/>
      <c r="H28" s="57"/>
      <c r="I28" s="57"/>
    </row>
    <row r="29" spans="2:10" s="56" customFormat="1" hidden="1"/>
    <row r="31" spans="2:10"/>
    <row r="32" spans="2:10"/>
    <row r="33"/>
    <row r="45"/>
    <row r="46"/>
    <row r="47"/>
  </sheetData>
  <mergeCells count="3">
    <mergeCell ref="B11:B12"/>
    <mergeCell ref="C11:C12"/>
    <mergeCell ref="D11:E11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Index</vt:lpstr>
      <vt:lpstr>AOC</vt:lpstr>
      <vt:lpstr>Lead</vt:lpstr>
      <vt:lpstr>SubLead</vt:lpstr>
      <vt:lpstr>TOCs</vt:lpstr>
      <vt:lpstr>Sampling-Physical-Inspection</vt:lpstr>
      <vt:lpstr>Additions-Vouching</vt:lpstr>
      <vt:lpstr>Disposals-Vouching</vt:lpstr>
      <vt:lpstr>Depreciation-Working</vt:lpstr>
      <vt:lpstr>Vouching-CWIP.</vt:lpstr>
      <vt:lpstr>Adjusting Entries</vt:lpstr>
      <vt:lpstr>'Additions-Vouching'!Print_Area</vt:lpstr>
      <vt:lpstr>'Adjusting Entries'!Print_Area</vt:lpstr>
      <vt:lpstr>AOC!Print_Area</vt:lpstr>
      <vt:lpstr>'Depreciation-Working'!Print_Area</vt:lpstr>
      <vt:lpstr>'Disposals-Vouching'!Print_Area</vt:lpstr>
      <vt:lpstr>Index!Print_Area</vt:lpstr>
      <vt:lpstr>Lead!Print_Area</vt:lpstr>
      <vt:lpstr>'Sampling-Physical-Inspection'!Print_Area</vt:lpstr>
      <vt:lpstr>SubLead!Print_Area</vt:lpstr>
      <vt:lpstr>TOCs!Print_Area</vt:lpstr>
      <vt:lpstr>'Vouching-CWIP.'!Print_Area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Admin</cp:lastModifiedBy>
  <cp:lastPrinted>2017-05-26T11:23:00Z</cp:lastPrinted>
  <dcterms:created xsi:type="dcterms:W3CDTF">2013-09-04T12:17:25Z</dcterms:created>
  <dcterms:modified xsi:type="dcterms:W3CDTF">2023-10-13T12:09:23Z</dcterms:modified>
</cp:coreProperties>
</file>