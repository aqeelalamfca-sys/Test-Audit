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hid\Desktop\"/>
    </mc:Choice>
  </mc:AlternateContent>
  <xr:revisionPtr revIDLastSave="0" documentId="13_ncr:1_{C5A72027-C3F1-4D92-B79B-C67F6CACBB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in Sheet" sheetId="6" r:id="rId1"/>
    <sheet name="D.1.1" sheetId="8" r:id="rId2"/>
    <sheet name="D.1.2" sheetId="9" r:id="rId3"/>
    <sheet name="D.1.3" sheetId="10" r:id="rId4"/>
    <sheet name="D.1.4" sheetId="12" r:id="rId5"/>
    <sheet name="D.1.5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9" l="1"/>
  <c r="F15" i="9"/>
  <c r="E15" i="9"/>
  <c r="D15" i="9"/>
  <c r="B1" i="13"/>
  <c r="B2" i="13"/>
  <c r="B2" i="12"/>
  <c r="B1" i="12"/>
  <c r="B2" i="10"/>
  <c r="B1" i="10"/>
  <c r="B2" i="9"/>
  <c r="B1" i="9"/>
  <c r="B2" i="8"/>
  <c r="B1" i="8"/>
  <c r="B7" i="13"/>
  <c r="B6" i="13"/>
  <c r="B7" i="12"/>
  <c r="B6" i="12"/>
  <c r="B7" i="10"/>
  <c r="B6" i="10"/>
  <c r="B7" i="9"/>
  <c r="B6" i="9"/>
  <c r="G7" i="13"/>
  <c r="G6" i="13"/>
  <c r="F7" i="12"/>
  <c r="F6" i="12"/>
  <c r="I7" i="10"/>
  <c r="I6" i="10"/>
  <c r="J7" i="9"/>
  <c r="J6" i="9"/>
  <c r="F7" i="8"/>
  <c r="F6" i="8"/>
  <c r="B7" i="8"/>
  <c r="B6" i="8"/>
  <c r="G15" i="13" l="1"/>
  <c r="E15" i="13"/>
  <c r="F15" i="13"/>
  <c r="G17" i="13"/>
  <c r="F17" i="13"/>
  <c r="E17" i="13"/>
  <c r="B9" i="13"/>
  <c r="G1" i="13"/>
  <c r="B25" i="12"/>
  <c r="F15" i="12"/>
  <c r="B15" i="12"/>
  <c r="B9" i="12"/>
  <c r="F1" i="12"/>
  <c r="D19" i="13" s="1"/>
  <c r="I25" i="10"/>
  <c r="H25" i="10"/>
  <c r="F17" i="12" s="1"/>
  <c r="J1" i="9"/>
  <c r="D17" i="13" s="1"/>
  <c r="B9" i="10"/>
  <c r="I1" i="10"/>
  <c r="D17" i="12" s="1"/>
  <c r="F19" i="12" l="1"/>
  <c r="F19" i="13" s="1"/>
  <c r="D15" i="12"/>
  <c r="G19" i="13"/>
  <c r="G21" i="13" s="1"/>
  <c r="E19" i="13"/>
  <c r="E21" i="13" s="1"/>
  <c r="F21" i="13"/>
  <c r="F21" i="12"/>
  <c r="F23" i="12" s="1"/>
  <c r="B26" i="12" l="1"/>
  <c r="J21" i="9"/>
  <c r="I21" i="9"/>
  <c r="H21" i="9"/>
  <c r="J19" i="9"/>
  <c r="I19" i="9"/>
  <c r="H19" i="9"/>
  <c r="J17" i="9"/>
  <c r="I17" i="9"/>
  <c r="H17" i="9"/>
  <c r="B9" i="9" l="1"/>
  <c r="F1" i="8"/>
  <c r="B9" i="8"/>
</calcChain>
</file>

<file path=xl/sharedStrings.xml><?xml version="1.0" encoding="utf-8"?>
<sst xmlns="http://schemas.openxmlformats.org/spreadsheetml/2006/main" count="134" uniqueCount="104">
  <si>
    <t xml:space="preserve">Client: </t>
  </si>
  <si>
    <t>Total Assets</t>
  </si>
  <si>
    <t>Prepared by:</t>
  </si>
  <si>
    <t>Period:</t>
  </si>
  <si>
    <t>Reviewed by:</t>
  </si>
  <si>
    <t>Sr. #</t>
  </si>
  <si>
    <t>Ref</t>
  </si>
  <si>
    <t>Whether Placed in File</t>
  </si>
  <si>
    <t>Initial of Reviewer</t>
  </si>
  <si>
    <t>MATERIALITY CALCULATION</t>
  </si>
  <si>
    <t>Annexure - D</t>
  </si>
  <si>
    <t>Audit approach for determination of materiality :</t>
  </si>
  <si>
    <t xml:space="preserve">Determine the metrics that influence the economic decisions of users as a group, including the metric that will serve as the benchmark </t>
  </si>
  <si>
    <t>Determine the threshold % for determination of materiality</t>
  </si>
  <si>
    <t>Determine materiality for the financial statements as a whole, considering the metrics and qualitative factors.</t>
  </si>
  <si>
    <t>Analysis of the materiality amount with other metrics in the applicable industry to analyze the appropriateness of the materiality derived.</t>
  </si>
  <si>
    <t>Annex. D.1.1</t>
  </si>
  <si>
    <t>Annex. D.1.2</t>
  </si>
  <si>
    <t>Annex. D.1.3</t>
  </si>
  <si>
    <t>Annex. D.1.4</t>
  </si>
  <si>
    <t>Annex. D.1.5</t>
  </si>
  <si>
    <t>Determine the industry as per Materiality Benchmark Table</t>
  </si>
  <si>
    <t>Industry</t>
  </si>
  <si>
    <t>Presumed benchmark</t>
  </si>
  <si>
    <t>Other metrics</t>
  </si>
  <si>
    <t>Notes</t>
  </si>
  <si>
    <t>General - Manufacturing and Servicing</t>
  </si>
  <si>
    <t>Not for Profit</t>
  </si>
  <si>
    <t>ABC LIMITED</t>
  </si>
  <si>
    <t>Selection of applicable industry for the engagement:</t>
  </si>
  <si>
    <t xml:space="preserve">The engagement team has determined "General" as relevant industry according to the Materiality Benchmark Table considering the following aspects: </t>
  </si>
  <si>
    <t>Company was incorporated in __________, so the company is not in startup phase and is a profit oriented business with stable profits.</t>
  </si>
  <si>
    <t>Profit Before Tax</t>
  </si>
  <si>
    <t>Total Revenue</t>
  </si>
  <si>
    <t>Net assets</t>
  </si>
  <si>
    <t>The presumed likely key considerations for the users of the financial statements of profit focused entities are PBT, total revenues and net assets</t>
  </si>
  <si>
    <t>Following matrices have been selected for the determination of materiality since the same will influence the economic decisions of users as a group, including the metric that will serve as the benchmark.</t>
  </si>
  <si>
    <t>Variance %</t>
  </si>
  <si>
    <t>Amount in Rupees</t>
  </si>
  <si>
    <t>Description</t>
  </si>
  <si>
    <t>As per trend analysis above, we have concluded that:</t>
  </si>
  <si>
    <t xml:space="preserve">We have selected "____________________" as an appropriate bench mark for determination of materiality. This bench mark has been selected by us after considering the following factors:
- The profit before tax is more volatile 
- Stakeholders are more focused on increasing revenue given its size and importance to maximize the the company's profits </t>
  </si>
  <si>
    <t>Factor</t>
  </si>
  <si>
    <t>Higher end</t>
  </si>
  <si>
    <t>Lower end</t>
  </si>
  <si>
    <t>Percentage criteria applied by ET</t>
  </si>
  <si>
    <t>Justification for application</t>
  </si>
  <si>
    <t>Concentration of ownership and/or management</t>
  </si>
  <si>
    <t>Debt arrangements</t>
  </si>
  <si>
    <t>Business environment</t>
  </si>
  <si>
    <t>Other sensitivities</t>
  </si>
  <si>
    <t>Concentration of ownership in a small number of well-informed individuals</t>
  </si>
  <si>
    <t>Listed or public interest entity</t>
  </si>
  <si>
    <t>Lower</t>
  </si>
  <si>
    <t>The Company is an unlisted public company hence lower percentile is chosen.</t>
  </si>
  <si>
    <t>% for gross measure (Revenue)</t>
  </si>
  <si>
    <t>% for net measure (PBT)</t>
  </si>
  <si>
    <t>Limited debt</t>
  </si>
  <si>
    <t>Publicly traded debt</t>
  </si>
  <si>
    <t>The Company has no extensive debt arrangements.</t>
  </si>
  <si>
    <t>The entity operates in a stable business environment</t>
  </si>
  <si>
    <t>The entity operates in a volatile business environment</t>
  </si>
  <si>
    <t xml:space="preserve">The entity operates in a volatile business environment. </t>
  </si>
  <si>
    <t>The operations of the entity are relatively less complex and few core business processes in which the entity is involved</t>
  </si>
  <si>
    <t>The entity has complex operations and/or diverse business processes.</t>
  </si>
  <si>
    <t>The entity has less complex operations.</t>
  </si>
  <si>
    <t>Few changes in stakeholders have occurred or are expected</t>
  </si>
  <si>
    <t>Intention to list or register securities</t>
  </si>
  <si>
    <t>There is no significant change in share holding during the year.</t>
  </si>
  <si>
    <t>Applicable materiality %</t>
  </si>
  <si>
    <t>Being prudent we choose __________% for materiality as a percentage of the 
benchmark.</t>
  </si>
  <si>
    <t>Particulars</t>
  </si>
  <si>
    <t>Ref.</t>
  </si>
  <si>
    <t>Formulae</t>
  </si>
  <si>
    <t>Amount (PKR)</t>
  </si>
  <si>
    <t>Benchmark selected</t>
  </si>
  <si>
    <t>Percentage for materiality as per KAM (Refer Annexure-III)</t>
  </si>
  <si>
    <t>Materiality amount</t>
  </si>
  <si>
    <t>Performance materiality (PM)</t>
  </si>
  <si>
    <t>Audit Misstatement Posting Threshold (AMPT)</t>
  </si>
  <si>
    <t>A</t>
  </si>
  <si>
    <t>B</t>
  </si>
  <si>
    <t>C = A x B</t>
  </si>
  <si>
    <t>E = D x 5%</t>
  </si>
  <si>
    <t xml:space="preserve">D = C x 70% </t>
  </si>
  <si>
    <t>Presumed benchmark and other metrices as per Materiality benchmark table (MBT)-</t>
  </si>
  <si>
    <t>Presumed and other benchmarks</t>
  </si>
  <si>
    <t>Materiality computed by engagement team</t>
  </si>
  <si>
    <t>Materiality as a % of other metrices</t>
  </si>
  <si>
    <t>The benchmark adopted by the engagament team is justified considering professional judgement and other parameters mentioned above.</t>
  </si>
  <si>
    <t>Conclusion</t>
  </si>
  <si>
    <t>After establishing the upper and lower limit of materiality based of expceted full year materiality we chose the ________ limit for the determination of materiality.</t>
  </si>
  <si>
    <t>0.5%-3%</t>
  </si>
  <si>
    <t>3%-10%</t>
  </si>
  <si>
    <t>Range for determination of materility for metrices</t>
  </si>
  <si>
    <t>Donation / Grant income</t>
  </si>
  <si>
    <t>The presumed likely key considerations for the users of the financial statements of not for profit entities are Donation / Grant income, total assets and net assets</t>
  </si>
  <si>
    <t>2020-21</t>
  </si>
  <si>
    <r>
      <t xml:space="preserve">ABC Limited is a </t>
    </r>
    <r>
      <rPr>
        <u/>
        <sz val="10"/>
        <rFont val="Book Antiqua"/>
        <family val="1"/>
      </rPr>
      <t>public unlisted company</t>
    </r>
    <r>
      <rPr>
        <sz val="10"/>
        <rFont val="Book Antiqua"/>
        <family val="1"/>
      </rPr>
      <t xml:space="preserve">, engaged in the </t>
    </r>
    <r>
      <rPr>
        <u/>
        <sz val="10"/>
        <rFont val="Book Antiqua"/>
        <family val="1"/>
      </rPr>
      <t>purchase (Local and Import), manufacturing and sale (Local and Export) of _________________________________ items</t>
    </r>
    <r>
      <rPr>
        <sz val="10"/>
        <rFont val="Book Antiqua"/>
        <family val="1"/>
      </rPr>
      <t>. Considering the business of the company, "General" is the most appropriate industry as per Materiality Benchmark Table.</t>
    </r>
  </si>
  <si>
    <t>ABC &amp; Co.</t>
  </si>
  <si>
    <t>(Chartered Accountants)</t>
  </si>
  <si>
    <t>2021-22</t>
  </si>
  <si>
    <t>2022-23</t>
  </si>
  <si>
    <t>Year ended June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</si>
</sst>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Narrow"/>
      <family val="2"/>
    </font>
    <font>
      <sz val="8"/>
      <name val="Calibri"/>
      <family val="2"/>
      <scheme val="minor"/>
    </font>
    <font>
      <b/>
      <sz val="10"/>
      <name val="Book Antiqua"/>
      <family val="1"/>
    </font>
    <font>
      <sz val="10"/>
      <name val="Book Antiqua"/>
      <family val="1"/>
    </font>
    <font>
      <b/>
      <i/>
      <sz val="10"/>
      <name val="Book Antiqua"/>
      <family val="1"/>
    </font>
    <font>
      <i/>
      <sz val="10"/>
      <name val="Book Antiqua"/>
      <family val="1"/>
    </font>
    <font>
      <u/>
      <sz val="10"/>
      <name val="Book Antiqua"/>
      <family val="1"/>
    </font>
    <font>
      <b/>
      <i/>
      <u/>
      <sz val="1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</cellStyleXfs>
  <cellXfs count="84">
    <xf numFmtId="0" fontId="0" fillId="0" borderId="0" xfId="0"/>
    <xf numFmtId="0" fontId="5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6" fillId="0" borderId="0" xfId="6" applyFont="1" applyAlignment="1">
      <alignment horizontal="right" vertical="center"/>
    </xf>
    <xf numFmtId="0" fontId="5" fillId="0" borderId="0" xfId="6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vertical="center"/>
    </xf>
    <xf numFmtId="0" fontId="5" fillId="0" borderId="0" xfId="2" applyNumberFormat="1" applyFont="1" applyFill="1" applyAlignment="1">
      <alignment horizontal="left" vertical="center"/>
    </xf>
    <xf numFmtId="0" fontId="5" fillId="0" borderId="0" xfId="6" applyFont="1" applyAlignment="1">
      <alignment horizontal="left" vertical="center"/>
    </xf>
    <xf numFmtId="0" fontId="6" fillId="0" borderId="4" xfId="6" applyFont="1" applyBorder="1" applyAlignment="1">
      <alignment horizontal="left" vertical="center"/>
    </xf>
    <xf numFmtId="0" fontId="6" fillId="0" borderId="0" xfId="2" applyNumberFormat="1" applyFont="1" applyFill="1" applyBorder="1" applyAlignment="1" applyProtection="1">
      <alignment vertical="center"/>
    </xf>
    <xf numFmtId="164" fontId="5" fillId="0" borderId="0" xfId="2" applyFont="1" applyFill="1" applyAlignment="1">
      <alignment vertical="center"/>
    </xf>
    <xf numFmtId="0" fontId="6" fillId="0" borderId="0" xfId="6" applyFont="1" applyAlignment="1">
      <alignment horizontal="left" vertical="center"/>
    </xf>
    <xf numFmtId="0" fontId="7" fillId="0" borderId="0" xfId="2" applyNumberFormat="1" applyFont="1" applyFill="1" applyBorder="1" applyAlignment="1" applyProtection="1">
      <alignment vertical="center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/>
    </xf>
    <xf numFmtId="0" fontId="6" fillId="0" borderId="3" xfId="6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6" fillId="0" borderId="1" xfId="6" applyFont="1" applyBorder="1" applyAlignment="1">
      <alignment vertical="center" wrapText="1"/>
    </xf>
    <xf numFmtId="0" fontId="8" fillId="0" borderId="0" xfId="6" applyFont="1" applyAlignment="1">
      <alignment vertical="center"/>
    </xf>
    <xf numFmtId="0" fontId="6" fillId="0" borderId="0" xfId="6" applyFont="1" applyAlignment="1">
      <alignment horizontal="left" vertical="center" indent="1"/>
    </xf>
    <xf numFmtId="0" fontId="6" fillId="0" borderId="0" xfId="6" applyFont="1" applyAlignment="1">
      <alignment horizontal="center" vertical="center"/>
    </xf>
    <xf numFmtId="0" fontId="6" fillId="0" borderId="15" xfId="1" applyNumberFormat="1" applyFont="1" applyFill="1" applyBorder="1" applyAlignment="1">
      <alignment vertical="top" wrapText="1"/>
    </xf>
    <xf numFmtId="0" fontId="6" fillId="0" borderId="12" xfId="1" applyNumberFormat="1" applyFont="1" applyFill="1" applyBorder="1" applyAlignment="1">
      <alignment horizontal="center" vertical="top" wrapText="1"/>
    </xf>
    <xf numFmtId="165" fontId="6" fillId="0" borderId="0" xfId="1" applyNumberFormat="1" applyFont="1" applyFill="1" applyAlignment="1">
      <alignment horizontal="center" vertical="center"/>
    </xf>
    <xf numFmtId="165" fontId="6" fillId="0" borderId="0" xfId="1" applyNumberFormat="1" applyFont="1" applyFill="1" applyAlignment="1">
      <alignment vertical="center"/>
    </xf>
    <xf numFmtId="165" fontId="6" fillId="0" borderId="12" xfId="1" applyNumberFormat="1" applyFont="1" applyFill="1" applyBorder="1" applyAlignment="1">
      <alignment horizontal="center" vertical="top" wrapText="1"/>
    </xf>
    <xf numFmtId="165" fontId="6" fillId="0" borderId="12" xfId="1" applyNumberFormat="1" applyFont="1" applyFill="1" applyBorder="1" applyAlignment="1">
      <alignment horizontal="left" vertical="top" wrapText="1"/>
    </xf>
    <xf numFmtId="10" fontId="6" fillId="0" borderId="12" xfId="4" applyNumberFormat="1" applyFont="1" applyFill="1" applyBorder="1" applyAlignment="1">
      <alignment horizontal="center" vertical="top" wrapText="1"/>
    </xf>
    <xf numFmtId="164" fontId="6" fillId="0" borderId="0" xfId="1" applyFont="1" applyFill="1" applyAlignment="1">
      <alignment horizontal="center" vertical="center"/>
    </xf>
    <xf numFmtId="164" fontId="6" fillId="0" borderId="0" xfId="1" applyFont="1" applyFill="1" applyAlignment="1">
      <alignment vertical="center"/>
    </xf>
    <xf numFmtId="164" fontId="6" fillId="0" borderId="12" xfId="1" applyFont="1" applyFill="1" applyBorder="1" applyAlignment="1">
      <alignment horizontal="center" vertical="top" wrapText="1"/>
    </xf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top" wrapText="1"/>
    </xf>
    <xf numFmtId="0" fontId="6" fillId="0" borderId="0" xfId="1" applyNumberFormat="1" applyFont="1" applyFill="1" applyBorder="1" applyAlignment="1">
      <alignment horizontal="left" vertical="top" wrapText="1"/>
    </xf>
    <xf numFmtId="10" fontId="6" fillId="0" borderId="12" xfId="1" applyNumberFormat="1" applyFont="1" applyFill="1" applyBorder="1" applyAlignment="1">
      <alignment horizontal="center" vertical="top" wrapText="1"/>
    </xf>
    <xf numFmtId="165" fontId="6" fillId="0" borderId="0" xfId="6" applyNumberFormat="1" applyFont="1" applyAlignment="1">
      <alignment vertical="center"/>
    </xf>
    <xf numFmtId="0" fontId="6" fillId="0" borderId="12" xfId="1" applyNumberFormat="1" applyFont="1" applyFill="1" applyBorder="1" applyAlignment="1">
      <alignment horizontal="left" vertical="top" wrapText="1"/>
    </xf>
    <xf numFmtId="0" fontId="6" fillId="0" borderId="12" xfId="4" applyNumberFormat="1" applyFont="1" applyFill="1" applyBorder="1" applyAlignment="1">
      <alignment horizontal="left" vertical="top" wrapText="1"/>
    </xf>
    <xf numFmtId="0" fontId="6" fillId="0" borderId="0" xfId="6" applyFont="1" applyAlignment="1">
      <alignment horizontal="left" vertical="top" wrapText="1"/>
    </xf>
    <xf numFmtId="0" fontId="6" fillId="0" borderId="0" xfId="6" applyFont="1" applyAlignment="1">
      <alignment vertical="top" wrapText="1"/>
    </xf>
    <xf numFmtId="0" fontId="6" fillId="0" borderId="0" xfId="1" applyNumberFormat="1" applyFont="1" applyFill="1" applyAlignment="1">
      <alignment horizontal="left" vertical="top" wrapText="1"/>
    </xf>
    <xf numFmtId="10" fontId="6" fillId="0" borderId="0" xfId="4" applyNumberFormat="1" applyFont="1" applyFill="1" applyAlignment="1">
      <alignment horizontal="center" vertical="top"/>
    </xf>
    <xf numFmtId="0" fontId="6" fillId="0" borderId="12" xfId="1" applyNumberFormat="1" applyFont="1" applyFill="1" applyBorder="1" applyAlignment="1">
      <alignment vertical="top" wrapText="1"/>
    </xf>
    <xf numFmtId="10" fontId="6" fillId="0" borderId="12" xfId="4" applyNumberFormat="1" applyFont="1" applyFill="1" applyBorder="1" applyAlignment="1">
      <alignment horizontal="center" vertical="top"/>
    </xf>
    <xf numFmtId="0" fontId="6" fillId="0" borderId="0" xfId="1" applyNumberFormat="1" applyFont="1" applyFill="1" applyBorder="1" applyAlignment="1">
      <alignment vertical="top" wrapText="1"/>
    </xf>
    <xf numFmtId="0" fontId="6" fillId="0" borderId="0" xfId="4" applyNumberFormat="1" applyFont="1" applyFill="1" applyBorder="1" applyAlignment="1">
      <alignment horizontal="left" vertical="top" wrapText="1"/>
    </xf>
    <xf numFmtId="10" fontId="6" fillId="0" borderId="0" xfId="4" applyNumberFormat="1" applyFont="1" applyFill="1" applyBorder="1" applyAlignment="1">
      <alignment horizontal="center" vertical="top"/>
    </xf>
    <xf numFmtId="165" fontId="6" fillId="0" borderId="12" xfId="1" applyNumberFormat="1" applyFont="1" applyFill="1" applyBorder="1" applyAlignment="1">
      <alignment vertical="center"/>
    </xf>
    <xf numFmtId="9" fontId="6" fillId="0" borderId="12" xfId="4" applyFont="1" applyFill="1" applyBorder="1" applyAlignment="1">
      <alignment horizontal="center" vertical="center"/>
    </xf>
    <xf numFmtId="0" fontId="6" fillId="0" borderId="4" xfId="6" applyFont="1" applyBorder="1" applyAlignment="1">
      <alignment vertical="center"/>
    </xf>
    <xf numFmtId="0" fontId="6" fillId="0" borderId="1" xfId="6" applyFont="1" applyBorder="1" applyAlignment="1">
      <alignment horizontal="left" vertical="center" wrapText="1"/>
    </xf>
    <xf numFmtId="0" fontId="5" fillId="2" borderId="1" xfId="5" applyFont="1" applyFill="1" applyBorder="1" applyAlignment="1">
      <alignment horizontal="center" vertical="center" wrapText="1"/>
    </xf>
    <xf numFmtId="0" fontId="5" fillId="2" borderId="1" xfId="5" quotePrefix="1" applyFont="1" applyFill="1" applyBorder="1" applyAlignment="1">
      <alignment horizontal="center" vertical="center" wrapText="1"/>
    </xf>
    <xf numFmtId="0" fontId="5" fillId="0" borderId="0" xfId="6" applyFont="1" applyAlignment="1">
      <alignment horizontal="center" vertical="center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center" vertical="center" wrapText="1"/>
    </xf>
    <xf numFmtId="0" fontId="6" fillId="0" borderId="10" xfId="6" applyFont="1" applyBorder="1" applyAlignment="1">
      <alignment horizontal="center" vertical="center"/>
    </xf>
    <xf numFmtId="0" fontId="6" fillId="0" borderId="11" xfId="6" applyFont="1" applyBorder="1" applyAlignment="1">
      <alignment horizontal="center" vertical="center"/>
    </xf>
    <xf numFmtId="0" fontId="6" fillId="0" borderId="0" xfId="6" applyFont="1" applyAlignment="1">
      <alignment horizontal="left" vertical="top" wrapText="1" indent="1"/>
    </xf>
    <xf numFmtId="0" fontId="6" fillId="0" borderId="5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5" xfId="6" applyFont="1" applyBorder="1" applyAlignment="1">
      <alignment vertical="center" wrapText="1"/>
    </xf>
    <xf numFmtId="0" fontId="6" fillId="0" borderId="3" xfId="6" applyFont="1" applyBorder="1" applyAlignment="1">
      <alignment vertical="center" wrapText="1"/>
    </xf>
    <xf numFmtId="0" fontId="6" fillId="0" borderId="6" xfId="6" applyFont="1" applyBorder="1" applyAlignment="1">
      <alignment vertical="center" wrapText="1"/>
    </xf>
    <xf numFmtId="0" fontId="6" fillId="0" borderId="7" xfId="6" applyFont="1" applyBorder="1" applyAlignment="1">
      <alignment vertical="center" wrapText="1"/>
    </xf>
    <xf numFmtId="0" fontId="6" fillId="0" borderId="8" xfId="6" applyFont="1" applyBorder="1" applyAlignment="1">
      <alignment vertical="center" wrapText="1"/>
    </xf>
    <xf numFmtId="0" fontId="6" fillId="0" borderId="9" xfId="6" applyFont="1" applyBorder="1" applyAlignment="1">
      <alignment vertical="center" wrapText="1"/>
    </xf>
    <xf numFmtId="0" fontId="6" fillId="0" borderId="2" xfId="6" applyFont="1" applyBorder="1" applyAlignment="1">
      <alignment horizontal="center" vertical="center" wrapText="1"/>
    </xf>
    <xf numFmtId="0" fontId="6" fillId="0" borderId="2" xfId="6" applyFont="1" applyBorder="1" applyAlignment="1">
      <alignment vertical="center" wrapText="1"/>
    </xf>
    <xf numFmtId="0" fontId="6" fillId="0" borderId="0" xfId="6" applyFont="1" applyAlignment="1">
      <alignment vertical="center" wrapText="1"/>
    </xf>
    <xf numFmtId="0" fontId="5" fillId="2" borderId="1" xfId="5" applyFont="1" applyFill="1" applyBorder="1" applyAlignment="1">
      <alignment horizontal="center" vertical="center" wrapText="1"/>
    </xf>
    <xf numFmtId="0" fontId="6" fillId="0" borderId="13" xfId="1" applyNumberFormat="1" applyFont="1" applyFill="1" applyBorder="1" applyAlignment="1">
      <alignment horizontal="center" vertical="top" wrapText="1"/>
    </xf>
    <xf numFmtId="0" fontId="6" fillId="0" borderId="14" xfId="1" applyNumberFormat="1" applyFont="1" applyFill="1" applyBorder="1" applyAlignment="1">
      <alignment horizontal="center" vertical="top" wrapText="1"/>
    </xf>
    <xf numFmtId="0" fontId="6" fillId="0" borderId="13" xfId="1" applyNumberFormat="1" applyFont="1" applyFill="1" applyBorder="1" applyAlignment="1">
      <alignment horizontal="left" vertical="top" wrapText="1"/>
    </xf>
    <xf numFmtId="0" fontId="6" fillId="0" borderId="14" xfId="1" applyNumberFormat="1" applyFont="1" applyFill="1" applyBorder="1" applyAlignment="1">
      <alignment horizontal="left" vertical="top" wrapText="1"/>
    </xf>
    <xf numFmtId="0" fontId="6" fillId="0" borderId="15" xfId="1" applyNumberFormat="1" applyFont="1" applyFill="1" applyBorder="1" applyAlignment="1">
      <alignment horizontal="left" vertical="top" wrapText="1"/>
    </xf>
    <xf numFmtId="0" fontId="6" fillId="0" borderId="16" xfId="1" applyNumberFormat="1" applyFont="1" applyFill="1" applyBorder="1" applyAlignment="1">
      <alignment horizontal="left" vertical="top" wrapText="1"/>
    </xf>
    <xf numFmtId="0" fontId="6" fillId="0" borderId="17" xfId="1" applyNumberFormat="1" applyFont="1" applyFill="1" applyBorder="1" applyAlignment="1">
      <alignment horizontal="left" vertical="top" wrapText="1"/>
    </xf>
    <xf numFmtId="0" fontId="6" fillId="0" borderId="15" xfId="1" applyNumberFormat="1" applyFont="1" applyFill="1" applyBorder="1" applyAlignment="1">
      <alignment vertical="top" wrapText="1"/>
    </xf>
    <xf numFmtId="0" fontId="6" fillId="0" borderId="17" xfId="1" applyNumberFormat="1" applyFont="1" applyFill="1" applyBorder="1" applyAlignment="1">
      <alignment vertical="top" wrapText="1"/>
    </xf>
  </cellXfs>
  <cellStyles count="7">
    <cellStyle name="Comma" xfId="1" builtinId="3"/>
    <cellStyle name="Comma 3" xfId="2" xr:uid="{00000000-0005-0000-0000-000001000000}"/>
    <cellStyle name="Normal" xfId="0" builtinId="0"/>
    <cellStyle name="Normal 2" xfId="5" xr:uid="{00000000-0005-0000-0000-000003000000}"/>
    <cellStyle name="Normal 3 3" xfId="3" xr:uid="{00000000-0005-0000-0000-000004000000}"/>
    <cellStyle name="Normal 4" xfId="6" xr:uid="{00000000-0005-0000-0000-000005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"/>
  <sheetViews>
    <sheetView showGridLines="0" tabSelected="1" workbookViewId="0">
      <selection activeCell="C8" sqref="C8"/>
    </sheetView>
  </sheetViews>
  <sheetFormatPr defaultColWidth="10.42578125" defaultRowHeight="13.5" x14ac:dyDescent="0.25"/>
  <cols>
    <col min="1" max="1" width="1" style="2" customWidth="1"/>
    <col min="2" max="2" width="8.140625" style="2" customWidth="1"/>
    <col min="3" max="3" width="56.140625" style="2" customWidth="1"/>
    <col min="4" max="4" width="13.5703125" style="2" customWidth="1"/>
    <col min="5" max="6" width="16.42578125" style="2" customWidth="1"/>
    <col min="7" max="7" width="1" style="2" customWidth="1"/>
    <col min="8" max="253" width="10.42578125" style="2"/>
    <col min="254" max="254" width="8.42578125" style="2" customWidth="1"/>
    <col min="255" max="256" width="12.85546875" style="2" customWidth="1"/>
    <col min="257" max="257" width="9.7109375" style="2" customWidth="1"/>
    <col min="258" max="258" width="7.28515625" style="2" customWidth="1"/>
    <col min="259" max="259" width="8.140625" style="2" customWidth="1"/>
    <col min="260" max="260" width="12.85546875" style="2" customWidth="1"/>
    <col min="261" max="262" width="13.28515625" style="2" customWidth="1"/>
    <col min="263" max="509" width="10.42578125" style="2"/>
    <col min="510" max="510" width="8.42578125" style="2" customWidth="1"/>
    <col min="511" max="512" width="12.85546875" style="2" customWidth="1"/>
    <col min="513" max="513" width="9.7109375" style="2" customWidth="1"/>
    <col min="514" max="514" width="7.28515625" style="2" customWidth="1"/>
    <col min="515" max="515" width="8.140625" style="2" customWidth="1"/>
    <col min="516" max="516" width="12.85546875" style="2" customWidth="1"/>
    <col min="517" max="518" width="13.28515625" style="2" customWidth="1"/>
    <col min="519" max="765" width="10.42578125" style="2"/>
    <col min="766" max="766" width="8.42578125" style="2" customWidth="1"/>
    <col min="767" max="768" width="12.85546875" style="2" customWidth="1"/>
    <col min="769" max="769" width="9.7109375" style="2" customWidth="1"/>
    <col min="770" max="770" width="7.28515625" style="2" customWidth="1"/>
    <col min="771" max="771" width="8.140625" style="2" customWidth="1"/>
    <col min="772" max="772" width="12.85546875" style="2" customWidth="1"/>
    <col min="773" max="774" width="13.28515625" style="2" customWidth="1"/>
    <col min="775" max="1021" width="10.42578125" style="2"/>
    <col min="1022" max="1022" width="8.42578125" style="2" customWidth="1"/>
    <col min="1023" max="1024" width="12.85546875" style="2" customWidth="1"/>
    <col min="1025" max="1025" width="9.7109375" style="2" customWidth="1"/>
    <col min="1026" max="1026" width="7.28515625" style="2" customWidth="1"/>
    <col min="1027" max="1027" width="8.140625" style="2" customWidth="1"/>
    <col min="1028" max="1028" width="12.85546875" style="2" customWidth="1"/>
    <col min="1029" max="1030" width="13.28515625" style="2" customWidth="1"/>
    <col min="1031" max="1277" width="10.42578125" style="2"/>
    <col min="1278" max="1278" width="8.42578125" style="2" customWidth="1"/>
    <col min="1279" max="1280" width="12.85546875" style="2" customWidth="1"/>
    <col min="1281" max="1281" width="9.7109375" style="2" customWidth="1"/>
    <col min="1282" max="1282" width="7.28515625" style="2" customWidth="1"/>
    <col min="1283" max="1283" width="8.140625" style="2" customWidth="1"/>
    <col min="1284" max="1284" width="12.85546875" style="2" customWidth="1"/>
    <col min="1285" max="1286" width="13.28515625" style="2" customWidth="1"/>
    <col min="1287" max="1533" width="10.42578125" style="2"/>
    <col min="1534" max="1534" width="8.42578125" style="2" customWidth="1"/>
    <col min="1535" max="1536" width="12.85546875" style="2" customWidth="1"/>
    <col min="1537" max="1537" width="9.7109375" style="2" customWidth="1"/>
    <col min="1538" max="1538" width="7.28515625" style="2" customWidth="1"/>
    <col min="1539" max="1539" width="8.140625" style="2" customWidth="1"/>
    <col min="1540" max="1540" width="12.85546875" style="2" customWidth="1"/>
    <col min="1541" max="1542" width="13.28515625" style="2" customWidth="1"/>
    <col min="1543" max="1789" width="10.42578125" style="2"/>
    <col min="1790" max="1790" width="8.42578125" style="2" customWidth="1"/>
    <col min="1791" max="1792" width="12.85546875" style="2" customWidth="1"/>
    <col min="1793" max="1793" width="9.7109375" style="2" customWidth="1"/>
    <col min="1794" max="1794" width="7.28515625" style="2" customWidth="1"/>
    <col min="1795" max="1795" width="8.140625" style="2" customWidth="1"/>
    <col min="1796" max="1796" width="12.85546875" style="2" customWidth="1"/>
    <col min="1797" max="1798" width="13.28515625" style="2" customWidth="1"/>
    <col min="1799" max="2045" width="10.42578125" style="2"/>
    <col min="2046" max="2046" width="8.42578125" style="2" customWidth="1"/>
    <col min="2047" max="2048" width="12.85546875" style="2" customWidth="1"/>
    <col min="2049" max="2049" width="9.7109375" style="2" customWidth="1"/>
    <col min="2050" max="2050" width="7.28515625" style="2" customWidth="1"/>
    <col min="2051" max="2051" width="8.140625" style="2" customWidth="1"/>
    <col min="2052" max="2052" width="12.85546875" style="2" customWidth="1"/>
    <col min="2053" max="2054" width="13.28515625" style="2" customWidth="1"/>
    <col min="2055" max="2301" width="10.42578125" style="2"/>
    <col min="2302" max="2302" width="8.42578125" style="2" customWidth="1"/>
    <col min="2303" max="2304" width="12.85546875" style="2" customWidth="1"/>
    <col min="2305" max="2305" width="9.7109375" style="2" customWidth="1"/>
    <col min="2306" max="2306" width="7.28515625" style="2" customWidth="1"/>
    <col min="2307" max="2307" width="8.140625" style="2" customWidth="1"/>
    <col min="2308" max="2308" width="12.85546875" style="2" customWidth="1"/>
    <col min="2309" max="2310" width="13.28515625" style="2" customWidth="1"/>
    <col min="2311" max="2557" width="10.42578125" style="2"/>
    <col min="2558" max="2558" width="8.42578125" style="2" customWidth="1"/>
    <col min="2559" max="2560" width="12.85546875" style="2" customWidth="1"/>
    <col min="2561" max="2561" width="9.7109375" style="2" customWidth="1"/>
    <col min="2562" max="2562" width="7.28515625" style="2" customWidth="1"/>
    <col min="2563" max="2563" width="8.140625" style="2" customWidth="1"/>
    <col min="2564" max="2564" width="12.85546875" style="2" customWidth="1"/>
    <col min="2565" max="2566" width="13.28515625" style="2" customWidth="1"/>
    <col min="2567" max="2813" width="10.42578125" style="2"/>
    <col min="2814" max="2814" width="8.42578125" style="2" customWidth="1"/>
    <col min="2815" max="2816" width="12.85546875" style="2" customWidth="1"/>
    <col min="2817" max="2817" width="9.7109375" style="2" customWidth="1"/>
    <col min="2818" max="2818" width="7.28515625" style="2" customWidth="1"/>
    <col min="2819" max="2819" width="8.140625" style="2" customWidth="1"/>
    <col min="2820" max="2820" width="12.85546875" style="2" customWidth="1"/>
    <col min="2821" max="2822" width="13.28515625" style="2" customWidth="1"/>
    <col min="2823" max="3069" width="10.42578125" style="2"/>
    <col min="3070" max="3070" width="8.42578125" style="2" customWidth="1"/>
    <col min="3071" max="3072" width="12.85546875" style="2" customWidth="1"/>
    <col min="3073" max="3073" width="9.7109375" style="2" customWidth="1"/>
    <col min="3074" max="3074" width="7.28515625" style="2" customWidth="1"/>
    <col min="3075" max="3075" width="8.140625" style="2" customWidth="1"/>
    <col min="3076" max="3076" width="12.85546875" style="2" customWidth="1"/>
    <col min="3077" max="3078" width="13.28515625" style="2" customWidth="1"/>
    <col min="3079" max="3325" width="10.42578125" style="2"/>
    <col min="3326" max="3326" width="8.42578125" style="2" customWidth="1"/>
    <col min="3327" max="3328" width="12.85546875" style="2" customWidth="1"/>
    <col min="3329" max="3329" width="9.7109375" style="2" customWidth="1"/>
    <col min="3330" max="3330" width="7.28515625" style="2" customWidth="1"/>
    <col min="3331" max="3331" width="8.140625" style="2" customWidth="1"/>
    <col min="3332" max="3332" width="12.85546875" style="2" customWidth="1"/>
    <col min="3333" max="3334" width="13.28515625" style="2" customWidth="1"/>
    <col min="3335" max="3581" width="10.42578125" style="2"/>
    <col min="3582" max="3582" width="8.42578125" style="2" customWidth="1"/>
    <col min="3583" max="3584" width="12.85546875" style="2" customWidth="1"/>
    <col min="3585" max="3585" width="9.7109375" style="2" customWidth="1"/>
    <col min="3586" max="3586" width="7.28515625" style="2" customWidth="1"/>
    <col min="3587" max="3587" width="8.140625" style="2" customWidth="1"/>
    <col min="3588" max="3588" width="12.85546875" style="2" customWidth="1"/>
    <col min="3589" max="3590" width="13.28515625" style="2" customWidth="1"/>
    <col min="3591" max="3837" width="10.42578125" style="2"/>
    <col min="3838" max="3838" width="8.42578125" style="2" customWidth="1"/>
    <col min="3839" max="3840" width="12.85546875" style="2" customWidth="1"/>
    <col min="3841" max="3841" width="9.7109375" style="2" customWidth="1"/>
    <col min="3842" max="3842" width="7.28515625" style="2" customWidth="1"/>
    <col min="3843" max="3843" width="8.140625" style="2" customWidth="1"/>
    <col min="3844" max="3844" width="12.85546875" style="2" customWidth="1"/>
    <col min="3845" max="3846" width="13.28515625" style="2" customWidth="1"/>
    <col min="3847" max="4093" width="10.42578125" style="2"/>
    <col min="4094" max="4094" width="8.42578125" style="2" customWidth="1"/>
    <col min="4095" max="4096" width="12.85546875" style="2" customWidth="1"/>
    <col min="4097" max="4097" width="9.7109375" style="2" customWidth="1"/>
    <col min="4098" max="4098" width="7.28515625" style="2" customWidth="1"/>
    <col min="4099" max="4099" width="8.140625" style="2" customWidth="1"/>
    <col min="4100" max="4100" width="12.85546875" style="2" customWidth="1"/>
    <col min="4101" max="4102" width="13.28515625" style="2" customWidth="1"/>
    <col min="4103" max="4349" width="10.42578125" style="2"/>
    <col min="4350" max="4350" width="8.42578125" style="2" customWidth="1"/>
    <col min="4351" max="4352" width="12.85546875" style="2" customWidth="1"/>
    <col min="4353" max="4353" width="9.7109375" style="2" customWidth="1"/>
    <col min="4354" max="4354" width="7.28515625" style="2" customWidth="1"/>
    <col min="4355" max="4355" width="8.140625" style="2" customWidth="1"/>
    <col min="4356" max="4356" width="12.85546875" style="2" customWidth="1"/>
    <col min="4357" max="4358" width="13.28515625" style="2" customWidth="1"/>
    <col min="4359" max="4605" width="10.42578125" style="2"/>
    <col min="4606" max="4606" width="8.42578125" style="2" customWidth="1"/>
    <col min="4607" max="4608" width="12.85546875" style="2" customWidth="1"/>
    <col min="4609" max="4609" width="9.7109375" style="2" customWidth="1"/>
    <col min="4610" max="4610" width="7.28515625" style="2" customWidth="1"/>
    <col min="4611" max="4611" width="8.140625" style="2" customWidth="1"/>
    <col min="4612" max="4612" width="12.85546875" style="2" customWidth="1"/>
    <col min="4613" max="4614" width="13.28515625" style="2" customWidth="1"/>
    <col min="4615" max="4861" width="10.42578125" style="2"/>
    <col min="4862" max="4862" width="8.42578125" style="2" customWidth="1"/>
    <col min="4863" max="4864" width="12.85546875" style="2" customWidth="1"/>
    <col min="4865" max="4865" width="9.7109375" style="2" customWidth="1"/>
    <col min="4866" max="4866" width="7.28515625" style="2" customWidth="1"/>
    <col min="4867" max="4867" width="8.140625" style="2" customWidth="1"/>
    <col min="4868" max="4868" width="12.85546875" style="2" customWidth="1"/>
    <col min="4869" max="4870" width="13.28515625" style="2" customWidth="1"/>
    <col min="4871" max="5117" width="10.42578125" style="2"/>
    <col min="5118" max="5118" width="8.42578125" style="2" customWidth="1"/>
    <col min="5119" max="5120" width="12.85546875" style="2" customWidth="1"/>
    <col min="5121" max="5121" width="9.7109375" style="2" customWidth="1"/>
    <col min="5122" max="5122" width="7.28515625" style="2" customWidth="1"/>
    <col min="5123" max="5123" width="8.140625" style="2" customWidth="1"/>
    <col min="5124" max="5124" width="12.85546875" style="2" customWidth="1"/>
    <col min="5125" max="5126" width="13.28515625" style="2" customWidth="1"/>
    <col min="5127" max="5373" width="10.42578125" style="2"/>
    <col min="5374" max="5374" width="8.42578125" style="2" customWidth="1"/>
    <col min="5375" max="5376" width="12.85546875" style="2" customWidth="1"/>
    <col min="5377" max="5377" width="9.7109375" style="2" customWidth="1"/>
    <col min="5378" max="5378" width="7.28515625" style="2" customWidth="1"/>
    <col min="5379" max="5379" width="8.140625" style="2" customWidth="1"/>
    <col min="5380" max="5380" width="12.85546875" style="2" customWidth="1"/>
    <col min="5381" max="5382" width="13.28515625" style="2" customWidth="1"/>
    <col min="5383" max="5629" width="10.42578125" style="2"/>
    <col min="5630" max="5630" width="8.42578125" style="2" customWidth="1"/>
    <col min="5631" max="5632" width="12.85546875" style="2" customWidth="1"/>
    <col min="5633" max="5633" width="9.7109375" style="2" customWidth="1"/>
    <col min="5634" max="5634" width="7.28515625" style="2" customWidth="1"/>
    <col min="5635" max="5635" width="8.140625" style="2" customWidth="1"/>
    <col min="5636" max="5636" width="12.85546875" style="2" customWidth="1"/>
    <col min="5637" max="5638" width="13.28515625" style="2" customWidth="1"/>
    <col min="5639" max="5885" width="10.42578125" style="2"/>
    <col min="5886" max="5886" width="8.42578125" style="2" customWidth="1"/>
    <col min="5887" max="5888" width="12.85546875" style="2" customWidth="1"/>
    <col min="5889" max="5889" width="9.7109375" style="2" customWidth="1"/>
    <col min="5890" max="5890" width="7.28515625" style="2" customWidth="1"/>
    <col min="5891" max="5891" width="8.140625" style="2" customWidth="1"/>
    <col min="5892" max="5892" width="12.85546875" style="2" customWidth="1"/>
    <col min="5893" max="5894" width="13.28515625" style="2" customWidth="1"/>
    <col min="5895" max="6141" width="10.42578125" style="2"/>
    <col min="6142" max="6142" width="8.42578125" style="2" customWidth="1"/>
    <col min="6143" max="6144" width="12.85546875" style="2" customWidth="1"/>
    <col min="6145" max="6145" width="9.7109375" style="2" customWidth="1"/>
    <col min="6146" max="6146" width="7.28515625" style="2" customWidth="1"/>
    <col min="6147" max="6147" width="8.140625" style="2" customWidth="1"/>
    <col min="6148" max="6148" width="12.85546875" style="2" customWidth="1"/>
    <col min="6149" max="6150" width="13.28515625" style="2" customWidth="1"/>
    <col min="6151" max="6397" width="10.42578125" style="2"/>
    <col min="6398" max="6398" width="8.42578125" style="2" customWidth="1"/>
    <col min="6399" max="6400" width="12.85546875" style="2" customWidth="1"/>
    <col min="6401" max="6401" width="9.7109375" style="2" customWidth="1"/>
    <col min="6402" max="6402" width="7.28515625" style="2" customWidth="1"/>
    <col min="6403" max="6403" width="8.140625" style="2" customWidth="1"/>
    <col min="6404" max="6404" width="12.85546875" style="2" customWidth="1"/>
    <col min="6405" max="6406" width="13.28515625" style="2" customWidth="1"/>
    <col min="6407" max="6653" width="10.42578125" style="2"/>
    <col min="6654" max="6654" width="8.42578125" style="2" customWidth="1"/>
    <col min="6655" max="6656" width="12.85546875" style="2" customWidth="1"/>
    <col min="6657" max="6657" width="9.7109375" style="2" customWidth="1"/>
    <col min="6658" max="6658" width="7.28515625" style="2" customWidth="1"/>
    <col min="6659" max="6659" width="8.140625" style="2" customWidth="1"/>
    <col min="6660" max="6660" width="12.85546875" style="2" customWidth="1"/>
    <col min="6661" max="6662" width="13.28515625" style="2" customWidth="1"/>
    <col min="6663" max="6909" width="10.42578125" style="2"/>
    <col min="6910" max="6910" width="8.42578125" style="2" customWidth="1"/>
    <col min="6911" max="6912" width="12.85546875" style="2" customWidth="1"/>
    <col min="6913" max="6913" width="9.7109375" style="2" customWidth="1"/>
    <col min="6914" max="6914" width="7.28515625" style="2" customWidth="1"/>
    <col min="6915" max="6915" width="8.140625" style="2" customWidth="1"/>
    <col min="6916" max="6916" width="12.85546875" style="2" customWidth="1"/>
    <col min="6917" max="6918" width="13.28515625" style="2" customWidth="1"/>
    <col min="6919" max="7165" width="10.42578125" style="2"/>
    <col min="7166" max="7166" width="8.42578125" style="2" customWidth="1"/>
    <col min="7167" max="7168" width="12.85546875" style="2" customWidth="1"/>
    <col min="7169" max="7169" width="9.7109375" style="2" customWidth="1"/>
    <col min="7170" max="7170" width="7.28515625" style="2" customWidth="1"/>
    <col min="7171" max="7171" width="8.140625" style="2" customWidth="1"/>
    <col min="7172" max="7172" width="12.85546875" style="2" customWidth="1"/>
    <col min="7173" max="7174" width="13.28515625" style="2" customWidth="1"/>
    <col min="7175" max="7421" width="10.42578125" style="2"/>
    <col min="7422" max="7422" width="8.42578125" style="2" customWidth="1"/>
    <col min="7423" max="7424" width="12.85546875" style="2" customWidth="1"/>
    <col min="7425" max="7425" width="9.7109375" style="2" customWidth="1"/>
    <col min="7426" max="7426" width="7.28515625" style="2" customWidth="1"/>
    <col min="7427" max="7427" width="8.140625" style="2" customWidth="1"/>
    <col min="7428" max="7428" width="12.85546875" style="2" customWidth="1"/>
    <col min="7429" max="7430" width="13.28515625" style="2" customWidth="1"/>
    <col min="7431" max="7677" width="10.42578125" style="2"/>
    <col min="7678" max="7678" width="8.42578125" style="2" customWidth="1"/>
    <col min="7679" max="7680" width="12.85546875" style="2" customWidth="1"/>
    <col min="7681" max="7681" width="9.7109375" style="2" customWidth="1"/>
    <col min="7682" max="7682" width="7.28515625" style="2" customWidth="1"/>
    <col min="7683" max="7683" width="8.140625" style="2" customWidth="1"/>
    <col min="7684" max="7684" width="12.85546875" style="2" customWidth="1"/>
    <col min="7685" max="7686" width="13.28515625" style="2" customWidth="1"/>
    <col min="7687" max="7933" width="10.42578125" style="2"/>
    <col min="7934" max="7934" width="8.42578125" style="2" customWidth="1"/>
    <col min="7935" max="7936" width="12.85546875" style="2" customWidth="1"/>
    <col min="7937" max="7937" width="9.7109375" style="2" customWidth="1"/>
    <col min="7938" max="7938" width="7.28515625" style="2" customWidth="1"/>
    <col min="7939" max="7939" width="8.140625" style="2" customWidth="1"/>
    <col min="7940" max="7940" width="12.85546875" style="2" customWidth="1"/>
    <col min="7941" max="7942" width="13.28515625" style="2" customWidth="1"/>
    <col min="7943" max="8189" width="10.42578125" style="2"/>
    <col min="8190" max="8190" width="8.42578125" style="2" customWidth="1"/>
    <col min="8191" max="8192" width="12.85546875" style="2" customWidth="1"/>
    <col min="8193" max="8193" width="9.7109375" style="2" customWidth="1"/>
    <col min="8194" max="8194" width="7.28515625" style="2" customWidth="1"/>
    <col min="8195" max="8195" width="8.140625" style="2" customWidth="1"/>
    <col min="8196" max="8196" width="12.85546875" style="2" customWidth="1"/>
    <col min="8197" max="8198" width="13.28515625" style="2" customWidth="1"/>
    <col min="8199" max="8445" width="10.42578125" style="2"/>
    <col min="8446" max="8446" width="8.42578125" style="2" customWidth="1"/>
    <col min="8447" max="8448" width="12.85546875" style="2" customWidth="1"/>
    <col min="8449" max="8449" width="9.7109375" style="2" customWidth="1"/>
    <col min="8450" max="8450" width="7.28515625" style="2" customWidth="1"/>
    <col min="8451" max="8451" width="8.140625" style="2" customWidth="1"/>
    <col min="8452" max="8452" width="12.85546875" style="2" customWidth="1"/>
    <col min="8453" max="8454" width="13.28515625" style="2" customWidth="1"/>
    <col min="8455" max="8701" width="10.42578125" style="2"/>
    <col min="8702" max="8702" width="8.42578125" style="2" customWidth="1"/>
    <col min="8703" max="8704" width="12.85546875" style="2" customWidth="1"/>
    <col min="8705" max="8705" width="9.7109375" style="2" customWidth="1"/>
    <col min="8706" max="8706" width="7.28515625" style="2" customWidth="1"/>
    <col min="8707" max="8707" width="8.140625" style="2" customWidth="1"/>
    <col min="8708" max="8708" width="12.85546875" style="2" customWidth="1"/>
    <col min="8709" max="8710" width="13.28515625" style="2" customWidth="1"/>
    <col min="8711" max="8957" width="10.42578125" style="2"/>
    <col min="8958" max="8958" width="8.42578125" style="2" customWidth="1"/>
    <col min="8959" max="8960" width="12.85546875" style="2" customWidth="1"/>
    <col min="8961" max="8961" width="9.7109375" style="2" customWidth="1"/>
    <col min="8962" max="8962" width="7.28515625" style="2" customWidth="1"/>
    <col min="8963" max="8963" width="8.140625" style="2" customWidth="1"/>
    <col min="8964" max="8964" width="12.85546875" style="2" customWidth="1"/>
    <col min="8965" max="8966" width="13.28515625" style="2" customWidth="1"/>
    <col min="8967" max="9213" width="10.42578125" style="2"/>
    <col min="9214" max="9214" width="8.42578125" style="2" customWidth="1"/>
    <col min="9215" max="9216" width="12.85546875" style="2" customWidth="1"/>
    <col min="9217" max="9217" width="9.7109375" style="2" customWidth="1"/>
    <col min="9218" max="9218" width="7.28515625" style="2" customWidth="1"/>
    <col min="9219" max="9219" width="8.140625" style="2" customWidth="1"/>
    <col min="9220" max="9220" width="12.85546875" style="2" customWidth="1"/>
    <col min="9221" max="9222" width="13.28515625" style="2" customWidth="1"/>
    <col min="9223" max="9469" width="10.42578125" style="2"/>
    <col min="9470" max="9470" width="8.42578125" style="2" customWidth="1"/>
    <col min="9471" max="9472" width="12.85546875" style="2" customWidth="1"/>
    <col min="9473" max="9473" width="9.7109375" style="2" customWidth="1"/>
    <col min="9474" max="9474" width="7.28515625" style="2" customWidth="1"/>
    <col min="9475" max="9475" width="8.140625" style="2" customWidth="1"/>
    <col min="9476" max="9476" width="12.85546875" style="2" customWidth="1"/>
    <col min="9477" max="9478" width="13.28515625" style="2" customWidth="1"/>
    <col min="9479" max="9725" width="10.42578125" style="2"/>
    <col min="9726" max="9726" width="8.42578125" style="2" customWidth="1"/>
    <col min="9727" max="9728" width="12.85546875" style="2" customWidth="1"/>
    <col min="9729" max="9729" width="9.7109375" style="2" customWidth="1"/>
    <col min="9730" max="9730" width="7.28515625" style="2" customWidth="1"/>
    <col min="9731" max="9731" width="8.140625" style="2" customWidth="1"/>
    <col min="9732" max="9732" width="12.85546875" style="2" customWidth="1"/>
    <col min="9733" max="9734" width="13.28515625" style="2" customWidth="1"/>
    <col min="9735" max="9981" width="10.42578125" style="2"/>
    <col min="9982" max="9982" width="8.42578125" style="2" customWidth="1"/>
    <col min="9983" max="9984" width="12.85546875" style="2" customWidth="1"/>
    <col min="9985" max="9985" width="9.7109375" style="2" customWidth="1"/>
    <col min="9986" max="9986" width="7.28515625" style="2" customWidth="1"/>
    <col min="9987" max="9987" width="8.140625" style="2" customWidth="1"/>
    <col min="9988" max="9988" width="12.85546875" style="2" customWidth="1"/>
    <col min="9989" max="9990" width="13.28515625" style="2" customWidth="1"/>
    <col min="9991" max="10237" width="10.42578125" style="2"/>
    <col min="10238" max="10238" width="8.42578125" style="2" customWidth="1"/>
    <col min="10239" max="10240" width="12.85546875" style="2" customWidth="1"/>
    <col min="10241" max="10241" width="9.7109375" style="2" customWidth="1"/>
    <col min="10242" max="10242" width="7.28515625" style="2" customWidth="1"/>
    <col min="10243" max="10243" width="8.140625" style="2" customWidth="1"/>
    <col min="10244" max="10244" width="12.85546875" style="2" customWidth="1"/>
    <col min="10245" max="10246" width="13.28515625" style="2" customWidth="1"/>
    <col min="10247" max="10493" width="10.42578125" style="2"/>
    <col min="10494" max="10494" width="8.42578125" style="2" customWidth="1"/>
    <col min="10495" max="10496" width="12.85546875" style="2" customWidth="1"/>
    <col min="10497" max="10497" width="9.7109375" style="2" customWidth="1"/>
    <col min="10498" max="10498" width="7.28515625" style="2" customWidth="1"/>
    <col min="10499" max="10499" width="8.140625" style="2" customWidth="1"/>
    <col min="10500" max="10500" width="12.85546875" style="2" customWidth="1"/>
    <col min="10501" max="10502" width="13.28515625" style="2" customWidth="1"/>
    <col min="10503" max="10749" width="10.42578125" style="2"/>
    <col min="10750" max="10750" width="8.42578125" style="2" customWidth="1"/>
    <col min="10751" max="10752" width="12.85546875" style="2" customWidth="1"/>
    <col min="10753" max="10753" width="9.7109375" style="2" customWidth="1"/>
    <col min="10754" max="10754" width="7.28515625" style="2" customWidth="1"/>
    <col min="10755" max="10755" width="8.140625" style="2" customWidth="1"/>
    <col min="10756" max="10756" width="12.85546875" style="2" customWidth="1"/>
    <col min="10757" max="10758" width="13.28515625" style="2" customWidth="1"/>
    <col min="10759" max="11005" width="10.42578125" style="2"/>
    <col min="11006" max="11006" width="8.42578125" style="2" customWidth="1"/>
    <col min="11007" max="11008" width="12.85546875" style="2" customWidth="1"/>
    <col min="11009" max="11009" width="9.7109375" style="2" customWidth="1"/>
    <col min="11010" max="11010" width="7.28515625" style="2" customWidth="1"/>
    <col min="11011" max="11011" width="8.140625" style="2" customWidth="1"/>
    <col min="11012" max="11012" width="12.85546875" style="2" customWidth="1"/>
    <col min="11013" max="11014" width="13.28515625" style="2" customWidth="1"/>
    <col min="11015" max="11261" width="10.42578125" style="2"/>
    <col min="11262" max="11262" width="8.42578125" style="2" customWidth="1"/>
    <col min="11263" max="11264" width="12.85546875" style="2" customWidth="1"/>
    <col min="11265" max="11265" width="9.7109375" style="2" customWidth="1"/>
    <col min="11266" max="11266" width="7.28515625" style="2" customWidth="1"/>
    <col min="11267" max="11267" width="8.140625" style="2" customWidth="1"/>
    <col min="11268" max="11268" width="12.85546875" style="2" customWidth="1"/>
    <col min="11269" max="11270" width="13.28515625" style="2" customWidth="1"/>
    <col min="11271" max="11517" width="10.42578125" style="2"/>
    <col min="11518" max="11518" width="8.42578125" style="2" customWidth="1"/>
    <col min="11519" max="11520" width="12.85546875" style="2" customWidth="1"/>
    <col min="11521" max="11521" width="9.7109375" style="2" customWidth="1"/>
    <col min="11522" max="11522" width="7.28515625" style="2" customWidth="1"/>
    <col min="11523" max="11523" width="8.140625" style="2" customWidth="1"/>
    <col min="11524" max="11524" width="12.85546875" style="2" customWidth="1"/>
    <col min="11525" max="11526" width="13.28515625" style="2" customWidth="1"/>
    <col min="11527" max="11773" width="10.42578125" style="2"/>
    <col min="11774" max="11774" width="8.42578125" style="2" customWidth="1"/>
    <col min="11775" max="11776" width="12.85546875" style="2" customWidth="1"/>
    <col min="11777" max="11777" width="9.7109375" style="2" customWidth="1"/>
    <col min="11778" max="11778" width="7.28515625" style="2" customWidth="1"/>
    <col min="11779" max="11779" width="8.140625" style="2" customWidth="1"/>
    <col min="11780" max="11780" width="12.85546875" style="2" customWidth="1"/>
    <col min="11781" max="11782" width="13.28515625" style="2" customWidth="1"/>
    <col min="11783" max="12029" width="10.42578125" style="2"/>
    <col min="12030" max="12030" width="8.42578125" style="2" customWidth="1"/>
    <col min="12031" max="12032" width="12.85546875" style="2" customWidth="1"/>
    <col min="12033" max="12033" width="9.7109375" style="2" customWidth="1"/>
    <col min="12034" max="12034" width="7.28515625" style="2" customWidth="1"/>
    <col min="12035" max="12035" width="8.140625" style="2" customWidth="1"/>
    <col min="12036" max="12036" width="12.85546875" style="2" customWidth="1"/>
    <col min="12037" max="12038" width="13.28515625" style="2" customWidth="1"/>
    <col min="12039" max="12285" width="10.42578125" style="2"/>
    <col min="12286" max="12286" width="8.42578125" style="2" customWidth="1"/>
    <col min="12287" max="12288" width="12.85546875" style="2" customWidth="1"/>
    <col min="12289" max="12289" width="9.7109375" style="2" customWidth="1"/>
    <col min="12290" max="12290" width="7.28515625" style="2" customWidth="1"/>
    <col min="12291" max="12291" width="8.140625" style="2" customWidth="1"/>
    <col min="12292" max="12292" width="12.85546875" style="2" customWidth="1"/>
    <col min="12293" max="12294" width="13.28515625" style="2" customWidth="1"/>
    <col min="12295" max="12541" width="10.42578125" style="2"/>
    <col min="12542" max="12542" width="8.42578125" style="2" customWidth="1"/>
    <col min="12543" max="12544" width="12.85546875" style="2" customWidth="1"/>
    <col min="12545" max="12545" width="9.7109375" style="2" customWidth="1"/>
    <col min="12546" max="12546" width="7.28515625" style="2" customWidth="1"/>
    <col min="12547" max="12547" width="8.140625" style="2" customWidth="1"/>
    <col min="12548" max="12548" width="12.85546875" style="2" customWidth="1"/>
    <col min="12549" max="12550" width="13.28515625" style="2" customWidth="1"/>
    <col min="12551" max="12797" width="10.42578125" style="2"/>
    <col min="12798" max="12798" width="8.42578125" style="2" customWidth="1"/>
    <col min="12799" max="12800" width="12.85546875" style="2" customWidth="1"/>
    <col min="12801" max="12801" width="9.7109375" style="2" customWidth="1"/>
    <col min="12802" max="12802" width="7.28515625" style="2" customWidth="1"/>
    <col min="12803" max="12803" width="8.140625" style="2" customWidth="1"/>
    <col min="12804" max="12804" width="12.85546875" style="2" customWidth="1"/>
    <col min="12805" max="12806" width="13.28515625" style="2" customWidth="1"/>
    <col min="12807" max="13053" width="10.42578125" style="2"/>
    <col min="13054" max="13054" width="8.42578125" style="2" customWidth="1"/>
    <col min="13055" max="13056" width="12.85546875" style="2" customWidth="1"/>
    <col min="13057" max="13057" width="9.7109375" style="2" customWidth="1"/>
    <col min="13058" max="13058" width="7.28515625" style="2" customWidth="1"/>
    <col min="13059" max="13059" width="8.140625" style="2" customWidth="1"/>
    <col min="13060" max="13060" width="12.85546875" style="2" customWidth="1"/>
    <col min="13061" max="13062" width="13.28515625" style="2" customWidth="1"/>
    <col min="13063" max="13309" width="10.42578125" style="2"/>
    <col min="13310" max="13310" width="8.42578125" style="2" customWidth="1"/>
    <col min="13311" max="13312" width="12.85546875" style="2" customWidth="1"/>
    <col min="13313" max="13313" width="9.7109375" style="2" customWidth="1"/>
    <col min="13314" max="13314" width="7.28515625" style="2" customWidth="1"/>
    <col min="13315" max="13315" width="8.140625" style="2" customWidth="1"/>
    <col min="13316" max="13316" width="12.85546875" style="2" customWidth="1"/>
    <col min="13317" max="13318" width="13.28515625" style="2" customWidth="1"/>
    <col min="13319" max="13565" width="10.42578125" style="2"/>
    <col min="13566" max="13566" width="8.42578125" style="2" customWidth="1"/>
    <col min="13567" max="13568" width="12.85546875" style="2" customWidth="1"/>
    <col min="13569" max="13569" width="9.7109375" style="2" customWidth="1"/>
    <col min="13570" max="13570" width="7.28515625" style="2" customWidth="1"/>
    <col min="13571" max="13571" width="8.140625" style="2" customWidth="1"/>
    <col min="13572" max="13572" width="12.85546875" style="2" customWidth="1"/>
    <col min="13573" max="13574" width="13.28515625" style="2" customWidth="1"/>
    <col min="13575" max="13821" width="10.42578125" style="2"/>
    <col min="13822" max="13822" width="8.42578125" style="2" customWidth="1"/>
    <col min="13823" max="13824" width="12.85546875" style="2" customWidth="1"/>
    <col min="13825" max="13825" width="9.7109375" style="2" customWidth="1"/>
    <col min="13826" max="13826" width="7.28515625" style="2" customWidth="1"/>
    <col min="13827" max="13827" width="8.140625" style="2" customWidth="1"/>
    <col min="13828" max="13828" width="12.85546875" style="2" customWidth="1"/>
    <col min="13829" max="13830" width="13.28515625" style="2" customWidth="1"/>
    <col min="13831" max="14077" width="10.42578125" style="2"/>
    <col min="14078" max="14078" width="8.42578125" style="2" customWidth="1"/>
    <col min="14079" max="14080" width="12.85546875" style="2" customWidth="1"/>
    <col min="14081" max="14081" width="9.7109375" style="2" customWidth="1"/>
    <col min="14082" max="14082" width="7.28515625" style="2" customWidth="1"/>
    <col min="14083" max="14083" width="8.140625" style="2" customWidth="1"/>
    <col min="14084" max="14084" width="12.85546875" style="2" customWidth="1"/>
    <col min="14085" max="14086" width="13.28515625" style="2" customWidth="1"/>
    <col min="14087" max="14333" width="10.42578125" style="2"/>
    <col min="14334" max="14334" width="8.42578125" style="2" customWidth="1"/>
    <col min="14335" max="14336" width="12.85546875" style="2" customWidth="1"/>
    <col min="14337" max="14337" width="9.7109375" style="2" customWidth="1"/>
    <col min="14338" max="14338" width="7.28515625" style="2" customWidth="1"/>
    <col min="14339" max="14339" width="8.140625" style="2" customWidth="1"/>
    <col min="14340" max="14340" width="12.85546875" style="2" customWidth="1"/>
    <col min="14341" max="14342" width="13.28515625" style="2" customWidth="1"/>
    <col min="14343" max="14589" width="10.42578125" style="2"/>
    <col min="14590" max="14590" width="8.42578125" style="2" customWidth="1"/>
    <col min="14591" max="14592" width="12.85546875" style="2" customWidth="1"/>
    <col min="14593" max="14593" width="9.7109375" style="2" customWidth="1"/>
    <col min="14594" max="14594" width="7.28515625" style="2" customWidth="1"/>
    <col min="14595" max="14595" width="8.140625" style="2" customWidth="1"/>
    <col min="14596" max="14596" width="12.85546875" style="2" customWidth="1"/>
    <col min="14597" max="14598" width="13.28515625" style="2" customWidth="1"/>
    <col min="14599" max="14845" width="10.42578125" style="2"/>
    <col min="14846" max="14846" width="8.42578125" style="2" customWidth="1"/>
    <col min="14847" max="14848" width="12.85546875" style="2" customWidth="1"/>
    <col min="14849" max="14849" width="9.7109375" style="2" customWidth="1"/>
    <col min="14850" max="14850" width="7.28515625" style="2" customWidth="1"/>
    <col min="14851" max="14851" width="8.140625" style="2" customWidth="1"/>
    <col min="14852" max="14852" width="12.85546875" style="2" customWidth="1"/>
    <col min="14853" max="14854" width="13.28515625" style="2" customWidth="1"/>
    <col min="14855" max="15101" width="10.42578125" style="2"/>
    <col min="15102" max="15102" width="8.42578125" style="2" customWidth="1"/>
    <col min="15103" max="15104" width="12.85546875" style="2" customWidth="1"/>
    <col min="15105" max="15105" width="9.7109375" style="2" customWidth="1"/>
    <col min="15106" max="15106" width="7.28515625" style="2" customWidth="1"/>
    <col min="15107" max="15107" width="8.140625" style="2" customWidth="1"/>
    <col min="15108" max="15108" width="12.85546875" style="2" customWidth="1"/>
    <col min="15109" max="15110" width="13.28515625" style="2" customWidth="1"/>
    <col min="15111" max="15357" width="10.42578125" style="2"/>
    <col min="15358" max="15358" width="8.42578125" style="2" customWidth="1"/>
    <col min="15359" max="15360" width="12.85546875" style="2" customWidth="1"/>
    <col min="15361" max="15361" width="9.7109375" style="2" customWidth="1"/>
    <col min="15362" max="15362" width="7.28515625" style="2" customWidth="1"/>
    <col min="15363" max="15363" width="8.140625" style="2" customWidth="1"/>
    <col min="15364" max="15364" width="12.85546875" style="2" customWidth="1"/>
    <col min="15365" max="15366" width="13.28515625" style="2" customWidth="1"/>
    <col min="15367" max="15613" width="10.42578125" style="2"/>
    <col min="15614" max="15614" width="8.42578125" style="2" customWidth="1"/>
    <col min="15615" max="15616" width="12.85546875" style="2" customWidth="1"/>
    <col min="15617" max="15617" width="9.7109375" style="2" customWidth="1"/>
    <col min="15618" max="15618" width="7.28515625" style="2" customWidth="1"/>
    <col min="15619" max="15619" width="8.140625" style="2" customWidth="1"/>
    <col min="15620" max="15620" width="12.85546875" style="2" customWidth="1"/>
    <col min="15621" max="15622" width="13.28515625" style="2" customWidth="1"/>
    <col min="15623" max="15869" width="10.42578125" style="2"/>
    <col min="15870" max="15870" width="8.42578125" style="2" customWidth="1"/>
    <col min="15871" max="15872" width="12.85546875" style="2" customWidth="1"/>
    <col min="15873" max="15873" width="9.7109375" style="2" customWidth="1"/>
    <col min="15874" max="15874" width="7.28515625" style="2" customWidth="1"/>
    <col min="15875" max="15875" width="8.140625" style="2" customWidth="1"/>
    <col min="15876" max="15876" width="12.85546875" style="2" customWidth="1"/>
    <col min="15877" max="15878" width="13.28515625" style="2" customWidth="1"/>
    <col min="15879" max="16125" width="10.42578125" style="2"/>
    <col min="16126" max="16126" width="8.42578125" style="2" customWidth="1"/>
    <col min="16127" max="16128" width="12.85546875" style="2" customWidth="1"/>
    <col min="16129" max="16129" width="9.7109375" style="2" customWidth="1"/>
    <col min="16130" max="16130" width="7.28515625" style="2" customWidth="1"/>
    <col min="16131" max="16131" width="8.140625" style="2" customWidth="1"/>
    <col min="16132" max="16132" width="12.85546875" style="2" customWidth="1"/>
    <col min="16133" max="16134" width="13.28515625" style="2" customWidth="1"/>
    <col min="16135" max="16384" width="10.42578125" style="2"/>
  </cols>
  <sheetData>
    <row r="1" spans="2:6" ht="15" x14ac:dyDescent="0.25">
      <c r="B1" s="1" t="s">
        <v>99</v>
      </c>
      <c r="F1" s="3" t="s">
        <v>10</v>
      </c>
    </row>
    <row r="2" spans="2:6" x14ac:dyDescent="0.25">
      <c r="B2" s="2" t="s">
        <v>100</v>
      </c>
    </row>
    <row r="4" spans="2:6" ht="15" x14ac:dyDescent="0.25">
      <c r="B4" s="57" t="s">
        <v>9</v>
      </c>
      <c r="C4" s="57"/>
      <c r="D4" s="57"/>
      <c r="E4" s="57"/>
      <c r="F4" s="57"/>
    </row>
    <row r="5" spans="2:6" ht="15" x14ac:dyDescent="0.25">
      <c r="B5" s="4"/>
      <c r="C5" s="4"/>
      <c r="D5" s="4"/>
      <c r="E5" s="4"/>
      <c r="F5" s="4"/>
    </row>
    <row r="6" spans="2:6" ht="26.25" customHeight="1" x14ac:dyDescent="0.25">
      <c r="B6" s="5" t="s">
        <v>0</v>
      </c>
      <c r="C6" s="10" t="s">
        <v>28</v>
      </c>
      <c r="E6" s="7" t="s">
        <v>2</v>
      </c>
      <c r="F6" s="53"/>
    </row>
    <row r="7" spans="2:6" ht="26.25" customHeight="1" x14ac:dyDescent="0.25">
      <c r="B7" s="5" t="s">
        <v>3</v>
      </c>
      <c r="C7" s="10" t="s">
        <v>103</v>
      </c>
      <c r="E7" s="7" t="s">
        <v>4</v>
      </c>
      <c r="F7" s="53"/>
    </row>
    <row r="8" spans="2:6" ht="15" x14ac:dyDescent="0.25">
      <c r="B8" s="9"/>
      <c r="C8" s="10"/>
      <c r="E8" s="11"/>
    </row>
    <row r="9" spans="2:6" ht="15" x14ac:dyDescent="0.25">
      <c r="B9" s="12" t="s">
        <v>11</v>
      </c>
      <c r="C9" s="10"/>
      <c r="E9" s="11"/>
    </row>
    <row r="11" spans="2:6" x14ac:dyDescent="0.25">
      <c r="B11" s="58" t="s">
        <v>5</v>
      </c>
      <c r="C11" s="58" t="s">
        <v>39</v>
      </c>
      <c r="D11" s="59" t="s">
        <v>6</v>
      </c>
      <c r="E11" s="59" t="s">
        <v>7</v>
      </c>
      <c r="F11" s="59" t="s">
        <v>8</v>
      </c>
    </row>
    <row r="12" spans="2:6" x14ac:dyDescent="0.25">
      <c r="B12" s="58"/>
      <c r="C12" s="58"/>
      <c r="D12" s="59"/>
      <c r="E12" s="59"/>
      <c r="F12" s="59"/>
    </row>
    <row r="13" spans="2:6" ht="51" customHeight="1" x14ac:dyDescent="0.25">
      <c r="B13" s="15">
        <v>1</v>
      </c>
      <c r="C13" s="16" t="s">
        <v>21</v>
      </c>
      <c r="D13" s="15" t="s">
        <v>16</v>
      </c>
      <c r="E13" s="15"/>
      <c r="F13" s="15"/>
    </row>
    <row r="14" spans="2:6" ht="51" customHeight="1" x14ac:dyDescent="0.25">
      <c r="B14" s="18">
        <v>2</v>
      </c>
      <c r="C14" s="54" t="s">
        <v>12</v>
      </c>
      <c r="D14" s="18" t="s">
        <v>17</v>
      </c>
      <c r="E14" s="18"/>
      <c r="F14" s="18"/>
    </row>
    <row r="15" spans="2:6" ht="51" customHeight="1" x14ac:dyDescent="0.25">
      <c r="B15" s="18">
        <v>3</v>
      </c>
      <c r="C15" s="54" t="s">
        <v>13</v>
      </c>
      <c r="D15" s="18" t="s">
        <v>18</v>
      </c>
      <c r="E15" s="18"/>
      <c r="F15" s="18"/>
    </row>
    <row r="16" spans="2:6" ht="51" customHeight="1" x14ac:dyDescent="0.25">
      <c r="B16" s="18">
        <v>4</v>
      </c>
      <c r="C16" s="54" t="s">
        <v>14</v>
      </c>
      <c r="D16" s="18" t="s">
        <v>19</v>
      </c>
      <c r="E16" s="18"/>
      <c r="F16" s="18"/>
    </row>
    <row r="17" spans="2:6" ht="51" customHeight="1" x14ac:dyDescent="0.25">
      <c r="B17" s="18">
        <v>5</v>
      </c>
      <c r="C17" s="20" t="s">
        <v>15</v>
      </c>
      <c r="D17" s="18" t="s">
        <v>20</v>
      </c>
      <c r="E17" s="18"/>
      <c r="F17" s="18"/>
    </row>
    <row r="18" spans="2:6" ht="27" customHeight="1" x14ac:dyDescent="0.25">
      <c r="B18" s="18"/>
      <c r="C18" s="20"/>
      <c r="D18" s="18"/>
      <c r="E18" s="18"/>
      <c r="F18" s="18"/>
    </row>
  </sheetData>
  <mergeCells count="6">
    <mergeCell ref="B4:F4"/>
    <mergeCell ref="B11:B12"/>
    <mergeCell ref="C11:C12"/>
    <mergeCell ref="D11:D12"/>
    <mergeCell ref="E11:E12"/>
    <mergeCell ref="F11:F1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4"/>
  <sheetViews>
    <sheetView showGridLines="0" workbookViewId="0">
      <selection activeCell="B5" sqref="B5"/>
    </sheetView>
  </sheetViews>
  <sheetFormatPr defaultColWidth="10.42578125" defaultRowHeight="13.5" x14ac:dyDescent="0.25"/>
  <cols>
    <col min="1" max="1" width="1" style="2" customWidth="1"/>
    <col min="2" max="2" width="21.42578125" style="2" customWidth="1"/>
    <col min="3" max="3" width="38.42578125" style="2" customWidth="1"/>
    <col min="4" max="4" width="19.42578125" style="2" customWidth="1"/>
    <col min="5" max="6" width="24.42578125" style="2" customWidth="1"/>
    <col min="7" max="7" width="1" style="2" customWidth="1"/>
    <col min="8" max="253" width="10.42578125" style="2"/>
    <col min="254" max="254" width="8.42578125" style="2" customWidth="1"/>
    <col min="255" max="256" width="12.85546875" style="2" customWidth="1"/>
    <col min="257" max="257" width="9.7109375" style="2" customWidth="1"/>
    <col min="258" max="258" width="7.28515625" style="2" customWidth="1"/>
    <col min="259" max="259" width="8.140625" style="2" customWidth="1"/>
    <col min="260" max="260" width="12.85546875" style="2" customWidth="1"/>
    <col min="261" max="262" width="13.28515625" style="2" customWidth="1"/>
    <col min="263" max="509" width="10.42578125" style="2"/>
    <col min="510" max="510" width="8.42578125" style="2" customWidth="1"/>
    <col min="511" max="512" width="12.85546875" style="2" customWidth="1"/>
    <col min="513" max="513" width="9.7109375" style="2" customWidth="1"/>
    <col min="514" max="514" width="7.28515625" style="2" customWidth="1"/>
    <col min="515" max="515" width="8.140625" style="2" customWidth="1"/>
    <col min="516" max="516" width="12.85546875" style="2" customWidth="1"/>
    <col min="517" max="518" width="13.28515625" style="2" customWidth="1"/>
    <col min="519" max="765" width="10.42578125" style="2"/>
    <col min="766" max="766" width="8.42578125" style="2" customWidth="1"/>
    <col min="767" max="768" width="12.85546875" style="2" customWidth="1"/>
    <col min="769" max="769" width="9.7109375" style="2" customWidth="1"/>
    <col min="770" max="770" width="7.28515625" style="2" customWidth="1"/>
    <col min="771" max="771" width="8.140625" style="2" customWidth="1"/>
    <col min="772" max="772" width="12.85546875" style="2" customWidth="1"/>
    <col min="773" max="774" width="13.28515625" style="2" customWidth="1"/>
    <col min="775" max="1021" width="10.42578125" style="2"/>
    <col min="1022" max="1022" width="8.42578125" style="2" customWidth="1"/>
    <col min="1023" max="1024" width="12.85546875" style="2" customWidth="1"/>
    <col min="1025" max="1025" width="9.7109375" style="2" customWidth="1"/>
    <col min="1026" max="1026" width="7.28515625" style="2" customWidth="1"/>
    <col min="1027" max="1027" width="8.140625" style="2" customWidth="1"/>
    <col min="1028" max="1028" width="12.85546875" style="2" customWidth="1"/>
    <col min="1029" max="1030" width="13.28515625" style="2" customWidth="1"/>
    <col min="1031" max="1277" width="10.42578125" style="2"/>
    <col min="1278" max="1278" width="8.42578125" style="2" customWidth="1"/>
    <col min="1279" max="1280" width="12.85546875" style="2" customWidth="1"/>
    <col min="1281" max="1281" width="9.7109375" style="2" customWidth="1"/>
    <col min="1282" max="1282" width="7.28515625" style="2" customWidth="1"/>
    <col min="1283" max="1283" width="8.140625" style="2" customWidth="1"/>
    <col min="1284" max="1284" width="12.85546875" style="2" customWidth="1"/>
    <col min="1285" max="1286" width="13.28515625" style="2" customWidth="1"/>
    <col min="1287" max="1533" width="10.42578125" style="2"/>
    <col min="1534" max="1534" width="8.42578125" style="2" customWidth="1"/>
    <col min="1535" max="1536" width="12.85546875" style="2" customWidth="1"/>
    <col min="1537" max="1537" width="9.7109375" style="2" customWidth="1"/>
    <col min="1538" max="1538" width="7.28515625" style="2" customWidth="1"/>
    <col min="1539" max="1539" width="8.140625" style="2" customWidth="1"/>
    <col min="1540" max="1540" width="12.85546875" style="2" customWidth="1"/>
    <col min="1541" max="1542" width="13.28515625" style="2" customWidth="1"/>
    <col min="1543" max="1789" width="10.42578125" style="2"/>
    <col min="1790" max="1790" width="8.42578125" style="2" customWidth="1"/>
    <col min="1791" max="1792" width="12.85546875" style="2" customWidth="1"/>
    <col min="1793" max="1793" width="9.7109375" style="2" customWidth="1"/>
    <col min="1794" max="1794" width="7.28515625" style="2" customWidth="1"/>
    <col min="1795" max="1795" width="8.140625" style="2" customWidth="1"/>
    <col min="1796" max="1796" width="12.85546875" style="2" customWidth="1"/>
    <col min="1797" max="1798" width="13.28515625" style="2" customWidth="1"/>
    <col min="1799" max="2045" width="10.42578125" style="2"/>
    <col min="2046" max="2046" width="8.42578125" style="2" customWidth="1"/>
    <col min="2047" max="2048" width="12.85546875" style="2" customWidth="1"/>
    <col min="2049" max="2049" width="9.7109375" style="2" customWidth="1"/>
    <col min="2050" max="2050" width="7.28515625" style="2" customWidth="1"/>
    <col min="2051" max="2051" width="8.140625" style="2" customWidth="1"/>
    <col min="2052" max="2052" width="12.85546875" style="2" customWidth="1"/>
    <col min="2053" max="2054" width="13.28515625" style="2" customWidth="1"/>
    <col min="2055" max="2301" width="10.42578125" style="2"/>
    <col min="2302" max="2302" width="8.42578125" style="2" customWidth="1"/>
    <col min="2303" max="2304" width="12.85546875" style="2" customWidth="1"/>
    <col min="2305" max="2305" width="9.7109375" style="2" customWidth="1"/>
    <col min="2306" max="2306" width="7.28515625" style="2" customWidth="1"/>
    <col min="2307" max="2307" width="8.140625" style="2" customWidth="1"/>
    <col min="2308" max="2308" width="12.85546875" style="2" customWidth="1"/>
    <col min="2309" max="2310" width="13.28515625" style="2" customWidth="1"/>
    <col min="2311" max="2557" width="10.42578125" style="2"/>
    <col min="2558" max="2558" width="8.42578125" style="2" customWidth="1"/>
    <col min="2559" max="2560" width="12.85546875" style="2" customWidth="1"/>
    <col min="2561" max="2561" width="9.7109375" style="2" customWidth="1"/>
    <col min="2562" max="2562" width="7.28515625" style="2" customWidth="1"/>
    <col min="2563" max="2563" width="8.140625" style="2" customWidth="1"/>
    <col min="2564" max="2564" width="12.85546875" style="2" customWidth="1"/>
    <col min="2565" max="2566" width="13.28515625" style="2" customWidth="1"/>
    <col min="2567" max="2813" width="10.42578125" style="2"/>
    <col min="2814" max="2814" width="8.42578125" style="2" customWidth="1"/>
    <col min="2815" max="2816" width="12.85546875" style="2" customWidth="1"/>
    <col min="2817" max="2817" width="9.7109375" style="2" customWidth="1"/>
    <col min="2818" max="2818" width="7.28515625" style="2" customWidth="1"/>
    <col min="2819" max="2819" width="8.140625" style="2" customWidth="1"/>
    <col min="2820" max="2820" width="12.85546875" style="2" customWidth="1"/>
    <col min="2821" max="2822" width="13.28515625" style="2" customWidth="1"/>
    <col min="2823" max="3069" width="10.42578125" style="2"/>
    <col min="3070" max="3070" width="8.42578125" style="2" customWidth="1"/>
    <col min="3071" max="3072" width="12.85546875" style="2" customWidth="1"/>
    <col min="3073" max="3073" width="9.7109375" style="2" customWidth="1"/>
    <col min="3074" max="3074" width="7.28515625" style="2" customWidth="1"/>
    <col min="3075" max="3075" width="8.140625" style="2" customWidth="1"/>
    <col min="3076" max="3076" width="12.85546875" style="2" customWidth="1"/>
    <col min="3077" max="3078" width="13.28515625" style="2" customWidth="1"/>
    <col min="3079" max="3325" width="10.42578125" style="2"/>
    <col min="3326" max="3326" width="8.42578125" style="2" customWidth="1"/>
    <col min="3327" max="3328" width="12.85546875" style="2" customWidth="1"/>
    <col min="3329" max="3329" width="9.7109375" style="2" customWidth="1"/>
    <col min="3330" max="3330" width="7.28515625" style="2" customWidth="1"/>
    <col min="3331" max="3331" width="8.140625" style="2" customWidth="1"/>
    <col min="3332" max="3332" width="12.85546875" style="2" customWidth="1"/>
    <col min="3333" max="3334" width="13.28515625" style="2" customWidth="1"/>
    <col min="3335" max="3581" width="10.42578125" style="2"/>
    <col min="3582" max="3582" width="8.42578125" style="2" customWidth="1"/>
    <col min="3583" max="3584" width="12.85546875" style="2" customWidth="1"/>
    <col min="3585" max="3585" width="9.7109375" style="2" customWidth="1"/>
    <col min="3586" max="3586" width="7.28515625" style="2" customWidth="1"/>
    <col min="3587" max="3587" width="8.140625" style="2" customWidth="1"/>
    <col min="3588" max="3588" width="12.85546875" style="2" customWidth="1"/>
    <col min="3589" max="3590" width="13.28515625" style="2" customWidth="1"/>
    <col min="3591" max="3837" width="10.42578125" style="2"/>
    <col min="3838" max="3838" width="8.42578125" style="2" customWidth="1"/>
    <col min="3839" max="3840" width="12.85546875" style="2" customWidth="1"/>
    <col min="3841" max="3841" width="9.7109375" style="2" customWidth="1"/>
    <col min="3842" max="3842" width="7.28515625" style="2" customWidth="1"/>
    <col min="3843" max="3843" width="8.140625" style="2" customWidth="1"/>
    <col min="3844" max="3844" width="12.85546875" style="2" customWidth="1"/>
    <col min="3845" max="3846" width="13.28515625" style="2" customWidth="1"/>
    <col min="3847" max="4093" width="10.42578125" style="2"/>
    <col min="4094" max="4094" width="8.42578125" style="2" customWidth="1"/>
    <col min="4095" max="4096" width="12.85546875" style="2" customWidth="1"/>
    <col min="4097" max="4097" width="9.7109375" style="2" customWidth="1"/>
    <col min="4098" max="4098" width="7.28515625" style="2" customWidth="1"/>
    <col min="4099" max="4099" width="8.140625" style="2" customWidth="1"/>
    <col min="4100" max="4100" width="12.85546875" style="2" customWidth="1"/>
    <col min="4101" max="4102" width="13.28515625" style="2" customWidth="1"/>
    <col min="4103" max="4349" width="10.42578125" style="2"/>
    <col min="4350" max="4350" width="8.42578125" style="2" customWidth="1"/>
    <col min="4351" max="4352" width="12.85546875" style="2" customWidth="1"/>
    <col min="4353" max="4353" width="9.7109375" style="2" customWidth="1"/>
    <col min="4354" max="4354" width="7.28515625" style="2" customWidth="1"/>
    <col min="4355" max="4355" width="8.140625" style="2" customWidth="1"/>
    <col min="4356" max="4356" width="12.85546875" style="2" customWidth="1"/>
    <col min="4357" max="4358" width="13.28515625" style="2" customWidth="1"/>
    <col min="4359" max="4605" width="10.42578125" style="2"/>
    <col min="4606" max="4606" width="8.42578125" style="2" customWidth="1"/>
    <col min="4607" max="4608" width="12.85546875" style="2" customWidth="1"/>
    <col min="4609" max="4609" width="9.7109375" style="2" customWidth="1"/>
    <col min="4610" max="4610" width="7.28515625" style="2" customWidth="1"/>
    <col min="4611" max="4611" width="8.140625" style="2" customWidth="1"/>
    <col min="4612" max="4612" width="12.85546875" style="2" customWidth="1"/>
    <col min="4613" max="4614" width="13.28515625" style="2" customWidth="1"/>
    <col min="4615" max="4861" width="10.42578125" style="2"/>
    <col min="4862" max="4862" width="8.42578125" style="2" customWidth="1"/>
    <col min="4863" max="4864" width="12.85546875" style="2" customWidth="1"/>
    <col min="4865" max="4865" width="9.7109375" style="2" customWidth="1"/>
    <col min="4866" max="4866" width="7.28515625" style="2" customWidth="1"/>
    <col min="4867" max="4867" width="8.140625" style="2" customWidth="1"/>
    <col min="4868" max="4868" width="12.85546875" style="2" customWidth="1"/>
    <col min="4869" max="4870" width="13.28515625" style="2" customWidth="1"/>
    <col min="4871" max="5117" width="10.42578125" style="2"/>
    <col min="5118" max="5118" width="8.42578125" style="2" customWidth="1"/>
    <col min="5119" max="5120" width="12.85546875" style="2" customWidth="1"/>
    <col min="5121" max="5121" width="9.7109375" style="2" customWidth="1"/>
    <col min="5122" max="5122" width="7.28515625" style="2" customWidth="1"/>
    <col min="5123" max="5123" width="8.140625" style="2" customWidth="1"/>
    <col min="5124" max="5124" width="12.85546875" style="2" customWidth="1"/>
    <col min="5125" max="5126" width="13.28515625" style="2" customWidth="1"/>
    <col min="5127" max="5373" width="10.42578125" style="2"/>
    <col min="5374" max="5374" width="8.42578125" style="2" customWidth="1"/>
    <col min="5375" max="5376" width="12.85546875" style="2" customWidth="1"/>
    <col min="5377" max="5377" width="9.7109375" style="2" customWidth="1"/>
    <col min="5378" max="5378" width="7.28515625" style="2" customWidth="1"/>
    <col min="5379" max="5379" width="8.140625" style="2" customWidth="1"/>
    <col min="5380" max="5380" width="12.85546875" style="2" customWidth="1"/>
    <col min="5381" max="5382" width="13.28515625" style="2" customWidth="1"/>
    <col min="5383" max="5629" width="10.42578125" style="2"/>
    <col min="5630" max="5630" width="8.42578125" style="2" customWidth="1"/>
    <col min="5631" max="5632" width="12.85546875" style="2" customWidth="1"/>
    <col min="5633" max="5633" width="9.7109375" style="2" customWidth="1"/>
    <col min="5634" max="5634" width="7.28515625" style="2" customWidth="1"/>
    <col min="5635" max="5635" width="8.140625" style="2" customWidth="1"/>
    <col min="5636" max="5636" width="12.85546875" style="2" customWidth="1"/>
    <col min="5637" max="5638" width="13.28515625" style="2" customWidth="1"/>
    <col min="5639" max="5885" width="10.42578125" style="2"/>
    <col min="5886" max="5886" width="8.42578125" style="2" customWidth="1"/>
    <col min="5887" max="5888" width="12.85546875" style="2" customWidth="1"/>
    <col min="5889" max="5889" width="9.7109375" style="2" customWidth="1"/>
    <col min="5890" max="5890" width="7.28515625" style="2" customWidth="1"/>
    <col min="5891" max="5891" width="8.140625" style="2" customWidth="1"/>
    <col min="5892" max="5892" width="12.85546875" style="2" customWidth="1"/>
    <col min="5893" max="5894" width="13.28515625" style="2" customWidth="1"/>
    <col min="5895" max="6141" width="10.42578125" style="2"/>
    <col min="6142" max="6142" width="8.42578125" style="2" customWidth="1"/>
    <col min="6143" max="6144" width="12.85546875" style="2" customWidth="1"/>
    <col min="6145" max="6145" width="9.7109375" style="2" customWidth="1"/>
    <col min="6146" max="6146" width="7.28515625" style="2" customWidth="1"/>
    <col min="6147" max="6147" width="8.140625" style="2" customWidth="1"/>
    <col min="6148" max="6148" width="12.85546875" style="2" customWidth="1"/>
    <col min="6149" max="6150" width="13.28515625" style="2" customWidth="1"/>
    <col min="6151" max="6397" width="10.42578125" style="2"/>
    <col min="6398" max="6398" width="8.42578125" style="2" customWidth="1"/>
    <col min="6399" max="6400" width="12.85546875" style="2" customWidth="1"/>
    <col min="6401" max="6401" width="9.7109375" style="2" customWidth="1"/>
    <col min="6402" max="6402" width="7.28515625" style="2" customWidth="1"/>
    <col min="6403" max="6403" width="8.140625" style="2" customWidth="1"/>
    <col min="6404" max="6404" width="12.85546875" style="2" customWidth="1"/>
    <col min="6405" max="6406" width="13.28515625" style="2" customWidth="1"/>
    <col min="6407" max="6653" width="10.42578125" style="2"/>
    <col min="6654" max="6654" width="8.42578125" style="2" customWidth="1"/>
    <col min="6655" max="6656" width="12.85546875" style="2" customWidth="1"/>
    <col min="6657" max="6657" width="9.7109375" style="2" customWidth="1"/>
    <col min="6658" max="6658" width="7.28515625" style="2" customWidth="1"/>
    <col min="6659" max="6659" width="8.140625" style="2" customWidth="1"/>
    <col min="6660" max="6660" width="12.85546875" style="2" customWidth="1"/>
    <col min="6661" max="6662" width="13.28515625" style="2" customWidth="1"/>
    <col min="6663" max="6909" width="10.42578125" style="2"/>
    <col min="6910" max="6910" width="8.42578125" style="2" customWidth="1"/>
    <col min="6911" max="6912" width="12.85546875" style="2" customWidth="1"/>
    <col min="6913" max="6913" width="9.7109375" style="2" customWidth="1"/>
    <col min="6914" max="6914" width="7.28515625" style="2" customWidth="1"/>
    <col min="6915" max="6915" width="8.140625" style="2" customWidth="1"/>
    <col min="6916" max="6916" width="12.85546875" style="2" customWidth="1"/>
    <col min="6917" max="6918" width="13.28515625" style="2" customWidth="1"/>
    <col min="6919" max="7165" width="10.42578125" style="2"/>
    <col min="7166" max="7166" width="8.42578125" style="2" customWidth="1"/>
    <col min="7167" max="7168" width="12.85546875" style="2" customWidth="1"/>
    <col min="7169" max="7169" width="9.7109375" style="2" customWidth="1"/>
    <col min="7170" max="7170" width="7.28515625" style="2" customWidth="1"/>
    <col min="7171" max="7171" width="8.140625" style="2" customWidth="1"/>
    <col min="7172" max="7172" width="12.85546875" style="2" customWidth="1"/>
    <col min="7173" max="7174" width="13.28515625" style="2" customWidth="1"/>
    <col min="7175" max="7421" width="10.42578125" style="2"/>
    <col min="7422" max="7422" width="8.42578125" style="2" customWidth="1"/>
    <col min="7423" max="7424" width="12.85546875" style="2" customWidth="1"/>
    <col min="7425" max="7425" width="9.7109375" style="2" customWidth="1"/>
    <col min="7426" max="7426" width="7.28515625" style="2" customWidth="1"/>
    <col min="7427" max="7427" width="8.140625" style="2" customWidth="1"/>
    <col min="7428" max="7428" width="12.85546875" style="2" customWidth="1"/>
    <col min="7429" max="7430" width="13.28515625" style="2" customWidth="1"/>
    <col min="7431" max="7677" width="10.42578125" style="2"/>
    <col min="7678" max="7678" width="8.42578125" style="2" customWidth="1"/>
    <col min="7679" max="7680" width="12.85546875" style="2" customWidth="1"/>
    <col min="7681" max="7681" width="9.7109375" style="2" customWidth="1"/>
    <col min="7682" max="7682" width="7.28515625" style="2" customWidth="1"/>
    <col min="7683" max="7683" width="8.140625" style="2" customWidth="1"/>
    <col min="7684" max="7684" width="12.85546875" style="2" customWidth="1"/>
    <col min="7685" max="7686" width="13.28515625" style="2" customWidth="1"/>
    <col min="7687" max="7933" width="10.42578125" style="2"/>
    <col min="7934" max="7934" width="8.42578125" style="2" customWidth="1"/>
    <col min="7935" max="7936" width="12.85546875" style="2" customWidth="1"/>
    <col min="7937" max="7937" width="9.7109375" style="2" customWidth="1"/>
    <col min="7938" max="7938" width="7.28515625" style="2" customWidth="1"/>
    <col min="7939" max="7939" width="8.140625" style="2" customWidth="1"/>
    <col min="7940" max="7940" width="12.85546875" style="2" customWidth="1"/>
    <col min="7941" max="7942" width="13.28515625" style="2" customWidth="1"/>
    <col min="7943" max="8189" width="10.42578125" style="2"/>
    <col min="8190" max="8190" width="8.42578125" style="2" customWidth="1"/>
    <col min="8191" max="8192" width="12.85546875" style="2" customWidth="1"/>
    <col min="8193" max="8193" width="9.7109375" style="2" customWidth="1"/>
    <col min="8194" max="8194" width="7.28515625" style="2" customWidth="1"/>
    <col min="8195" max="8195" width="8.140625" style="2" customWidth="1"/>
    <col min="8196" max="8196" width="12.85546875" style="2" customWidth="1"/>
    <col min="8197" max="8198" width="13.28515625" style="2" customWidth="1"/>
    <col min="8199" max="8445" width="10.42578125" style="2"/>
    <col min="8446" max="8446" width="8.42578125" style="2" customWidth="1"/>
    <col min="8447" max="8448" width="12.85546875" style="2" customWidth="1"/>
    <col min="8449" max="8449" width="9.7109375" style="2" customWidth="1"/>
    <col min="8450" max="8450" width="7.28515625" style="2" customWidth="1"/>
    <col min="8451" max="8451" width="8.140625" style="2" customWidth="1"/>
    <col min="8452" max="8452" width="12.85546875" style="2" customWidth="1"/>
    <col min="8453" max="8454" width="13.28515625" style="2" customWidth="1"/>
    <col min="8455" max="8701" width="10.42578125" style="2"/>
    <col min="8702" max="8702" width="8.42578125" style="2" customWidth="1"/>
    <col min="8703" max="8704" width="12.85546875" style="2" customWidth="1"/>
    <col min="8705" max="8705" width="9.7109375" style="2" customWidth="1"/>
    <col min="8706" max="8706" width="7.28515625" style="2" customWidth="1"/>
    <col min="8707" max="8707" width="8.140625" style="2" customWidth="1"/>
    <col min="8708" max="8708" width="12.85546875" style="2" customWidth="1"/>
    <col min="8709" max="8710" width="13.28515625" style="2" customWidth="1"/>
    <col min="8711" max="8957" width="10.42578125" style="2"/>
    <col min="8958" max="8958" width="8.42578125" style="2" customWidth="1"/>
    <col min="8959" max="8960" width="12.85546875" style="2" customWidth="1"/>
    <col min="8961" max="8961" width="9.7109375" style="2" customWidth="1"/>
    <col min="8962" max="8962" width="7.28515625" style="2" customWidth="1"/>
    <col min="8963" max="8963" width="8.140625" style="2" customWidth="1"/>
    <col min="8964" max="8964" width="12.85546875" style="2" customWidth="1"/>
    <col min="8965" max="8966" width="13.28515625" style="2" customWidth="1"/>
    <col min="8967" max="9213" width="10.42578125" style="2"/>
    <col min="9214" max="9214" width="8.42578125" style="2" customWidth="1"/>
    <col min="9215" max="9216" width="12.85546875" style="2" customWidth="1"/>
    <col min="9217" max="9217" width="9.7109375" style="2" customWidth="1"/>
    <col min="9218" max="9218" width="7.28515625" style="2" customWidth="1"/>
    <col min="9219" max="9219" width="8.140625" style="2" customWidth="1"/>
    <col min="9220" max="9220" width="12.85546875" style="2" customWidth="1"/>
    <col min="9221" max="9222" width="13.28515625" style="2" customWidth="1"/>
    <col min="9223" max="9469" width="10.42578125" style="2"/>
    <col min="9470" max="9470" width="8.42578125" style="2" customWidth="1"/>
    <col min="9471" max="9472" width="12.85546875" style="2" customWidth="1"/>
    <col min="9473" max="9473" width="9.7109375" style="2" customWidth="1"/>
    <col min="9474" max="9474" width="7.28515625" style="2" customWidth="1"/>
    <col min="9475" max="9475" width="8.140625" style="2" customWidth="1"/>
    <col min="9476" max="9476" width="12.85546875" style="2" customWidth="1"/>
    <col min="9477" max="9478" width="13.28515625" style="2" customWidth="1"/>
    <col min="9479" max="9725" width="10.42578125" style="2"/>
    <col min="9726" max="9726" width="8.42578125" style="2" customWidth="1"/>
    <col min="9727" max="9728" width="12.85546875" style="2" customWidth="1"/>
    <col min="9729" max="9729" width="9.7109375" style="2" customWidth="1"/>
    <col min="9730" max="9730" width="7.28515625" style="2" customWidth="1"/>
    <col min="9731" max="9731" width="8.140625" style="2" customWidth="1"/>
    <col min="9732" max="9732" width="12.85546875" style="2" customWidth="1"/>
    <col min="9733" max="9734" width="13.28515625" style="2" customWidth="1"/>
    <col min="9735" max="9981" width="10.42578125" style="2"/>
    <col min="9982" max="9982" width="8.42578125" style="2" customWidth="1"/>
    <col min="9983" max="9984" width="12.85546875" style="2" customWidth="1"/>
    <col min="9985" max="9985" width="9.7109375" style="2" customWidth="1"/>
    <col min="9986" max="9986" width="7.28515625" style="2" customWidth="1"/>
    <col min="9987" max="9987" width="8.140625" style="2" customWidth="1"/>
    <col min="9988" max="9988" width="12.85546875" style="2" customWidth="1"/>
    <col min="9989" max="9990" width="13.28515625" style="2" customWidth="1"/>
    <col min="9991" max="10237" width="10.42578125" style="2"/>
    <col min="10238" max="10238" width="8.42578125" style="2" customWidth="1"/>
    <col min="10239" max="10240" width="12.85546875" style="2" customWidth="1"/>
    <col min="10241" max="10241" width="9.7109375" style="2" customWidth="1"/>
    <col min="10242" max="10242" width="7.28515625" style="2" customWidth="1"/>
    <col min="10243" max="10243" width="8.140625" style="2" customWidth="1"/>
    <col min="10244" max="10244" width="12.85546875" style="2" customWidth="1"/>
    <col min="10245" max="10246" width="13.28515625" style="2" customWidth="1"/>
    <col min="10247" max="10493" width="10.42578125" style="2"/>
    <col min="10494" max="10494" width="8.42578125" style="2" customWidth="1"/>
    <col min="10495" max="10496" width="12.85546875" style="2" customWidth="1"/>
    <col min="10497" max="10497" width="9.7109375" style="2" customWidth="1"/>
    <col min="10498" max="10498" width="7.28515625" style="2" customWidth="1"/>
    <col min="10499" max="10499" width="8.140625" style="2" customWidth="1"/>
    <col min="10500" max="10500" width="12.85546875" style="2" customWidth="1"/>
    <col min="10501" max="10502" width="13.28515625" style="2" customWidth="1"/>
    <col min="10503" max="10749" width="10.42578125" style="2"/>
    <col min="10750" max="10750" width="8.42578125" style="2" customWidth="1"/>
    <col min="10751" max="10752" width="12.85546875" style="2" customWidth="1"/>
    <col min="10753" max="10753" width="9.7109375" style="2" customWidth="1"/>
    <col min="10754" max="10754" width="7.28515625" style="2" customWidth="1"/>
    <col min="10755" max="10755" width="8.140625" style="2" customWidth="1"/>
    <col min="10756" max="10756" width="12.85546875" style="2" customWidth="1"/>
    <col min="10757" max="10758" width="13.28515625" style="2" customWidth="1"/>
    <col min="10759" max="11005" width="10.42578125" style="2"/>
    <col min="11006" max="11006" width="8.42578125" style="2" customWidth="1"/>
    <col min="11007" max="11008" width="12.85546875" style="2" customWidth="1"/>
    <col min="11009" max="11009" width="9.7109375" style="2" customWidth="1"/>
    <col min="11010" max="11010" width="7.28515625" style="2" customWidth="1"/>
    <col min="11011" max="11011" width="8.140625" style="2" customWidth="1"/>
    <col min="11012" max="11012" width="12.85546875" style="2" customWidth="1"/>
    <col min="11013" max="11014" width="13.28515625" style="2" customWidth="1"/>
    <col min="11015" max="11261" width="10.42578125" style="2"/>
    <col min="11262" max="11262" width="8.42578125" style="2" customWidth="1"/>
    <col min="11263" max="11264" width="12.85546875" style="2" customWidth="1"/>
    <col min="11265" max="11265" width="9.7109375" style="2" customWidth="1"/>
    <col min="11266" max="11266" width="7.28515625" style="2" customWidth="1"/>
    <col min="11267" max="11267" width="8.140625" style="2" customWidth="1"/>
    <col min="11268" max="11268" width="12.85546875" style="2" customWidth="1"/>
    <col min="11269" max="11270" width="13.28515625" style="2" customWidth="1"/>
    <col min="11271" max="11517" width="10.42578125" style="2"/>
    <col min="11518" max="11518" width="8.42578125" style="2" customWidth="1"/>
    <col min="11519" max="11520" width="12.85546875" style="2" customWidth="1"/>
    <col min="11521" max="11521" width="9.7109375" style="2" customWidth="1"/>
    <col min="11522" max="11522" width="7.28515625" style="2" customWidth="1"/>
    <col min="11523" max="11523" width="8.140625" style="2" customWidth="1"/>
    <col min="11524" max="11524" width="12.85546875" style="2" customWidth="1"/>
    <col min="11525" max="11526" width="13.28515625" style="2" customWidth="1"/>
    <col min="11527" max="11773" width="10.42578125" style="2"/>
    <col min="11774" max="11774" width="8.42578125" style="2" customWidth="1"/>
    <col min="11775" max="11776" width="12.85546875" style="2" customWidth="1"/>
    <col min="11777" max="11777" width="9.7109375" style="2" customWidth="1"/>
    <col min="11778" max="11778" width="7.28515625" style="2" customWidth="1"/>
    <col min="11779" max="11779" width="8.140625" style="2" customWidth="1"/>
    <col min="11780" max="11780" width="12.85546875" style="2" customWidth="1"/>
    <col min="11781" max="11782" width="13.28515625" style="2" customWidth="1"/>
    <col min="11783" max="12029" width="10.42578125" style="2"/>
    <col min="12030" max="12030" width="8.42578125" style="2" customWidth="1"/>
    <col min="12031" max="12032" width="12.85546875" style="2" customWidth="1"/>
    <col min="12033" max="12033" width="9.7109375" style="2" customWidth="1"/>
    <col min="12034" max="12034" width="7.28515625" style="2" customWidth="1"/>
    <col min="12035" max="12035" width="8.140625" style="2" customWidth="1"/>
    <col min="12036" max="12036" width="12.85546875" style="2" customWidth="1"/>
    <col min="12037" max="12038" width="13.28515625" style="2" customWidth="1"/>
    <col min="12039" max="12285" width="10.42578125" style="2"/>
    <col min="12286" max="12286" width="8.42578125" style="2" customWidth="1"/>
    <col min="12287" max="12288" width="12.85546875" style="2" customWidth="1"/>
    <col min="12289" max="12289" width="9.7109375" style="2" customWidth="1"/>
    <col min="12290" max="12290" width="7.28515625" style="2" customWidth="1"/>
    <col min="12291" max="12291" width="8.140625" style="2" customWidth="1"/>
    <col min="12292" max="12292" width="12.85546875" style="2" customWidth="1"/>
    <col min="12293" max="12294" width="13.28515625" style="2" customWidth="1"/>
    <col min="12295" max="12541" width="10.42578125" style="2"/>
    <col min="12542" max="12542" width="8.42578125" style="2" customWidth="1"/>
    <col min="12543" max="12544" width="12.85546875" style="2" customWidth="1"/>
    <col min="12545" max="12545" width="9.7109375" style="2" customWidth="1"/>
    <col min="12546" max="12546" width="7.28515625" style="2" customWidth="1"/>
    <col min="12547" max="12547" width="8.140625" style="2" customWidth="1"/>
    <col min="12548" max="12548" width="12.85546875" style="2" customWidth="1"/>
    <col min="12549" max="12550" width="13.28515625" style="2" customWidth="1"/>
    <col min="12551" max="12797" width="10.42578125" style="2"/>
    <col min="12798" max="12798" width="8.42578125" style="2" customWidth="1"/>
    <col min="12799" max="12800" width="12.85546875" style="2" customWidth="1"/>
    <col min="12801" max="12801" width="9.7109375" style="2" customWidth="1"/>
    <col min="12802" max="12802" width="7.28515625" style="2" customWidth="1"/>
    <col min="12803" max="12803" width="8.140625" style="2" customWidth="1"/>
    <col min="12804" max="12804" width="12.85546875" style="2" customWidth="1"/>
    <col min="12805" max="12806" width="13.28515625" style="2" customWidth="1"/>
    <col min="12807" max="13053" width="10.42578125" style="2"/>
    <col min="13054" max="13054" width="8.42578125" style="2" customWidth="1"/>
    <col min="13055" max="13056" width="12.85546875" style="2" customWidth="1"/>
    <col min="13057" max="13057" width="9.7109375" style="2" customWidth="1"/>
    <col min="13058" max="13058" width="7.28515625" style="2" customWidth="1"/>
    <col min="13059" max="13059" width="8.140625" style="2" customWidth="1"/>
    <col min="13060" max="13060" width="12.85546875" style="2" customWidth="1"/>
    <col min="13061" max="13062" width="13.28515625" style="2" customWidth="1"/>
    <col min="13063" max="13309" width="10.42578125" style="2"/>
    <col min="13310" max="13310" width="8.42578125" style="2" customWidth="1"/>
    <col min="13311" max="13312" width="12.85546875" style="2" customWidth="1"/>
    <col min="13313" max="13313" width="9.7109375" style="2" customWidth="1"/>
    <col min="13314" max="13314" width="7.28515625" style="2" customWidth="1"/>
    <col min="13315" max="13315" width="8.140625" style="2" customWidth="1"/>
    <col min="13316" max="13316" width="12.85546875" style="2" customWidth="1"/>
    <col min="13317" max="13318" width="13.28515625" style="2" customWidth="1"/>
    <col min="13319" max="13565" width="10.42578125" style="2"/>
    <col min="13566" max="13566" width="8.42578125" style="2" customWidth="1"/>
    <col min="13567" max="13568" width="12.85546875" style="2" customWidth="1"/>
    <col min="13569" max="13569" width="9.7109375" style="2" customWidth="1"/>
    <col min="13570" max="13570" width="7.28515625" style="2" customWidth="1"/>
    <col min="13571" max="13571" width="8.140625" style="2" customWidth="1"/>
    <col min="13572" max="13572" width="12.85546875" style="2" customWidth="1"/>
    <col min="13573" max="13574" width="13.28515625" style="2" customWidth="1"/>
    <col min="13575" max="13821" width="10.42578125" style="2"/>
    <col min="13822" max="13822" width="8.42578125" style="2" customWidth="1"/>
    <col min="13823" max="13824" width="12.85546875" style="2" customWidth="1"/>
    <col min="13825" max="13825" width="9.7109375" style="2" customWidth="1"/>
    <col min="13826" max="13826" width="7.28515625" style="2" customWidth="1"/>
    <col min="13827" max="13827" width="8.140625" style="2" customWidth="1"/>
    <col min="13828" max="13828" width="12.85546875" style="2" customWidth="1"/>
    <col min="13829" max="13830" width="13.28515625" style="2" customWidth="1"/>
    <col min="13831" max="14077" width="10.42578125" style="2"/>
    <col min="14078" max="14078" width="8.42578125" style="2" customWidth="1"/>
    <col min="14079" max="14080" width="12.85546875" style="2" customWidth="1"/>
    <col min="14081" max="14081" width="9.7109375" style="2" customWidth="1"/>
    <col min="14082" max="14082" width="7.28515625" style="2" customWidth="1"/>
    <col min="14083" max="14083" width="8.140625" style="2" customWidth="1"/>
    <col min="14084" max="14084" width="12.85546875" style="2" customWidth="1"/>
    <col min="14085" max="14086" width="13.28515625" style="2" customWidth="1"/>
    <col min="14087" max="14333" width="10.42578125" style="2"/>
    <col min="14334" max="14334" width="8.42578125" style="2" customWidth="1"/>
    <col min="14335" max="14336" width="12.85546875" style="2" customWidth="1"/>
    <col min="14337" max="14337" width="9.7109375" style="2" customWidth="1"/>
    <col min="14338" max="14338" width="7.28515625" style="2" customWidth="1"/>
    <col min="14339" max="14339" width="8.140625" style="2" customWidth="1"/>
    <col min="14340" max="14340" width="12.85546875" style="2" customWidth="1"/>
    <col min="14341" max="14342" width="13.28515625" style="2" customWidth="1"/>
    <col min="14343" max="14589" width="10.42578125" style="2"/>
    <col min="14590" max="14590" width="8.42578125" style="2" customWidth="1"/>
    <col min="14591" max="14592" width="12.85546875" style="2" customWidth="1"/>
    <col min="14593" max="14593" width="9.7109375" style="2" customWidth="1"/>
    <col min="14594" max="14594" width="7.28515625" style="2" customWidth="1"/>
    <col min="14595" max="14595" width="8.140625" style="2" customWidth="1"/>
    <col min="14596" max="14596" width="12.85546875" style="2" customWidth="1"/>
    <col min="14597" max="14598" width="13.28515625" style="2" customWidth="1"/>
    <col min="14599" max="14845" width="10.42578125" style="2"/>
    <col min="14846" max="14846" width="8.42578125" style="2" customWidth="1"/>
    <col min="14847" max="14848" width="12.85546875" style="2" customWidth="1"/>
    <col min="14849" max="14849" width="9.7109375" style="2" customWidth="1"/>
    <col min="14850" max="14850" width="7.28515625" style="2" customWidth="1"/>
    <col min="14851" max="14851" width="8.140625" style="2" customWidth="1"/>
    <col min="14852" max="14852" width="12.85546875" style="2" customWidth="1"/>
    <col min="14853" max="14854" width="13.28515625" style="2" customWidth="1"/>
    <col min="14855" max="15101" width="10.42578125" style="2"/>
    <col min="15102" max="15102" width="8.42578125" style="2" customWidth="1"/>
    <col min="15103" max="15104" width="12.85546875" style="2" customWidth="1"/>
    <col min="15105" max="15105" width="9.7109375" style="2" customWidth="1"/>
    <col min="15106" max="15106" width="7.28515625" style="2" customWidth="1"/>
    <col min="15107" max="15107" width="8.140625" style="2" customWidth="1"/>
    <col min="15108" max="15108" width="12.85546875" style="2" customWidth="1"/>
    <col min="15109" max="15110" width="13.28515625" style="2" customWidth="1"/>
    <col min="15111" max="15357" width="10.42578125" style="2"/>
    <col min="15358" max="15358" width="8.42578125" style="2" customWidth="1"/>
    <col min="15359" max="15360" width="12.85546875" style="2" customWidth="1"/>
    <col min="15361" max="15361" width="9.7109375" style="2" customWidth="1"/>
    <col min="15362" max="15362" width="7.28515625" style="2" customWidth="1"/>
    <col min="15363" max="15363" width="8.140625" style="2" customWidth="1"/>
    <col min="15364" max="15364" width="12.85546875" style="2" customWidth="1"/>
    <col min="15365" max="15366" width="13.28515625" style="2" customWidth="1"/>
    <col min="15367" max="15613" width="10.42578125" style="2"/>
    <col min="15614" max="15614" width="8.42578125" style="2" customWidth="1"/>
    <col min="15615" max="15616" width="12.85546875" style="2" customWidth="1"/>
    <col min="15617" max="15617" width="9.7109375" style="2" customWidth="1"/>
    <col min="15618" max="15618" width="7.28515625" style="2" customWidth="1"/>
    <col min="15619" max="15619" width="8.140625" style="2" customWidth="1"/>
    <col min="15620" max="15620" width="12.85546875" style="2" customWidth="1"/>
    <col min="15621" max="15622" width="13.28515625" style="2" customWidth="1"/>
    <col min="15623" max="15869" width="10.42578125" style="2"/>
    <col min="15870" max="15870" width="8.42578125" style="2" customWidth="1"/>
    <col min="15871" max="15872" width="12.85546875" style="2" customWidth="1"/>
    <col min="15873" max="15873" width="9.7109375" style="2" customWidth="1"/>
    <col min="15874" max="15874" width="7.28515625" style="2" customWidth="1"/>
    <col min="15875" max="15875" width="8.140625" style="2" customWidth="1"/>
    <col min="15876" max="15876" width="12.85546875" style="2" customWidth="1"/>
    <col min="15877" max="15878" width="13.28515625" style="2" customWidth="1"/>
    <col min="15879" max="16125" width="10.42578125" style="2"/>
    <col min="16126" max="16126" width="8.42578125" style="2" customWidth="1"/>
    <col min="16127" max="16128" width="12.85546875" style="2" customWidth="1"/>
    <col min="16129" max="16129" width="9.7109375" style="2" customWidth="1"/>
    <col min="16130" max="16130" width="7.28515625" style="2" customWidth="1"/>
    <col min="16131" max="16131" width="8.140625" style="2" customWidth="1"/>
    <col min="16132" max="16132" width="12.85546875" style="2" customWidth="1"/>
    <col min="16133" max="16134" width="13.28515625" style="2" customWidth="1"/>
    <col min="16135" max="16384" width="10.42578125" style="2"/>
  </cols>
  <sheetData>
    <row r="1" spans="2:6" ht="15" x14ac:dyDescent="0.25">
      <c r="B1" s="1" t="str">
        <f>'Main Sheet'!$B$1</f>
        <v>ABC &amp; Co.</v>
      </c>
      <c r="F1" s="3" t="str">
        <f>'Main Sheet'!D13</f>
        <v>Annex. D.1.1</v>
      </c>
    </row>
    <row r="2" spans="2:6" x14ac:dyDescent="0.25">
      <c r="B2" s="2" t="str">
        <f>'Main Sheet'!$B$2</f>
        <v>(Chartered Accountants)</v>
      </c>
    </row>
    <row r="4" spans="2:6" ht="15" x14ac:dyDescent="0.25">
      <c r="B4" s="57" t="s">
        <v>9</v>
      </c>
      <c r="C4" s="57"/>
      <c r="D4" s="57"/>
      <c r="E4" s="57"/>
      <c r="F4" s="57"/>
    </row>
    <row r="5" spans="2:6" ht="15" x14ac:dyDescent="0.25">
      <c r="B5" s="4"/>
      <c r="C5" s="4"/>
      <c r="D5" s="4"/>
      <c r="E5" s="4"/>
      <c r="F5" s="4"/>
    </row>
    <row r="6" spans="2:6" ht="26.25" customHeight="1" x14ac:dyDescent="0.25">
      <c r="B6" s="5" t="str">
        <f>'Main Sheet'!$B$6&amp;" " &amp;'Main Sheet'!$C$6</f>
        <v>Client:  ABC LIMITED</v>
      </c>
      <c r="C6" s="6"/>
      <c r="E6" s="7" t="s">
        <v>2</v>
      </c>
      <c r="F6" s="8" t="str">
        <f>IF('Main Sheet'!$F$6&gt;0,'Main Sheet'!$F$6," ")</f>
        <v xml:space="preserve"> </v>
      </c>
    </row>
    <row r="7" spans="2:6" ht="26.25" customHeight="1" x14ac:dyDescent="0.25">
      <c r="B7" s="5" t="str">
        <f>'Main Sheet'!$B$7&amp;" " &amp;'Main Sheet'!$C$7</f>
        <v>Period: Year ended June 30, 2023</v>
      </c>
      <c r="C7" s="6"/>
      <c r="E7" s="7" t="s">
        <v>4</v>
      </c>
      <c r="F7" s="8" t="str">
        <f>IF('Main Sheet'!$F$7&gt;0,'Main Sheet'!$F$7," ")</f>
        <v xml:space="preserve"> </v>
      </c>
    </row>
    <row r="8" spans="2:6" ht="15" x14ac:dyDescent="0.25">
      <c r="B8" s="9"/>
      <c r="C8" s="10"/>
      <c r="E8" s="11"/>
    </row>
    <row r="9" spans="2:6" ht="15" x14ac:dyDescent="0.25">
      <c r="B9" s="12" t="str">
        <f>'Main Sheet'!C13</f>
        <v>Determine the industry as per Materiality Benchmark Table</v>
      </c>
      <c r="C9" s="10"/>
      <c r="E9" s="11"/>
    </row>
    <row r="11" spans="2:6" x14ac:dyDescent="0.25">
      <c r="B11" s="58" t="s">
        <v>22</v>
      </c>
      <c r="C11" s="58" t="s">
        <v>23</v>
      </c>
      <c r="D11" s="59" t="s">
        <v>24</v>
      </c>
      <c r="E11" s="59" t="s">
        <v>25</v>
      </c>
      <c r="F11" s="59"/>
    </row>
    <row r="12" spans="2:6" x14ac:dyDescent="0.25">
      <c r="B12" s="58"/>
      <c r="C12" s="58"/>
      <c r="D12" s="59"/>
      <c r="E12" s="59"/>
      <c r="F12" s="59"/>
    </row>
    <row r="13" spans="2:6" ht="27.75" customHeight="1" x14ac:dyDescent="0.25">
      <c r="B13" s="63" t="s">
        <v>26</v>
      </c>
      <c r="C13" s="65" t="s">
        <v>32</v>
      </c>
      <c r="D13" s="15" t="s">
        <v>33</v>
      </c>
      <c r="E13" s="67" t="s">
        <v>35</v>
      </c>
      <c r="F13" s="68"/>
    </row>
    <row r="14" spans="2:6" ht="27.75" customHeight="1" x14ac:dyDescent="0.25">
      <c r="B14" s="64"/>
      <c r="C14" s="66"/>
      <c r="D14" s="17" t="s">
        <v>34</v>
      </c>
      <c r="E14" s="69"/>
      <c r="F14" s="70"/>
    </row>
    <row r="15" spans="2:6" ht="27.75" customHeight="1" x14ac:dyDescent="0.25">
      <c r="B15" s="71" t="s">
        <v>27</v>
      </c>
      <c r="C15" s="72" t="s">
        <v>95</v>
      </c>
      <c r="D15" s="18" t="s">
        <v>1</v>
      </c>
      <c r="E15" s="67" t="s">
        <v>96</v>
      </c>
      <c r="F15" s="68"/>
    </row>
    <row r="16" spans="2:6" ht="27.75" customHeight="1" x14ac:dyDescent="0.25">
      <c r="B16" s="64"/>
      <c r="C16" s="66"/>
      <c r="D16" s="17" t="s">
        <v>34</v>
      </c>
      <c r="E16" s="69"/>
      <c r="F16" s="70"/>
    </row>
    <row r="17" spans="2:6" ht="27" customHeight="1" x14ac:dyDescent="0.25">
      <c r="B17" s="19"/>
      <c r="C17" s="20"/>
      <c r="D17" s="18"/>
      <c r="E17" s="60"/>
      <c r="F17" s="61"/>
    </row>
    <row r="19" spans="2:6" s="21" customFormat="1" ht="15" x14ac:dyDescent="0.25">
      <c r="B19" s="21" t="s">
        <v>29</v>
      </c>
    </row>
    <row r="20" spans="2:6" x14ac:dyDescent="0.25">
      <c r="B20" s="2" t="s">
        <v>30</v>
      </c>
    </row>
    <row r="21" spans="2:6" x14ac:dyDescent="0.25">
      <c r="B21" s="62" t="s">
        <v>98</v>
      </c>
      <c r="C21" s="62"/>
      <c r="D21" s="62"/>
      <c r="E21" s="62"/>
      <c r="F21" s="62"/>
    </row>
    <row r="22" spans="2:6" x14ac:dyDescent="0.25">
      <c r="B22" s="62"/>
      <c r="C22" s="62"/>
      <c r="D22" s="62"/>
      <c r="E22" s="62"/>
      <c r="F22" s="62"/>
    </row>
    <row r="23" spans="2:6" x14ac:dyDescent="0.25">
      <c r="B23" s="62"/>
      <c r="C23" s="62"/>
      <c r="D23" s="62"/>
      <c r="E23" s="62"/>
      <c r="F23" s="62"/>
    </row>
    <row r="24" spans="2:6" x14ac:dyDescent="0.25">
      <c r="B24" s="22" t="s">
        <v>31</v>
      </c>
    </row>
  </sheetData>
  <mergeCells count="13">
    <mergeCell ref="B21:F23"/>
    <mergeCell ref="E11:F12"/>
    <mergeCell ref="B13:B14"/>
    <mergeCell ref="C13:C14"/>
    <mergeCell ref="E13:F14"/>
    <mergeCell ref="B15:B16"/>
    <mergeCell ref="E15:F16"/>
    <mergeCell ref="C15:C16"/>
    <mergeCell ref="B4:F4"/>
    <mergeCell ref="B11:B12"/>
    <mergeCell ref="C11:C12"/>
    <mergeCell ref="D11:D12"/>
    <mergeCell ref="E17:F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7"/>
  <sheetViews>
    <sheetView showGridLines="0" workbookViewId="0">
      <selection activeCell="D15" sqref="D15"/>
    </sheetView>
  </sheetViews>
  <sheetFormatPr defaultColWidth="10.42578125" defaultRowHeight="13.5" x14ac:dyDescent="0.25"/>
  <cols>
    <col min="1" max="1" width="1" style="2" customWidth="1"/>
    <col min="2" max="2" width="11" style="2" customWidth="1"/>
    <col min="3" max="3" width="26.5703125" style="2" customWidth="1"/>
    <col min="4" max="10" width="17.42578125" style="2" customWidth="1"/>
    <col min="11" max="11" width="1" style="2" customWidth="1"/>
    <col min="12" max="257" width="10.42578125" style="2"/>
    <col min="258" max="258" width="8.42578125" style="2" customWidth="1"/>
    <col min="259" max="260" width="12.85546875" style="2" customWidth="1"/>
    <col min="261" max="261" width="9.7109375" style="2" customWidth="1"/>
    <col min="262" max="262" width="7.28515625" style="2" customWidth="1"/>
    <col min="263" max="263" width="8.140625" style="2" customWidth="1"/>
    <col min="264" max="264" width="12.85546875" style="2" customWidth="1"/>
    <col min="265" max="266" width="13.28515625" style="2" customWidth="1"/>
    <col min="267" max="513" width="10.42578125" style="2"/>
    <col min="514" max="514" width="8.42578125" style="2" customWidth="1"/>
    <col min="515" max="516" width="12.85546875" style="2" customWidth="1"/>
    <col min="517" max="517" width="9.7109375" style="2" customWidth="1"/>
    <col min="518" max="518" width="7.28515625" style="2" customWidth="1"/>
    <col min="519" max="519" width="8.140625" style="2" customWidth="1"/>
    <col min="520" max="520" width="12.85546875" style="2" customWidth="1"/>
    <col min="521" max="522" width="13.28515625" style="2" customWidth="1"/>
    <col min="523" max="769" width="10.42578125" style="2"/>
    <col min="770" max="770" width="8.42578125" style="2" customWidth="1"/>
    <col min="771" max="772" width="12.85546875" style="2" customWidth="1"/>
    <col min="773" max="773" width="9.7109375" style="2" customWidth="1"/>
    <col min="774" max="774" width="7.28515625" style="2" customWidth="1"/>
    <col min="775" max="775" width="8.140625" style="2" customWidth="1"/>
    <col min="776" max="776" width="12.85546875" style="2" customWidth="1"/>
    <col min="777" max="778" width="13.28515625" style="2" customWidth="1"/>
    <col min="779" max="1025" width="10.42578125" style="2"/>
    <col min="1026" max="1026" width="8.42578125" style="2" customWidth="1"/>
    <col min="1027" max="1028" width="12.85546875" style="2" customWidth="1"/>
    <col min="1029" max="1029" width="9.7109375" style="2" customWidth="1"/>
    <col min="1030" max="1030" width="7.28515625" style="2" customWidth="1"/>
    <col min="1031" max="1031" width="8.140625" style="2" customWidth="1"/>
    <col min="1032" max="1032" width="12.85546875" style="2" customWidth="1"/>
    <col min="1033" max="1034" width="13.28515625" style="2" customWidth="1"/>
    <col min="1035" max="1281" width="10.42578125" style="2"/>
    <col min="1282" max="1282" width="8.42578125" style="2" customWidth="1"/>
    <col min="1283" max="1284" width="12.85546875" style="2" customWidth="1"/>
    <col min="1285" max="1285" width="9.7109375" style="2" customWidth="1"/>
    <col min="1286" max="1286" width="7.28515625" style="2" customWidth="1"/>
    <col min="1287" max="1287" width="8.140625" style="2" customWidth="1"/>
    <col min="1288" max="1288" width="12.85546875" style="2" customWidth="1"/>
    <col min="1289" max="1290" width="13.28515625" style="2" customWidth="1"/>
    <col min="1291" max="1537" width="10.42578125" style="2"/>
    <col min="1538" max="1538" width="8.42578125" style="2" customWidth="1"/>
    <col min="1539" max="1540" width="12.85546875" style="2" customWidth="1"/>
    <col min="1541" max="1541" width="9.7109375" style="2" customWidth="1"/>
    <col min="1542" max="1542" width="7.28515625" style="2" customWidth="1"/>
    <col min="1543" max="1543" width="8.140625" style="2" customWidth="1"/>
    <col min="1544" max="1544" width="12.85546875" style="2" customWidth="1"/>
    <col min="1545" max="1546" width="13.28515625" style="2" customWidth="1"/>
    <col min="1547" max="1793" width="10.42578125" style="2"/>
    <col min="1794" max="1794" width="8.42578125" style="2" customWidth="1"/>
    <col min="1795" max="1796" width="12.85546875" style="2" customWidth="1"/>
    <col min="1797" max="1797" width="9.7109375" style="2" customWidth="1"/>
    <col min="1798" max="1798" width="7.28515625" style="2" customWidth="1"/>
    <col min="1799" max="1799" width="8.140625" style="2" customWidth="1"/>
    <col min="1800" max="1800" width="12.85546875" style="2" customWidth="1"/>
    <col min="1801" max="1802" width="13.28515625" style="2" customWidth="1"/>
    <col min="1803" max="2049" width="10.42578125" style="2"/>
    <col min="2050" max="2050" width="8.42578125" style="2" customWidth="1"/>
    <col min="2051" max="2052" width="12.85546875" style="2" customWidth="1"/>
    <col min="2053" max="2053" width="9.7109375" style="2" customWidth="1"/>
    <col min="2054" max="2054" width="7.28515625" style="2" customWidth="1"/>
    <col min="2055" max="2055" width="8.140625" style="2" customWidth="1"/>
    <col min="2056" max="2056" width="12.85546875" style="2" customWidth="1"/>
    <col min="2057" max="2058" width="13.28515625" style="2" customWidth="1"/>
    <col min="2059" max="2305" width="10.42578125" style="2"/>
    <col min="2306" max="2306" width="8.42578125" style="2" customWidth="1"/>
    <col min="2307" max="2308" width="12.85546875" style="2" customWidth="1"/>
    <col min="2309" max="2309" width="9.7109375" style="2" customWidth="1"/>
    <col min="2310" max="2310" width="7.28515625" style="2" customWidth="1"/>
    <col min="2311" max="2311" width="8.140625" style="2" customWidth="1"/>
    <col min="2312" max="2312" width="12.85546875" style="2" customWidth="1"/>
    <col min="2313" max="2314" width="13.28515625" style="2" customWidth="1"/>
    <col min="2315" max="2561" width="10.42578125" style="2"/>
    <col min="2562" max="2562" width="8.42578125" style="2" customWidth="1"/>
    <col min="2563" max="2564" width="12.85546875" style="2" customWidth="1"/>
    <col min="2565" max="2565" width="9.7109375" style="2" customWidth="1"/>
    <col min="2566" max="2566" width="7.28515625" style="2" customWidth="1"/>
    <col min="2567" max="2567" width="8.140625" style="2" customWidth="1"/>
    <col min="2568" max="2568" width="12.85546875" style="2" customWidth="1"/>
    <col min="2569" max="2570" width="13.28515625" style="2" customWidth="1"/>
    <col min="2571" max="2817" width="10.42578125" style="2"/>
    <col min="2818" max="2818" width="8.42578125" style="2" customWidth="1"/>
    <col min="2819" max="2820" width="12.85546875" style="2" customWidth="1"/>
    <col min="2821" max="2821" width="9.7109375" style="2" customWidth="1"/>
    <col min="2822" max="2822" width="7.28515625" style="2" customWidth="1"/>
    <col min="2823" max="2823" width="8.140625" style="2" customWidth="1"/>
    <col min="2824" max="2824" width="12.85546875" style="2" customWidth="1"/>
    <col min="2825" max="2826" width="13.28515625" style="2" customWidth="1"/>
    <col min="2827" max="3073" width="10.42578125" style="2"/>
    <col min="3074" max="3074" width="8.42578125" style="2" customWidth="1"/>
    <col min="3075" max="3076" width="12.85546875" style="2" customWidth="1"/>
    <col min="3077" max="3077" width="9.7109375" style="2" customWidth="1"/>
    <col min="3078" max="3078" width="7.28515625" style="2" customWidth="1"/>
    <col min="3079" max="3079" width="8.140625" style="2" customWidth="1"/>
    <col min="3080" max="3080" width="12.85546875" style="2" customWidth="1"/>
    <col min="3081" max="3082" width="13.28515625" style="2" customWidth="1"/>
    <col min="3083" max="3329" width="10.42578125" style="2"/>
    <col min="3330" max="3330" width="8.42578125" style="2" customWidth="1"/>
    <col min="3331" max="3332" width="12.85546875" style="2" customWidth="1"/>
    <col min="3333" max="3333" width="9.7109375" style="2" customWidth="1"/>
    <col min="3334" max="3334" width="7.28515625" style="2" customWidth="1"/>
    <col min="3335" max="3335" width="8.140625" style="2" customWidth="1"/>
    <col min="3336" max="3336" width="12.85546875" style="2" customWidth="1"/>
    <col min="3337" max="3338" width="13.28515625" style="2" customWidth="1"/>
    <col min="3339" max="3585" width="10.42578125" style="2"/>
    <col min="3586" max="3586" width="8.42578125" style="2" customWidth="1"/>
    <col min="3587" max="3588" width="12.85546875" style="2" customWidth="1"/>
    <col min="3589" max="3589" width="9.7109375" style="2" customWidth="1"/>
    <col min="3590" max="3590" width="7.28515625" style="2" customWidth="1"/>
    <col min="3591" max="3591" width="8.140625" style="2" customWidth="1"/>
    <col min="3592" max="3592" width="12.85546875" style="2" customWidth="1"/>
    <col min="3593" max="3594" width="13.28515625" style="2" customWidth="1"/>
    <col min="3595" max="3841" width="10.42578125" style="2"/>
    <col min="3842" max="3842" width="8.42578125" style="2" customWidth="1"/>
    <col min="3843" max="3844" width="12.85546875" style="2" customWidth="1"/>
    <col min="3845" max="3845" width="9.7109375" style="2" customWidth="1"/>
    <col min="3846" max="3846" width="7.28515625" style="2" customWidth="1"/>
    <col min="3847" max="3847" width="8.140625" style="2" customWidth="1"/>
    <col min="3848" max="3848" width="12.85546875" style="2" customWidth="1"/>
    <col min="3849" max="3850" width="13.28515625" style="2" customWidth="1"/>
    <col min="3851" max="4097" width="10.42578125" style="2"/>
    <col min="4098" max="4098" width="8.42578125" style="2" customWidth="1"/>
    <col min="4099" max="4100" width="12.85546875" style="2" customWidth="1"/>
    <col min="4101" max="4101" width="9.7109375" style="2" customWidth="1"/>
    <col min="4102" max="4102" width="7.28515625" style="2" customWidth="1"/>
    <col min="4103" max="4103" width="8.140625" style="2" customWidth="1"/>
    <col min="4104" max="4104" width="12.85546875" style="2" customWidth="1"/>
    <col min="4105" max="4106" width="13.28515625" style="2" customWidth="1"/>
    <col min="4107" max="4353" width="10.42578125" style="2"/>
    <col min="4354" max="4354" width="8.42578125" style="2" customWidth="1"/>
    <col min="4355" max="4356" width="12.85546875" style="2" customWidth="1"/>
    <col min="4357" max="4357" width="9.7109375" style="2" customWidth="1"/>
    <col min="4358" max="4358" width="7.28515625" style="2" customWidth="1"/>
    <col min="4359" max="4359" width="8.140625" style="2" customWidth="1"/>
    <col min="4360" max="4360" width="12.85546875" style="2" customWidth="1"/>
    <col min="4361" max="4362" width="13.28515625" style="2" customWidth="1"/>
    <col min="4363" max="4609" width="10.42578125" style="2"/>
    <col min="4610" max="4610" width="8.42578125" style="2" customWidth="1"/>
    <col min="4611" max="4612" width="12.85546875" style="2" customWidth="1"/>
    <col min="4613" max="4613" width="9.7109375" style="2" customWidth="1"/>
    <col min="4614" max="4614" width="7.28515625" style="2" customWidth="1"/>
    <col min="4615" max="4615" width="8.140625" style="2" customWidth="1"/>
    <col min="4616" max="4616" width="12.85546875" style="2" customWidth="1"/>
    <col min="4617" max="4618" width="13.28515625" style="2" customWidth="1"/>
    <col min="4619" max="4865" width="10.42578125" style="2"/>
    <col min="4866" max="4866" width="8.42578125" style="2" customWidth="1"/>
    <col min="4867" max="4868" width="12.85546875" style="2" customWidth="1"/>
    <col min="4869" max="4869" width="9.7109375" style="2" customWidth="1"/>
    <col min="4870" max="4870" width="7.28515625" style="2" customWidth="1"/>
    <col min="4871" max="4871" width="8.140625" style="2" customWidth="1"/>
    <col min="4872" max="4872" width="12.85546875" style="2" customWidth="1"/>
    <col min="4873" max="4874" width="13.28515625" style="2" customWidth="1"/>
    <col min="4875" max="5121" width="10.42578125" style="2"/>
    <col min="5122" max="5122" width="8.42578125" style="2" customWidth="1"/>
    <col min="5123" max="5124" width="12.85546875" style="2" customWidth="1"/>
    <col min="5125" max="5125" width="9.7109375" style="2" customWidth="1"/>
    <col min="5126" max="5126" width="7.28515625" style="2" customWidth="1"/>
    <col min="5127" max="5127" width="8.140625" style="2" customWidth="1"/>
    <col min="5128" max="5128" width="12.85546875" style="2" customWidth="1"/>
    <col min="5129" max="5130" width="13.28515625" style="2" customWidth="1"/>
    <col min="5131" max="5377" width="10.42578125" style="2"/>
    <col min="5378" max="5378" width="8.42578125" style="2" customWidth="1"/>
    <col min="5379" max="5380" width="12.85546875" style="2" customWidth="1"/>
    <col min="5381" max="5381" width="9.7109375" style="2" customWidth="1"/>
    <col min="5382" max="5382" width="7.28515625" style="2" customWidth="1"/>
    <col min="5383" max="5383" width="8.140625" style="2" customWidth="1"/>
    <col min="5384" max="5384" width="12.85546875" style="2" customWidth="1"/>
    <col min="5385" max="5386" width="13.28515625" style="2" customWidth="1"/>
    <col min="5387" max="5633" width="10.42578125" style="2"/>
    <col min="5634" max="5634" width="8.42578125" style="2" customWidth="1"/>
    <col min="5635" max="5636" width="12.85546875" style="2" customWidth="1"/>
    <col min="5637" max="5637" width="9.7109375" style="2" customWidth="1"/>
    <col min="5638" max="5638" width="7.28515625" style="2" customWidth="1"/>
    <col min="5639" max="5639" width="8.140625" style="2" customWidth="1"/>
    <col min="5640" max="5640" width="12.85546875" style="2" customWidth="1"/>
    <col min="5641" max="5642" width="13.28515625" style="2" customWidth="1"/>
    <col min="5643" max="5889" width="10.42578125" style="2"/>
    <col min="5890" max="5890" width="8.42578125" style="2" customWidth="1"/>
    <col min="5891" max="5892" width="12.85546875" style="2" customWidth="1"/>
    <col min="5893" max="5893" width="9.7109375" style="2" customWidth="1"/>
    <col min="5894" max="5894" width="7.28515625" style="2" customWidth="1"/>
    <col min="5895" max="5895" width="8.140625" style="2" customWidth="1"/>
    <col min="5896" max="5896" width="12.85546875" style="2" customWidth="1"/>
    <col min="5897" max="5898" width="13.28515625" style="2" customWidth="1"/>
    <col min="5899" max="6145" width="10.42578125" style="2"/>
    <col min="6146" max="6146" width="8.42578125" style="2" customWidth="1"/>
    <col min="6147" max="6148" width="12.85546875" style="2" customWidth="1"/>
    <col min="6149" max="6149" width="9.7109375" style="2" customWidth="1"/>
    <col min="6150" max="6150" width="7.28515625" style="2" customWidth="1"/>
    <col min="6151" max="6151" width="8.140625" style="2" customWidth="1"/>
    <col min="6152" max="6152" width="12.85546875" style="2" customWidth="1"/>
    <col min="6153" max="6154" width="13.28515625" style="2" customWidth="1"/>
    <col min="6155" max="6401" width="10.42578125" style="2"/>
    <col min="6402" max="6402" width="8.42578125" style="2" customWidth="1"/>
    <col min="6403" max="6404" width="12.85546875" style="2" customWidth="1"/>
    <col min="6405" max="6405" width="9.7109375" style="2" customWidth="1"/>
    <col min="6406" max="6406" width="7.28515625" style="2" customWidth="1"/>
    <col min="6407" max="6407" width="8.140625" style="2" customWidth="1"/>
    <col min="6408" max="6408" width="12.85546875" style="2" customWidth="1"/>
    <col min="6409" max="6410" width="13.28515625" style="2" customWidth="1"/>
    <col min="6411" max="6657" width="10.42578125" style="2"/>
    <col min="6658" max="6658" width="8.42578125" style="2" customWidth="1"/>
    <col min="6659" max="6660" width="12.85546875" style="2" customWidth="1"/>
    <col min="6661" max="6661" width="9.7109375" style="2" customWidth="1"/>
    <col min="6662" max="6662" width="7.28515625" style="2" customWidth="1"/>
    <col min="6663" max="6663" width="8.140625" style="2" customWidth="1"/>
    <col min="6664" max="6664" width="12.85546875" style="2" customWidth="1"/>
    <col min="6665" max="6666" width="13.28515625" style="2" customWidth="1"/>
    <col min="6667" max="6913" width="10.42578125" style="2"/>
    <col min="6914" max="6914" width="8.42578125" style="2" customWidth="1"/>
    <col min="6915" max="6916" width="12.85546875" style="2" customWidth="1"/>
    <col min="6917" max="6917" width="9.7109375" style="2" customWidth="1"/>
    <col min="6918" max="6918" width="7.28515625" style="2" customWidth="1"/>
    <col min="6919" max="6919" width="8.140625" style="2" customWidth="1"/>
    <col min="6920" max="6920" width="12.85546875" style="2" customWidth="1"/>
    <col min="6921" max="6922" width="13.28515625" style="2" customWidth="1"/>
    <col min="6923" max="7169" width="10.42578125" style="2"/>
    <col min="7170" max="7170" width="8.42578125" style="2" customWidth="1"/>
    <col min="7171" max="7172" width="12.85546875" style="2" customWidth="1"/>
    <col min="7173" max="7173" width="9.7109375" style="2" customWidth="1"/>
    <col min="7174" max="7174" width="7.28515625" style="2" customWidth="1"/>
    <col min="7175" max="7175" width="8.140625" style="2" customWidth="1"/>
    <col min="7176" max="7176" width="12.85546875" style="2" customWidth="1"/>
    <col min="7177" max="7178" width="13.28515625" style="2" customWidth="1"/>
    <col min="7179" max="7425" width="10.42578125" style="2"/>
    <col min="7426" max="7426" width="8.42578125" style="2" customWidth="1"/>
    <col min="7427" max="7428" width="12.85546875" style="2" customWidth="1"/>
    <col min="7429" max="7429" width="9.7109375" style="2" customWidth="1"/>
    <col min="7430" max="7430" width="7.28515625" style="2" customWidth="1"/>
    <col min="7431" max="7431" width="8.140625" style="2" customWidth="1"/>
    <col min="7432" max="7432" width="12.85546875" style="2" customWidth="1"/>
    <col min="7433" max="7434" width="13.28515625" style="2" customWidth="1"/>
    <col min="7435" max="7681" width="10.42578125" style="2"/>
    <col min="7682" max="7682" width="8.42578125" style="2" customWidth="1"/>
    <col min="7683" max="7684" width="12.85546875" style="2" customWidth="1"/>
    <col min="7685" max="7685" width="9.7109375" style="2" customWidth="1"/>
    <col min="7686" max="7686" width="7.28515625" style="2" customWidth="1"/>
    <col min="7687" max="7687" width="8.140625" style="2" customWidth="1"/>
    <col min="7688" max="7688" width="12.85546875" style="2" customWidth="1"/>
    <col min="7689" max="7690" width="13.28515625" style="2" customWidth="1"/>
    <col min="7691" max="7937" width="10.42578125" style="2"/>
    <col min="7938" max="7938" width="8.42578125" style="2" customWidth="1"/>
    <col min="7939" max="7940" width="12.85546875" style="2" customWidth="1"/>
    <col min="7941" max="7941" width="9.7109375" style="2" customWidth="1"/>
    <col min="7942" max="7942" width="7.28515625" style="2" customWidth="1"/>
    <col min="7943" max="7943" width="8.140625" style="2" customWidth="1"/>
    <col min="7944" max="7944" width="12.85546875" style="2" customWidth="1"/>
    <col min="7945" max="7946" width="13.28515625" style="2" customWidth="1"/>
    <col min="7947" max="8193" width="10.42578125" style="2"/>
    <col min="8194" max="8194" width="8.42578125" style="2" customWidth="1"/>
    <col min="8195" max="8196" width="12.85546875" style="2" customWidth="1"/>
    <col min="8197" max="8197" width="9.7109375" style="2" customWidth="1"/>
    <col min="8198" max="8198" width="7.28515625" style="2" customWidth="1"/>
    <col min="8199" max="8199" width="8.140625" style="2" customWidth="1"/>
    <col min="8200" max="8200" width="12.85546875" style="2" customWidth="1"/>
    <col min="8201" max="8202" width="13.28515625" style="2" customWidth="1"/>
    <col min="8203" max="8449" width="10.42578125" style="2"/>
    <col min="8450" max="8450" width="8.42578125" style="2" customWidth="1"/>
    <col min="8451" max="8452" width="12.85546875" style="2" customWidth="1"/>
    <col min="8453" max="8453" width="9.7109375" style="2" customWidth="1"/>
    <col min="8454" max="8454" width="7.28515625" style="2" customWidth="1"/>
    <col min="8455" max="8455" width="8.140625" style="2" customWidth="1"/>
    <col min="8456" max="8456" width="12.85546875" style="2" customWidth="1"/>
    <col min="8457" max="8458" width="13.28515625" style="2" customWidth="1"/>
    <col min="8459" max="8705" width="10.42578125" style="2"/>
    <col min="8706" max="8706" width="8.42578125" style="2" customWidth="1"/>
    <col min="8707" max="8708" width="12.85546875" style="2" customWidth="1"/>
    <col min="8709" max="8709" width="9.7109375" style="2" customWidth="1"/>
    <col min="8710" max="8710" width="7.28515625" style="2" customWidth="1"/>
    <col min="8711" max="8711" width="8.140625" style="2" customWidth="1"/>
    <col min="8712" max="8712" width="12.85546875" style="2" customWidth="1"/>
    <col min="8713" max="8714" width="13.28515625" style="2" customWidth="1"/>
    <col min="8715" max="8961" width="10.42578125" style="2"/>
    <col min="8962" max="8962" width="8.42578125" style="2" customWidth="1"/>
    <col min="8963" max="8964" width="12.85546875" style="2" customWidth="1"/>
    <col min="8965" max="8965" width="9.7109375" style="2" customWidth="1"/>
    <col min="8966" max="8966" width="7.28515625" style="2" customWidth="1"/>
    <col min="8967" max="8967" width="8.140625" style="2" customWidth="1"/>
    <col min="8968" max="8968" width="12.85546875" style="2" customWidth="1"/>
    <col min="8969" max="8970" width="13.28515625" style="2" customWidth="1"/>
    <col min="8971" max="9217" width="10.42578125" style="2"/>
    <col min="9218" max="9218" width="8.42578125" style="2" customWidth="1"/>
    <col min="9219" max="9220" width="12.85546875" style="2" customWidth="1"/>
    <col min="9221" max="9221" width="9.7109375" style="2" customWidth="1"/>
    <col min="9222" max="9222" width="7.28515625" style="2" customWidth="1"/>
    <col min="9223" max="9223" width="8.140625" style="2" customWidth="1"/>
    <col min="9224" max="9224" width="12.85546875" style="2" customWidth="1"/>
    <col min="9225" max="9226" width="13.28515625" style="2" customWidth="1"/>
    <col min="9227" max="9473" width="10.42578125" style="2"/>
    <col min="9474" max="9474" width="8.42578125" style="2" customWidth="1"/>
    <col min="9475" max="9476" width="12.85546875" style="2" customWidth="1"/>
    <col min="9477" max="9477" width="9.7109375" style="2" customWidth="1"/>
    <col min="9478" max="9478" width="7.28515625" style="2" customWidth="1"/>
    <col min="9479" max="9479" width="8.140625" style="2" customWidth="1"/>
    <col min="9480" max="9480" width="12.85546875" style="2" customWidth="1"/>
    <col min="9481" max="9482" width="13.28515625" style="2" customWidth="1"/>
    <col min="9483" max="9729" width="10.42578125" style="2"/>
    <col min="9730" max="9730" width="8.42578125" style="2" customWidth="1"/>
    <col min="9731" max="9732" width="12.85546875" style="2" customWidth="1"/>
    <col min="9733" max="9733" width="9.7109375" style="2" customWidth="1"/>
    <col min="9734" max="9734" width="7.28515625" style="2" customWidth="1"/>
    <col min="9735" max="9735" width="8.140625" style="2" customWidth="1"/>
    <col min="9736" max="9736" width="12.85546875" style="2" customWidth="1"/>
    <col min="9737" max="9738" width="13.28515625" style="2" customWidth="1"/>
    <col min="9739" max="9985" width="10.42578125" style="2"/>
    <col min="9986" max="9986" width="8.42578125" style="2" customWidth="1"/>
    <col min="9987" max="9988" width="12.85546875" style="2" customWidth="1"/>
    <col min="9989" max="9989" width="9.7109375" style="2" customWidth="1"/>
    <col min="9990" max="9990" width="7.28515625" style="2" customWidth="1"/>
    <col min="9991" max="9991" width="8.140625" style="2" customWidth="1"/>
    <col min="9992" max="9992" width="12.85546875" style="2" customWidth="1"/>
    <col min="9993" max="9994" width="13.28515625" style="2" customWidth="1"/>
    <col min="9995" max="10241" width="10.42578125" style="2"/>
    <col min="10242" max="10242" width="8.42578125" style="2" customWidth="1"/>
    <col min="10243" max="10244" width="12.85546875" style="2" customWidth="1"/>
    <col min="10245" max="10245" width="9.7109375" style="2" customWidth="1"/>
    <col min="10246" max="10246" width="7.28515625" style="2" customWidth="1"/>
    <col min="10247" max="10247" width="8.140625" style="2" customWidth="1"/>
    <col min="10248" max="10248" width="12.85546875" style="2" customWidth="1"/>
    <col min="10249" max="10250" width="13.28515625" style="2" customWidth="1"/>
    <col min="10251" max="10497" width="10.42578125" style="2"/>
    <col min="10498" max="10498" width="8.42578125" style="2" customWidth="1"/>
    <col min="10499" max="10500" width="12.85546875" style="2" customWidth="1"/>
    <col min="10501" max="10501" width="9.7109375" style="2" customWidth="1"/>
    <col min="10502" max="10502" width="7.28515625" style="2" customWidth="1"/>
    <col min="10503" max="10503" width="8.140625" style="2" customWidth="1"/>
    <col min="10504" max="10504" width="12.85546875" style="2" customWidth="1"/>
    <col min="10505" max="10506" width="13.28515625" style="2" customWidth="1"/>
    <col min="10507" max="10753" width="10.42578125" style="2"/>
    <col min="10754" max="10754" width="8.42578125" style="2" customWidth="1"/>
    <col min="10755" max="10756" width="12.85546875" style="2" customWidth="1"/>
    <col min="10757" max="10757" width="9.7109375" style="2" customWidth="1"/>
    <col min="10758" max="10758" width="7.28515625" style="2" customWidth="1"/>
    <col min="10759" max="10759" width="8.140625" style="2" customWidth="1"/>
    <col min="10760" max="10760" width="12.85546875" style="2" customWidth="1"/>
    <col min="10761" max="10762" width="13.28515625" style="2" customWidth="1"/>
    <col min="10763" max="11009" width="10.42578125" style="2"/>
    <col min="11010" max="11010" width="8.42578125" style="2" customWidth="1"/>
    <col min="11011" max="11012" width="12.85546875" style="2" customWidth="1"/>
    <col min="11013" max="11013" width="9.7109375" style="2" customWidth="1"/>
    <col min="11014" max="11014" width="7.28515625" style="2" customWidth="1"/>
    <col min="11015" max="11015" width="8.140625" style="2" customWidth="1"/>
    <col min="11016" max="11016" width="12.85546875" style="2" customWidth="1"/>
    <col min="11017" max="11018" width="13.28515625" style="2" customWidth="1"/>
    <col min="11019" max="11265" width="10.42578125" style="2"/>
    <col min="11266" max="11266" width="8.42578125" style="2" customWidth="1"/>
    <col min="11267" max="11268" width="12.85546875" style="2" customWidth="1"/>
    <col min="11269" max="11269" width="9.7109375" style="2" customWidth="1"/>
    <col min="11270" max="11270" width="7.28515625" style="2" customWidth="1"/>
    <col min="11271" max="11271" width="8.140625" style="2" customWidth="1"/>
    <col min="11272" max="11272" width="12.85546875" style="2" customWidth="1"/>
    <col min="11273" max="11274" width="13.28515625" style="2" customWidth="1"/>
    <col min="11275" max="11521" width="10.42578125" style="2"/>
    <col min="11522" max="11522" width="8.42578125" style="2" customWidth="1"/>
    <col min="11523" max="11524" width="12.85546875" style="2" customWidth="1"/>
    <col min="11525" max="11525" width="9.7109375" style="2" customWidth="1"/>
    <col min="11526" max="11526" width="7.28515625" style="2" customWidth="1"/>
    <col min="11527" max="11527" width="8.140625" style="2" customWidth="1"/>
    <col min="11528" max="11528" width="12.85546875" style="2" customWidth="1"/>
    <col min="11529" max="11530" width="13.28515625" style="2" customWidth="1"/>
    <col min="11531" max="11777" width="10.42578125" style="2"/>
    <col min="11778" max="11778" width="8.42578125" style="2" customWidth="1"/>
    <col min="11779" max="11780" width="12.85546875" style="2" customWidth="1"/>
    <col min="11781" max="11781" width="9.7109375" style="2" customWidth="1"/>
    <col min="11782" max="11782" width="7.28515625" style="2" customWidth="1"/>
    <col min="11783" max="11783" width="8.140625" style="2" customWidth="1"/>
    <col min="11784" max="11784" width="12.85546875" style="2" customWidth="1"/>
    <col min="11785" max="11786" width="13.28515625" style="2" customWidth="1"/>
    <col min="11787" max="12033" width="10.42578125" style="2"/>
    <col min="12034" max="12034" width="8.42578125" style="2" customWidth="1"/>
    <col min="12035" max="12036" width="12.85546875" style="2" customWidth="1"/>
    <col min="12037" max="12037" width="9.7109375" style="2" customWidth="1"/>
    <col min="12038" max="12038" width="7.28515625" style="2" customWidth="1"/>
    <col min="12039" max="12039" width="8.140625" style="2" customWidth="1"/>
    <col min="12040" max="12040" width="12.85546875" style="2" customWidth="1"/>
    <col min="12041" max="12042" width="13.28515625" style="2" customWidth="1"/>
    <col min="12043" max="12289" width="10.42578125" style="2"/>
    <col min="12290" max="12290" width="8.42578125" style="2" customWidth="1"/>
    <col min="12291" max="12292" width="12.85546875" style="2" customWidth="1"/>
    <col min="12293" max="12293" width="9.7109375" style="2" customWidth="1"/>
    <col min="12294" max="12294" width="7.28515625" style="2" customWidth="1"/>
    <col min="12295" max="12295" width="8.140625" style="2" customWidth="1"/>
    <col min="12296" max="12296" width="12.85546875" style="2" customWidth="1"/>
    <col min="12297" max="12298" width="13.28515625" style="2" customWidth="1"/>
    <col min="12299" max="12545" width="10.42578125" style="2"/>
    <col min="12546" max="12546" width="8.42578125" style="2" customWidth="1"/>
    <col min="12547" max="12548" width="12.85546875" style="2" customWidth="1"/>
    <col min="12549" max="12549" width="9.7109375" style="2" customWidth="1"/>
    <col min="12550" max="12550" width="7.28515625" style="2" customWidth="1"/>
    <col min="12551" max="12551" width="8.140625" style="2" customWidth="1"/>
    <col min="12552" max="12552" width="12.85546875" style="2" customWidth="1"/>
    <col min="12553" max="12554" width="13.28515625" style="2" customWidth="1"/>
    <col min="12555" max="12801" width="10.42578125" style="2"/>
    <col min="12802" max="12802" width="8.42578125" style="2" customWidth="1"/>
    <col min="12803" max="12804" width="12.85546875" style="2" customWidth="1"/>
    <col min="12805" max="12805" width="9.7109375" style="2" customWidth="1"/>
    <col min="12806" max="12806" width="7.28515625" style="2" customWidth="1"/>
    <col min="12807" max="12807" width="8.140625" style="2" customWidth="1"/>
    <col min="12808" max="12808" width="12.85546875" style="2" customWidth="1"/>
    <col min="12809" max="12810" width="13.28515625" style="2" customWidth="1"/>
    <col min="12811" max="13057" width="10.42578125" style="2"/>
    <col min="13058" max="13058" width="8.42578125" style="2" customWidth="1"/>
    <col min="13059" max="13060" width="12.85546875" style="2" customWidth="1"/>
    <col min="13061" max="13061" width="9.7109375" style="2" customWidth="1"/>
    <col min="13062" max="13062" width="7.28515625" style="2" customWidth="1"/>
    <col min="13063" max="13063" width="8.140625" style="2" customWidth="1"/>
    <col min="13064" max="13064" width="12.85546875" style="2" customWidth="1"/>
    <col min="13065" max="13066" width="13.28515625" style="2" customWidth="1"/>
    <col min="13067" max="13313" width="10.42578125" style="2"/>
    <col min="13314" max="13314" width="8.42578125" style="2" customWidth="1"/>
    <col min="13315" max="13316" width="12.85546875" style="2" customWidth="1"/>
    <col min="13317" max="13317" width="9.7109375" style="2" customWidth="1"/>
    <col min="13318" max="13318" width="7.28515625" style="2" customWidth="1"/>
    <col min="13319" max="13319" width="8.140625" style="2" customWidth="1"/>
    <col min="13320" max="13320" width="12.85546875" style="2" customWidth="1"/>
    <col min="13321" max="13322" width="13.28515625" style="2" customWidth="1"/>
    <col min="13323" max="13569" width="10.42578125" style="2"/>
    <col min="13570" max="13570" width="8.42578125" style="2" customWidth="1"/>
    <col min="13571" max="13572" width="12.85546875" style="2" customWidth="1"/>
    <col min="13573" max="13573" width="9.7109375" style="2" customWidth="1"/>
    <col min="13574" max="13574" width="7.28515625" style="2" customWidth="1"/>
    <col min="13575" max="13575" width="8.140625" style="2" customWidth="1"/>
    <col min="13576" max="13576" width="12.85546875" style="2" customWidth="1"/>
    <col min="13577" max="13578" width="13.28515625" style="2" customWidth="1"/>
    <col min="13579" max="13825" width="10.42578125" style="2"/>
    <col min="13826" max="13826" width="8.42578125" style="2" customWidth="1"/>
    <col min="13827" max="13828" width="12.85546875" style="2" customWidth="1"/>
    <col min="13829" max="13829" width="9.7109375" style="2" customWidth="1"/>
    <col min="13830" max="13830" width="7.28515625" style="2" customWidth="1"/>
    <col min="13831" max="13831" width="8.140625" style="2" customWidth="1"/>
    <col min="13832" max="13832" width="12.85546875" style="2" customWidth="1"/>
    <col min="13833" max="13834" width="13.28515625" style="2" customWidth="1"/>
    <col min="13835" max="14081" width="10.42578125" style="2"/>
    <col min="14082" max="14082" width="8.42578125" style="2" customWidth="1"/>
    <col min="14083" max="14084" width="12.85546875" style="2" customWidth="1"/>
    <col min="14085" max="14085" width="9.7109375" style="2" customWidth="1"/>
    <col min="14086" max="14086" width="7.28515625" style="2" customWidth="1"/>
    <col min="14087" max="14087" width="8.140625" style="2" customWidth="1"/>
    <col min="14088" max="14088" width="12.85546875" style="2" customWidth="1"/>
    <col min="14089" max="14090" width="13.28515625" style="2" customWidth="1"/>
    <col min="14091" max="14337" width="10.42578125" style="2"/>
    <col min="14338" max="14338" width="8.42578125" style="2" customWidth="1"/>
    <col min="14339" max="14340" width="12.85546875" style="2" customWidth="1"/>
    <col min="14341" max="14341" width="9.7109375" style="2" customWidth="1"/>
    <col min="14342" max="14342" width="7.28515625" style="2" customWidth="1"/>
    <col min="14343" max="14343" width="8.140625" style="2" customWidth="1"/>
    <col min="14344" max="14344" width="12.85546875" style="2" customWidth="1"/>
    <col min="14345" max="14346" width="13.28515625" style="2" customWidth="1"/>
    <col min="14347" max="14593" width="10.42578125" style="2"/>
    <col min="14594" max="14594" width="8.42578125" style="2" customWidth="1"/>
    <col min="14595" max="14596" width="12.85546875" style="2" customWidth="1"/>
    <col min="14597" max="14597" width="9.7109375" style="2" customWidth="1"/>
    <col min="14598" max="14598" width="7.28515625" style="2" customWidth="1"/>
    <col min="14599" max="14599" width="8.140625" style="2" customWidth="1"/>
    <col min="14600" max="14600" width="12.85546875" style="2" customWidth="1"/>
    <col min="14601" max="14602" width="13.28515625" style="2" customWidth="1"/>
    <col min="14603" max="14849" width="10.42578125" style="2"/>
    <col min="14850" max="14850" width="8.42578125" style="2" customWidth="1"/>
    <col min="14851" max="14852" width="12.85546875" style="2" customWidth="1"/>
    <col min="14853" max="14853" width="9.7109375" style="2" customWidth="1"/>
    <col min="14854" max="14854" width="7.28515625" style="2" customWidth="1"/>
    <col min="14855" max="14855" width="8.140625" style="2" customWidth="1"/>
    <col min="14856" max="14856" width="12.85546875" style="2" customWidth="1"/>
    <col min="14857" max="14858" width="13.28515625" style="2" customWidth="1"/>
    <col min="14859" max="15105" width="10.42578125" style="2"/>
    <col min="15106" max="15106" width="8.42578125" style="2" customWidth="1"/>
    <col min="15107" max="15108" width="12.85546875" style="2" customWidth="1"/>
    <col min="15109" max="15109" width="9.7109375" style="2" customWidth="1"/>
    <col min="15110" max="15110" width="7.28515625" style="2" customWidth="1"/>
    <col min="15111" max="15111" width="8.140625" style="2" customWidth="1"/>
    <col min="15112" max="15112" width="12.85546875" style="2" customWidth="1"/>
    <col min="15113" max="15114" width="13.28515625" style="2" customWidth="1"/>
    <col min="15115" max="15361" width="10.42578125" style="2"/>
    <col min="15362" max="15362" width="8.42578125" style="2" customWidth="1"/>
    <col min="15363" max="15364" width="12.85546875" style="2" customWidth="1"/>
    <col min="15365" max="15365" width="9.7109375" style="2" customWidth="1"/>
    <col min="15366" max="15366" width="7.28515625" style="2" customWidth="1"/>
    <col min="15367" max="15367" width="8.140625" style="2" customWidth="1"/>
    <col min="15368" max="15368" width="12.85546875" style="2" customWidth="1"/>
    <col min="15369" max="15370" width="13.28515625" style="2" customWidth="1"/>
    <col min="15371" max="15617" width="10.42578125" style="2"/>
    <col min="15618" max="15618" width="8.42578125" style="2" customWidth="1"/>
    <col min="15619" max="15620" width="12.85546875" style="2" customWidth="1"/>
    <col min="15621" max="15621" width="9.7109375" style="2" customWidth="1"/>
    <col min="15622" max="15622" width="7.28515625" style="2" customWidth="1"/>
    <col min="15623" max="15623" width="8.140625" style="2" customWidth="1"/>
    <col min="15624" max="15624" width="12.85546875" style="2" customWidth="1"/>
    <col min="15625" max="15626" width="13.28515625" style="2" customWidth="1"/>
    <col min="15627" max="15873" width="10.42578125" style="2"/>
    <col min="15874" max="15874" width="8.42578125" style="2" customWidth="1"/>
    <col min="15875" max="15876" width="12.85546875" style="2" customWidth="1"/>
    <col min="15877" max="15877" width="9.7109375" style="2" customWidth="1"/>
    <col min="15878" max="15878" width="7.28515625" style="2" customWidth="1"/>
    <col min="15879" max="15879" width="8.140625" style="2" customWidth="1"/>
    <col min="15880" max="15880" width="12.85546875" style="2" customWidth="1"/>
    <col min="15881" max="15882" width="13.28515625" style="2" customWidth="1"/>
    <col min="15883" max="16129" width="10.42578125" style="2"/>
    <col min="16130" max="16130" width="8.42578125" style="2" customWidth="1"/>
    <col min="16131" max="16132" width="12.85546875" style="2" customWidth="1"/>
    <col min="16133" max="16133" width="9.7109375" style="2" customWidth="1"/>
    <col min="16134" max="16134" width="7.28515625" style="2" customWidth="1"/>
    <col min="16135" max="16135" width="8.140625" style="2" customWidth="1"/>
    <col min="16136" max="16136" width="12.85546875" style="2" customWidth="1"/>
    <col min="16137" max="16138" width="13.28515625" style="2" customWidth="1"/>
    <col min="16139" max="16384" width="10.42578125" style="2"/>
  </cols>
  <sheetData>
    <row r="1" spans="2:10" ht="15" x14ac:dyDescent="0.25">
      <c r="B1" s="1" t="str">
        <f>'Main Sheet'!$B$1</f>
        <v>ABC &amp; Co.</v>
      </c>
      <c r="J1" s="3" t="str">
        <f>'Main Sheet'!D14</f>
        <v>Annex. D.1.2</v>
      </c>
    </row>
    <row r="2" spans="2:10" x14ac:dyDescent="0.25">
      <c r="B2" s="2" t="str">
        <f>'Main Sheet'!$B$2</f>
        <v>(Chartered Accountants)</v>
      </c>
    </row>
    <row r="4" spans="2:10" ht="15" x14ac:dyDescent="0.25">
      <c r="B4" s="57" t="s">
        <v>9</v>
      </c>
      <c r="C4" s="57"/>
      <c r="D4" s="57"/>
      <c r="E4" s="57"/>
      <c r="F4" s="57"/>
      <c r="G4" s="57"/>
      <c r="H4" s="57"/>
      <c r="I4" s="57"/>
      <c r="J4" s="57"/>
    </row>
    <row r="5" spans="2:10" ht="15" x14ac:dyDescent="0.25">
      <c r="B5" s="4"/>
      <c r="C5" s="4"/>
      <c r="D5" s="4"/>
      <c r="E5" s="4"/>
      <c r="F5" s="4"/>
      <c r="G5" s="4"/>
      <c r="H5" s="4"/>
      <c r="I5" s="4"/>
      <c r="J5" s="4"/>
    </row>
    <row r="6" spans="2:10" ht="26.25" customHeight="1" x14ac:dyDescent="0.25">
      <c r="B6" s="5" t="str">
        <f>'Main Sheet'!$B$6&amp;" " &amp;'Main Sheet'!$C$6</f>
        <v>Client:  ABC LIMITED</v>
      </c>
      <c r="C6" s="6"/>
      <c r="I6" s="7" t="s">
        <v>2</v>
      </c>
      <c r="J6" s="8" t="str">
        <f>IF('Main Sheet'!$F$6&gt;0,'Main Sheet'!$F$6," ")</f>
        <v xml:space="preserve"> </v>
      </c>
    </row>
    <row r="7" spans="2:10" ht="26.25" customHeight="1" x14ac:dyDescent="0.25">
      <c r="B7" s="5" t="str">
        <f>'Main Sheet'!$B$7&amp;" " &amp;'Main Sheet'!$C$7</f>
        <v>Period: Year ended June 30, 2023</v>
      </c>
      <c r="C7" s="6"/>
      <c r="I7" s="7" t="s">
        <v>4</v>
      </c>
      <c r="J7" s="8" t="str">
        <f>IF('Main Sheet'!$F$7&gt;0,'Main Sheet'!$F$7," ")</f>
        <v xml:space="preserve"> </v>
      </c>
    </row>
    <row r="8" spans="2:10" ht="15" x14ac:dyDescent="0.25">
      <c r="B8" s="9"/>
      <c r="C8" s="10"/>
      <c r="I8" s="11"/>
    </row>
    <row r="9" spans="2:10" ht="15" x14ac:dyDescent="0.25">
      <c r="B9" s="12" t="str">
        <f>'Main Sheet'!C14</f>
        <v xml:space="preserve">Determine the metrics that influence the economic decisions of users as a group, including the metric that will serve as the benchmark </v>
      </c>
      <c r="C9" s="10"/>
      <c r="I9" s="11"/>
    </row>
    <row r="11" spans="2:10" x14ac:dyDescent="0.25">
      <c r="B11" s="73" t="s">
        <v>36</v>
      </c>
      <c r="C11" s="73"/>
      <c r="D11" s="73"/>
      <c r="E11" s="73"/>
      <c r="F11" s="73"/>
      <c r="G11" s="73"/>
      <c r="H11" s="73"/>
      <c r="I11" s="73"/>
      <c r="J11" s="73"/>
    </row>
    <row r="12" spans="2:10" x14ac:dyDescent="0.25">
      <c r="B12" s="73"/>
      <c r="C12" s="73"/>
      <c r="D12" s="73"/>
      <c r="E12" s="73"/>
      <c r="F12" s="73"/>
      <c r="G12" s="73"/>
      <c r="H12" s="73"/>
      <c r="I12" s="73"/>
      <c r="J12" s="73"/>
    </row>
    <row r="14" spans="2:10" ht="15" customHeight="1" x14ac:dyDescent="0.25">
      <c r="D14" s="74" t="s">
        <v>38</v>
      </c>
      <c r="E14" s="74"/>
      <c r="F14" s="74"/>
      <c r="G14" s="74"/>
      <c r="H14" s="74" t="s">
        <v>37</v>
      </c>
      <c r="I14" s="74"/>
      <c r="J14" s="74"/>
    </row>
    <row r="15" spans="2:10" ht="15" x14ac:dyDescent="0.25">
      <c r="D15" s="56">
        <f>2023</f>
        <v>2023</v>
      </c>
      <c r="E15" s="56">
        <f>D15-1</f>
        <v>2022</v>
      </c>
      <c r="F15" s="56">
        <f>E15-1</f>
        <v>2021</v>
      </c>
      <c r="G15" s="56">
        <f>F15-1</f>
        <v>2020</v>
      </c>
      <c r="H15" s="56" t="s">
        <v>102</v>
      </c>
      <c r="I15" s="56" t="s">
        <v>101</v>
      </c>
      <c r="J15" s="56" t="s">
        <v>97</v>
      </c>
    </row>
    <row r="16" spans="2:10" x14ac:dyDescent="0.25">
      <c r="D16" s="27"/>
      <c r="E16" s="27"/>
      <c r="F16" s="27"/>
      <c r="G16" s="27"/>
    </row>
    <row r="17" spans="2:10" x14ac:dyDescent="0.25">
      <c r="B17" s="2" t="s">
        <v>33</v>
      </c>
      <c r="D17" s="51"/>
      <c r="E17" s="51"/>
      <c r="F17" s="51"/>
      <c r="G17" s="51"/>
      <c r="H17" s="52">
        <f>IFERROR((D17-E17)/E17,0)</f>
        <v>0</v>
      </c>
      <c r="I17" s="52">
        <f>IFERROR((E17-F17)/F17,0)</f>
        <v>0</v>
      </c>
      <c r="J17" s="52">
        <f>IFERROR((F17-G17)/G17,0)</f>
        <v>0</v>
      </c>
    </row>
    <row r="18" spans="2:10" x14ac:dyDescent="0.25">
      <c r="D18" s="27"/>
      <c r="E18" s="27"/>
      <c r="F18" s="27"/>
      <c r="G18" s="27"/>
    </row>
    <row r="19" spans="2:10" x14ac:dyDescent="0.25">
      <c r="B19" s="2" t="s">
        <v>32</v>
      </c>
      <c r="D19" s="51"/>
      <c r="E19" s="51"/>
      <c r="F19" s="51"/>
      <c r="G19" s="51"/>
      <c r="H19" s="52">
        <f>IFERROR((D19-E19)/E19,0)</f>
        <v>0</v>
      </c>
      <c r="I19" s="52">
        <f>IFERROR((E19-F19)/F19,0)</f>
        <v>0</v>
      </c>
      <c r="J19" s="52">
        <f>IFERROR((F19-G19)/G19,0)</f>
        <v>0</v>
      </c>
    </row>
    <row r="20" spans="2:10" x14ac:dyDescent="0.25">
      <c r="D20" s="27"/>
      <c r="E20" s="27"/>
      <c r="F20" s="27"/>
      <c r="G20" s="27"/>
    </row>
    <row r="21" spans="2:10" x14ac:dyDescent="0.25">
      <c r="B21" s="2" t="s">
        <v>1</v>
      </c>
      <c r="D21" s="51"/>
      <c r="E21" s="51"/>
      <c r="F21" s="51"/>
      <c r="G21" s="51"/>
      <c r="H21" s="52">
        <f>IFERROR((D21-E21)/E21,0)</f>
        <v>0</v>
      </c>
      <c r="I21" s="52">
        <f>IFERROR((E21-F21)/F21,0)</f>
        <v>0</v>
      </c>
      <c r="J21" s="52">
        <f>IFERROR((F21-G21)/G21,0)</f>
        <v>0</v>
      </c>
    </row>
    <row r="22" spans="2:10" x14ac:dyDescent="0.25">
      <c r="D22" s="27"/>
      <c r="E22" s="27"/>
      <c r="F22" s="27"/>
      <c r="G22" s="27"/>
    </row>
    <row r="23" spans="2:10" s="21" customFormat="1" ht="15" x14ac:dyDescent="0.25">
      <c r="B23" s="21" t="s">
        <v>40</v>
      </c>
    </row>
    <row r="24" spans="2:10" x14ac:dyDescent="0.25">
      <c r="B24" s="62" t="s">
        <v>41</v>
      </c>
      <c r="C24" s="62"/>
      <c r="D24" s="62"/>
      <c r="E24" s="62"/>
      <c r="F24" s="62"/>
      <c r="G24" s="62"/>
      <c r="H24" s="62"/>
      <c r="I24" s="62"/>
      <c r="J24" s="62"/>
    </row>
    <row r="25" spans="2:10" x14ac:dyDescent="0.25">
      <c r="B25" s="62"/>
      <c r="C25" s="62"/>
      <c r="D25" s="62"/>
      <c r="E25" s="62"/>
      <c r="F25" s="62"/>
      <c r="G25" s="62"/>
      <c r="H25" s="62"/>
      <c r="I25" s="62"/>
      <c r="J25" s="62"/>
    </row>
    <row r="26" spans="2:10" x14ac:dyDescent="0.25">
      <c r="B26" s="62"/>
      <c r="C26" s="62"/>
      <c r="D26" s="62"/>
      <c r="E26" s="62"/>
      <c r="F26" s="62"/>
      <c r="G26" s="62"/>
      <c r="H26" s="62"/>
      <c r="I26" s="62"/>
      <c r="J26" s="62"/>
    </row>
    <row r="27" spans="2:10" x14ac:dyDescent="0.25">
      <c r="B27" s="62"/>
      <c r="C27" s="62"/>
      <c r="D27" s="62"/>
      <c r="E27" s="62"/>
      <c r="F27" s="62"/>
      <c r="G27" s="62"/>
      <c r="H27" s="62"/>
      <c r="I27" s="62"/>
      <c r="J27" s="62"/>
    </row>
  </sheetData>
  <mergeCells count="5">
    <mergeCell ref="B11:J12"/>
    <mergeCell ref="H14:J14"/>
    <mergeCell ref="D14:G14"/>
    <mergeCell ref="B24:J27"/>
    <mergeCell ref="B4:J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7"/>
  <sheetViews>
    <sheetView showGridLines="0" workbookViewId="0">
      <selection activeCell="A14" sqref="A14"/>
    </sheetView>
  </sheetViews>
  <sheetFormatPr defaultColWidth="10.42578125" defaultRowHeight="13.5" x14ac:dyDescent="0.25"/>
  <cols>
    <col min="1" max="1" width="1" style="2" customWidth="1"/>
    <col min="2" max="2" width="11" style="2" customWidth="1"/>
    <col min="3" max="3" width="26.5703125" style="2" customWidth="1"/>
    <col min="4" max="5" width="17.42578125" style="2" customWidth="1"/>
    <col min="6" max="6" width="13" style="2" customWidth="1"/>
    <col min="7" max="7" width="25.140625" style="2" customWidth="1"/>
    <col min="8" max="8" width="17.42578125" style="2" customWidth="1"/>
    <col min="9" max="9" width="20" style="2" customWidth="1"/>
    <col min="10" max="10" width="1" style="2" customWidth="1"/>
    <col min="11" max="256" width="10.42578125" style="2"/>
    <col min="257" max="257" width="8.42578125" style="2" customWidth="1"/>
    <col min="258" max="259" width="12.85546875" style="2" customWidth="1"/>
    <col min="260" max="260" width="9.7109375" style="2" customWidth="1"/>
    <col min="261" max="261" width="7.28515625" style="2" customWidth="1"/>
    <col min="262" max="262" width="8.140625" style="2" customWidth="1"/>
    <col min="263" max="263" width="12.85546875" style="2" customWidth="1"/>
    <col min="264" max="265" width="13.28515625" style="2" customWidth="1"/>
    <col min="266" max="512" width="10.42578125" style="2"/>
    <col min="513" max="513" width="8.42578125" style="2" customWidth="1"/>
    <col min="514" max="515" width="12.85546875" style="2" customWidth="1"/>
    <col min="516" max="516" width="9.7109375" style="2" customWidth="1"/>
    <col min="517" max="517" width="7.28515625" style="2" customWidth="1"/>
    <col min="518" max="518" width="8.140625" style="2" customWidth="1"/>
    <col min="519" max="519" width="12.85546875" style="2" customWidth="1"/>
    <col min="520" max="521" width="13.28515625" style="2" customWidth="1"/>
    <col min="522" max="768" width="10.42578125" style="2"/>
    <col min="769" max="769" width="8.42578125" style="2" customWidth="1"/>
    <col min="770" max="771" width="12.85546875" style="2" customWidth="1"/>
    <col min="772" max="772" width="9.7109375" style="2" customWidth="1"/>
    <col min="773" max="773" width="7.28515625" style="2" customWidth="1"/>
    <col min="774" max="774" width="8.140625" style="2" customWidth="1"/>
    <col min="775" max="775" width="12.85546875" style="2" customWidth="1"/>
    <col min="776" max="777" width="13.28515625" style="2" customWidth="1"/>
    <col min="778" max="1024" width="10.42578125" style="2"/>
    <col min="1025" max="1025" width="8.42578125" style="2" customWidth="1"/>
    <col min="1026" max="1027" width="12.85546875" style="2" customWidth="1"/>
    <col min="1028" max="1028" width="9.7109375" style="2" customWidth="1"/>
    <col min="1029" max="1029" width="7.28515625" style="2" customWidth="1"/>
    <col min="1030" max="1030" width="8.140625" style="2" customWidth="1"/>
    <col min="1031" max="1031" width="12.85546875" style="2" customWidth="1"/>
    <col min="1032" max="1033" width="13.28515625" style="2" customWidth="1"/>
    <col min="1034" max="1280" width="10.42578125" style="2"/>
    <col min="1281" max="1281" width="8.42578125" style="2" customWidth="1"/>
    <col min="1282" max="1283" width="12.85546875" style="2" customWidth="1"/>
    <col min="1284" max="1284" width="9.7109375" style="2" customWidth="1"/>
    <col min="1285" max="1285" width="7.28515625" style="2" customWidth="1"/>
    <col min="1286" max="1286" width="8.140625" style="2" customWidth="1"/>
    <col min="1287" max="1287" width="12.85546875" style="2" customWidth="1"/>
    <col min="1288" max="1289" width="13.28515625" style="2" customWidth="1"/>
    <col min="1290" max="1536" width="10.42578125" style="2"/>
    <col min="1537" max="1537" width="8.42578125" style="2" customWidth="1"/>
    <col min="1538" max="1539" width="12.85546875" style="2" customWidth="1"/>
    <col min="1540" max="1540" width="9.7109375" style="2" customWidth="1"/>
    <col min="1541" max="1541" width="7.28515625" style="2" customWidth="1"/>
    <col min="1542" max="1542" width="8.140625" style="2" customWidth="1"/>
    <col min="1543" max="1543" width="12.85546875" style="2" customWidth="1"/>
    <col min="1544" max="1545" width="13.28515625" style="2" customWidth="1"/>
    <col min="1546" max="1792" width="10.42578125" style="2"/>
    <col min="1793" max="1793" width="8.42578125" style="2" customWidth="1"/>
    <col min="1794" max="1795" width="12.85546875" style="2" customWidth="1"/>
    <col min="1796" max="1796" width="9.7109375" style="2" customWidth="1"/>
    <col min="1797" max="1797" width="7.28515625" style="2" customWidth="1"/>
    <col min="1798" max="1798" width="8.140625" style="2" customWidth="1"/>
    <col min="1799" max="1799" width="12.85546875" style="2" customWidth="1"/>
    <col min="1800" max="1801" width="13.28515625" style="2" customWidth="1"/>
    <col min="1802" max="2048" width="10.42578125" style="2"/>
    <col min="2049" max="2049" width="8.42578125" style="2" customWidth="1"/>
    <col min="2050" max="2051" width="12.85546875" style="2" customWidth="1"/>
    <col min="2052" max="2052" width="9.7109375" style="2" customWidth="1"/>
    <col min="2053" max="2053" width="7.28515625" style="2" customWidth="1"/>
    <col min="2054" max="2054" width="8.140625" style="2" customWidth="1"/>
    <col min="2055" max="2055" width="12.85546875" style="2" customWidth="1"/>
    <col min="2056" max="2057" width="13.28515625" style="2" customWidth="1"/>
    <col min="2058" max="2304" width="10.42578125" style="2"/>
    <col min="2305" max="2305" width="8.42578125" style="2" customWidth="1"/>
    <col min="2306" max="2307" width="12.85546875" style="2" customWidth="1"/>
    <col min="2308" max="2308" width="9.7109375" style="2" customWidth="1"/>
    <col min="2309" max="2309" width="7.28515625" style="2" customWidth="1"/>
    <col min="2310" max="2310" width="8.140625" style="2" customWidth="1"/>
    <col min="2311" max="2311" width="12.85546875" style="2" customWidth="1"/>
    <col min="2312" max="2313" width="13.28515625" style="2" customWidth="1"/>
    <col min="2314" max="2560" width="10.42578125" style="2"/>
    <col min="2561" max="2561" width="8.42578125" style="2" customWidth="1"/>
    <col min="2562" max="2563" width="12.85546875" style="2" customWidth="1"/>
    <col min="2564" max="2564" width="9.7109375" style="2" customWidth="1"/>
    <col min="2565" max="2565" width="7.28515625" style="2" customWidth="1"/>
    <col min="2566" max="2566" width="8.140625" style="2" customWidth="1"/>
    <col min="2567" max="2567" width="12.85546875" style="2" customWidth="1"/>
    <col min="2568" max="2569" width="13.28515625" style="2" customWidth="1"/>
    <col min="2570" max="2816" width="10.42578125" style="2"/>
    <col min="2817" max="2817" width="8.42578125" style="2" customWidth="1"/>
    <col min="2818" max="2819" width="12.85546875" style="2" customWidth="1"/>
    <col min="2820" max="2820" width="9.7109375" style="2" customWidth="1"/>
    <col min="2821" max="2821" width="7.28515625" style="2" customWidth="1"/>
    <col min="2822" max="2822" width="8.140625" style="2" customWidth="1"/>
    <col min="2823" max="2823" width="12.85546875" style="2" customWidth="1"/>
    <col min="2824" max="2825" width="13.28515625" style="2" customWidth="1"/>
    <col min="2826" max="3072" width="10.42578125" style="2"/>
    <col min="3073" max="3073" width="8.42578125" style="2" customWidth="1"/>
    <col min="3074" max="3075" width="12.85546875" style="2" customWidth="1"/>
    <col min="3076" max="3076" width="9.7109375" style="2" customWidth="1"/>
    <col min="3077" max="3077" width="7.28515625" style="2" customWidth="1"/>
    <col min="3078" max="3078" width="8.140625" style="2" customWidth="1"/>
    <col min="3079" max="3079" width="12.85546875" style="2" customWidth="1"/>
    <col min="3080" max="3081" width="13.28515625" style="2" customWidth="1"/>
    <col min="3082" max="3328" width="10.42578125" style="2"/>
    <col min="3329" max="3329" width="8.42578125" style="2" customWidth="1"/>
    <col min="3330" max="3331" width="12.85546875" style="2" customWidth="1"/>
    <col min="3332" max="3332" width="9.7109375" style="2" customWidth="1"/>
    <col min="3333" max="3333" width="7.28515625" style="2" customWidth="1"/>
    <col min="3334" max="3334" width="8.140625" style="2" customWidth="1"/>
    <col min="3335" max="3335" width="12.85546875" style="2" customWidth="1"/>
    <col min="3336" max="3337" width="13.28515625" style="2" customWidth="1"/>
    <col min="3338" max="3584" width="10.42578125" style="2"/>
    <col min="3585" max="3585" width="8.42578125" style="2" customWidth="1"/>
    <col min="3586" max="3587" width="12.85546875" style="2" customWidth="1"/>
    <col min="3588" max="3588" width="9.7109375" style="2" customWidth="1"/>
    <col min="3589" max="3589" width="7.28515625" style="2" customWidth="1"/>
    <col min="3590" max="3590" width="8.140625" style="2" customWidth="1"/>
    <col min="3591" max="3591" width="12.85546875" style="2" customWidth="1"/>
    <col min="3592" max="3593" width="13.28515625" style="2" customWidth="1"/>
    <col min="3594" max="3840" width="10.42578125" style="2"/>
    <col min="3841" max="3841" width="8.42578125" style="2" customWidth="1"/>
    <col min="3842" max="3843" width="12.85546875" style="2" customWidth="1"/>
    <col min="3844" max="3844" width="9.7109375" style="2" customWidth="1"/>
    <col min="3845" max="3845" width="7.28515625" style="2" customWidth="1"/>
    <col min="3846" max="3846" width="8.140625" style="2" customWidth="1"/>
    <col min="3847" max="3847" width="12.85546875" style="2" customWidth="1"/>
    <col min="3848" max="3849" width="13.28515625" style="2" customWidth="1"/>
    <col min="3850" max="4096" width="10.42578125" style="2"/>
    <col min="4097" max="4097" width="8.42578125" style="2" customWidth="1"/>
    <col min="4098" max="4099" width="12.85546875" style="2" customWidth="1"/>
    <col min="4100" max="4100" width="9.7109375" style="2" customWidth="1"/>
    <col min="4101" max="4101" width="7.28515625" style="2" customWidth="1"/>
    <col min="4102" max="4102" width="8.140625" style="2" customWidth="1"/>
    <col min="4103" max="4103" width="12.85546875" style="2" customWidth="1"/>
    <col min="4104" max="4105" width="13.28515625" style="2" customWidth="1"/>
    <col min="4106" max="4352" width="10.42578125" style="2"/>
    <col min="4353" max="4353" width="8.42578125" style="2" customWidth="1"/>
    <col min="4354" max="4355" width="12.85546875" style="2" customWidth="1"/>
    <col min="4356" max="4356" width="9.7109375" style="2" customWidth="1"/>
    <col min="4357" max="4357" width="7.28515625" style="2" customWidth="1"/>
    <col min="4358" max="4358" width="8.140625" style="2" customWidth="1"/>
    <col min="4359" max="4359" width="12.85546875" style="2" customWidth="1"/>
    <col min="4360" max="4361" width="13.28515625" style="2" customWidth="1"/>
    <col min="4362" max="4608" width="10.42578125" style="2"/>
    <col min="4609" max="4609" width="8.42578125" style="2" customWidth="1"/>
    <col min="4610" max="4611" width="12.85546875" style="2" customWidth="1"/>
    <col min="4612" max="4612" width="9.7109375" style="2" customWidth="1"/>
    <col min="4613" max="4613" width="7.28515625" style="2" customWidth="1"/>
    <col min="4614" max="4614" width="8.140625" style="2" customWidth="1"/>
    <col min="4615" max="4615" width="12.85546875" style="2" customWidth="1"/>
    <col min="4616" max="4617" width="13.28515625" style="2" customWidth="1"/>
    <col min="4618" max="4864" width="10.42578125" style="2"/>
    <col min="4865" max="4865" width="8.42578125" style="2" customWidth="1"/>
    <col min="4866" max="4867" width="12.85546875" style="2" customWidth="1"/>
    <col min="4868" max="4868" width="9.7109375" style="2" customWidth="1"/>
    <col min="4869" max="4869" width="7.28515625" style="2" customWidth="1"/>
    <col min="4870" max="4870" width="8.140625" style="2" customWidth="1"/>
    <col min="4871" max="4871" width="12.85546875" style="2" customWidth="1"/>
    <col min="4872" max="4873" width="13.28515625" style="2" customWidth="1"/>
    <col min="4874" max="5120" width="10.42578125" style="2"/>
    <col min="5121" max="5121" width="8.42578125" style="2" customWidth="1"/>
    <col min="5122" max="5123" width="12.85546875" style="2" customWidth="1"/>
    <col min="5124" max="5124" width="9.7109375" style="2" customWidth="1"/>
    <col min="5125" max="5125" width="7.28515625" style="2" customWidth="1"/>
    <col min="5126" max="5126" width="8.140625" style="2" customWidth="1"/>
    <col min="5127" max="5127" width="12.85546875" style="2" customWidth="1"/>
    <col min="5128" max="5129" width="13.28515625" style="2" customWidth="1"/>
    <col min="5130" max="5376" width="10.42578125" style="2"/>
    <col min="5377" max="5377" width="8.42578125" style="2" customWidth="1"/>
    <col min="5378" max="5379" width="12.85546875" style="2" customWidth="1"/>
    <col min="5380" max="5380" width="9.7109375" style="2" customWidth="1"/>
    <col min="5381" max="5381" width="7.28515625" style="2" customWidth="1"/>
    <col min="5382" max="5382" width="8.140625" style="2" customWidth="1"/>
    <col min="5383" max="5383" width="12.85546875" style="2" customWidth="1"/>
    <col min="5384" max="5385" width="13.28515625" style="2" customWidth="1"/>
    <col min="5386" max="5632" width="10.42578125" style="2"/>
    <col min="5633" max="5633" width="8.42578125" style="2" customWidth="1"/>
    <col min="5634" max="5635" width="12.85546875" style="2" customWidth="1"/>
    <col min="5636" max="5636" width="9.7109375" style="2" customWidth="1"/>
    <col min="5637" max="5637" width="7.28515625" style="2" customWidth="1"/>
    <col min="5638" max="5638" width="8.140625" style="2" customWidth="1"/>
    <col min="5639" max="5639" width="12.85546875" style="2" customWidth="1"/>
    <col min="5640" max="5641" width="13.28515625" style="2" customWidth="1"/>
    <col min="5642" max="5888" width="10.42578125" style="2"/>
    <col min="5889" max="5889" width="8.42578125" style="2" customWidth="1"/>
    <col min="5890" max="5891" width="12.85546875" style="2" customWidth="1"/>
    <col min="5892" max="5892" width="9.7109375" style="2" customWidth="1"/>
    <col min="5893" max="5893" width="7.28515625" style="2" customWidth="1"/>
    <col min="5894" max="5894" width="8.140625" style="2" customWidth="1"/>
    <col min="5895" max="5895" width="12.85546875" style="2" customWidth="1"/>
    <col min="5896" max="5897" width="13.28515625" style="2" customWidth="1"/>
    <col min="5898" max="6144" width="10.42578125" style="2"/>
    <col min="6145" max="6145" width="8.42578125" style="2" customWidth="1"/>
    <col min="6146" max="6147" width="12.85546875" style="2" customWidth="1"/>
    <col min="6148" max="6148" width="9.7109375" style="2" customWidth="1"/>
    <col min="6149" max="6149" width="7.28515625" style="2" customWidth="1"/>
    <col min="6150" max="6150" width="8.140625" style="2" customWidth="1"/>
    <col min="6151" max="6151" width="12.85546875" style="2" customWidth="1"/>
    <col min="6152" max="6153" width="13.28515625" style="2" customWidth="1"/>
    <col min="6154" max="6400" width="10.42578125" style="2"/>
    <col min="6401" max="6401" width="8.42578125" style="2" customWidth="1"/>
    <col min="6402" max="6403" width="12.85546875" style="2" customWidth="1"/>
    <col min="6404" max="6404" width="9.7109375" style="2" customWidth="1"/>
    <col min="6405" max="6405" width="7.28515625" style="2" customWidth="1"/>
    <col min="6406" max="6406" width="8.140625" style="2" customWidth="1"/>
    <col min="6407" max="6407" width="12.85546875" style="2" customWidth="1"/>
    <col min="6408" max="6409" width="13.28515625" style="2" customWidth="1"/>
    <col min="6410" max="6656" width="10.42578125" style="2"/>
    <col min="6657" max="6657" width="8.42578125" style="2" customWidth="1"/>
    <col min="6658" max="6659" width="12.85546875" style="2" customWidth="1"/>
    <col min="6660" max="6660" width="9.7109375" style="2" customWidth="1"/>
    <col min="6661" max="6661" width="7.28515625" style="2" customWidth="1"/>
    <col min="6662" max="6662" width="8.140625" style="2" customWidth="1"/>
    <col min="6663" max="6663" width="12.85546875" style="2" customWidth="1"/>
    <col min="6664" max="6665" width="13.28515625" style="2" customWidth="1"/>
    <col min="6666" max="6912" width="10.42578125" style="2"/>
    <col min="6913" max="6913" width="8.42578125" style="2" customWidth="1"/>
    <col min="6914" max="6915" width="12.85546875" style="2" customWidth="1"/>
    <col min="6916" max="6916" width="9.7109375" style="2" customWidth="1"/>
    <col min="6917" max="6917" width="7.28515625" style="2" customWidth="1"/>
    <col min="6918" max="6918" width="8.140625" style="2" customWidth="1"/>
    <col min="6919" max="6919" width="12.85546875" style="2" customWidth="1"/>
    <col min="6920" max="6921" width="13.28515625" style="2" customWidth="1"/>
    <col min="6922" max="7168" width="10.42578125" style="2"/>
    <col min="7169" max="7169" width="8.42578125" style="2" customWidth="1"/>
    <col min="7170" max="7171" width="12.85546875" style="2" customWidth="1"/>
    <col min="7172" max="7172" width="9.7109375" style="2" customWidth="1"/>
    <col min="7173" max="7173" width="7.28515625" style="2" customWidth="1"/>
    <col min="7174" max="7174" width="8.140625" style="2" customWidth="1"/>
    <col min="7175" max="7175" width="12.85546875" style="2" customWidth="1"/>
    <col min="7176" max="7177" width="13.28515625" style="2" customWidth="1"/>
    <col min="7178" max="7424" width="10.42578125" style="2"/>
    <col min="7425" max="7425" width="8.42578125" style="2" customWidth="1"/>
    <col min="7426" max="7427" width="12.85546875" style="2" customWidth="1"/>
    <col min="7428" max="7428" width="9.7109375" style="2" customWidth="1"/>
    <col min="7429" max="7429" width="7.28515625" style="2" customWidth="1"/>
    <col min="7430" max="7430" width="8.140625" style="2" customWidth="1"/>
    <col min="7431" max="7431" width="12.85546875" style="2" customWidth="1"/>
    <col min="7432" max="7433" width="13.28515625" style="2" customWidth="1"/>
    <col min="7434" max="7680" width="10.42578125" style="2"/>
    <col min="7681" max="7681" width="8.42578125" style="2" customWidth="1"/>
    <col min="7682" max="7683" width="12.85546875" style="2" customWidth="1"/>
    <col min="7684" max="7684" width="9.7109375" style="2" customWidth="1"/>
    <col min="7685" max="7685" width="7.28515625" style="2" customWidth="1"/>
    <col min="7686" max="7686" width="8.140625" style="2" customWidth="1"/>
    <col min="7687" max="7687" width="12.85546875" style="2" customWidth="1"/>
    <col min="7688" max="7689" width="13.28515625" style="2" customWidth="1"/>
    <col min="7690" max="7936" width="10.42578125" style="2"/>
    <col min="7937" max="7937" width="8.42578125" style="2" customWidth="1"/>
    <col min="7938" max="7939" width="12.85546875" style="2" customWidth="1"/>
    <col min="7940" max="7940" width="9.7109375" style="2" customWidth="1"/>
    <col min="7941" max="7941" width="7.28515625" style="2" customWidth="1"/>
    <col min="7942" max="7942" width="8.140625" style="2" customWidth="1"/>
    <col min="7943" max="7943" width="12.85546875" style="2" customWidth="1"/>
    <col min="7944" max="7945" width="13.28515625" style="2" customWidth="1"/>
    <col min="7946" max="8192" width="10.42578125" style="2"/>
    <col min="8193" max="8193" width="8.42578125" style="2" customWidth="1"/>
    <col min="8194" max="8195" width="12.85546875" style="2" customWidth="1"/>
    <col min="8196" max="8196" width="9.7109375" style="2" customWidth="1"/>
    <col min="8197" max="8197" width="7.28515625" style="2" customWidth="1"/>
    <col min="8198" max="8198" width="8.140625" style="2" customWidth="1"/>
    <col min="8199" max="8199" width="12.85546875" style="2" customWidth="1"/>
    <col min="8200" max="8201" width="13.28515625" style="2" customWidth="1"/>
    <col min="8202" max="8448" width="10.42578125" style="2"/>
    <col min="8449" max="8449" width="8.42578125" style="2" customWidth="1"/>
    <col min="8450" max="8451" width="12.85546875" style="2" customWidth="1"/>
    <col min="8452" max="8452" width="9.7109375" style="2" customWidth="1"/>
    <col min="8453" max="8453" width="7.28515625" style="2" customWidth="1"/>
    <col min="8454" max="8454" width="8.140625" style="2" customWidth="1"/>
    <col min="8455" max="8455" width="12.85546875" style="2" customWidth="1"/>
    <col min="8456" max="8457" width="13.28515625" style="2" customWidth="1"/>
    <col min="8458" max="8704" width="10.42578125" style="2"/>
    <col min="8705" max="8705" width="8.42578125" style="2" customWidth="1"/>
    <col min="8706" max="8707" width="12.85546875" style="2" customWidth="1"/>
    <col min="8708" max="8708" width="9.7109375" style="2" customWidth="1"/>
    <col min="8709" max="8709" width="7.28515625" style="2" customWidth="1"/>
    <col min="8710" max="8710" width="8.140625" style="2" customWidth="1"/>
    <col min="8711" max="8711" width="12.85546875" style="2" customWidth="1"/>
    <col min="8712" max="8713" width="13.28515625" style="2" customWidth="1"/>
    <col min="8714" max="8960" width="10.42578125" style="2"/>
    <col min="8961" max="8961" width="8.42578125" style="2" customWidth="1"/>
    <col min="8962" max="8963" width="12.85546875" style="2" customWidth="1"/>
    <col min="8964" max="8964" width="9.7109375" style="2" customWidth="1"/>
    <col min="8965" max="8965" width="7.28515625" style="2" customWidth="1"/>
    <col min="8966" max="8966" width="8.140625" style="2" customWidth="1"/>
    <col min="8967" max="8967" width="12.85546875" style="2" customWidth="1"/>
    <col min="8968" max="8969" width="13.28515625" style="2" customWidth="1"/>
    <col min="8970" max="9216" width="10.42578125" style="2"/>
    <col min="9217" max="9217" width="8.42578125" style="2" customWidth="1"/>
    <col min="9218" max="9219" width="12.85546875" style="2" customWidth="1"/>
    <col min="9220" max="9220" width="9.7109375" style="2" customWidth="1"/>
    <col min="9221" max="9221" width="7.28515625" style="2" customWidth="1"/>
    <col min="9222" max="9222" width="8.140625" style="2" customWidth="1"/>
    <col min="9223" max="9223" width="12.85546875" style="2" customWidth="1"/>
    <col min="9224" max="9225" width="13.28515625" style="2" customWidth="1"/>
    <col min="9226" max="9472" width="10.42578125" style="2"/>
    <col min="9473" max="9473" width="8.42578125" style="2" customWidth="1"/>
    <col min="9474" max="9475" width="12.85546875" style="2" customWidth="1"/>
    <col min="9476" max="9476" width="9.7109375" style="2" customWidth="1"/>
    <col min="9477" max="9477" width="7.28515625" style="2" customWidth="1"/>
    <col min="9478" max="9478" width="8.140625" style="2" customWidth="1"/>
    <col min="9479" max="9479" width="12.85546875" style="2" customWidth="1"/>
    <col min="9480" max="9481" width="13.28515625" style="2" customWidth="1"/>
    <col min="9482" max="9728" width="10.42578125" style="2"/>
    <col min="9729" max="9729" width="8.42578125" style="2" customWidth="1"/>
    <col min="9730" max="9731" width="12.85546875" style="2" customWidth="1"/>
    <col min="9732" max="9732" width="9.7109375" style="2" customWidth="1"/>
    <col min="9733" max="9733" width="7.28515625" style="2" customWidth="1"/>
    <col min="9734" max="9734" width="8.140625" style="2" customWidth="1"/>
    <col min="9735" max="9735" width="12.85546875" style="2" customWidth="1"/>
    <col min="9736" max="9737" width="13.28515625" style="2" customWidth="1"/>
    <col min="9738" max="9984" width="10.42578125" style="2"/>
    <col min="9985" max="9985" width="8.42578125" style="2" customWidth="1"/>
    <col min="9986" max="9987" width="12.85546875" style="2" customWidth="1"/>
    <col min="9988" max="9988" width="9.7109375" style="2" customWidth="1"/>
    <col min="9989" max="9989" width="7.28515625" style="2" customWidth="1"/>
    <col min="9990" max="9990" width="8.140625" style="2" customWidth="1"/>
    <col min="9991" max="9991" width="12.85546875" style="2" customWidth="1"/>
    <col min="9992" max="9993" width="13.28515625" style="2" customWidth="1"/>
    <col min="9994" max="10240" width="10.42578125" style="2"/>
    <col min="10241" max="10241" width="8.42578125" style="2" customWidth="1"/>
    <col min="10242" max="10243" width="12.85546875" style="2" customWidth="1"/>
    <col min="10244" max="10244" width="9.7109375" style="2" customWidth="1"/>
    <col min="10245" max="10245" width="7.28515625" style="2" customWidth="1"/>
    <col min="10246" max="10246" width="8.140625" style="2" customWidth="1"/>
    <col min="10247" max="10247" width="12.85546875" style="2" customWidth="1"/>
    <col min="10248" max="10249" width="13.28515625" style="2" customWidth="1"/>
    <col min="10250" max="10496" width="10.42578125" style="2"/>
    <col min="10497" max="10497" width="8.42578125" style="2" customWidth="1"/>
    <col min="10498" max="10499" width="12.85546875" style="2" customWidth="1"/>
    <col min="10500" max="10500" width="9.7109375" style="2" customWidth="1"/>
    <col min="10501" max="10501" width="7.28515625" style="2" customWidth="1"/>
    <col min="10502" max="10502" width="8.140625" style="2" customWidth="1"/>
    <col min="10503" max="10503" width="12.85546875" style="2" customWidth="1"/>
    <col min="10504" max="10505" width="13.28515625" style="2" customWidth="1"/>
    <col min="10506" max="10752" width="10.42578125" style="2"/>
    <col min="10753" max="10753" width="8.42578125" style="2" customWidth="1"/>
    <col min="10754" max="10755" width="12.85546875" style="2" customWidth="1"/>
    <col min="10756" max="10756" width="9.7109375" style="2" customWidth="1"/>
    <col min="10757" max="10757" width="7.28515625" style="2" customWidth="1"/>
    <col min="10758" max="10758" width="8.140625" style="2" customWidth="1"/>
    <col min="10759" max="10759" width="12.85546875" style="2" customWidth="1"/>
    <col min="10760" max="10761" width="13.28515625" style="2" customWidth="1"/>
    <col min="10762" max="11008" width="10.42578125" style="2"/>
    <col min="11009" max="11009" width="8.42578125" style="2" customWidth="1"/>
    <col min="11010" max="11011" width="12.85546875" style="2" customWidth="1"/>
    <col min="11012" max="11012" width="9.7109375" style="2" customWidth="1"/>
    <col min="11013" max="11013" width="7.28515625" style="2" customWidth="1"/>
    <col min="11014" max="11014" width="8.140625" style="2" customWidth="1"/>
    <col min="11015" max="11015" width="12.85546875" style="2" customWidth="1"/>
    <col min="11016" max="11017" width="13.28515625" style="2" customWidth="1"/>
    <col min="11018" max="11264" width="10.42578125" style="2"/>
    <col min="11265" max="11265" width="8.42578125" style="2" customWidth="1"/>
    <col min="11266" max="11267" width="12.85546875" style="2" customWidth="1"/>
    <col min="11268" max="11268" width="9.7109375" style="2" customWidth="1"/>
    <col min="11269" max="11269" width="7.28515625" style="2" customWidth="1"/>
    <col min="11270" max="11270" width="8.140625" style="2" customWidth="1"/>
    <col min="11271" max="11271" width="12.85546875" style="2" customWidth="1"/>
    <col min="11272" max="11273" width="13.28515625" style="2" customWidth="1"/>
    <col min="11274" max="11520" width="10.42578125" style="2"/>
    <col min="11521" max="11521" width="8.42578125" style="2" customWidth="1"/>
    <col min="11522" max="11523" width="12.85546875" style="2" customWidth="1"/>
    <col min="11524" max="11524" width="9.7109375" style="2" customWidth="1"/>
    <col min="11525" max="11525" width="7.28515625" style="2" customWidth="1"/>
    <col min="11526" max="11526" width="8.140625" style="2" customWidth="1"/>
    <col min="11527" max="11527" width="12.85546875" style="2" customWidth="1"/>
    <col min="11528" max="11529" width="13.28515625" style="2" customWidth="1"/>
    <col min="11530" max="11776" width="10.42578125" style="2"/>
    <col min="11777" max="11777" width="8.42578125" style="2" customWidth="1"/>
    <col min="11778" max="11779" width="12.85546875" style="2" customWidth="1"/>
    <col min="11780" max="11780" width="9.7109375" style="2" customWidth="1"/>
    <col min="11781" max="11781" width="7.28515625" style="2" customWidth="1"/>
    <col min="11782" max="11782" width="8.140625" style="2" customWidth="1"/>
    <col min="11783" max="11783" width="12.85546875" style="2" customWidth="1"/>
    <col min="11784" max="11785" width="13.28515625" style="2" customWidth="1"/>
    <col min="11786" max="12032" width="10.42578125" style="2"/>
    <col min="12033" max="12033" width="8.42578125" style="2" customWidth="1"/>
    <col min="12034" max="12035" width="12.85546875" style="2" customWidth="1"/>
    <col min="12036" max="12036" width="9.7109375" style="2" customWidth="1"/>
    <col min="12037" max="12037" width="7.28515625" style="2" customWidth="1"/>
    <col min="12038" max="12038" width="8.140625" style="2" customWidth="1"/>
    <col min="12039" max="12039" width="12.85546875" style="2" customWidth="1"/>
    <col min="12040" max="12041" width="13.28515625" style="2" customWidth="1"/>
    <col min="12042" max="12288" width="10.42578125" style="2"/>
    <col min="12289" max="12289" width="8.42578125" style="2" customWidth="1"/>
    <col min="12290" max="12291" width="12.85546875" style="2" customWidth="1"/>
    <col min="12292" max="12292" width="9.7109375" style="2" customWidth="1"/>
    <col min="12293" max="12293" width="7.28515625" style="2" customWidth="1"/>
    <col min="12294" max="12294" width="8.140625" style="2" customWidth="1"/>
    <col min="12295" max="12295" width="12.85546875" style="2" customWidth="1"/>
    <col min="12296" max="12297" width="13.28515625" style="2" customWidth="1"/>
    <col min="12298" max="12544" width="10.42578125" style="2"/>
    <col min="12545" max="12545" width="8.42578125" style="2" customWidth="1"/>
    <col min="12546" max="12547" width="12.85546875" style="2" customWidth="1"/>
    <col min="12548" max="12548" width="9.7109375" style="2" customWidth="1"/>
    <col min="12549" max="12549" width="7.28515625" style="2" customWidth="1"/>
    <col min="12550" max="12550" width="8.140625" style="2" customWidth="1"/>
    <col min="12551" max="12551" width="12.85546875" style="2" customWidth="1"/>
    <col min="12552" max="12553" width="13.28515625" style="2" customWidth="1"/>
    <col min="12554" max="12800" width="10.42578125" style="2"/>
    <col min="12801" max="12801" width="8.42578125" style="2" customWidth="1"/>
    <col min="12802" max="12803" width="12.85546875" style="2" customWidth="1"/>
    <col min="12804" max="12804" width="9.7109375" style="2" customWidth="1"/>
    <col min="12805" max="12805" width="7.28515625" style="2" customWidth="1"/>
    <col min="12806" max="12806" width="8.140625" style="2" customWidth="1"/>
    <col min="12807" max="12807" width="12.85546875" style="2" customWidth="1"/>
    <col min="12808" max="12809" width="13.28515625" style="2" customWidth="1"/>
    <col min="12810" max="13056" width="10.42578125" style="2"/>
    <col min="13057" max="13057" width="8.42578125" style="2" customWidth="1"/>
    <col min="13058" max="13059" width="12.85546875" style="2" customWidth="1"/>
    <col min="13060" max="13060" width="9.7109375" style="2" customWidth="1"/>
    <col min="13061" max="13061" width="7.28515625" style="2" customWidth="1"/>
    <col min="13062" max="13062" width="8.140625" style="2" customWidth="1"/>
    <col min="13063" max="13063" width="12.85546875" style="2" customWidth="1"/>
    <col min="13064" max="13065" width="13.28515625" style="2" customWidth="1"/>
    <col min="13066" max="13312" width="10.42578125" style="2"/>
    <col min="13313" max="13313" width="8.42578125" style="2" customWidth="1"/>
    <col min="13314" max="13315" width="12.85546875" style="2" customWidth="1"/>
    <col min="13316" max="13316" width="9.7109375" style="2" customWidth="1"/>
    <col min="13317" max="13317" width="7.28515625" style="2" customWidth="1"/>
    <col min="13318" max="13318" width="8.140625" style="2" customWidth="1"/>
    <col min="13319" max="13319" width="12.85546875" style="2" customWidth="1"/>
    <col min="13320" max="13321" width="13.28515625" style="2" customWidth="1"/>
    <col min="13322" max="13568" width="10.42578125" style="2"/>
    <col min="13569" max="13569" width="8.42578125" style="2" customWidth="1"/>
    <col min="13570" max="13571" width="12.85546875" style="2" customWidth="1"/>
    <col min="13572" max="13572" width="9.7109375" style="2" customWidth="1"/>
    <col min="13573" max="13573" width="7.28515625" style="2" customWidth="1"/>
    <col min="13574" max="13574" width="8.140625" style="2" customWidth="1"/>
    <col min="13575" max="13575" width="12.85546875" style="2" customWidth="1"/>
    <col min="13576" max="13577" width="13.28515625" style="2" customWidth="1"/>
    <col min="13578" max="13824" width="10.42578125" style="2"/>
    <col min="13825" max="13825" width="8.42578125" style="2" customWidth="1"/>
    <col min="13826" max="13827" width="12.85546875" style="2" customWidth="1"/>
    <col min="13828" max="13828" width="9.7109375" style="2" customWidth="1"/>
    <col min="13829" max="13829" width="7.28515625" style="2" customWidth="1"/>
    <col min="13830" max="13830" width="8.140625" style="2" customWidth="1"/>
    <col min="13831" max="13831" width="12.85546875" style="2" customWidth="1"/>
    <col min="13832" max="13833" width="13.28515625" style="2" customWidth="1"/>
    <col min="13834" max="14080" width="10.42578125" style="2"/>
    <col min="14081" max="14081" width="8.42578125" style="2" customWidth="1"/>
    <col min="14082" max="14083" width="12.85546875" style="2" customWidth="1"/>
    <col min="14084" max="14084" width="9.7109375" style="2" customWidth="1"/>
    <col min="14085" max="14085" width="7.28515625" style="2" customWidth="1"/>
    <col min="14086" max="14086" width="8.140625" style="2" customWidth="1"/>
    <col min="14087" max="14087" width="12.85546875" style="2" customWidth="1"/>
    <col min="14088" max="14089" width="13.28515625" style="2" customWidth="1"/>
    <col min="14090" max="14336" width="10.42578125" style="2"/>
    <col min="14337" max="14337" width="8.42578125" style="2" customWidth="1"/>
    <col min="14338" max="14339" width="12.85546875" style="2" customWidth="1"/>
    <col min="14340" max="14340" width="9.7109375" style="2" customWidth="1"/>
    <col min="14341" max="14341" width="7.28515625" style="2" customWidth="1"/>
    <col min="14342" max="14342" width="8.140625" style="2" customWidth="1"/>
    <col min="14343" max="14343" width="12.85546875" style="2" customWidth="1"/>
    <col min="14344" max="14345" width="13.28515625" style="2" customWidth="1"/>
    <col min="14346" max="14592" width="10.42578125" style="2"/>
    <col min="14593" max="14593" width="8.42578125" style="2" customWidth="1"/>
    <col min="14594" max="14595" width="12.85546875" style="2" customWidth="1"/>
    <col min="14596" max="14596" width="9.7109375" style="2" customWidth="1"/>
    <col min="14597" max="14597" width="7.28515625" style="2" customWidth="1"/>
    <col min="14598" max="14598" width="8.140625" style="2" customWidth="1"/>
    <col min="14599" max="14599" width="12.85546875" style="2" customWidth="1"/>
    <col min="14600" max="14601" width="13.28515625" style="2" customWidth="1"/>
    <col min="14602" max="14848" width="10.42578125" style="2"/>
    <col min="14849" max="14849" width="8.42578125" style="2" customWidth="1"/>
    <col min="14850" max="14851" width="12.85546875" style="2" customWidth="1"/>
    <col min="14852" max="14852" width="9.7109375" style="2" customWidth="1"/>
    <col min="14853" max="14853" width="7.28515625" style="2" customWidth="1"/>
    <col min="14854" max="14854" width="8.140625" style="2" customWidth="1"/>
    <col min="14855" max="14855" width="12.85546875" style="2" customWidth="1"/>
    <col min="14856" max="14857" width="13.28515625" style="2" customWidth="1"/>
    <col min="14858" max="15104" width="10.42578125" style="2"/>
    <col min="15105" max="15105" width="8.42578125" style="2" customWidth="1"/>
    <col min="15106" max="15107" width="12.85546875" style="2" customWidth="1"/>
    <col min="15108" max="15108" width="9.7109375" style="2" customWidth="1"/>
    <col min="15109" max="15109" width="7.28515625" style="2" customWidth="1"/>
    <col min="15110" max="15110" width="8.140625" style="2" customWidth="1"/>
    <col min="15111" max="15111" width="12.85546875" style="2" customWidth="1"/>
    <col min="15112" max="15113" width="13.28515625" style="2" customWidth="1"/>
    <col min="15114" max="15360" width="10.42578125" style="2"/>
    <col min="15361" max="15361" width="8.42578125" style="2" customWidth="1"/>
    <col min="15362" max="15363" width="12.85546875" style="2" customWidth="1"/>
    <col min="15364" max="15364" width="9.7109375" style="2" customWidth="1"/>
    <col min="15365" max="15365" width="7.28515625" style="2" customWidth="1"/>
    <col min="15366" max="15366" width="8.140625" style="2" customWidth="1"/>
    <col min="15367" max="15367" width="12.85546875" style="2" customWidth="1"/>
    <col min="15368" max="15369" width="13.28515625" style="2" customWidth="1"/>
    <col min="15370" max="15616" width="10.42578125" style="2"/>
    <col min="15617" max="15617" width="8.42578125" style="2" customWidth="1"/>
    <col min="15618" max="15619" width="12.85546875" style="2" customWidth="1"/>
    <col min="15620" max="15620" width="9.7109375" style="2" customWidth="1"/>
    <col min="15621" max="15621" width="7.28515625" style="2" customWidth="1"/>
    <col min="15622" max="15622" width="8.140625" style="2" customWidth="1"/>
    <col min="15623" max="15623" width="12.85546875" style="2" customWidth="1"/>
    <col min="15624" max="15625" width="13.28515625" style="2" customWidth="1"/>
    <col min="15626" max="15872" width="10.42578125" style="2"/>
    <col min="15873" max="15873" width="8.42578125" style="2" customWidth="1"/>
    <col min="15874" max="15875" width="12.85546875" style="2" customWidth="1"/>
    <col min="15876" max="15876" width="9.7109375" style="2" customWidth="1"/>
    <col min="15877" max="15877" width="7.28515625" style="2" customWidth="1"/>
    <col min="15878" max="15878" width="8.140625" style="2" customWidth="1"/>
    <col min="15879" max="15879" width="12.85546875" style="2" customWidth="1"/>
    <col min="15880" max="15881" width="13.28515625" style="2" customWidth="1"/>
    <col min="15882" max="16128" width="10.42578125" style="2"/>
    <col min="16129" max="16129" width="8.42578125" style="2" customWidth="1"/>
    <col min="16130" max="16131" width="12.85546875" style="2" customWidth="1"/>
    <col min="16132" max="16132" width="9.7109375" style="2" customWidth="1"/>
    <col min="16133" max="16133" width="7.28515625" style="2" customWidth="1"/>
    <col min="16134" max="16134" width="8.140625" style="2" customWidth="1"/>
    <col min="16135" max="16135" width="12.85546875" style="2" customWidth="1"/>
    <col min="16136" max="16137" width="13.28515625" style="2" customWidth="1"/>
    <col min="16138" max="16384" width="10.42578125" style="2"/>
  </cols>
  <sheetData>
    <row r="1" spans="2:9" ht="15" x14ac:dyDescent="0.25">
      <c r="B1" s="1" t="str">
        <f>'Main Sheet'!$B$1</f>
        <v>ABC &amp; Co.</v>
      </c>
      <c r="I1" s="3" t="str">
        <f>'Main Sheet'!D15</f>
        <v>Annex. D.1.3</v>
      </c>
    </row>
    <row r="2" spans="2:9" x14ac:dyDescent="0.25">
      <c r="B2" s="2" t="str">
        <f>'Main Sheet'!$B$2</f>
        <v>(Chartered Accountants)</v>
      </c>
    </row>
    <row r="4" spans="2:9" ht="15" x14ac:dyDescent="0.25">
      <c r="B4" s="57" t="s">
        <v>9</v>
      </c>
      <c r="C4" s="57"/>
      <c r="D4" s="57"/>
      <c r="E4" s="57"/>
      <c r="F4" s="57"/>
      <c r="G4" s="57"/>
      <c r="H4" s="57"/>
      <c r="I4" s="57"/>
    </row>
    <row r="5" spans="2:9" ht="15" x14ac:dyDescent="0.25">
      <c r="B5" s="4"/>
      <c r="C5" s="4"/>
      <c r="D5" s="4"/>
      <c r="E5" s="4"/>
      <c r="F5" s="4"/>
      <c r="G5" s="4"/>
      <c r="H5" s="4"/>
      <c r="I5" s="4"/>
    </row>
    <row r="6" spans="2:9" ht="26.25" customHeight="1" x14ac:dyDescent="0.25">
      <c r="B6" s="5" t="str">
        <f>'Main Sheet'!$B$6&amp;" " &amp;'Main Sheet'!$C$6</f>
        <v>Client:  ABC LIMITED</v>
      </c>
      <c r="C6" s="6"/>
      <c r="H6" s="7" t="s">
        <v>2</v>
      </c>
      <c r="I6" s="8" t="str">
        <f>IF('Main Sheet'!$F$6&gt;0,'Main Sheet'!$F$6," ")</f>
        <v xml:space="preserve"> </v>
      </c>
    </row>
    <row r="7" spans="2:9" ht="26.25" customHeight="1" x14ac:dyDescent="0.25">
      <c r="B7" s="5" t="str">
        <f>'Main Sheet'!$B$7&amp;" " &amp;'Main Sheet'!$C$7</f>
        <v>Period: Year ended June 30, 2023</v>
      </c>
      <c r="C7" s="6"/>
      <c r="H7" s="7" t="s">
        <v>4</v>
      </c>
      <c r="I7" s="8" t="str">
        <f>IF('Main Sheet'!$F$7&gt;0,'Main Sheet'!$F$7," ")</f>
        <v xml:space="preserve"> </v>
      </c>
    </row>
    <row r="8" spans="2:9" ht="15" x14ac:dyDescent="0.25">
      <c r="B8" s="9"/>
      <c r="C8" s="10"/>
      <c r="H8" s="11"/>
    </row>
    <row r="9" spans="2:9" ht="15" x14ac:dyDescent="0.25">
      <c r="B9" s="12" t="str">
        <f>'Main Sheet'!C15</f>
        <v>Determine the threshold % for determination of materiality</v>
      </c>
      <c r="C9" s="10"/>
      <c r="H9" s="11"/>
    </row>
    <row r="11" spans="2:9" x14ac:dyDescent="0.25">
      <c r="B11" s="73" t="s">
        <v>36</v>
      </c>
      <c r="C11" s="73"/>
      <c r="D11" s="73"/>
      <c r="E11" s="73"/>
      <c r="F11" s="73"/>
      <c r="G11" s="73"/>
      <c r="H11" s="73"/>
      <c r="I11" s="73"/>
    </row>
    <row r="12" spans="2:9" x14ac:dyDescent="0.25">
      <c r="B12" s="73"/>
      <c r="C12" s="73"/>
      <c r="D12" s="73"/>
      <c r="E12" s="73"/>
      <c r="F12" s="73"/>
      <c r="G12" s="73"/>
      <c r="H12" s="73"/>
      <c r="I12" s="73"/>
    </row>
    <row r="14" spans="2:9" ht="45" x14ac:dyDescent="0.25">
      <c r="B14" s="55" t="s">
        <v>5</v>
      </c>
      <c r="C14" s="55" t="s">
        <v>42</v>
      </c>
      <c r="D14" s="55" t="s">
        <v>43</v>
      </c>
      <c r="E14" s="55" t="s">
        <v>44</v>
      </c>
      <c r="F14" s="55" t="s">
        <v>45</v>
      </c>
      <c r="G14" s="55" t="s">
        <v>46</v>
      </c>
      <c r="H14" s="55" t="s">
        <v>55</v>
      </c>
      <c r="I14" s="55" t="s">
        <v>56</v>
      </c>
    </row>
    <row r="15" spans="2:9" x14ac:dyDescent="0.25">
      <c r="D15" s="27"/>
      <c r="E15" s="27"/>
      <c r="F15" s="27"/>
    </row>
    <row r="16" spans="2:9" s="42" customFormat="1" ht="67.5" x14ac:dyDescent="0.25">
      <c r="B16" s="40"/>
      <c r="C16" s="40" t="s">
        <v>47</v>
      </c>
      <c r="D16" s="40" t="s">
        <v>51</v>
      </c>
      <c r="E16" s="40" t="s">
        <v>52</v>
      </c>
      <c r="F16" s="40" t="s">
        <v>53</v>
      </c>
      <c r="G16" s="41" t="s">
        <v>54</v>
      </c>
      <c r="H16" s="30">
        <v>5.0000000000000001E-3</v>
      </c>
      <c r="I16" s="30">
        <v>0.05</v>
      </c>
    </row>
    <row r="17" spans="2:9" x14ac:dyDescent="0.25">
      <c r="B17" s="43"/>
      <c r="C17" s="42"/>
      <c r="D17" s="44"/>
      <c r="E17" s="44"/>
      <c r="F17" s="44"/>
      <c r="G17" s="42"/>
      <c r="H17" s="45"/>
      <c r="I17" s="45"/>
    </row>
    <row r="18" spans="2:9" ht="40.5" x14ac:dyDescent="0.25">
      <c r="B18" s="46"/>
      <c r="C18" s="40" t="s">
        <v>48</v>
      </c>
      <c r="D18" s="40" t="s">
        <v>57</v>
      </c>
      <c r="E18" s="40" t="s">
        <v>58</v>
      </c>
      <c r="F18" s="40" t="s">
        <v>53</v>
      </c>
      <c r="G18" s="41" t="s">
        <v>59</v>
      </c>
      <c r="H18" s="47">
        <v>5.0000000000000001E-3</v>
      </c>
      <c r="I18" s="47">
        <v>0.05</v>
      </c>
    </row>
    <row r="19" spans="2:9" x14ac:dyDescent="0.25">
      <c r="B19" s="43"/>
      <c r="C19" s="42"/>
      <c r="D19" s="44"/>
      <c r="E19" s="44"/>
      <c r="F19" s="44"/>
      <c r="G19" s="42"/>
      <c r="H19" s="45"/>
      <c r="I19" s="45"/>
    </row>
    <row r="20" spans="2:9" ht="54" x14ac:dyDescent="0.25">
      <c r="B20" s="75"/>
      <c r="C20" s="77" t="s">
        <v>49</v>
      </c>
      <c r="D20" s="40" t="s">
        <v>60</v>
      </c>
      <c r="E20" s="40" t="s">
        <v>61</v>
      </c>
      <c r="F20" s="40" t="s">
        <v>53</v>
      </c>
      <c r="G20" s="41" t="s">
        <v>62</v>
      </c>
      <c r="H20" s="47">
        <v>5.0000000000000001E-3</v>
      </c>
      <c r="I20" s="47">
        <v>0.05</v>
      </c>
    </row>
    <row r="21" spans="2:9" ht="108" x14ac:dyDescent="0.25">
      <c r="B21" s="76"/>
      <c r="C21" s="78"/>
      <c r="D21" s="40" t="s">
        <v>63</v>
      </c>
      <c r="E21" s="40" t="s">
        <v>64</v>
      </c>
      <c r="F21" s="40" t="s">
        <v>53</v>
      </c>
      <c r="G21" s="41" t="s">
        <v>65</v>
      </c>
      <c r="H21" s="47">
        <v>5.0000000000000001E-3</v>
      </c>
      <c r="I21" s="47">
        <v>0.05</v>
      </c>
    </row>
    <row r="22" spans="2:9" x14ac:dyDescent="0.25">
      <c r="B22" s="43"/>
      <c r="C22" s="42"/>
      <c r="D22" s="44"/>
      <c r="E22" s="44"/>
      <c r="F22" s="44"/>
      <c r="G22" s="42"/>
      <c r="H22" s="45"/>
      <c r="I22" s="45"/>
    </row>
    <row r="23" spans="2:9" ht="54" x14ac:dyDescent="0.25">
      <c r="B23" s="46"/>
      <c r="C23" s="40" t="s">
        <v>50</v>
      </c>
      <c r="D23" s="40" t="s">
        <v>66</v>
      </c>
      <c r="E23" s="40" t="s">
        <v>67</v>
      </c>
      <c r="F23" s="40" t="s">
        <v>53</v>
      </c>
      <c r="G23" s="41" t="s">
        <v>68</v>
      </c>
      <c r="H23" s="47">
        <v>5.0000000000000001E-3</v>
      </c>
      <c r="I23" s="47">
        <v>0.05</v>
      </c>
    </row>
    <row r="24" spans="2:9" x14ac:dyDescent="0.25">
      <c r="B24" s="48"/>
      <c r="C24" s="37"/>
      <c r="D24" s="37"/>
      <c r="E24" s="37"/>
      <c r="F24" s="37"/>
      <c r="G24" s="49"/>
      <c r="H24" s="50"/>
      <c r="I24" s="50"/>
    </row>
    <row r="25" spans="2:9" ht="15" customHeight="1" x14ac:dyDescent="0.25">
      <c r="B25" s="46"/>
      <c r="C25" s="79" t="s">
        <v>69</v>
      </c>
      <c r="D25" s="80"/>
      <c r="E25" s="80"/>
      <c r="F25" s="80"/>
      <c r="G25" s="81"/>
      <c r="H25" s="47">
        <f>AVERAGE(H16:H23)</f>
        <v>5.0000000000000001E-3</v>
      </c>
      <c r="I25" s="47">
        <f>AVERAGE(I16:I23)</f>
        <v>0.05</v>
      </c>
    </row>
    <row r="26" spans="2:9" x14ac:dyDescent="0.25">
      <c r="B26" s="48"/>
      <c r="C26" s="37"/>
      <c r="D26" s="37"/>
      <c r="E26" s="37"/>
      <c r="F26" s="37"/>
      <c r="G26" s="49"/>
      <c r="H26" s="50"/>
      <c r="I26" s="50"/>
    </row>
    <row r="27" spans="2:9" s="21" customFormat="1" ht="15" x14ac:dyDescent="0.25">
      <c r="B27" s="21" t="s">
        <v>70</v>
      </c>
    </row>
  </sheetData>
  <mergeCells count="5">
    <mergeCell ref="B4:I4"/>
    <mergeCell ref="B11:I12"/>
    <mergeCell ref="B20:B21"/>
    <mergeCell ref="C20:C21"/>
    <mergeCell ref="C25:G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6"/>
  <sheetViews>
    <sheetView showGridLines="0" workbookViewId="0">
      <selection activeCell="B12" sqref="B12"/>
    </sheetView>
  </sheetViews>
  <sheetFormatPr defaultColWidth="10.42578125" defaultRowHeight="13.5" x14ac:dyDescent="0.25"/>
  <cols>
    <col min="1" max="1" width="1" style="2" customWidth="1"/>
    <col min="2" max="2" width="24.28515625" style="2" customWidth="1"/>
    <col min="3" max="3" width="27.42578125" style="2" customWidth="1"/>
    <col min="4" max="4" width="19.42578125" style="2" customWidth="1"/>
    <col min="5" max="5" width="17.85546875" style="2" customWidth="1"/>
    <col min="6" max="6" width="24.42578125" style="2" customWidth="1"/>
    <col min="7" max="7" width="1" style="2" customWidth="1"/>
    <col min="8" max="253" width="10.42578125" style="2"/>
    <col min="254" max="254" width="8.42578125" style="2" customWidth="1"/>
    <col min="255" max="256" width="12.85546875" style="2" customWidth="1"/>
    <col min="257" max="257" width="9.7109375" style="2" customWidth="1"/>
    <col min="258" max="258" width="7.28515625" style="2" customWidth="1"/>
    <col min="259" max="259" width="8.140625" style="2" customWidth="1"/>
    <col min="260" max="260" width="12.85546875" style="2" customWidth="1"/>
    <col min="261" max="262" width="13.28515625" style="2" customWidth="1"/>
    <col min="263" max="509" width="10.42578125" style="2"/>
    <col min="510" max="510" width="8.42578125" style="2" customWidth="1"/>
    <col min="511" max="512" width="12.85546875" style="2" customWidth="1"/>
    <col min="513" max="513" width="9.7109375" style="2" customWidth="1"/>
    <col min="514" max="514" width="7.28515625" style="2" customWidth="1"/>
    <col min="515" max="515" width="8.140625" style="2" customWidth="1"/>
    <col min="516" max="516" width="12.85546875" style="2" customWidth="1"/>
    <col min="517" max="518" width="13.28515625" style="2" customWidth="1"/>
    <col min="519" max="765" width="10.42578125" style="2"/>
    <col min="766" max="766" width="8.42578125" style="2" customWidth="1"/>
    <col min="767" max="768" width="12.85546875" style="2" customWidth="1"/>
    <col min="769" max="769" width="9.7109375" style="2" customWidth="1"/>
    <col min="770" max="770" width="7.28515625" style="2" customWidth="1"/>
    <col min="771" max="771" width="8.140625" style="2" customWidth="1"/>
    <col min="772" max="772" width="12.85546875" style="2" customWidth="1"/>
    <col min="773" max="774" width="13.28515625" style="2" customWidth="1"/>
    <col min="775" max="1021" width="10.42578125" style="2"/>
    <col min="1022" max="1022" width="8.42578125" style="2" customWidth="1"/>
    <col min="1023" max="1024" width="12.85546875" style="2" customWidth="1"/>
    <col min="1025" max="1025" width="9.7109375" style="2" customWidth="1"/>
    <col min="1026" max="1026" width="7.28515625" style="2" customWidth="1"/>
    <col min="1027" max="1027" width="8.140625" style="2" customWidth="1"/>
    <col min="1028" max="1028" width="12.85546875" style="2" customWidth="1"/>
    <col min="1029" max="1030" width="13.28515625" style="2" customWidth="1"/>
    <col min="1031" max="1277" width="10.42578125" style="2"/>
    <col min="1278" max="1278" width="8.42578125" style="2" customWidth="1"/>
    <col min="1279" max="1280" width="12.85546875" style="2" customWidth="1"/>
    <col min="1281" max="1281" width="9.7109375" style="2" customWidth="1"/>
    <col min="1282" max="1282" width="7.28515625" style="2" customWidth="1"/>
    <col min="1283" max="1283" width="8.140625" style="2" customWidth="1"/>
    <col min="1284" max="1284" width="12.85546875" style="2" customWidth="1"/>
    <col min="1285" max="1286" width="13.28515625" style="2" customWidth="1"/>
    <col min="1287" max="1533" width="10.42578125" style="2"/>
    <col min="1534" max="1534" width="8.42578125" style="2" customWidth="1"/>
    <col min="1535" max="1536" width="12.85546875" style="2" customWidth="1"/>
    <col min="1537" max="1537" width="9.7109375" style="2" customWidth="1"/>
    <col min="1538" max="1538" width="7.28515625" style="2" customWidth="1"/>
    <col min="1539" max="1539" width="8.140625" style="2" customWidth="1"/>
    <col min="1540" max="1540" width="12.85546875" style="2" customWidth="1"/>
    <col min="1541" max="1542" width="13.28515625" style="2" customWidth="1"/>
    <col min="1543" max="1789" width="10.42578125" style="2"/>
    <col min="1790" max="1790" width="8.42578125" style="2" customWidth="1"/>
    <col min="1791" max="1792" width="12.85546875" style="2" customWidth="1"/>
    <col min="1793" max="1793" width="9.7109375" style="2" customWidth="1"/>
    <col min="1794" max="1794" width="7.28515625" style="2" customWidth="1"/>
    <col min="1795" max="1795" width="8.140625" style="2" customWidth="1"/>
    <col min="1796" max="1796" width="12.85546875" style="2" customWidth="1"/>
    <col min="1797" max="1798" width="13.28515625" style="2" customWidth="1"/>
    <col min="1799" max="2045" width="10.42578125" style="2"/>
    <col min="2046" max="2046" width="8.42578125" style="2" customWidth="1"/>
    <col min="2047" max="2048" width="12.85546875" style="2" customWidth="1"/>
    <col min="2049" max="2049" width="9.7109375" style="2" customWidth="1"/>
    <col min="2050" max="2050" width="7.28515625" style="2" customWidth="1"/>
    <col min="2051" max="2051" width="8.140625" style="2" customWidth="1"/>
    <col min="2052" max="2052" width="12.85546875" style="2" customWidth="1"/>
    <col min="2053" max="2054" width="13.28515625" style="2" customWidth="1"/>
    <col min="2055" max="2301" width="10.42578125" style="2"/>
    <col min="2302" max="2302" width="8.42578125" style="2" customWidth="1"/>
    <col min="2303" max="2304" width="12.85546875" style="2" customWidth="1"/>
    <col min="2305" max="2305" width="9.7109375" style="2" customWidth="1"/>
    <col min="2306" max="2306" width="7.28515625" style="2" customWidth="1"/>
    <col min="2307" max="2307" width="8.140625" style="2" customWidth="1"/>
    <col min="2308" max="2308" width="12.85546875" style="2" customWidth="1"/>
    <col min="2309" max="2310" width="13.28515625" style="2" customWidth="1"/>
    <col min="2311" max="2557" width="10.42578125" style="2"/>
    <col min="2558" max="2558" width="8.42578125" style="2" customWidth="1"/>
    <col min="2559" max="2560" width="12.85546875" style="2" customWidth="1"/>
    <col min="2561" max="2561" width="9.7109375" style="2" customWidth="1"/>
    <col min="2562" max="2562" width="7.28515625" style="2" customWidth="1"/>
    <col min="2563" max="2563" width="8.140625" style="2" customWidth="1"/>
    <col min="2564" max="2564" width="12.85546875" style="2" customWidth="1"/>
    <col min="2565" max="2566" width="13.28515625" style="2" customWidth="1"/>
    <col min="2567" max="2813" width="10.42578125" style="2"/>
    <col min="2814" max="2814" width="8.42578125" style="2" customWidth="1"/>
    <col min="2815" max="2816" width="12.85546875" style="2" customWidth="1"/>
    <col min="2817" max="2817" width="9.7109375" style="2" customWidth="1"/>
    <col min="2818" max="2818" width="7.28515625" style="2" customWidth="1"/>
    <col min="2819" max="2819" width="8.140625" style="2" customWidth="1"/>
    <col min="2820" max="2820" width="12.85546875" style="2" customWidth="1"/>
    <col min="2821" max="2822" width="13.28515625" style="2" customWidth="1"/>
    <col min="2823" max="3069" width="10.42578125" style="2"/>
    <col min="3070" max="3070" width="8.42578125" style="2" customWidth="1"/>
    <col min="3071" max="3072" width="12.85546875" style="2" customWidth="1"/>
    <col min="3073" max="3073" width="9.7109375" style="2" customWidth="1"/>
    <col min="3074" max="3074" width="7.28515625" style="2" customWidth="1"/>
    <col min="3075" max="3075" width="8.140625" style="2" customWidth="1"/>
    <col min="3076" max="3076" width="12.85546875" style="2" customWidth="1"/>
    <col min="3077" max="3078" width="13.28515625" style="2" customWidth="1"/>
    <col min="3079" max="3325" width="10.42578125" style="2"/>
    <col min="3326" max="3326" width="8.42578125" style="2" customWidth="1"/>
    <col min="3327" max="3328" width="12.85546875" style="2" customWidth="1"/>
    <col min="3329" max="3329" width="9.7109375" style="2" customWidth="1"/>
    <col min="3330" max="3330" width="7.28515625" style="2" customWidth="1"/>
    <col min="3331" max="3331" width="8.140625" style="2" customWidth="1"/>
    <col min="3332" max="3332" width="12.85546875" style="2" customWidth="1"/>
    <col min="3333" max="3334" width="13.28515625" style="2" customWidth="1"/>
    <col min="3335" max="3581" width="10.42578125" style="2"/>
    <col min="3582" max="3582" width="8.42578125" style="2" customWidth="1"/>
    <col min="3583" max="3584" width="12.85546875" style="2" customWidth="1"/>
    <col min="3585" max="3585" width="9.7109375" style="2" customWidth="1"/>
    <col min="3586" max="3586" width="7.28515625" style="2" customWidth="1"/>
    <col min="3587" max="3587" width="8.140625" style="2" customWidth="1"/>
    <col min="3588" max="3588" width="12.85546875" style="2" customWidth="1"/>
    <col min="3589" max="3590" width="13.28515625" style="2" customWidth="1"/>
    <col min="3591" max="3837" width="10.42578125" style="2"/>
    <col min="3838" max="3838" width="8.42578125" style="2" customWidth="1"/>
    <col min="3839" max="3840" width="12.85546875" style="2" customWidth="1"/>
    <col min="3841" max="3841" width="9.7109375" style="2" customWidth="1"/>
    <col min="3842" max="3842" width="7.28515625" style="2" customWidth="1"/>
    <col min="3843" max="3843" width="8.140625" style="2" customWidth="1"/>
    <col min="3844" max="3844" width="12.85546875" style="2" customWidth="1"/>
    <col min="3845" max="3846" width="13.28515625" style="2" customWidth="1"/>
    <col min="3847" max="4093" width="10.42578125" style="2"/>
    <col min="4094" max="4094" width="8.42578125" style="2" customWidth="1"/>
    <col min="4095" max="4096" width="12.85546875" style="2" customWidth="1"/>
    <col min="4097" max="4097" width="9.7109375" style="2" customWidth="1"/>
    <col min="4098" max="4098" width="7.28515625" style="2" customWidth="1"/>
    <col min="4099" max="4099" width="8.140625" style="2" customWidth="1"/>
    <col min="4100" max="4100" width="12.85546875" style="2" customWidth="1"/>
    <col min="4101" max="4102" width="13.28515625" style="2" customWidth="1"/>
    <col min="4103" max="4349" width="10.42578125" style="2"/>
    <col min="4350" max="4350" width="8.42578125" style="2" customWidth="1"/>
    <col min="4351" max="4352" width="12.85546875" style="2" customWidth="1"/>
    <col min="4353" max="4353" width="9.7109375" style="2" customWidth="1"/>
    <col min="4354" max="4354" width="7.28515625" style="2" customWidth="1"/>
    <col min="4355" max="4355" width="8.140625" style="2" customWidth="1"/>
    <col min="4356" max="4356" width="12.85546875" style="2" customWidth="1"/>
    <col min="4357" max="4358" width="13.28515625" style="2" customWidth="1"/>
    <col min="4359" max="4605" width="10.42578125" style="2"/>
    <col min="4606" max="4606" width="8.42578125" style="2" customWidth="1"/>
    <col min="4607" max="4608" width="12.85546875" style="2" customWidth="1"/>
    <col min="4609" max="4609" width="9.7109375" style="2" customWidth="1"/>
    <col min="4610" max="4610" width="7.28515625" style="2" customWidth="1"/>
    <col min="4611" max="4611" width="8.140625" style="2" customWidth="1"/>
    <col min="4612" max="4612" width="12.85546875" style="2" customWidth="1"/>
    <col min="4613" max="4614" width="13.28515625" style="2" customWidth="1"/>
    <col min="4615" max="4861" width="10.42578125" style="2"/>
    <col min="4862" max="4862" width="8.42578125" style="2" customWidth="1"/>
    <col min="4863" max="4864" width="12.85546875" style="2" customWidth="1"/>
    <col min="4865" max="4865" width="9.7109375" style="2" customWidth="1"/>
    <col min="4866" max="4866" width="7.28515625" style="2" customWidth="1"/>
    <col min="4867" max="4867" width="8.140625" style="2" customWidth="1"/>
    <col min="4868" max="4868" width="12.85546875" style="2" customWidth="1"/>
    <col min="4869" max="4870" width="13.28515625" style="2" customWidth="1"/>
    <col min="4871" max="5117" width="10.42578125" style="2"/>
    <col min="5118" max="5118" width="8.42578125" style="2" customWidth="1"/>
    <col min="5119" max="5120" width="12.85546875" style="2" customWidth="1"/>
    <col min="5121" max="5121" width="9.7109375" style="2" customWidth="1"/>
    <col min="5122" max="5122" width="7.28515625" style="2" customWidth="1"/>
    <col min="5123" max="5123" width="8.140625" style="2" customWidth="1"/>
    <col min="5124" max="5124" width="12.85546875" style="2" customWidth="1"/>
    <col min="5125" max="5126" width="13.28515625" style="2" customWidth="1"/>
    <col min="5127" max="5373" width="10.42578125" style="2"/>
    <col min="5374" max="5374" width="8.42578125" style="2" customWidth="1"/>
    <col min="5375" max="5376" width="12.85546875" style="2" customWidth="1"/>
    <col min="5377" max="5377" width="9.7109375" style="2" customWidth="1"/>
    <col min="5378" max="5378" width="7.28515625" style="2" customWidth="1"/>
    <col min="5379" max="5379" width="8.140625" style="2" customWidth="1"/>
    <col min="5380" max="5380" width="12.85546875" style="2" customWidth="1"/>
    <col min="5381" max="5382" width="13.28515625" style="2" customWidth="1"/>
    <col min="5383" max="5629" width="10.42578125" style="2"/>
    <col min="5630" max="5630" width="8.42578125" style="2" customWidth="1"/>
    <col min="5631" max="5632" width="12.85546875" style="2" customWidth="1"/>
    <col min="5633" max="5633" width="9.7109375" style="2" customWidth="1"/>
    <col min="5634" max="5634" width="7.28515625" style="2" customWidth="1"/>
    <col min="5635" max="5635" width="8.140625" style="2" customWidth="1"/>
    <col min="5636" max="5636" width="12.85546875" style="2" customWidth="1"/>
    <col min="5637" max="5638" width="13.28515625" style="2" customWidth="1"/>
    <col min="5639" max="5885" width="10.42578125" style="2"/>
    <col min="5886" max="5886" width="8.42578125" style="2" customWidth="1"/>
    <col min="5887" max="5888" width="12.85546875" style="2" customWidth="1"/>
    <col min="5889" max="5889" width="9.7109375" style="2" customWidth="1"/>
    <col min="5890" max="5890" width="7.28515625" style="2" customWidth="1"/>
    <col min="5891" max="5891" width="8.140625" style="2" customWidth="1"/>
    <col min="5892" max="5892" width="12.85546875" style="2" customWidth="1"/>
    <col min="5893" max="5894" width="13.28515625" style="2" customWidth="1"/>
    <col min="5895" max="6141" width="10.42578125" style="2"/>
    <col min="6142" max="6142" width="8.42578125" style="2" customWidth="1"/>
    <col min="6143" max="6144" width="12.85546875" style="2" customWidth="1"/>
    <col min="6145" max="6145" width="9.7109375" style="2" customWidth="1"/>
    <col min="6146" max="6146" width="7.28515625" style="2" customWidth="1"/>
    <col min="6147" max="6147" width="8.140625" style="2" customWidth="1"/>
    <col min="6148" max="6148" width="12.85546875" style="2" customWidth="1"/>
    <col min="6149" max="6150" width="13.28515625" style="2" customWidth="1"/>
    <col min="6151" max="6397" width="10.42578125" style="2"/>
    <col min="6398" max="6398" width="8.42578125" style="2" customWidth="1"/>
    <col min="6399" max="6400" width="12.85546875" style="2" customWidth="1"/>
    <col min="6401" max="6401" width="9.7109375" style="2" customWidth="1"/>
    <col min="6402" max="6402" width="7.28515625" style="2" customWidth="1"/>
    <col min="6403" max="6403" width="8.140625" style="2" customWidth="1"/>
    <col min="6404" max="6404" width="12.85546875" style="2" customWidth="1"/>
    <col min="6405" max="6406" width="13.28515625" style="2" customWidth="1"/>
    <col min="6407" max="6653" width="10.42578125" style="2"/>
    <col min="6654" max="6654" width="8.42578125" style="2" customWidth="1"/>
    <col min="6655" max="6656" width="12.85546875" style="2" customWidth="1"/>
    <col min="6657" max="6657" width="9.7109375" style="2" customWidth="1"/>
    <col min="6658" max="6658" width="7.28515625" style="2" customWidth="1"/>
    <col min="6659" max="6659" width="8.140625" style="2" customWidth="1"/>
    <col min="6660" max="6660" width="12.85546875" style="2" customWidth="1"/>
    <col min="6661" max="6662" width="13.28515625" style="2" customWidth="1"/>
    <col min="6663" max="6909" width="10.42578125" style="2"/>
    <col min="6910" max="6910" width="8.42578125" style="2" customWidth="1"/>
    <col min="6911" max="6912" width="12.85546875" style="2" customWidth="1"/>
    <col min="6913" max="6913" width="9.7109375" style="2" customWidth="1"/>
    <col min="6914" max="6914" width="7.28515625" style="2" customWidth="1"/>
    <col min="6915" max="6915" width="8.140625" style="2" customWidth="1"/>
    <col min="6916" max="6916" width="12.85546875" style="2" customWidth="1"/>
    <col min="6917" max="6918" width="13.28515625" style="2" customWidth="1"/>
    <col min="6919" max="7165" width="10.42578125" style="2"/>
    <col min="7166" max="7166" width="8.42578125" style="2" customWidth="1"/>
    <col min="7167" max="7168" width="12.85546875" style="2" customWidth="1"/>
    <col min="7169" max="7169" width="9.7109375" style="2" customWidth="1"/>
    <col min="7170" max="7170" width="7.28515625" style="2" customWidth="1"/>
    <col min="7171" max="7171" width="8.140625" style="2" customWidth="1"/>
    <col min="7172" max="7172" width="12.85546875" style="2" customWidth="1"/>
    <col min="7173" max="7174" width="13.28515625" style="2" customWidth="1"/>
    <col min="7175" max="7421" width="10.42578125" style="2"/>
    <col min="7422" max="7422" width="8.42578125" style="2" customWidth="1"/>
    <col min="7423" max="7424" width="12.85546875" style="2" customWidth="1"/>
    <col min="7425" max="7425" width="9.7109375" style="2" customWidth="1"/>
    <col min="7426" max="7426" width="7.28515625" style="2" customWidth="1"/>
    <col min="7427" max="7427" width="8.140625" style="2" customWidth="1"/>
    <col min="7428" max="7428" width="12.85546875" style="2" customWidth="1"/>
    <col min="7429" max="7430" width="13.28515625" style="2" customWidth="1"/>
    <col min="7431" max="7677" width="10.42578125" style="2"/>
    <col min="7678" max="7678" width="8.42578125" style="2" customWidth="1"/>
    <col min="7679" max="7680" width="12.85546875" style="2" customWidth="1"/>
    <col min="7681" max="7681" width="9.7109375" style="2" customWidth="1"/>
    <col min="7682" max="7682" width="7.28515625" style="2" customWidth="1"/>
    <col min="7683" max="7683" width="8.140625" style="2" customWidth="1"/>
    <col min="7684" max="7684" width="12.85546875" style="2" customWidth="1"/>
    <col min="7685" max="7686" width="13.28515625" style="2" customWidth="1"/>
    <col min="7687" max="7933" width="10.42578125" style="2"/>
    <col min="7934" max="7934" width="8.42578125" style="2" customWidth="1"/>
    <col min="7935" max="7936" width="12.85546875" style="2" customWidth="1"/>
    <col min="7937" max="7937" width="9.7109375" style="2" customWidth="1"/>
    <col min="7938" max="7938" width="7.28515625" style="2" customWidth="1"/>
    <col min="7939" max="7939" width="8.140625" style="2" customWidth="1"/>
    <col min="7940" max="7940" width="12.85546875" style="2" customWidth="1"/>
    <col min="7941" max="7942" width="13.28515625" style="2" customWidth="1"/>
    <col min="7943" max="8189" width="10.42578125" style="2"/>
    <col min="8190" max="8190" width="8.42578125" style="2" customWidth="1"/>
    <col min="8191" max="8192" width="12.85546875" style="2" customWidth="1"/>
    <col min="8193" max="8193" width="9.7109375" style="2" customWidth="1"/>
    <col min="8194" max="8194" width="7.28515625" style="2" customWidth="1"/>
    <col min="8195" max="8195" width="8.140625" style="2" customWidth="1"/>
    <col min="8196" max="8196" width="12.85546875" style="2" customWidth="1"/>
    <col min="8197" max="8198" width="13.28515625" style="2" customWidth="1"/>
    <col min="8199" max="8445" width="10.42578125" style="2"/>
    <col min="8446" max="8446" width="8.42578125" style="2" customWidth="1"/>
    <col min="8447" max="8448" width="12.85546875" style="2" customWidth="1"/>
    <col min="8449" max="8449" width="9.7109375" style="2" customWidth="1"/>
    <col min="8450" max="8450" width="7.28515625" style="2" customWidth="1"/>
    <col min="8451" max="8451" width="8.140625" style="2" customWidth="1"/>
    <col min="8452" max="8452" width="12.85546875" style="2" customWidth="1"/>
    <col min="8453" max="8454" width="13.28515625" style="2" customWidth="1"/>
    <col min="8455" max="8701" width="10.42578125" style="2"/>
    <col min="8702" max="8702" width="8.42578125" style="2" customWidth="1"/>
    <col min="8703" max="8704" width="12.85546875" style="2" customWidth="1"/>
    <col min="8705" max="8705" width="9.7109375" style="2" customWidth="1"/>
    <col min="8706" max="8706" width="7.28515625" style="2" customWidth="1"/>
    <col min="8707" max="8707" width="8.140625" style="2" customWidth="1"/>
    <col min="8708" max="8708" width="12.85546875" style="2" customWidth="1"/>
    <col min="8709" max="8710" width="13.28515625" style="2" customWidth="1"/>
    <col min="8711" max="8957" width="10.42578125" style="2"/>
    <col min="8958" max="8958" width="8.42578125" style="2" customWidth="1"/>
    <col min="8959" max="8960" width="12.85546875" style="2" customWidth="1"/>
    <col min="8961" max="8961" width="9.7109375" style="2" customWidth="1"/>
    <col min="8962" max="8962" width="7.28515625" style="2" customWidth="1"/>
    <col min="8963" max="8963" width="8.140625" style="2" customWidth="1"/>
    <col min="8964" max="8964" width="12.85546875" style="2" customWidth="1"/>
    <col min="8965" max="8966" width="13.28515625" style="2" customWidth="1"/>
    <col min="8967" max="9213" width="10.42578125" style="2"/>
    <col min="9214" max="9214" width="8.42578125" style="2" customWidth="1"/>
    <col min="9215" max="9216" width="12.85546875" style="2" customWidth="1"/>
    <col min="9217" max="9217" width="9.7109375" style="2" customWidth="1"/>
    <col min="9218" max="9218" width="7.28515625" style="2" customWidth="1"/>
    <col min="9219" max="9219" width="8.140625" style="2" customWidth="1"/>
    <col min="9220" max="9220" width="12.85546875" style="2" customWidth="1"/>
    <col min="9221" max="9222" width="13.28515625" style="2" customWidth="1"/>
    <col min="9223" max="9469" width="10.42578125" style="2"/>
    <col min="9470" max="9470" width="8.42578125" style="2" customWidth="1"/>
    <col min="9471" max="9472" width="12.85546875" style="2" customWidth="1"/>
    <col min="9473" max="9473" width="9.7109375" style="2" customWidth="1"/>
    <col min="9474" max="9474" width="7.28515625" style="2" customWidth="1"/>
    <col min="9475" max="9475" width="8.140625" style="2" customWidth="1"/>
    <col min="9476" max="9476" width="12.85546875" style="2" customWidth="1"/>
    <col min="9477" max="9478" width="13.28515625" style="2" customWidth="1"/>
    <col min="9479" max="9725" width="10.42578125" style="2"/>
    <col min="9726" max="9726" width="8.42578125" style="2" customWidth="1"/>
    <col min="9727" max="9728" width="12.85546875" style="2" customWidth="1"/>
    <col min="9729" max="9729" width="9.7109375" style="2" customWidth="1"/>
    <col min="9730" max="9730" width="7.28515625" style="2" customWidth="1"/>
    <col min="9731" max="9731" width="8.140625" style="2" customWidth="1"/>
    <col min="9732" max="9732" width="12.85546875" style="2" customWidth="1"/>
    <col min="9733" max="9734" width="13.28515625" style="2" customWidth="1"/>
    <col min="9735" max="9981" width="10.42578125" style="2"/>
    <col min="9982" max="9982" width="8.42578125" style="2" customWidth="1"/>
    <col min="9983" max="9984" width="12.85546875" style="2" customWidth="1"/>
    <col min="9985" max="9985" width="9.7109375" style="2" customWidth="1"/>
    <col min="9986" max="9986" width="7.28515625" style="2" customWidth="1"/>
    <col min="9987" max="9987" width="8.140625" style="2" customWidth="1"/>
    <col min="9988" max="9988" width="12.85546875" style="2" customWidth="1"/>
    <col min="9989" max="9990" width="13.28515625" style="2" customWidth="1"/>
    <col min="9991" max="10237" width="10.42578125" style="2"/>
    <col min="10238" max="10238" width="8.42578125" style="2" customWidth="1"/>
    <col min="10239" max="10240" width="12.85546875" style="2" customWidth="1"/>
    <col min="10241" max="10241" width="9.7109375" style="2" customWidth="1"/>
    <col min="10242" max="10242" width="7.28515625" style="2" customWidth="1"/>
    <col min="10243" max="10243" width="8.140625" style="2" customWidth="1"/>
    <col min="10244" max="10244" width="12.85546875" style="2" customWidth="1"/>
    <col min="10245" max="10246" width="13.28515625" style="2" customWidth="1"/>
    <col min="10247" max="10493" width="10.42578125" style="2"/>
    <col min="10494" max="10494" width="8.42578125" style="2" customWidth="1"/>
    <col min="10495" max="10496" width="12.85546875" style="2" customWidth="1"/>
    <col min="10497" max="10497" width="9.7109375" style="2" customWidth="1"/>
    <col min="10498" max="10498" width="7.28515625" style="2" customWidth="1"/>
    <col min="10499" max="10499" width="8.140625" style="2" customWidth="1"/>
    <col min="10500" max="10500" width="12.85546875" style="2" customWidth="1"/>
    <col min="10501" max="10502" width="13.28515625" style="2" customWidth="1"/>
    <col min="10503" max="10749" width="10.42578125" style="2"/>
    <col min="10750" max="10750" width="8.42578125" style="2" customWidth="1"/>
    <col min="10751" max="10752" width="12.85546875" style="2" customWidth="1"/>
    <col min="10753" max="10753" width="9.7109375" style="2" customWidth="1"/>
    <col min="10754" max="10754" width="7.28515625" style="2" customWidth="1"/>
    <col min="10755" max="10755" width="8.140625" style="2" customWidth="1"/>
    <col min="10756" max="10756" width="12.85546875" style="2" customWidth="1"/>
    <col min="10757" max="10758" width="13.28515625" style="2" customWidth="1"/>
    <col min="10759" max="11005" width="10.42578125" style="2"/>
    <col min="11006" max="11006" width="8.42578125" style="2" customWidth="1"/>
    <col min="11007" max="11008" width="12.85546875" style="2" customWidth="1"/>
    <col min="11009" max="11009" width="9.7109375" style="2" customWidth="1"/>
    <col min="11010" max="11010" width="7.28515625" style="2" customWidth="1"/>
    <col min="11011" max="11011" width="8.140625" style="2" customWidth="1"/>
    <col min="11012" max="11012" width="12.85546875" style="2" customWidth="1"/>
    <col min="11013" max="11014" width="13.28515625" style="2" customWidth="1"/>
    <col min="11015" max="11261" width="10.42578125" style="2"/>
    <col min="11262" max="11262" width="8.42578125" style="2" customWidth="1"/>
    <col min="11263" max="11264" width="12.85546875" style="2" customWidth="1"/>
    <col min="11265" max="11265" width="9.7109375" style="2" customWidth="1"/>
    <col min="11266" max="11266" width="7.28515625" style="2" customWidth="1"/>
    <col min="11267" max="11267" width="8.140625" style="2" customWidth="1"/>
    <col min="11268" max="11268" width="12.85546875" style="2" customWidth="1"/>
    <col min="11269" max="11270" width="13.28515625" style="2" customWidth="1"/>
    <col min="11271" max="11517" width="10.42578125" style="2"/>
    <col min="11518" max="11518" width="8.42578125" style="2" customWidth="1"/>
    <col min="11519" max="11520" width="12.85546875" style="2" customWidth="1"/>
    <col min="11521" max="11521" width="9.7109375" style="2" customWidth="1"/>
    <col min="11522" max="11522" width="7.28515625" style="2" customWidth="1"/>
    <col min="11523" max="11523" width="8.140625" style="2" customWidth="1"/>
    <col min="11524" max="11524" width="12.85546875" style="2" customWidth="1"/>
    <col min="11525" max="11526" width="13.28515625" style="2" customWidth="1"/>
    <col min="11527" max="11773" width="10.42578125" style="2"/>
    <col min="11774" max="11774" width="8.42578125" style="2" customWidth="1"/>
    <col min="11775" max="11776" width="12.85546875" style="2" customWidth="1"/>
    <col min="11777" max="11777" width="9.7109375" style="2" customWidth="1"/>
    <col min="11778" max="11778" width="7.28515625" style="2" customWidth="1"/>
    <col min="11779" max="11779" width="8.140625" style="2" customWidth="1"/>
    <col min="11780" max="11780" width="12.85546875" style="2" customWidth="1"/>
    <col min="11781" max="11782" width="13.28515625" style="2" customWidth="1"/>
    <col min="11783" max="12029" width="10.42578125" style="2"/>
    <col min="12030" max="12030" width="8.42578125" style="2" customWidth="1"/>
    <col min="12031" max="12032" width="12.85546875" style="2" customWidth="1"/>
    <col min="12033" max="12033" width="9.7109375" style="2" customWidth="1"/>
    <col min="12034" max="12034" width="7.28515625" style="2" customWidth="1"/>
    <col min="12035" max="12035" width="8.140625" style="2" customWidth="1"/>
    <col min="12036" max="12036" width="12.85546875" style="2" customWidth="1"/>
    <col min="12037" max="12038" width="13.28515625" style="2" customWidth="1"/>
    <col min="12039" max="12285" width="10.42578125" style="2"/>
    <col min="12286" max="12286" width="8.42578125" style="2" customWidth="1"/>
    <col min="12287" max="12288" width="12.85546875" style="2" customWidth="1"/>
    <col min="12289" max="12289" width="9.7109375" style="2" customWidth="1"/>
    <col min="12290" max="12290" width="7.28515625" style="2" customWidth="1"/>
    <col min="12291" max="12291" width="8.140625" style="2" customWidth="1"/>
    <col min="12292" max="12292" width="12.85546875" style="2" customWidth="1"/>
    <col min="12293" max="12294" width="13.28515625" style="2" customWidth="1"/>
    <col min="12295" max="12541" width="10.42578125" style="2"/>
    <col min="12542" max="12542" width="8.42578125" style="2" customWidth="1"/>
    <col min="12543" max="12544" width="12.85546875" style="2" customWidth="1"/>
    <col min="12545" max="12545" width="9.7109375" style="2" customWidth="1"/>
    <col min="12546" max="12546" width="7.28515625" style="2" customWidth="1"/>
    <col min="12547" max="12547" width="8.140625" style="2" customWidth="1"/>
    <col min="12548" max="12548" width="12.85546875" style="2" customWidth="1"/>
    <col min="12549" max="12550" width="13.28515625" style="2" customWidth="1"/>
    <col min="12551" max="12797" width="10.42578125" style="2"/>
    <col min="12798" max="12798" width="8.42578125" style="2" customWidth="1"/>
    <col min="12799" max="12800" width="12.85546875" style="2" customWidth="1"/>
    <col min="12801" max="12801" width="9.7109375" style="2" customWidth="1"/>
    <col min="12802" max="12802" width="7.28515625" style="2" customWidth="1"/>
    <col min="12803" max="12803" width="8.140625" style="2" customWidth="1"/>
    <col min="12804" max="12804" width="12.85546875" style="2" customWidth="1"/>
    <col min="12805" max="12806" width="13.28515625" style="2" customWidth="1"/>
    <col min="12807" max="13053" width="10.42578125" style="2"/>
    <col min="13054" max="13054" width="8.42578125" style="2" customWidth="1"/>
    <col min="13055" max="13056" width="12.85546875" style="2" customWidth="1"/>
    <col min="13057" max="13057" width="9.7109375" style="2" customWidth="1"/>
    <col min="13058" max="13058" width="7.28515625" style="2" customWidth="1"/>
    <col min="13059" max="13059" width="8.140625" style="2" customWidth="1"/>
    <col min="13060" max="13060" width="12.85546875" style="2" customWidth="1"/>
    <col min="13061" max="13062" width="13.28515625" style="2" customWidth="1"/>
    <col min="13063" max="13309" width="10.42578125" style="2"/>
    <col min="13310" max="13310" width="8.42578125" style="2" customWidth="1"/>
    <col min="13311" max="13312" width="12.85546875" style="2" customWidth="1"/>
    <col min="13313" max="13313" width="9.7109375" style="2" customWidth="1"/>
    <col min="13314" max="13314" width="7.28515625" style="2" customWidth="1"/>
    <col min="13315" max="13315" width="8.140625" style="2" customWidth="1"/>
    <col min="13316" max="13316" width="12.85546875" style="2" customWidth="1"/>
    <col min="13317" max="13318" width="13.28515625" style="2" customWidth="1"/>
    <col min="13319" max="13565" width="10.42578125" style="2"/>
    <col min="13566" max="13566" width="8.42578125" style="2" customWidth="1"/>
    <col min="13567" max="13568" width="12.85546875" style="2" customWidth="1"/>
    <col min="13569" max="13569" width="9.7109375" style="2" customWidth="1"/>
    <col min="13570" max="13570" width="7.28515625" style="2" customWidth="1"/>
    <col min="13571" max="13571" width="8.140625" style="2" customWidth="1"/>
    <col min="13572" max="13572" width="12.85546875" style="2" customWidth="1"/>
    <col min="13573" max="13574" width="13.28515625" style="2" customWidth="1"/>
    <col min="13575" max="13821" width="10.42578125" style="2"/>
    <col min="13822" max="13822" width="8.42578125" style="2" customWidth="1"/>
    <col min="13823" max="13824" width="12.85546875" style="2" customWidth="1"/>
    <col min="13825" max="13825" width="9.7109375" style="2" customWidth="1"/>
    <col min="13826" max="13826" width="7.28515625" style="2" customWidth="1"/>
    <col min="13827" max="13827" width="8.140625" style="2" customWidth="1"/>
    <col min="13828" max="13828" width="12.85546875" style="2" customWidth="1"/>
    <col min="13829" max="13830" width="13.28515625" style="2" customWidth="1"/>
    <col min="13831" max="14077" width="10.42578125" style="2"/>
    <col min="14078" max="14078" width="8.42578125" style="2" customWidth="1"/>
    <col min="14079" max="14080" width="12.85546875" style="2" customWidth="1"/>
    <col min="14081" max="14081" width="9.7109375" style="2" customWidth="1"/>
    <col min="14082" max="14082" width="7.28515625" style="2" customWidth="1"/>
    <col min="14083" max="14083" width="8.140625" style="2" customWidth="1"/>
    <col min="14084" max="14084" width="12.85546875" style="2" customWidth="1"/>
    <col min="14085" max="14086" width="13.28515625" style="2" customWidth="1"/>
    <col min="14087" max="14333" width="10.42578125" style="2"/>
    <col min="14334" max="14334" width="8.42578125" style="2" customWidth="1"/>
    <col min="14335" max="14336" width="12.85546875" style="2" customWidth="1"/>
    <col min="14337" max="14337" width="9.7109375" style="2" customWidth="1"/>
    <col min="14338" max="14338" width="7.28515625" style="2" customWidth="1"/>
    <col min="14339" max="14339" width="8.140625" style="2" customWidth="1"/>
    <col min="14340" max="14340" width="12.85546875" style="2" customWidth="1"/>
    <col min="14341" max="14342" width="13.28515625" style="2" customWidth="1"/>
    <col min="14343" max="14589" width="10.42578125" style="2"/>
    <col min="14590" max="14590" width="8.42578125" style="2" customWidth="1"/>
    <col min="14591" max="14592" width="12.85546875" style="2" customWidth="1"/>
    <col min="14593" max="14593" width="9.7109375" style="2" customWidth="1"/>
    <col min="14594" max="14594" width="7.28515625" style="2" customWidth="1"/>
    <col min="14595" max="14595" width="8.140625" style="2" customWidth="1"/>
    <col min="14596" max="14596" width="12.85546875" style="2" customWidth="1"/>
    <col min="14597" max="14598" width="13.28515625" style="2" customWidth="1"/>
    <col min="14599" max="14845" width="10.42578125" style="2"/>
    <col min="14846" max="14846" width="8.42578125" style="2" customWidth="1"/>
    <col min="14847" max="14848" width="12.85546875" style="2" customWidth="1"/>
    <col min="14849" max="14849" width="9.7109375" style="2" customWidth="1"/>
    <col min="14850" max="14850" width="7.28515625" style="2" customWidth="1"/>
    <col min="14851" max="14851" width="8.140625" style="2" customWidth="1"/>
    <col min="14852" max="14852" width="12.85546875" style="2" customWidth="1"/>
    <col min="14853" max="14854" width="13.28515625" style="2" customWidth="1"/>
    <col min="14855" max="15101" width="10.42578125" style="2"/>
    <col min="15102" max="15102" width="8.42578125" style="2" customWidth="1"/>
    <col min="15103" max="15104" width="12.85546875" style="2" customWidth="1"/>
    <col min="15105" max="15105" width="9.7109375" style="2" customWidth="1"/>
    <col min="15106" max="15106" width="7.28515625" style="2" customWidth="1"/>
    <col min="15107" max="15107" width="8.140625" style="2" customWidth="1"/>
    <col min="15108" max="15108" width="12.85546875" style="2" customWidth="1"/>
    <col min="15109" max="15110" width="13.28515625" style="2" customWidth="1"/>
    <col min="15111" max="15357" width="10.42578125" style="2"/>
    <col min="15358" max="15358" width="8.42578125" style="2" customWidth="1"/>
    <col min="15359" max="15360" width="12.85546875" style="2" customWidth="1"/>
    <col min="15361" max="15361" width="9.7109375" style="2" customWidth="1"/>
    <col min="15362" max="15362" width="7.28515625" style="2" customWidth="1"/>
    <col min="15363" max="15363" width="8.140625" style="2" customWidth="1"/>
    <col min="15364" max="15364" width="12.85546875" style="2" customWidth="1"/>
    <col min="15365" max="15366" width="13.28515625" style="2" customWidth="1"/>
    <col min="15367" max="15613" width="10.42578125" style="2"/>
    <col min="15614" max="15614" width="8.42578125" style="2" customWidth="1"/>
    <col min="15615" max="15616" width="12.85546875" style="2" customWidth="1"/>
    <col min="15617" max="15617" width="9.7109375" style="2" customWidth="1"/>
    <col min="15618" max="15618" width="7.28515625" style="2" customWidth="1"/>
    <col min="15619" max="15619" width="8.140625" style="2" customWidth="1"/>
    <col min="15620" max="15620" width="12.85546875" style="2" customWidth="1"/>
    <col min="15621" max="15622" width="13.28515625" style="2" customWidth="1"/>
    <col min="15623" max="15869" width="10.42578125" style="2"/>
    <col min="15870" max="15870" width="8.42578125" style="2" customWidth="1"/>
    <col min="15871" max="15872" width="12.85546875" style="2" customWidth="1"/>
    <col min="15873" max="15873" width="9.7109375" style="2" customWidth="1"/>
    <col min="15874" max="15874" width="7.28515625" style="2" customWidth="1"/>
    <col min="15875" max="15875" width="8.140625" style="2" customWidth="1"/>
    <col min="15876" max="15876" width="12.85546875" style="2" customWidth="1"/>
    <col min="15877" max="15878" width="13.28515625" style="2" customWidth="1"/>
    <col min="15879" max="16125" width="10.42578125" style="2"/>
    <col min="16126" max="16126" width="8.42578125" style="2" customWidth="1"/>
    <col min="16127" max="16128" width="12.85546875" style="2" customWidth="1"/>
    <col min="16129" max="16129" width="9.7109375" style="2" customWidth="1"/>
    <col min="16130" max="16130" width="7.28515625" style="2" customWidth="1"/>
    <col min="16131" max="16131" width="8.140625" style="2" customWidth="1"/>
    <col min="16132" max="16132" width="12.85546875" style="2" customWidth="1"/>
    <col min="16133" max="16134" width="13.28515625" style="2" customWidth="1"/>
    <col min="16135" max="16384" width="10.42578125" style="2"/>
  </cols>
  <sheetData>
    <row r="1" spans="2:6" ht="15" x14ac:dyDescent="0.25">
      <c r="B1" s="1" t="str">
        <f>'Main Sheet'!$B$1</f>
        <v>ABC &amp; Co.</v>
      </c>
      <c r="F1" s="3" t="str">
        <f>'Main Sheet'!D16</f>
        <v>Annex. D.1.4</v>
      </c>
    </row>
    <row r="2" spans="2:6" x14ac:dyDescent="0.25">
      <c r="B2" s="2" t="str">
        <f>'Main Sheet'!$B$2</f>
        <v>(Chartered Accountants)</v>
      </c>
    </row>
    <row r="4" spans="2:6" ht="15" x14ac:dyDescent="0.25">
      <c r="B4" s="57" t="s">
        <v>9</v>
      </c>
      <c r="C4" s="57"/>
      <c r="D4" s="57"/>
      <c r="E4" s="57"/>
      <c r="F4" s="57"/>
    </row>
    <row r="5" spans="2:6" ht="15" x14ac:dyDescent="0.25">
      <c r="B5" s="4"/>
      <c r="C5" s="4"/>
      <c r="D5" s="4"/>
      <c r="E5" s="4"/>
      <c r="F5" s="4"/>
    </row>
    <row r="6" spans="2:6" ht="26.25" customHeight="1" x14ac:dyDescent="0.25">
      <c r="B6" s="5" t="str">
        <f>'Main Sheet'!$B$6&amp;" " &amp;'Main Sheet'!$C$6</f>
        <v>Client:  ABC LIMITED</v>
      </c>
      <c r="C6" s="6"/>
      <c r="E6" s="7" t="s">
        <v>2</v>
      </c>
      <c r="F6" s="8" t="str">
        <f>IF('Main Sheet'!$F$6&gt;0,'Main Sheet'!$F$6," ")</f>
        <v xml:space="preserve"> </v>
      </c>
    </row>
    <row r="7" spans="2:6" ht="26.25" customHeight="1" x14ac:dyDescent="0.25">
      <c r="B7" s="5" t="str">
        <f>'Main Sheet'!$B$7&amp;" " &amp;'Main Sheet'!$C$7</f>
        <v>Period: Year ended June 30, 2023</v>
      </c>
      <c r="C7" s="6"/>
      <c r="E7" s="7" t="s">
        <v>4</v>
      </c>
      <c r="F7" s="8" t="str">
        <f>IF('Main Sheet'!$F$7&gt;0,'Main Sheet'!$F$7," ")</f>
        <v xml:space="preserve"> </v>
      </c>
    </row>
    <row r="8" spans="2:6" ht="15" x14ac:dyDescent="0.25">
      <c r="B8" s="9"/>
      <c r="C8" s="10"/>
      <c r="E8" s="11"/>
    </row>
    <row r="9" spans="2:6" ht="15" x14ac:dyDescent="0.25">
      <c r="B9" s="12" t="str">
        <f>'Main Sheet'!C16</f>
        <v>Determine materiality for the financial statements as a whole, considering the metrics and qualitative factors.</v>
      </c>
      <c r="C9" s="10"/>
      <c r="E9" s="11"/>
    </row>
    <row r="11" spans="2:6" ht="15" x14ac:dyDescent="0.25">
      <c r="B11" s="58" t="s">
        <v>71</v>
      </c>
      <c r="C11" s="58"/>
      <c r="D11" s="14" t="s">
        <v>72</v>
      </c>
      <c r="E11" s="14" t="s">
        <v>73</v>
      </c>
      <c r="F11" s="14" t="s">
        <v>74</v>
      </c>
    </row>
    <row r="12" spans="2:6" x14ac:dyDescent="0.25">
      <c r="D12" s="23"/>
      <c r="E12" s="23"/>
    </row>
    <row r="13" spans="2:6" ht="14.25" customHeight="1" x14ac:dyDescent="0.25">
      <c r="B13" s="24" t="s">
        <v>75</v>
      </c>
      <c r="C13" s="25" t="s">
        <v>33</v>
      </c>
      <c r="D13" s="36"/>
      <c r="E13" s="36"/>
      <c r="F13" s="37"/>
    </row>
    <row r="14" spans="2:6" x14ac:dyDescent="0.25">
      <c r="D14" s="23"/>
      <c r="E14" s="23"/>
    </row>
    <row r="15" spans="2:6" x14ac:dyDescent="0.25">
      <c r="B15" s="79" t="str">
        <f>"Amount of "&amp;C13</f>
        <v>Amount of Total Revenue</v>
      </c>
      <c r="C15" s="81"/>
      <c r="D15" s="25" t="str">
        <f>'D.1.2'!J1</f>
        <v>Annex. D.1.2</v>
      </c>
      <c r="E15" s="25" t="s">
        <v>80</v>
      </c>
      <c r="F15" s="29">
        <f>VLOOKUP(C13,'D.1.2'!B17:D21,3,FALSE)</f>
        <v>0</v>
      </c>
    </row>
    <row r="16" spans="2:6" x14ac:dyDescent="0.25">
      <c r="D16" s="23"/>
      <c r="E16" s="23"/>
    </row>
    <row r="17" spans="2:6" x14ac:dyDescent="0.25">
      <c r="B17" s="79" t="s">
        <v>76</v>
      </c>
      <c r="C17" s="81"/>
      <c r="D17" s="25" t="str">
        <f>'D.1.3'!I1</f>
        <v>Annex. D.1.3</v>
      </c>
      <c r="E17" s="25" t="s">
        <v>81</v>
      </c>
      <c r="F17" s="38">
        <f>'D.1.3'!H25</f>
        <v>5.0000000000000001E-3</v>
      </c>
    </row>
    <row r="18" spans="2:6" x14ac:dyDescent="0.25">
      <c r="D18" s="23"/>
      <c r="E18" s="23"/>
    </row>
    <row r="19" spans="2:6" x14ac:dyDescent="0.25">
      <c r="B19" s="79" t="s">
        <v>77</v>
      </c>
      <c r="C19" s="81"/>
      <c r="D19" s="25"/>
      <c r="E19" s="25" t="s">
        <v>82</v>
      </c>
      <c r="F19" s="29">
        <f>F15*F17</f>
        <v>0</v>
      </c>
    </row>
    <row r="20" spans="2:6" x14ac:dyDescent="0.25">
      <c r="D20" s="23"/>
      <c r="E20" s="23"/>
      <c r="F20" s="39"/>
    </row>
    <row r="21" spans="2:6" x14ac:dyDescent="0.25">
      <c r="B21" s="79" t="s">
        <v>78</v>
      </c>
      <c r="C21" s="81"/>
      <c r="D21" s="25"/>
      <c r="E21" s="25" t="s">
        <v>84</v>
      </c>
      <c r="F21" s="29">
        <f>F19*70%</f>
        <v>0</v>
      </c>
    </row>
    <row r="22" spans="2:6" x14ac:dyDescent="0.25">
      <c r="D22" s="23"/>
      <c r="E22" s="23"/>
      <c r="F22" s="39"/>
    </row>
    <row r="23" spans="2:6" x14ac:dyDescent="0.25">
      <c r="B23" s="79" t="s">
        <v>79</v>
      </c>
      <c r="C23" s="81"/>
      <c r="D23" s="25"/>
      <c r="E23" s="25" t="s">
        <v>83</v>
      </c>
      <c r="F23" s="29">
        <f>F21*5%</f>
        <v>0</v>
      </c>
    </row>
    <row r="24" spans="2:6" x14ac:dyDescent="0.25">
      <c r="D24" s="23"/>
      <c r="E24" s="23"/>
    </row>
    <row r="25" spans="2:6" x14ac:dyDescent="0.25">
      <c r="B25" s="2" t="str">
        <f>""</f>
        <v/>
      </c>
    </row>
    <row r="26" spans="2:6" x14ac:dyDescent="0.25">
      <c r="B26" s="2" t="str">
        <f>"As computed above, the Materiality, Performance materiality (PM) and Audit Misstatement Posting Threshold (AMPT) are determined as Rs. "&amp;TEXT(F19,"##,###")&amp;", Rs. "&amp;TEXT(F21,"##,###")&amp;" and Rs. "&amp;TEXT(F23,"##,###")&amp;" respectively."</f>
        <v>As computed above, the Materiality, Performance materiality (PM) and Audit Misstatement Posting Threshold (AMPT) are determined as Rs. , Rs.  and Rs.  respectively.</v>
      </c>
    </row>
  </sheetData>
  <mergeCells count="7">
    <mergeCell ref="B21:C21"/>
    <mergeCell ref="B23:C23"/>
    <mergeCell ref="B4:F4"/>
    <mergeCell ref="B11:C11"/>
    <mergeCell ref="B15:C15"/>
    <mergeCell ref="B17:C17"/>
    <mergeCell ref="B19:C1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9"/>
  <sheetViews>
    <sheetView showGridLines="0" workbookViewId="0">
      <selection activeCell="B1" sqref="B1"/>
    </sheetView>
  </sheetViews>
  <sheetFormatPr defaultColWidth="10.42578125" defaultRowHeight="13.5" x14ac:dyDescent="0.25"/>
  <cols>
    <col min="1" max="1" width="1" style="2" customWidth="1"/>
    <col min="2" max="2" width="14.7109375" style="2" customWidth="1"/>
    <col min="3" max="3" width="38.140625" style="2" customWidth="1"/>
    <col min="4" max="4" width="14.140625" style="2" customWidth="1"/>
    <col min="5" max="7" width="18.140625" style="2" customWidth="1"/>
    <col min="8" max="8" width="1" style="2" customWidth="1"/>
    <col min="9" max="254" width="10.42578125" style="2"/>
    <col min="255" max="255" width="8.42578125" style="2" customWidth="1"/>
    <col min="256" max="257" width="12.85546875" style="2" customWidth="1"/>
    <col min="258" max="258" width="9.7109375" style="2" customWidth="1"/>
    <col min="259" max="259" width="7.28515625" style="2" customWidth="1"/>
    <col min="260" max="260" width="8.140625" style="2" customWidth="1"/>
    <col min="261" max="261" width="12.85546875" style="2" customWidth="1"/>
    <col min="262" max="263" width="13.28515625" style="2" customWidth="1"/>
    <col min="264" max="510" width="10.42578125" style="2"/>
    <col min="511" max="511" width="8.42578125" style="2" customWidth="1"/>
    <col min="512" max="513" width="12.85546875" style="2" customWidth="1"/>
    <col min="514" max="514" width="9.7109375" style="2" customWidth="1"/>
    <col min="515" max="515" width="7.28515625" style="2" customWidth="1"/>
    <col min="516" max="516" width="8.140625" style="2" customWidth="1"/>
    <col min="517" max="517" width="12.85546875" style="2" customWidth="1"/>
    <col min="518" max="519" width="13.28515625" style="2" customWidth="1"/>
    <col min="520" max="766" width="10.42578125" style="2"/>
    <col min="767" max="767" width="8.42578125" style="2" customWidth="1"/>
    <col min="768" max="769" width="12.85546875" style="2" customWidth="1"/>
    <col min="770" max="770" width="9.7109375" style="2" customWidth="1"/>
    <col min="771" max="771" width="7.28515625" style="2" customWidth="1"/>
    <col min="772" max="772" width="8.140625" style="2" customWidth="1"/>
    <col min="773" max="773" width="12.85546875" style="2" customWidth="1"/>
    <col min="774" max="775" width="13.28515625" style="2" customWidth="1"/>
    <col min="776" max="1022" width="10.42578125" style="2"/>
    <col min="1023" max="1023" width="8.42578125" style="2" customWidth="1"/>
    <col min="1024" max="1025" width="12.85546875" style="2" customWidth="1"/>
    <col min="1026" max="1026" width="9.7109375" style="2" customWidth="1"/>
    <col min="1027" max="1027" width="7.28515625" style="2" customWidth="1"/>
    <col min="1028" max="1028" width="8.140625" style="2" customWidth="1"/>
    <col min="1029" max="1029" width="12.85546875" style="2" customWidth="1"/>
    <col min="1030" max="1031" width="13.28515625" style="2" customWidth="1"/>
    <col min="1032" max="1278" width="10.42578125" style="2"/>
    <col min="1279" max="1279" width="8.42578125" style="2" customWidth="1"/>
    <col min="1280" max="1281" width="12.85546875" style="2" customWidth="1"/>
    <col min="1282" max="1282" width="9.7109375" style="2" customWidth="1"/>
    <col min="1283" max="1283" width="7.28515625" style="2" customWidth="1"/>
    <col min="1284" max="1284" width="8.140625" style="2" customWidth="1"/>
    <col min="1285" max="1285" width="12.85546875" style="2" customWidth="1"/>
    <col min="1286" max="1287" width="13.28515625" style="2" customWidth="1"/>
    <col min="1288" max="1534" width="10.42578125" style="2"/>
    <col min="1535" max="1535" width="8.42578125" style="2" customWidth="1"/>
    <col min="1536" max="1537" width="12.85546875" style="2" customWidth="1"/>
    <col min="1538" max="1538" width="9.7109375" style="2" customWidth="1"/>
    <col min="1539" max="1539" width="7.28515625" style="2" customWidth="1"/>
    <col min="1540" max="1540" width="8.140625" style="2" customWidth="1"/>
    <col min="1541" max="1541" width="12.85546875" style="2" customWidth="1"/>
    <col min="1542" max="1543" width="13.28515625" style="2" customWidth="1"/>
    <col min="1544" max="1790" width="10.42578125" style="2"/>
    <col min="1791" max="1791" width="8.42578125" style="2" customWidth="1"/>
    <col min="1792" max="1793" width="12.85546875" style="2" customWidth="1"/>
    <col min="1794" max="1794" width="9.7109375" style="2" customWidth="1"/>
    <col min="1795" max="1795" width="7.28515625" style="2" customWidth="1"/>
    <col min="1796" max="1796" width="8.140625" style="2" customWidth="1"/>
    <col min="1797" max="1797" width="12.85546875" style="2" customWidth="1"/>
    <col min="1798" max="1799" width="13.28515625" style="2" customWidth="1"/>
    <col min="1800" max="2046" width="10.42578125" style="2"/>
    <col min="2047" max="2047" width="8.42578125" style="2" customWidth="1"/>
    <col min="2048" max="2049" width="12.85546875" style="2" customWidth="1"/>
    <col min="2050" max="2050" width="9.7109375" style="2" customWidth="1"/>
    <col min="2051" max="2051" width="7.28515625" style="2" customWidth="1"/>
    <col min="2052" max="2052" width="8.140625" style="2" customWidth="1"/>
    <col min="2053" max="2053" width="12.85546875" style="2" customWidth="1"/>
    <col min="2054" max="2055" width="13.28515625" style="2" customWidth="1"/>
    <col min="2056" max="2302" width="10.42578125" style="2"/>
    <col min="2303" max="2303" width="8.42578125" style="2" customWidth="1"/>
    <col min="2304" max="2305" width="12.85546875" style="2" customWidth="1"/>
    <col min="2306" max="2306" width="9.7109375" style="2" customWidth="1"/>
    <col min="2307" max="2307" width="7.28515625" style="2" customWidth="1"/>
    <col min="2308" max="2308" width="8.140625" style="2" customWidth="1"/>
    <col min="2309" max="2309" width="12.85546875" style="2" customWidth="1"/>
    <col min="2310" max="2311" width="13.28515625" style="2" customWidth="1"/>
    <col min="2312" max="2558" width="10.42578125" style="2"/>
    <col min="2559" max="2559" width="8.42578125" style="2" customWidth="1"/>
    <col min="2560" max="2561" width="12.85546875" style="2" customWidth="1"/>
    <col min="2562" max="2562" width="9.7109375" style="2" customWidth="1"/>
    <col min="2563" max="2563" width="7.28515625" style="2" customWidth="1"/>
    <col min="2564" max="2564" width="8.140625" style="2" customWidth="1"/>
    <col min="2565" max="2565" width="12.85546875" style="2" customWidth="1"/>
    <col min="2566" max="2567" width="13.28515625" style="2" customWidth="1"/>
    <col min="2568" max="2814" width="10.42578125" style="2"/>
    <col min="2815" max="2815" width="8.42578125" style="2" customWidth="1"/>
    <col min="2816" max="2817" width="12.85546875" style="2" customWidth="1"/>
    <col min="2818" max="2818" width="9.7109375" style="2" customWidth="1"/>
    <col min="2819" max="2819" width="7.28515625" style="2" customWidth="1"/>
    <col min="2820" max="2820" width="8.140625" style="2" customWidth="1"/>
    <col min="2821" max="2821" width="12.85546875" style="2" customWidth="1"/>
    <col min="2822" max="2823" width="13.28515625" style="2" customWidth="1"/>
    <col min="2824" max="3070" width="10.42578125" style="2"/>
    <col min="3071" max="3071" width="8.42578125" style="2" customWidth="1"/>
    <col min="3072" max="3073" width="12.85546875" style="2" customWidth="1"/>
    <col min="3074" max="3074" width="9.7109375" style="2" customWidth="1"/>
    <col min="3075" max="3075" width="7.28515625" style="2" customWidth="1"/>
    <col min="3076" max="3076" width="8.140625" style="2" customWidth="1"/>
    <col min="3077" max="3077" width="12.85546875" style="2" customWidth="1"/>
    <col min="3078" max="3079" width="13.28515625" style="2" customWidth="1"/>
    <col min="3080" max="3326" width="10.42578125" style="2"/>
    <col min="3327" max="3327" width="8.42578125" style="2" customWidth="1"/>
    <col min="3328" max="3329" width="12.85546875" style="2" customWidth="1"/>
    <col min="3330" max="3330" width="9.7109375" style="2" customWidth="1"/>
    <col min="3331" max="3331" width="7.28515625" style="2" customWidth="1"/>
    <col min="3332" max="3332" width="8.140625" style="2" customWidth="1"/>
    <col min="3333" max="3333" width="12.85546875" style="2" customWidth="1"/>
    <col min="3334" max="3335" width="13.28515625" style="2" customWidth="1"/>
    <col min="3336" max="3582" width="10.42578125" style="2"/>
    <col min="3583" max="3583" width="8.42578125" style="2" customWidth="1"/>
    <col min="3584" max="3585" width="12.85546875" style="2" customWidth="1"/>
    <col min="3586" max="3586" width="9.7109375" style="2" customWidth="1"/>
    <col min="3587" max="3587" width="7.28515625" style="2" customWidth="1"/>
    <col min="3588" max="3588" width="8.140625" style="2" customWidth="1"/>
    <col min="3589" max="3589" width="12.85546875" style="2" customWidth="1"/>
    <col min="3590" max="3591" width="13.28515625" style="2" customWidth="1"/>
    <col min="3592" max="3838" width="10.42578125" style="2"/>
    <col min="3839" max="3839" width="8.42578125" style="2" customWidth="1"/>
    <col min="3840" max="3841" width="12.85546875" style="2" customWidth="1"/>
    <col min="3842" max="3842" width="9.7109375" style="2" customWidth="1"/>
    <col min="3843" max="3843" width="7.28515625" style="2" customWidth="1"/>
    <col min="3844" max="3844" width="8.140625" style="2" customWidth="1"/>
    <col min="3845" max="3845" width="12.85546875" style="2" customWidth="1"/>
    <col min="3846" max="3847" width="13.28515625" style="2" customWidth="1"/>
    <col min="3848" max="4094" width="10.42578125" style="2"/>
    <col min="4095" max="4095" width="8.42578125" style="2" customWidth="1"/>
    <col min="4096" max="4097" width="12.85546875" style="2" customWidth="1"/>
    <col min="4098" max="4098" width="9.7109375" style="2" customWidth="1"/>
    <col min="4099" max="4099" width="7.28515625" style="2" customWidth="1"/>
    <col min="4100" max="4100" width="8.140625" style="2" customWidth="1"/>
    <col min="4101" max="4101" width="12.85546875" style="2" customWidth="1"/>
    <col min="4102" max="4103" width="13.28515625" style="2" customWidth="1"/>
    <col min="4104" max="4350" width="10.42578125" style="2"/>
    <col min="4351" max="4351" width="8.42578125" style="2" customWidth="1"/>
    <col min="4352" max="4353" width="12.85546875" style="2" customWidth="1"/>
    <col min="4354" max="4354" width="9.7109375" style="2" customWidth="1"/>
    <col min="4355" max="4355" width="7.28515625" style="2" customWidth="1"/>
    <col min="4356" max="4356" width="8.140625" style="2" customWidth="1"/>
    <col min="4357" max="4357" width="12.85546875" style="2" customWidth="1"/>
    <col min="4358" max="4359" width="13.28515625" style="2" customWidth="1"/>
    <col min="4360" max="4606" width="10.42578125" style="2"/>
    <col min="4607" max="4607" width="8.42578125" style="2" customWidth="1"/>
    <col min="4608" max="4609" width="12.85546875" style="2" customWidth="1"/>
    <col min="4610" max="4610" width="9.7109375" style="2" customWidth="1"/>
    <col min="4611" max="4611" width="7.28515625" style="2" customWidth="1"/>
    <col min="4612" max="4612" width="8.140625" style="2" customWidth="1"/>
    <col min="4613" max="4613" width="12.85546875" style="2" customWidth="1"/>
    <col min="4614" max="4615" width="13.28515625" style="2" customWidth="1"/>
    <col min="4616" max="4862" width="10.42578125" style="2"/>
    <col min="4863" max="4863" width="8.42578125" style="2" customWidth="1"/>
    <col min="4864" max="4865" width="12.85546875" style="2" customWidth="1"/>
    <col min="4866" max="4866" width="9.7109375" style="2" customWidth="1"/>
    <col min="4867" max="4867" width="7.28515625" style="2" customWidth="1"/>
    <col min="4868" max="4868" width="8.140625" style="2" customWidth="1"/>
    <col min="4869" max="4869" width="12.85546875" style="2" customWidth="1"/>
    <col min="4870" max="4871" width="13.28515625" style="2" customWidth="1"/>
    <col min="4872" max="5118" width="10.42578125" style="2"/>
    <col min="5119" max="5119" width="8.42578125" style="2" customWidth="1"/>
    <col min="5120" max="5121" width="12.85546875" style="2" customWidth="1"/>
    <col min="5122" max="5122" width="9.7109375" style="2" customWidth="1"/>
    <col min="5123" max="5123" width="7.28515625" style="2" customWidth="1"/>
    <col min="5124" max="5124" width="8.140625" style="2" customWidth="1"/>
    <col min="5125" max="5125" width="12.85546875" style="2" customWidth="1"/>
    <col min="5126" max="5127" width="13.28515625" style="2" customWidth="1"/>
    <col min="5128" max="5374" width="10.42578125" style="2"/>
    <col min="5375" max="5375" width="8.42578125" style="2" customWidth="1"/>
    <col min="5376" max="5377" width="12.85546875" style="2" customWidth="1"/>
    <col min="5378" max="5378" width="9.7109375" style="2" customWidth="1"/>
    <col min="5379" max="5379" width="7.28515625" style="2" customWidth="1"/>
    <col min="5380" max="5380" width="8.140625" style="2" customWidth="1"/>
    <col min="5381" max="5381" width="12.85546875" style="2" customWidth="1"/>
    <col min="5382" max="5383" width="13.28515625" style="2" customWidth="1"/>
    <col min="5384" max="5630" width="10.42578125" style="2"/>
    <col min="5631" max="5631" width="8.42578125" style="2" customWidth="1"/>
    <col min="5632" max="5633" width="12.85546875" style="2" customWidth="1"/>
    <col min="5634" max="5634" width="9.7109375" style="2" customWidth="1"/>
    <col min="5635" max="5635" width="7.28515625" style="2" customWidth="1"/>
    <col min="5636" max="5636" width="8.140625" style="2" customWidth="1"/>
    <col min="5637" max="5637" width="12.85546875" style="2" customWidth="1"/>
    <col min="5638" max="5639" width="13.28515625" style="2" customWidth="1"/>
    <col min="5640" max="5886" width="10.42578125" style="2"/>
    <col min="5887" max="5887" width="8.42578125" style="2" customWidth="1"/>
    <col min="5888" max="5889" width="12.85546875" style="2" customWidth="1"/>
    <col min="5890" max="5890" width="9.7109375" style="2" customWidth="1"/>
    <col min="5891" max="5891" width="7.28515625" style="2" customWidth="1"/>
    <col min="5892" max="5892" width="8.140625" style="2" customWidth="1"/>
    <col min="5893" max="5893" width="12.85546875" style="2" customWidth="1"/>
    <col min="5894" max="5895" width="13.28515625" style="2" customWidth="1"/>
    <col min="5896" max="6142" width="10.42578125" style="2"/>
    <col min="6143" max="6143" width="8.42578125" style="2" customWidth="1"/>
    <col min="6144" max="6145" width="12.85546875" style="2" customWidth="1"/>
    <col min="6146" max="6146" width="9.7109375" style="2" customWidth="1"/>
    <col min="6147" max="6147" width="7.28515625" style="2" customWidth="1"/>
    <col min="6148" max="6148" width="8.140625" style="2" customWidth="1"/>
    <col min="6149" max="6149" width="12.85546875" style="2" customWidth="1"/>
    <col min="6150" max="6151" width="13.28515625" style="2" customWidth="1"/>
    <col min="6152" max="6398" width="10.42578125" style="2"/>
    <col min="6399" max="6399" width="8.42578125" style="2" customWidth="1"/>
    <col min="6400" max="6401" width="12.85546875" style="2" customWidth="1"/>
    <col min="6402" max="6402" width="9.7109375" style="2" customWidth="1"/>
    <col min="6403" max="6403" width="7.28515625" style="2" customWidth="1"/>
    <col min="6404" max="6404" width="8.140625" style="2" customWidth="1"/>
    <col min="6405" max="6405" width="12.85546875" style="2" customWidth="1"/>
    <col min="6406" max="6407" width="13.28515625" style="2" customWidth="1"/>
    <col min="6408" max="6654" width="10.42578125" style="2"/>
    <col min="6655" max="6655" width="8.42578125" style="2" customWidth="1"/>
    <col min="6656" max="6657" width="12.85546875" style="2" customWidth="1"/>
    <col min="6658" max="6658" width="9.7109375" style="2" customWidth="1"/>
    <col min="6659" max="6659" width="7.28515625" style="2" customWidth="1"/>
    <col min="6660" max="6660" width="8.140625" style="2" customWidth="1"/>
    <col min="6661" max="6661" width="12.85546875" style="2" customWidth="1"/>
    <col min="6662" max="6663" width="13.28515625" style="2" customWidth="1"/>
    <col min="6664" max="6910" width="10.42578125" style="2"/>
    <col min="6911" max="6911" width="8.42578125" style="2" customWidth="1"/>
    <col min="6912" max="6913" width="12.85546875" style="2" customWidth="1"/>
    <col min="6914" max="6914" width="9.7109375" style="2" customWidth="1"/>
    <col min="6915" max="6915" width="7.28515625" style="2" customWidth="1"/>
    <col min="6916" max="6916" width="8.140625" style="2" customWidth="1"/>
    <col min="6917" max="6917" width="12.85546875" style="2" customWidth="1"/>
    <col min="6918" max="6919" width="13.28515625" style="2" customWidth="1"/>
    <col min="6920" max="7166" width="10.42578125" style="2"/>
    <col min="7167" max="7167" width="8.42578125" style="2" customWidth="1"/>
    <col min="7168" max="7169" width="12.85546875" style="2" customWidth="1"/>
    <col min="7170" max="7170" width="9.7109375" style="2" customWidth="1"/>
    <col min="7171" max="7171" width="7.28515625" style="2" customWidth="1"/>
    <col min="7172" max="7172" width="8.140625" style="2" customWidth="1"/>
    <col min="7173" max="7173" width="12.85546875" style="2" customWidth="1"/>
    <col min="7174" max="7175" width="13.28515625" style="2" customWidth="1"/>
    <col min="7176" max="7422" width="10.42578125" style="2"/>
    <col min="7423" max="7423" width="8.42578125" style="2" customWidth="1"/>
    <col min="7424" max="7425" width="12.85546875" style="2" customWidth="1"/>
    <col min="7426" max="7426" width="9.7109375" style="2" customWidth="1"/>
    <col min="7427" max="7427" width="7.28515625" style="2" customWidth="1"/>
    <col min="7428" max="7428" width="8.140625" style="2" customWidth="1"/>
    <col min="7429" max="7429" width="12.85546875" style="2" customWidth="1"/>
    <col min="7430" max="7431" width="13.28515625" style="2" customWidth="1"/>
    <col min="7432" max="7678" width="10.42578125" style="2"/>
    <col min="7679" max="7679" width="8.42578125" style="2" customWidth="1"/>
    <col min="7680" max="7681" width="12.85546875" style="2" customWidth="1"/>
    <col min="7682" max="7682" width="9.7109375" style="2" customWidth="1"/>
    <col min="7683" max="7683" width="7.28515625" style="2" customWidth="1"/>
    <col min="7684" max="7684" width="8.140625" style="2" customWidth="1"/>
    <col min="7685" max="7685" width="12.85546875" style="2" customWidth="1"/>
    <col min="7686" max="7687" width="13.28515625" style="2" customWidth="1"/>
    <col min="7688" max="7934" width="10.42578125" style="2"/>
    <col min="7935" max="7935" width="8.42578125" style="2" customWidth="1"/>
    <col min="7936" max="7937" width="12.85546875" style="2" customWidth="1"/>
    <col min="7938" max="7938" width="9.7109375" style="2" customWidth="1"/>
    <col min="7939" max="7939" width="7.28515625" style="2" customWidth="1"/>
    <col min="7940" max="7940" width="8.140625" style="2" customWidth="1"/>
    <col min="7941" max="7941" width="12.85546875" style="2" customWidth="1"/>
    <col min="7942" max="7943" width="13.28515625" style="2" customWidth="1"/>
    <col min="7944" max="8190" width="10.42578125" style="2"/>
    <col min="8191" max="8191" width="8.42578125" style="2" customWidth="1"/>
    <col min="8192" max="8193" width="12.85546875" style="2" customWidth="1"/>
    <col min="8194" max="8194" width="9.7109375" style="2" customWidth="1"/>
    <col min="8195" max="8195" width="7.28515625" style="2" customWidth="1"/>
    <col min="8196" max="8196" width="8.140625" style="2" customWidth="1"/>
    <col min="8197" max="8197" width="12.85546875" style="2" customWidth="1"/>
    <col min="8198" max="8199" width="13.28515625" style="2" customWidth="1"/>
    <col min="8200" max="8446" width="10.42578125" style="2"/>
    <col min="8447" max="8447" width="8.42578125" style="2" customWidth="1"/>
    <col min="8448" max="8449" width="12.85546875" style="2" customWidth="1"/>
    <col min="8450" max="8450" width="9.7109375" style="2" customWidth="1"/>
    <col min="8451" max="8451" width="7.28515625" style="2" customWidth="1"/>
    <col min="8452" max="8452" width="8.140625" style="2" customWidth="1"/>
    <col min="8453" max="8453" width="12.85546875" style="2" customWidth="1"/>
    <col min="8454" max="8455" width="13.28515625" style="2" customWidth="1"/>
    <col min="8456" max="8702" width="10.42578125" style="2"/>
    <col min="8703" max="8703" width="8.42578125" style="2" customWidth="1"/>
    <col min="8704" max="8705" width="12.85546875" style="2" customWidth="1"/>
    <col min="8706" max="8706" width="9.7109375" style="2" customWidth="1"/>
    <col min="8707" max="8707" width="7.28515625" style="2" customWidth="1"/>
    <col min="8708" max="8708" width="8.140625" style="2" customWidth="1"/>
    <col min="8709" max="8709" width="12.85546875" style="2" customWidth="1"/>
    <col min="8710" max="8711" width="13.28515625" style="2" customWidth="1"/>
    <col min="8712" max="8958" width="10.42578125" style="2"/>
    <col min="8959" max="8959" width="8.42578125" style="2" customWidth="1"/>
    <col min="8960" max="8961" width="12.85546875" style="2" customWidth="1"/>
    <col min="8962" max="8962" width="9.7109375" style="2" customWidth="1"/>
    <col min="8963" max="8963" width="7.28515625" style="2" customWidth="1"/>
    <col min="8964" max="8964" width="8.140625" style="2" customWidth="1"/>
    <col min="8965" max="8965" width="12.85546875" style="2" customWidth="1"/>
    <col min="8966" max="8967" width="13.28515625" style="2" customWidth="1"/>
    <col min="8968" max="9214" width="10.42578125" style="2"/>
    <col min="9215" max="9215" width="8.42578125" style="2" customWidth="1"/>
    <col min="9216" max="9217" width="12.85546875" style="2" customWidth="1"/>
    <col min="9218" max="9218" width="9.7109375" style="2" customWidth="1"/>
    <col min="9219" max="9219" width="7.28515625" style="2" customWidth="1"/>
    <col min="9220" max="9220" width="8.140625" style="2" customWidth="1"/>
    <col min="9221" max="9221" width="12.85546875" style="2" customWidth="1"/>
    <col min="9222" max="9223" width="13.28515625" style="2" customWidth="1"/>
    <col min="9224" max="9470" width="10.42578125" style="2"/>
    <col min="9471" max="9471" width="8.42578125" style="2" customWidth="1"/>
    <col min="9472" max="9473" width="12.85546875" style="2" customWidth="1"/>
    <col min="9474" max="9474" width="9.7109375" style="2" customWidth="1"/>
    <col min="9475" max="9475" width="7.28515625" style="2" customWidth="1"/>
    <col min="9476" max="9476" width="8.140625" style="2" customWidth="1"/>
    <col min="9477" max="9477" width="12.85546875" style="2" customWidth="1"/>
    <col min="9478" max="9479" width="13.28515625" style="2" customWidth="1"/>
    <col min="9480" max="9726" width="10.42578125" style="2"/>
    <col min="9727" max="9727" width="8.42578125" style="2" customWidth="1"/>
    <col min="9728" max="9729" width="12.85546875" style="2" customWidth="1"/>
    <col min="9730" max="9730" width="9.7109375" style="2" customWidth="1"/>
    <col min="9731" max="9731" width="7.28515625" style="2" customWidth="1"/>
    <col min="9732" max="9732" width="8.140625" style="2" customWidth="1"/>
    <col min="9733" max="9733" width="12.85546875" style="2" customWidth="1"/>
    <col min="9734" max="9735" width="13.28515625" style="2" customWidth="1"/>
    <col min="9736" max="9982" width="10.42578125" style="2"/>
    <col min="9983" max="9983" width="8.42578125" style="2" customWidth="1"/>
    <col min="9984" max="9985" width="12.85546875" style="2" customWidth="1"/>
    <col min="9986" max="9986" width="9.7109375" style="2" customWidth="1"/>
    <col min="9987" max="9987" width="7.28515625" style="2" customWidth="1"/>
    <col min="9988" max="9988" width="8.140625" style="2" customWidth="1"/>
    <col min="9989" max="9989" width="12.85546875" style="2" customWidth="1"/>
    <col min="9990" max="9991" width="13.28515625" style="2" customWidth="1"/>
    <col min="9992" max="10238" width="10.42578125" style="2"/>
    <col min="10239" max="10239" width="8.42578125" style="2" customWidth="1"/>
    <col min="10240" max="10241" width="12.85546875" style="2" customWidth="1"/>
    <col min="10242" max="10242" width="9.7109375" style="2" customWidth="1"/>
    <col min="10243" max="10243" width="7.28515625" style="2" customWidth="1"/>
    <col min="10244" max="10244" width="8.140625" style="2" customWidth="1"/>
    <col min="10245" max="10245" width="12.85546875" style="2" customWidth="1"/>
    <col min="10246" max="10247" width="13.28515625" style="2" customWidth="1"/>
    <col min="10248" max="10494" width="10.42578125" style="2"/>
    <col min="10495" max="10495" width="8.42578125" style="2" customWidth="1"/>
    <col min="10496" max="10497" width="12.85546875" style="2" customWidth="1"/>
    <col min="10498" max="10498" width="9.7109375" style="2" customWidth="1"/>
    <col min="10499" max="10499" width="7.28515625" style="2" customWidth="1"/>
    <col min="10500" max="10500" width="8.140625" style="2" customWidth="1"/>
    <col min="10501" max="10501" width="12.85546875" style="2" customWidth="1"/>
    <col min="10502" max="10503" width="13.28515625" style="2" customWidth="1"/>
    <col min="10504" max="10750" width="10.42578125" style="2"/>
    <col min="10751" max="10751" width="8.42578125" style="2" customWidth="1"/>
    <col min="10752" max="10753" width="12.85546875" style="2" customWidth="1"/>
    <col min="10754" max="10754" width="9.7109375" style="2" customWidth="1"/>
    <col min="10755" max="10755" width="7.28515625" style="2" customWidth="1"/>
    <col min="10756" max="10756" width="8.140625" style="2" customWidth="1"/>
    <col min="10757" max="10757" width="12.85546875" style="2" customWidth="1"/>
    <col min="10758" max="10759" width="13.28515625" style="2" customWidth="1"/>
    <col min="10760" max="11006" width="10.42578125" style="2"/>
    <col min="11007" max="11007" width="8.42578125" style="2" customWidth="1"/>
    <col min="11008" max="11009" width="12.85546875" style="2" customWidth="1"/>
    <col min="11010" max="11010" width="9.7109375" style="2" customWidth="1"/>
    <col min="11011" max="11011" width="7.28515625" style="2" customWidth="1"/>
    <col min="11012" max="11012" width="8.140625" style="2" customWidth="1"/>
    <col min="11013" max="11013" width="12.85546875" style="2" customWidth="1"/>
    <col min="11014" max="11015" width="13.28515625" style="2" customWidth="1"/>
    <col min="11016" max="11262" width="10.42578125" style="2"/>
    <col min="11263" max="11263" width="8.42578125" style="2" customWidth="1"/>
    <col min="11264" max="11265" width="12.85546875" style="2" customWidth="1"/>
    <col min="11266" max="11266" width="9.7109375" style="2" customWidth="1"/>
    <col min="11267" max="11267" width="7.28515625" style="2" customWidth="1"/>
    <col min="11268" max="11268" width="8.140625" style="2" customWidth="1"/>
    <col min="11269" max="11269" width="12.85546875" style="2" customWidth="1"/>
    <col min="11270" max="11271" width="13.28515625" style="2" customWidth="1"/>
    <col min="11272" max="11518" width="10.42578125" style="2"/>
    <col min="11519" max="11519" width="8.42578125" style="2" customWidth="1"/>
    <col min="11520" max="11521" width="12.85546875" style="2" customWidth="1"/>
    <col min="11522" max="11522" width="9.7109375" style="2" customWidth="1"/>
    <col min="11523" max="11523" width="7.28515625" style="2" customWidth="1"/>
    <col min="11524" max="11524" width="8.140625" style="2" customWidth="1"/>
    <col min="11525" max="11525" width="12.85546875" style="2" customWidth="1"/>
    <col min="11526" max="11527" width="13.28515625" style="2" customWidth="1"/>
    <col min="11528" max="11774" width="10.42578125" style="2"/>
    <col min="11775" max="11775" width="8.42578125" style="2" customWidth="1"/>
    <col min="11776" max="11777" width="12.85546875" style="2" customWidth="1"/>
    <col min="11778" max="11778" width="9.7109375" style="2" customWidth="1"/>
    <col min="11779" max="11779" width="7.28515625" style="2" customWidth="1"/>
    <col min="11780" max="11780" width="8.140625" style="2" customWidth="1"/>
    <col min="11781" max="11781" width="12.85546875" style="2" customWidth="1"/>
    <col min="11782" max="11783" width="13.28515625" style="2" customWidth="1"/>
    <col min="11784" max="12030" width="10.42578125" style="2"/>
    <col min="12031" max="12031" width="8.42578125" style="2" customWidth="1"/>
    <col min="12032" max="12033" width="12.85546875" style="2" customWidth="1"/>
    <col min="12034" max="12034" width="9.7109375" style="2" customWidth="1"/>
    <col min="12035" max="12035" width="7.28515625" style="2" customWidth="1"/>
    <col min="12036" max="12036" width="8.140625" style="2" customWidth="1"/>
    <col min="12037" max="12037" width="12.85546875" style="2" customWidth="1"/>
    <col min="12038" max="12039" width="13.28515625" style="2" customWidth="1"/>
    <col min="12040" max="12286" width="10.42578125" style="2"/>
    <col min="12287" max="12287" width="8.42578125" style="2" customWidth="1"/>
    <col min="12288" max="12289" width="12.85546875" style="2" customWidth="1"/>
    <col min="12290" max="12290" width="9.7109375" style="2" customWidth="1"/>
    <col min="12291" max="12291" width="7.28515625" style="2" customWidth="1"/>
    <col min="12292" max="12292" width="8.140625" style="2" customWidth="1"/>
    <col min="12293" max="12293" width="12.85546875" style="2" customWidth="1"/>
    <col min="12294" max="12295" width="13.28515625" style="2" customWidth="1"/>
    <col min="12296" max="12542" width="10.42578125" style="2"/>
    <col min="12543" max="12543" width="8.42578125" style="2" customWidth="1"/>
    <col min="12544" max="12545" width="12.85546875" style="2" customWidth="1"/>
    <col min="12546" max="12546" width="9.7109375" style="2" customWidth="1"/>
    <col min="12547" max="12547" width="7.28515625" style="2" customWidth="1"/>
    <col min="12548" max="12548" width="8.140625" style="2" customWidth="1"/>
    <col min="12549" max="12549" width="12.85546875" style="2" customWidth="1"/>
    <col min="12550" max="12551" width="13.28515625" style="2" customWidth="1"/>
    <col min="12552" max="12798" width="10.42578125" style="2"/>
    <col min="12799" max="12799" width="8.42578125" style="2" customWidth="1"/>
    <col min="12800" max="12801" width="12.85546875" style="2" customWidth="1"/>
    <col min="12802" max="12802" width="9.7109375" style="2" customWidth="1"/>
    <col min="12803" max="12803" width="7.28515625" style="2" customWidth="1"/>
    <col min="12804" max="12804" width="8.140625" style="2" customWidth="1"/>
    <col min="12805" max="12805" width="12.85546875" style="2" customWidth="1"/>
    <col min="12806" max="12807" width="13.28515625" style="2" customWidth="1"/>
    <col min="12808" max="13054" width="10.42578125" style="2"/>
    <col min="13055" max="13055" width="8.42578125" style="2" customWidth="1"/>
    <col min="13056" max="13057" width="12.85546875" style="2" customWidth="1"/>
    <col min="13058" max="13058" width="9.7109375" style="2" customWidth="1"/>
    <col min="13059" max="13059" width="7.28515625" style="2" customWidth="1"/>
    <col min="13060" max="13060" width="8.140625" style="2" customWidth="1"/>
    <col min="13061" max="13061" width="12.85546875" style="2" customWidth="1"/>
    <col min="13062" max="13063" width="13.28515625" style="2" customWidth="1"/>
    <col min="13064" max="13310" width="10.42578125" style="2"/>
    <col min="13311" max="13311" width="8.42578125" style="2" customWidth="1"/>
    <col min="13312" max="13313" width="12.85546875" style="2" customWidth="1"/>
    <col min="13314" max="13314" width="9.7109375" style="2" customWidth="1"/>
    <col min="13315" max="13315" width="7.28515625" style="2" customWidth="1"/>
    <col min="13316" max="13316" width="8.140625" style="2" customWidth="1"/>
    <col min="13317" max="13317" width="12.85546875" style="2" customWidth="1"/>
    <col min="13318" max="13319" width="13.28515625" style="2" customWidth="1"/>
    <col min="13320" max="13566" width="10.42578125" style="2"/>
    <col min="13567" max="13567" width="8.42578125" style="2" customWidth="1"/>
    <col min="13568" max="13569" width="12.85546875" style="2" customWidth="1"/>
    <col min="13570" max="13570" width="9.7109375" style="2" customWidth="1"/>
    <col min="13571" max="13571" width="7.28515625" style="2" customWidth="1"/>
    <col min="13572" max="13572" width="8.140625" style="2" customWidth="1"/>
    <col min="13573" max="13573" width="12.85546875" style="2" customWidth="1"/>
    <col min="13574" max="13575" width="13.28515625" style="2" customWidth="1"/>
    <col min="13576" max="13822" width="10.42578125" style="2"/>
    <col min="13823" max="13823" width="8.42578125" style="2" customWidth="1"/>
    <col min="13824" max="13825" width="12.85546875" style="2" customWidth="1"/>
    <col min="13826" max="13826" width="9.7109375" style="2" customWidth="1"/>
    <col min="13827" max="13827" width="7.28515625" style="2" customWidth="1"/>
    <col min="13828" max="13828" width="8.140625" style="2" customWidth="1"/>
    <col min="13829" max="13829" width="12.85546875" style="2" customWidth="1"/>
    <col min="13830" max="13831" width="13.28515625" style="2" customWidth="1"/>
    <col min="13832" max="14078" width="10.42578125" style="2"/>
    <col min="14079" max="14079" width="8.42578125" style="2" customWidth="1"/>
    <col min="14080" max="14081" width="12.85546875" style="2" customWidth="1"/>
    <col min="14082" max="14082" width="9.7109375" style="2" customWidth="1"/>
    <col min="14083" max="14083" width="7.28515625" style="2" customWidth="1"/>
    <col min="14084" max="14084" width="8.140625" style="2" customWidth="1"/>
    <col min="14085" max="14085" width="12.85546875" style="2" customWidth="1"/>
    <col min="14086" max="14087" width="13.28515625" style="2" customWidth="1"/>
    <col min="14088" max="14334" width="10.42578125" style="2"/>
    <col min="14335" max="14335" width="8.42578125" style="2" customWidth="1"/>
    <col min="14336" max="14337" width="12.85546875" style="2" customWidth="1"/>
    <col min="14338" max="14338" width="9.7109375" style="2" customWidth="1"/>
    <col min="14339" max="14339" width="7.28515625" style="2" customWidth="1"/>
    <col min="14340" max="14340" width="8.140625" style="2" customWidth="1"/>
    <col min="14341" max="14341" width="12.85546875" style="2" customWidth="1"/>
    <col min="14342" max="14343" width="13.28515625" style="2" customWidth="1"/>
    <col min="14344" max="14590" width="10.42578125" style="2"/>
    <col min="14591" max="14591" width="8.42578125" style="2" customWidth="1"/>
    <col min="14592" max="14593" width="12.85546875" style="2" customWidth="1"/>
    <col min="14594" max="14594" width="9.7109375" style="2" customWidth="1"/>
    <col min="14595" max="14595" width="7.28515625" style="2" customWidth="1"/>
    <col min="14596" max="14596" width="8.140625" style="2" customWidth="1"/>
    <col min="14597" max="14597" width="12.85546875" style="2" customWidth="1"/>
    <col min="14598" max="14599" width="13.28515625" style="2" customWidth="1"/>
    <col min="14600" max="14846" width="10.42578125" style="2"/>
    <col min="14847" max="14847" width="8.42578125" style="2" customWidth="1"/>
    <col min="14848" max="14849" width="12.85546875" style="2" customWidth="1"/>
    <col min="14850" max="14850" width="9.7109375" style="2" customWidth="1"/>
    <col min="14851" max="14851" width="7.28515625" style="2" customWidth="1"/>
    <col min="14852" max="14852" width="8.140625" style="2" customWidth="1"/>
    <col min="14853" max="14853" width="12.85546875" style="2" customWidth="1"/>
    <col min="14854" max="14855" width="13.28515625" style="2" customWidth="1"/>
    <col min="14856" max="15102" width="10.42578125" style="2"/>
    <col min="15103" max="15103" width="8.42578125" style="2" customWidth="1"/>
    <col min="15104" max="15105" width="12.85546875" style="2" customWidth="1"/>
    <col min="15106" max="15106" width="9.7109375" style="2" customWidth="1"/>
    <col min="15107" max="15107" width="7.28515625" style="2" customWidth="1"/>
    <col min="15108" max="15108" width="8.140625" style="2" customWidth="1"/>
    <col min="15109" max="15109" width="12.85546875" style="2" customWidth="1"/>
    <col min="15110" max="15111" width="13.28515625" style="2" customWidth="1"/>
    <col min="15112" max="15358" width="10.42578125" style="2"/>
    <col min="15359" max="15359" width="8.42578125" style="2" customWidth="1"/>
    <col min="15360" max="15361" width="12.85546875" style="2" customWidth="1"/>
    <col min="15362" max="15362" width="9.7109375" style="2" customWidth="1"/>
    <col min="15363" max="15363" width="7.28515625" style="2" customWidth="1"/>
    <col min="15364" max="15364" width="8.140625" style="2" customWidth="1"/>
    <col min="15365" max="15365" width="12.85546875" style="2" customWidth="1"/>
    <col min="15366" max="15367" width="13.28515625" style="2" customWidth="1"/>
    <col min="15368" max="15614" width="10.42578125" style="2"/>
    <col min="15615" max="15615" width="8.42578125" style="2" customWidth="1"/>
    <col min="15616" max="15617" width="12.85546875" style="2" customWidth="1"/>
    <col min="15618" max="15618" width="9.7109375" style="2" customWidth="1"/>
    <col min="15619" max="15619" width="7.28515625" style="2" customWidth="1"/>
    <col min="15620" max="15620" width="8.140625" style="2" customWidth="1"/>
    <col min="15621" max="15621" width="12.85546875" style="2" customWidth="1"/>
    <col min="15622" max="15623" width="13.28515625" style="2" customWidth="1"/>
    <col min="15624" max="15870" width="10.42578125" style="2"/>
    <col min="15871" max="15871" width="8.42578125" style="2" customWidth="1"/>
    <col min="15872" max="15873" width="12.85546875" style="2" customWidth="1"/>
    <col min="15874" max="15874" width="9.7109375" style="2" customWidth="1"/>
    <col min="15875" max="15875" width="7.28515625" style="2" customWidth="1"/>
    <col min="15876" max="15876" width="8.140625" style="2" customWidth="1"/>
    <col min="15877" max="15877" width="12.85546875" style="2" customWidth="1"/>
    <col min="15878" max="15879" width="13.28515625" style="2" customWidth="1"/>
    <col min="15880" max="16126" width="10.42578125" style="2"/>
    <col min="16127" max="16127" width="8.42578125" style="2" customWidth="1"/>
    <col min="16128" max="16129" width="12.85546875" style="2" customWidth="1"/>
    <col min="16130" max="16130" width="9.7109375" style="2" customWidth="1"/>
    <col min="16131" max="16131" width="7.28515625" style="2" customWidth="1"/>
    <col min="16132" max="16132" width="8.140625" style="2" customWidth="1"/>
    <col min="16133" max="16133" width="12.85546875" style="2" customWidth="1"/>
    <col min="16134" max="16135" width="13.28515625" style="2" customWidth="1"/>
    <col min="16136" max="16384" width="10.42578125" style="2"/>
  </cols>
  <sheetData>
    <row r="1" spans="2:7" ht="15" x14ac:dyDescent="0.25">
      <c r="B1" s="1" t="str">
        <f>'Main Sheet'!$B$1</f>
        <v>ABC &amp; Co.</v>
      </c>
      <c r="G1" s="3" t="str">
        <f>'Main Sheet'!D17</f>
        <v>Annex. D.1.5</v>
      </c>
    </row>
    <row r="2" spans="2:7" x14ac:dyDescent="0.25">
      <c r="B2" s="2" t="str">
        <f>'Main Sheet'!$B$2</f>
        <v>(Chartered Accountants)</v>
      </c>
    </row>
    <row r="4" spans="2:7" ht="15" x14ac:dyDescent="0.25">
      <c r="B4" s="57" t="s">
        <v>9</v>
      </c>
      <c r="C4" s="57"/>
      <c r="D4" s="57"/>
      <c r="E4" s="57"/>
      <c r="F4" s="57"/>
      <c r="G4" s="57"/>
    </row>
    <row r="5" spans="2:7" ht="15" x14ac:dyDescent="0.25">
      <c r="B5" s="4"/>
      <c r="C5" s="4"/>
      <c r="D5" s="4"/>
      <c r="E5" s="4"/>
      <c r="F5" s="4"/>
      <c r="G5" s="4"/>
    </row>
    <row r="6" spans="2:7" ht="26.25" customHeight="1" x14ac:dyDescent="0.25">
      <c r="B6" s="5" t="str">
        <f>'Main Sheet'!$B$6&amp;" " &amp;'Main Sheet'!$C$6</f>
        <v>Client:  ABC LIMITED</v>
      </c>
      <c r="C6" s="6"/>
      <c r="D6" s="6"/>
      <c r="F6" s="7" t="s">
        <v>2</v>
      </c>
      <c r="G6" s="8" t="str">
        <f>IF('Main Sheet'!$F$6&gt;0,'Main Sheet'!$F$6," ")</f>
        <v xml:space="preserve"> </v>
      </c>
    </row>
    <row r="7" spans="2:7" ht="26.25" customHeight="1" x14ac:dyDescent="0.25">
      <c r="B7" s="5" t="str">
        <f>'Main Sheet'!$B$7&amp;" " &amp;'Main Sheet'!$C$7</f>
        <v>Period: Year ended June 30, 2023</v>
      </c>
      <c r="C7" s="6"/>
      <c r="D7" s="6"/>
      <c r="F7" s="7" t="s">
        <v>4</v>
      </c>
      <c r="G7" s="8" t="str">
        <f>IF('Main Sheet'!$F$7&gt;0,'Main Sheet'!$F$7," ")</f>
        <v xml:space="preserve"> </v>
      </c>
    </row>
    <row r="8" spans="2:7" ht="15" x14ac:dyDescent="0.25">
      <c r="B8" s="9"/>
      <c r="C8" s="10"/>
      <c r="D8" s="10"/>
      <c r="F8" s="11"/>
    </row>
    <row r="9" spans="2:7" ht="15" x14ac:dyDescent="0.25">
      <c r="B9" s="12" t="str">
        <f>'Main Sheet'!C17</f>
        <v>Analysis of the materiality amount with other metrics in the applicable industry to analyze the appropriateness of the materiality derived.</v>
      </c>
      <c r="C9" s="10"/>
      <c r="D9" s="10"/>
      <c r="F9" s="11"/>
    </row>
    <row r="11" spans="2:7" x14ac:dyDescent="0.25">
      <c r="B11" s="2" t="s">
        <v>85</v>
      </c>
    </row>
    <row r="13" spans="2:7" ht="18.75" customHeight="1" x14ac:dyDescent="0.25">
      <c r="B13" s="58" t="s">
        <v>71</v>
      </c>
      <c r="C13" s="58"/>
      <c r="D13" s="13" t="s">
        <v>72</v>
      </c>
      <c r="E13" s="59" t="s">
        <v>86</v>
      </c>
      <c r="F13" s="59"/>
      <c r="G13" s="59"/>
    </row>
    <row r="14" spans="2:7" x14ac:dyDescent="0.25">
      <c r="E14" s="23"/>
      <c r="F14" s="23"/>
    </row>
    <row r="15" spans="2:7" ht="14.25" customHeight="1" x14ac:dyDescent="0.25">
      <c r="B15" s="82"/>
      <c r="C15" s="83"/>
      <c r="D15" s="25"/>
      <c r="E15" s="25" t="str">
        <f>'D.1.2'!B17</f>
        <v>Total Revenue</v>
      </c>
      <c r="F15" s="25" t="str">
        <f>'D.1.2'!B19</f>
        <v>Profit Before Tax</v>
      </c>
      <c r="G15" s="25" t="str">
        <f>'D.1.2'!B21</f>
        <v>Total Assets</v>
      </c>
    </row>
    <row r="16" spans="2:7" x14ac:dyDescent="0.25">
      <c r="E16" s="26"/>
      <c r="F16" s="26"/>
      <c r="G16" s="27"/>
    </row>
    <row r="17" spans="2:7" ht="14.25" customHeight="1" x14ac:dyDescent="0.25">
      <c r="B17" s="79" t="s">
        <v>38</v>
      </c>
      <c r="C17" s="81"/>
      <c r="D17" s="25" t="str">
        <f>'D.1.2'!J1</f>
        <v>Annex. D.1.2</v>
      </c>
      <c r="E17" s="28">
        <f>'D.1.2'!D17</f>
        <v>0</v>
      </c>
      <c r="F17" s="28">
        <f>'D.1.2'!D19</f>
        <v>0</v>
      </c>
      <c r="G17" s="29">
        <f>'D.1.2'!D21</f>
        <v>0</v>
      </c>
    </row>
    <row r="18" spans="2:7" x14ac:dyDescent="0.25">
      <c r="C18" s="23"/>
      <c r="D18" s="23"/>
      <c r="E18" s="26"/>
      <c r="F18" s="26"/>
      <c r="G18" s="27"/>
    </row>
    <row r="19" spans="2:7" x14ac:dyDescent="0.25">
      <c r="B19" s="79" t="s">
        <v>87</v>
      </c>
      <c r="C19" s="81"/>
      <c r="D19" s="25" t="str">
        <f>'D.1.4'!F1</f>
        <v>Annex. D.1.4</v>
      </c>
      <c r="E19" s="28">
        <f>'D.1.4'!$F$19</f>
        <v>0</v>
      </c>
      <c r="F19" s="28">
        <f>'D.1.4'!$F$19</f>
        <v>0</v>
      </c>
      <c r="G19" s="28">
        <f>'D.1.4'!$F$19</f>
        <v>0</v>
      </c>
    </row>
    <row r="20" spans="2:7" x14ac:dyDescent="0.25">
      <c r="C20" s="23"/>
      <c r="D20" s="23"/>
      <c r="E20" s="26"/>
      <c r="F20" s="26"/>
      <c r="G20" s="27"/>
    </row>
    <row r="21" spans="2:7" ht="15" customHeight="1" x14ac:dyDescent="0.25">
      <c r="B21" s="79" t="s">
        <v>88</v>
      </c>
      <c r="C21" s="81"/>
      <c r="D21" s="25"/>
      <c r="E21" s="30">
        <f>IFERROR(E19/E17,0)</f>
        <v>0</v>
      </c>
      <c r="F21" s="30">
        <f>IFERROR(F19/F17,0)</f>
        <v>0</v>
      </c>
      <c r="G21" s="30">
        <f>IFERROR(G19/G17,0)</f>
        <v>0</v>
      </c>
    </row>
    <row r="22" spans="2:7" x14ac:dyDescent="0.25">
      <c r="C22" s="23"/>
      <c r="D22" s="23"/>
      <c r="E22" s="31"/>
      <c r="F22" s="31"/>
      <c r="G22" s="32"/>
    </row>
    <row r="23" spans="2:7" ht="15" customHeight="1" x14ac:dyDescent="0.25">
      <c r="B23" s="79" t="s">
        <v>94</v>
      </c>
      <c r="C23" s="81"/>
      <c r="D23" s="25"/>
      <c r="E23" s="33" t="s">
        <v>92</v>
      </c>
      <c r="F23" s="33" t="s">
        <v>93</v>
      </c>
      <c r="G23" s="33" t="s">
        <v>93</v>
      </c>
    </row>
    <row r="24" spans="2:7" x14ac:dyDescent="0.25">
      <c r="C24" s="23"/>
      <c r="D24" s="23"/>
      <c r="E24" s="31"/>
      <c r="F24" s="31"/>
      <c r="G24" s="32"/>
    </row>
    <row r="25" spans="2:7" s="34" customFormat="1" x14ac:dyDescent="0.25">
      <c r="B25" s="34" t="s">
        <v>90</v>
      </c>
      <c r="E25" s="35"/>
      <c r="F25" s="35"/>
    </row>
    <row r="26" spans="2:7" ht="5.25" customHeight="1" x14ac:dyDescent="0.25"/>
    <row r="27" spans="2:7" x14ac:dyDescent="0.25">
      <c r="B27" s="2" t="s">
        <v>89</v>
      </c>
    </row>
    <row r="28" spans="2:7" ht="5.25" customHeight="1" x14ac:dyDescent="0.25"/>
    <row r="29" spans="2:7" x14ac:dyDescent="0.25">
      <c r="B29" s="2" t="s">
        <v>91</v>
      </c>
    </row>
  </sheetData>
  <mergeCells count="8">
    <mergeCell ref="B4:G4"/>
    <mergeCell ref="B23:C23"/>
    <mergeCell ref="E13:G13"/>
    <mergeCell ref="B13:C13"/>
    <mergeCell ref="B17:C17"/>
    <mergeCell ref="B15:C15"/>
    <mergeCell ref="B19:C19"/>
    <mergeCell ref="B21:C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Sheet</vt:lpstr>
      <vt:lpstr>D.1.1</vt:lpstr>
      <vt:lpstr>D.1.2</vt:lpstr>
      <vt:lpstr>D.1.3</vt:lpstr>
      <vt:lpstr>D.1.4</vt:lpstr>
      <vt:lpstr>D.1.5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Zahid</cp:lastModifiedBy>
  <cp:lastPrinted>2017-06-09T08:56:11Z</cp:lastPrinted>
  <dcterms:created xsi:type="dcterms:W3CDTF">2013-08-26T09:32:37Z</dcterms:created>
  <dcterms:modified xsi:type="dcterms:W3CDTF">2023-07-14T11:52:42Z</dcterms:modified>
</cp:coreProperties>
</file>