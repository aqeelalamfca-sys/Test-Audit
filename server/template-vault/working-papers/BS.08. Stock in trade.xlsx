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9be553335c6809b/Desktop/"/>
    </mc:Choice>
  </mc:AlternateContent>
  <xr:revisionPtr revIDLastSave="2" documentId="11_F77F1FB4D7D664B6876BDBE3D491CCA32DC3C88F" xr6:coauthVersionLast="47" xr6:coauthVersionMax="47" xr10:uidLastSave="{33777702-9762-4645-AD39-E7BEF56ACC7A}"/>
  <bookViews>
    <workbookView xWindow="-120" yWindow="-120" windowWidth="20730" windowHeight="11760" tabRatio="857" firstSheet="4" activeTab="9" xr2:uid="{00000000-000D-0000-FFFF-FFFF00000000}"/>
  </bookViews>
  <sheets>
    <sheet name="Index" sheetId="6" r:id="rId1"/>
    <sheet name="AOC" sheetId="7" r:id="rId2"/>
    <sheet name="Lead" sheetId="3" r:id="rId3"/>
    <sheet name="SubLead-RawMaterial" sheetId="20" r:id="rId4"/>
    <sheet name="SubLead-PackingMaterial" sheetId="26" r:id="rId5"/>
    <sheet name="SubLead-WIP" sheetId="25" r:id="rId6"/>
    <sheet name="SubLead-FinishedGoods" sheetId="27" r:id="rId7"/>
    <sheet name="Vouching-Additions" sheetId="23" r:id="rId8"/>
    <sheet name="Impairnment" sheetId="22" r:id="rId9"/>
    <sheet name="Adjusting Entries" sheetId="24" r:id="rId10"/>
  </sheets>
  <definedNames>
    <definedName name="_Fill" localSheetId="9" hidden="1">#REF!</definedName>
    <definedName name="_Fill" localSheetId="6" hidden="1">#REF!</definedName>
    <definedName name="_Fill" localSheetId="4" hidden="1">#REF!</definedName>
    <definedName name="_Fill" localSheetId="5" hidden="1">#REF!</definedName>
    <definedName name="_Fill" localSheetId="7" hidden="1">#REF!</definedName>
    <definedName name="_Fill" hidden="1">#REF!</definedName>
    <definedName name="_Key1" localSheetId="9" hidden="1">#REF!</definedName>
    <definedName name="_Key1" localSheetId="6" hidden="1">#REF!</definedName>
    <definedName name="_Key1" localSheetId="4" hidden="1">#REF!</definedName>
    <definedName name="_Key1" localSheetId="5" hidden="1">#REF!</definedName>
    <definedName name="_Key1" localSheetId="7" hidden="1">#REF!</definedName>
    <definedName name="_Key1" hidden="1">#REF!</definedName>
    <definedName name="_Key2" localSheetId="9" hidden="1">#REF!</definedName>
    <definedName name="_Key2" localSheetId="6" hidden="1">#REF!</definedName>
    <definedName name="_Key2" localSheetId="4" hidden="1">#REF!</definedName>
    <definedName name="_Key2" localSheetId="5" hidden="1">#REF!</definedName>
    <definedName name="_Key2" localSheetId="7" hidden="1">#REF!</definedName>
    <definedName name="_Key2" hidden="1">#REF!</definedName>
    <definedName name="_Order1" hidden="1">255</definedName>
    <definedName name="_Order2" hidden="1">255</definedName>
    <definedName name="_Sort" localSheetId="9" hidden="1">#REF!</definedName>
    <definedName name="_Sort" localSheetId="6" hidden="1">#REF!</definedName>
    <definedName name="_Sort" localSheetId="4" hidden="1">#REF!</definedName>
    <definedName name="_Sort" localSheetId="5" hidden="1">#REF!</definedName>
    <definedName name="_Sort" localSheetId="7" hidden="1">#REF!</definedName>
    <definedName name="_Sort" hidden="1">#REF!</definedName>
    <definedName name="_xlnm.Print_Area" localSheetId="9">'Adjusting Entries'!$A$1:$F$25</definedName>
    <definedName name="_xlnm.Print_Area" localSheetId="1">AOC!$A$1:$F$28</definedName>
    <definedName name="_xlnm.Print_Area" localSheetId="8">Impairnment!$A$1:$J$33</definedName>
    <definedName name="_xlnm.Print_Area" localSheetId="0">Index!$A$1:$I$38</definedName>
    <definedName name="_xlnm.Print_Area" localSheetId="2">Lead!$A$1:$L$44</definedName>
    <definedName name="_xlnm.Print_Area" localSheetId="6">'SubLead-FinishedGoods'!$A$1:$L$47</definedName>
    <definedName name="_xlnm.Print_Area" localSheetId="4">'SubLead-PackingMaterial'!$A$1:$L$45</definedName>
    <definedName name="_xlnm.Print_Area" localSheetId="3">'SubLead-RawMaterial'!$A$1:$J$48</definedName>
    <definedName name="_xlnm.Print_Area" localSheetId="5">'SubLead-WIP'!$A$1:$L$47</definedName>
    <definedName name="_xlnm.Print_Area" localSheetId="7">'Vouching-Additions'!$A$1:$J$37</definedName>
  </definedNames>
  <calcPr calcId="181029"/>
</workbook>
</file>

<file path=xl/calcChain.xml><?xml version="1.0" encoding="utf-8"?>
<calcChain xmlns="http://schemas.openxmlformats.org/spreadsheetml/2006/main">
  <c r="E7" i="24" l="1"/>
  <c r="D7" i="24"/>
  <c r="E6" i="24"/>
  <c r="D6" i="24"/>
  <c r="E5" i="24"/>
  <c r="D5" i="24"/>
  <c r="E4" i="24"/>
  <c r="D4" i="24"/>
  <c r="I7" i="22"/>
  <c r="H7" i="22"/>
  <c r="I6" i="22"/>
  <c r="H6" i="22"/>
  <c r="I5" i="22"/>
  <c r="H5" i="22"/>
  <c r="I4" i="22"/>
  <c r="H4" i="22"/>
  <c r="I7" i="23"/>
  <c r="H7" i="23"/>
  <c r="I6" i="23"/>
  <c r="H6" i="23"/>
  <c r="I5" i="23"/>
  <c r="H5" i="23"/>
  <c r="I4" i="23"/>
  <c r="H4" i="23"/>
  <c r="K7" i="27"/>
  <c r="J7" i="27"/>
  <c r="K6" i="27"/>
  <c r="J6" i="27"/>
  <c r="K5" i="27"/>
  <c r="J5" i="27"/>
  <c r="K4" i="27"/>
  <c r="J4" i="27"/>
  <c r="K7" i="25"/>
  <c r="J7" i="25"/>
  <c r="K6" i="25"/>
  <c r="J6" i="25"/>
  <c r="K5" i="25"/>
  <c r="J5" i="25"/>
  <c r="K4" i="25"/>
  <c r="J4" i="25"/>
  <c r="K7" i="26"/>
  <c r="J7" i="26"/>
  <c r="K6" i="26"/>
  <c r="J6" i="26"/>
  <c r="K5" i="26"/>
  <c r="J5" i="26"/>
  <c r="K4" i="26"/>
  <c r="J4" i="26"/>
  <c r="I7" i="20"/>
  <c r="H7" i="20"/>
  <c r="I6" i="20"/>
  <c r="H6" i="20"/>
  <c r="I5" i="20"/>
  <c r="H5" i="20"/>
  <c r="I4" i="20"/>
  <c r="H4" i="20"/>
  <c r="K7" i="3"/>
  <c r="J7" i="3"/>
  <c r="K6" i="3"/>
  <c r="J6" i="3"/>
  <c r="K5" i="3"/>
  <c r="J5" i="3"/>
  <c r="K4" i="3"/>
  <c r="J4" i="3"/>
  <c r="C6" i="24"/>
  <c r="B6" i="24"/>
  <c r="C5" i="24"/>
  <c r="B5" i="24"/>
  <c r="C4" i="24"/>
  <c r="B4" i="24"/>
  <c r="B2" i="24"/>
  <c r="B1" i="24"/>
  <c r="C6" i="22"/>
  <c r="B6" i="22"/>
  <c r="C5" i="22"/>
  <c r="B5" i="22"/>
  <c r="C4" i="22"/>
  <c r="B4" i="22"/>
  <c r="B2" i="22"/>
  <c r="B1" i="22"/>
  <c r="C6" i="23"/>
  <c r="B6" i="23"/>
  <c r="C5" i="23"/>
  <c r="B5" i="23"/>
  <c r="C4" i="23"/>
  <c r="B4" i="23"/>
  <c r="B2" i="23"/>
  <c r="B1" i="23"/>
  <c r="C6" i="27"/>
  <c r="B6" i="27"/>
  <c r="C5" i="27"/>
  <c r="B5" i="27"/>
  <c r="C4" i="27"/>
  <c r="B4" i="27"/>
  <c r="B2" i="27"/>
  <c r="B1" i="27"/>
  <c r="C6" i="25"/>
  <c r="B6" i="25"/>
  <c r="C5" i="25"/>
  <c r="B5" i="25"/>
  <c r="C4" i="25"/>
  <c r="B4" i="25"/>
  <c r="B2" i="25"/>
  <c r="B1" i="25"/>
  <c r="C6" i="26"/>
  <c r="B6" i="26"/>
  <c r="C5" i="26"/>
  <c r="B5" i="26"/>
  <c r="C4" i="26"/>
  <c r="B4" i="26"/>
  <c r="B2" i="26"/>
  <c r="B1" i="26"/>
  <c r="C6" i="20"/>
  <c r="B6" i="20"/>
  <c r="C5" i="20"/>
  <c r="B5" i="20"/>
  <c r="C4" i="20"/>
  <c r="B4" i="20"/>
  <c r="B2" i="20"/>
  <c r="B1" i="20"/>
  <c r="C6" i="3"/>
  <c r="B6" i="3"/>
  <c r="C5" i="3"/>
  <c r="B5" i="3"/>
  <c r="C4" i="3"/>
  <c r="B4" i="3"/>
  <c r="B2" i="3"/>
  <c r="B1" i="3"/>
  <c r="B25" i="7"/>
  <c r="B26" i="7" s="1"/>
  <c r="B24" i="7"/>
  <c r="B17" i="7"/>
  <c r="B16" i="7"/>
  <c r="B15" i="7"/>
  <c r="B14" i="7"/>
  <c r="E7" i="7"/>
  <c r="E6" i="7"/>
  <c r="E5" i="7"/>
  <c r="E4" i="7"/>
  <c r="D7" i="7"/>
  <c r="D6" i="7"/>
  <c r="D5" i="7"/>
  <c r="D4" i="7"/>
  <c r="C6" i="7"/>
  <c r="C5" i="7"/>
  <c r="C4" i="7"/>
  <c r="B6" i="7"/>
  <c r="B5" i="7"/>
  <c r="B4" i="7"/>
  <c r="B2" i="7"/>
  <c r="B1" i="7"/>
  <c r="E12" i="6"/>
  <c r="B14" i="6"/>
  <c r="B16" i="6" s="1"/>
  <c r="G37" i="27"/>
  <c r="G34" i="26"/>
  <c r="G37" i="25" s="1"/>
  <c r="E38" i="20"/>
  <c r="H26" i="3"/>
  <c r="F38" i="20" s="1"/>
  <c r="E16" i="6" l="1"/>
  <c r="B18" i="6"/>
  <c r="E14" i="6"/>
  <c r="H34" i="26"/>
  <c r="H37" i="25" s="1"/>
  <c r="H37" i="27"/>
  <c r="H45" i="27"/>
  <c r="G45" i="27"/>
  <c r="I43" i="27"/>
  <c r="J43" i="27" s="1"/>
  <c r="I42" i="27"/>
  <c r="J42" i="27" s="1"/>
  <c r="I41" i="27"/>
  <c r="J41" i="27" s="1"/>
  <c r="H45" i="25"/>
  <c r="G45" i="25"/>
  <c r="I43" i="25"/>
  <c r="J43" i="25" s="1"/>
  <c r="I42" i="25"/>
  <c r="J42" i="25" s="1"/>
  <c r="I41" i="25"/>
  <c r="J41" i="25" s="1"/>
  <c r="H42" i="26"/>
  <c r="G42" i="26"/>
  <c r="I40" i="26"/>
  <c r="J40" i="26" s="1"/>
  <c r="I39" i="26"/>
  <c r="J39" i="26" s="1"/>
  <c r="I38" i="26"/>
  <c r="J38" i="26" s="1"/>
  <c r="G44" i="20"/>
  <c r="H44" i="20" s="1"/>
  <c r="G43" i="20"/>
  <c r="H43" i="20" s="1"/>
  <c r="G42" i="20"/>
  <c r="H42" i="20" s="1"/>
  <c r="F46" i="20"/>
  <c r="E46" i="20"/>
  <c r="I31" i="3"/>
  <c r="J31" i="3" s="1"/>
  <c r="I32" i="3"/>
  <c r="J32" i="3" s="1"/>
  <c r="I33" i="3"/>
  <c r="J33" i="3" s="1"/>
  <c r="I34" i="3"/>
  <c r="J34" i="3" s="1"/>
  <c r="I35" i="3"/>
  <c r="J35" i="3" s="1"/>
  <c r="I36" i="3"/>
  <c r="J36" i="3" s="1"/>
  <c r="I37" i="3"/>
  <c r="J37" i="3" s="1"/>
  <c r="I30" i="3"/>
  <c r="J30" i="3" s="1"/>
  <c r="E18" i="6" l="1"/>
  <c r="B20" i="6"/>
  <c r="I45" i="27"/>
  <c r="I45" i="25"/>
  <c r="I42" i="26"/>
  <c r="G46" i="20"/>
  <c r="B40" i="27"/>
  <c r="B37" i="26"/>
  <c r="B40" i="25"/>
  <c r="B41" i="20"/>
  <c r="E20" i="6" l="1"/>
  <c r="B22" i="6"/>
  <c r="B24" i="6" l="1"/>
  <c r="E22" i="6"/>
  <c r="K1" i="3"/>
  <c r="E1" i="7"/>
  <c r="B26" i="6" l="1"/>
  <c r="E26" i="6" s="1"/>
  <c r="E1" i="24" s="1"/>
  <c r="E24" i="6"/>
  <c r="I1" i="22" s="1"/>
  <c r="I1" i="20"/>
  <c r="K1" i="26"/>
  <c r="K1" i="25"/>
  <c r="K1" i="27"/>
  <c r="I1" i="23"/>
  <c r="B8" i="7" l="1"/>
  <c r="I42" i="3" l="1"/>
  <c r="B29" i="3" l="1"/>
  <c r="G42" i="3" l="1"/>
  <c r="H42" i="3" l="1"/>
</calcChain>
</file>

<file path=xl/sharedStrings.xml><?xml version="1.0" encoding="utf-8"?>
<sst xmlns="http://schemas.openxmlformats.org/spreadsheetml/2006/main" count="268" uniqueCount="129">
  <si>
    <t xml:space="preserve">Client: </t>
  </si>
  <si>
    <t>Period:</t>
  </si>
  <si>
    <t>Head:</t>
  </si>
  <si>
    <t xml:space="preserve"> </t>
  </si>
  <si>
    <t>T O T A L</t>
  </si>
  <si>
    <t>INDEX</t>
  </si>
  <si>
    <t>Sr. #</t>
  </si>
  <si>
    <t>Whether Placed in File</t>
  </si>
  <si>
    <t>Initials of Reviewer</t>
  </si>
  <si>
    <t>LEAD SCHEDULE</t>
  </si>
  <si>
    <t>Prepared by:</t>
  </si>
  <si>
    <t>Reviewed by:</t>
  </si>
  <si>
    <t>Variance</t>
  </si>
  <si>
    <t>Reason for Variance</t>
  </si>
  <si>
    <t>Audit Objectives</t>
  </si>
  <si>
    <t>%</t>
  </si>
  <si>
    <t>SUB-LEAD SCHEDULE</t>
  </si>
  <si>
    <t>Analytical Procesures:</t>
  </si>
  <si>
    <t>Test of Details</t>
  </si>
  <si>
    <t>Work performed</t>
  </si>
  <si>
    <t>Audit Objectives and Conclusions</t>
  </si>
  <si>
    <t>Lead Schedule</t>
  </si>
  <si>
    <t>W.P. Ref.</t>
  </si>
  <si>
    <t>Description</t>
  </si>
  <si>
    <t>The audit has been completed in accordance with Audit program.</t>
  </si>
  <si>
    <t>The working papers demonstrate that adequate work has been undertaken.</t>
  </si>
  <si>
    <t>Objective Met</t>
  </si>
  <si>
    <t>Satisfactory</t>
  </si>
  <si>
    <t>Conclusion</t>
  </si>
  <si>
    <t>Yes/No</t>
  </si>
  <si>
    <t>Initials</t>
  </si>
  <si>
    <t>Rupees</t>
  </si>
  <si>
    <t>Opening balance</t>
  </si>
  <si>
    <t>Sub-Lead Schedule</t>
  </si>
  <si>
    <t>Confirmation summary, reconciliation</t>
  </si>
  <si>
    <t>Copies of Documents/Summary</t>
  </si>
  <si>
    <t>Ensured that closing balances as per our working paper file are matched with general ledger.</t>
  </si>
  <si>
    <t>The working papers contain sufficient information, details of significant features and notes of unusual matters to enable us to form an opinion on financial statements.</t>
  </si>
  <si>
    <t>In my opinion above amounts are fairly stated and on a consistent basis with the previous period.</t>
  </si>
  <si>
    <t>Impairment Testing</t>
  </si>
  <si>
    <t>IMPAIRNMENT TESTING</t>
  </si>
  <si>
    <t>Total closing balance</t>
  </si>
  <si>
    <t>VOUCHING - ADDITIONS</t>
  </si>
  <si>
    <t>Date</t>
  </si>
  <si>
    <t>Voucher #</t>
  </si>
  <si>
    <t xml:space="preserve">Amount </t>
  </si>
  <si>
    <t>Cheque #</t>
  </si>
  <si>
    <t>Proper Classification</t>
  </si>
  <si>
    <t>Traced into Bank Statement</t>
  </si>
  <si>
    <t>Approved By</t>
  </si>
  <si>
    <t>Vouching - Additions</t>
  </si>
  <si>
    <t>Adjusting Entries</t>
  </si>
  <si>
    <t>Amount</t>
  </si>
  <si>
    <t>Ageing</t>
  </si>
  <si>
    <t>0 - 1 year</t>
  </si>
  <si>
    <t>1 - 2 year</t>
  </si>
  <si>
    <t>2 - 3 years</t>
  </si>
  <si>
    <t>More than 3 years</t>
  </si>
  <si>
    <t>Subsequent Position</t>
  </si>
  <si>
    <t>ADJUSTING ENTRIES</t>
  </si>
  <si>
    <t>Entry Proposed</t>
  </si>
  <si>
    <t>Debit</t>
  </si>
  <si>
    <t>Credit</t>
  </si>
  <si>
    <t>Tested cut-off of inventory:</t>
  </si>
  <si>
    <t>Ensured proper recording of transactions in correct period.</t>
  </si>
  <si>
    <t>Selected transactions from purchases, purchase returns and sales (stock outs) of some days before and after the year end; and</t>
  </si>
  <si>
    <t>Add: Purchases during the year</t>
  </si>
  <si>
    <t>Assessed the appropriateness of purchases and consumptions method and rate in view of the flow of economic benefits.</t>
  </si>
  <si>
    <t>Checked the reasonableness of consumption allocated to inventories at different stages.</t>
  </si>
  <si>
    <t>Documented logical commercial reasons for purchases and consumption made during the year.</t>
  </si>
  <si>
    <t>Checked the appropriateness of compilation of overheads and allocation basis of the same to different products.</t>
  </si>
  <si>
    <t>Analytical Procedures:</t>
  </si>
  <si>
    <t>Test of Details:</t>
  </si>
  <si>
    <t>Obtain final inventory compilation schedule and perform the following:</t>
  </si>
  <si>
    <t>(a) Test casting and calculation of schedule.</t>
  </si>
  <si>
    <t>(b) Trace balances to the general ledger.</t>
  </si>
  <si>
    <t>(c) Trace quantities from physical stock take working papers.</t>
  </si>
  <si>
    <t>(d) Trace prices used to build up the average cost to purchase invoices</t>
  </si>
  <si>
    <t>Determined the basis of valuation (e.g. FIFO or average cost) is appropriate and followed consistently</t>
  </si>
  <si>
    <t>Obtained aging of inventories and compute provision for obsolete, damaged, or slow moving stocks, if any.</t>
  </si>
  <si>
    <t>Stock in trade is recorded at appropriate values.</t>
  </si>
  <si>
    <t>All recorded stock in trade actually exist.</t>
  </si>
  <si>
    <t>Stock in trade is completely and accurately recorded.</t>
  </si>
  <si>
    <t>Recorded stock in trade is owned by the client and title is also in the name of client.</t>
  </si>
  <si>
    <t>Raw Material</t>
  </si>
  <si>
    <t>Packing Material</t>
  </si>
  <si>
    <t>Work in Process</t>
  </si>
  <si>
    <t>Finished Goods</t>
  </si>
  <si>
    <t>Waste stock</t>
  </si>
  <si>
    <t>Stock-in-Bond</t>
  </si>
  <si>
    <t>Stock-in-transit</t>
  </si>
  <si>
    <t>Other stocks</t>
  </si>
  <si>
    <t>Compared current year balances and expense with last year and reasons for significant variations have been properly documented.</t>
  </si>
  <si>
    <t>Less: Issued to production during the year</t>
  </si>
  <si>
    <t>Checked that third party inventories are identified and excluded from physical count.</t>
  </si>
  <si>
    <t>For items owned by client but not physically held, obtained independent confirmations from custodians.</t>
  </si>
  <si>
    <t>Ensured that raw material of loss making and discontinued products are adequately provided for.</t>
  </si>
  <si>
    <t>Less: Consumed during the year</t>
  </si>
  <si>
    <t>Obtained stock card of some items and ensured that cost formula is correctly applied on receipts and issues</t>
  </si>
  <si>
    <t>Determined the basis for allocation of overhead cost is appropriate and followed consistently.</t>
  </si>
  <si>
    <t>Determined the basis of valuation (e.g. FIFO or average cost) is appropriate and followed consistently.</t>
  </si>
  <si>
    <t>Add: Production during the year</t>
  </si>
  <si>
    <t>Less: Sold during the year</t>
  </si>
  <si>
    <t>Assessed the appropriateness of consumptions of Raw Material and production of Finished Goods in agreement with the Standards of Production.</t>
  </si>
  <si>
    <t>Reconciled balance with the Stock movements during the year..</t>
  </si>
  <si>
    <t>Obtained age-analysis of Stock in trade and verified that stock in trade had been classified in correct categories.</t>
  </si>
  <si>
    <t>BS.08</t>
  </si>
  <si>
    <t>Obtained stock card of some items and ensured that cost formula is correctly applied on receipts and issues.</t>
  </si>
  <si>
    <t>Performed Subsequent sales analysis to ensure NRV of the Finished Goods is not less than cost.</t>
  </si>
  <si>
    <t>Subhead:</t>
  </si>
  <si>
    <t>Stock in trade is presented and all disclosures have been given in accordance with the Fourth / Fifth Schedule of the Companies Act, 2017 and relevant IASs/IFRSs.</t>
  </si>
  <si>
    <t>Determined that disclosures have been made in accordance with the requirements of Fifth Schedule to the Companies Act, 2017 and the applicable IASs/IFRSs.</t>
  </si>
  <si>
    <t>ABC &amp; Co.</t>
  </si>
  <si>
    <t>(Chartered Accountants)</t>
  </si>
  <si>
    <t>ABC Limited</t>
  </si>
  <si>
    <t>Year ended June 30, 2023</t>
  </si>
  <si>
    <t>Date prepared:</t>
  </si>
  <si>
    <t>Date reviewed:</t>
  </si>
  <si>
    <t>Stock in Trade</t>
  </si>
  <si>
    <t>Observed physical counting of inventories carried out by the client (at year-end or at any other date).</t>
  </si>
  <si>
    <t xml:space="preserve"> Perform tests of intervening transactions to ensure existence and conditions (unless impracticable).</t>
  </si>
  <si>
    <t xml:space="preserve"> Also checked on sample basis some items to ensure reliability. (Sample Attached)</t>
  </si>
  <si>
    <t xml:space="preserve">Perform tests of intervening transactions to ensure existence and conditions (unless impracticable). </t>
  </si>
  <si>
    <t>Also checked on sample basis some items to ensure reliability. (Sample Attached)</t>
  </si>
  <si>
    <t xml:space="preserve">Ensured that none of the stock in trade is impaired or the recoverable amount of same is not less than its carrying amount. </t>
  </si>
  <si>
    <t>If the carrying amount of stock in trade is more than its recoverable amount, then same should be reduced to recoverable amount.</t>
  </si>
  <si>
    <t>The reduction is recognised as impairment loss.</t>
  </si>
  <si>
    <t>Observations</t>
  </si>
  <si>
    <t>None.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</si>
</sst>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&quot;Rs.&quot;#,##0"/>
    <numFmt numFmtId="167" formatCode="&quot;£&quot;#,##0_);\(&quot;£&quot;#,##0\)"/>
    <numFmt numFmtId="168" formatCode="[$-409]d/mmm/yy;@"/>
    <numFmt numFmtId="169" formatCode="[$]dd\-mmm\-yyyy;@" x16r2:formatCode16="[$-en-PK,1]dd\-mmm\-yyyy;@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8"/>
      <color theme="1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Cambria"/>
      <family val="1"/>
      <scheme val="major"/>
    </font>
    <font>
      <b/>
      <sz val="1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2"/>
      <name val="Cambria"/>
      <family val="1"/>
      <scheme val="major"/>
    </font>
    <font>
      <sz val="12"/>
      <name val="Cambria"/>
      <family val="1"/>
      <scheme val="major"/>
    </font>
    <font>
      <sz val="12"/>
      <name val="Cambria"/>
      <family val="1"/>
      <scheme val="major"/>
    </font>
    <font>
      <sz val="1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name val="Cambria"/>
      <family val="1"/>
      <scheme val="major"/>
    </font>
    <font>
      <sz val="11"/>
      <color theme="1"/>
      <name val="Calibri"/>
      <family val="2"/>
      <scheme val="minor"/>
    </font>
    <font>
      <b/>
      <sz val="12"/>
      <name val="Book Antiqua"/>
      <family val="1"/>
    </font>
    <font>
      <sz val="12"/>
      <name val="Book Antiqua"/>
      <family val="1"/>
    </font>
    <font>
      <sz val="11"/>
      <name val="Book Antiqua"/>
      <family val="1"/>
    </font>
    <font>
      <sz val="11"/>
      <color theme="1"/>
      <name val="Book Antiqua"/>
      <family val="1"/>
    </font>
    <font>
      <b/>
      <sz val="11"/>
      <color indexed="8"/>
      <name val="Book Antiqua"/>
      <family val="1"/>
    </font>
    <font>
      <b/>
      <sz val="11"/>
      <name val="Book Antiqua"/>
      <family val="1"/>
    </font>
    <font>
      <b/>
      <sz val="11"/>
      <color theme="1"/>
      <name val="Book Antiqua"/>
      <family val="1"/>
    </font>
    <font>
      <sz val="12"/>
      <color theme="1"/>
      <name val="Book Antiqua"/>
      <family val="1"/>
    </font>
    <font>
      <sz val="11"/>
      <color indexed="8"/>
      <name val="Book Antiqua"/>
      <family val="1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indexed="8"/>
      <name val="Book Antiqua"/>
      <family val="1"/>
    </font>
    <font>
      <sz val="10"/>
      <name val="Cambria"/>
      <family val="1"/>
      <scheme val="major"/>
    </font>
    <font>
      <sz val="10"/>
      <color theme="1"/>
      <name val="Book Antiqua"/>
      <family val="1"/>
    </font>
    <font>
      <sz val="10"/>
      <color theme="1"/>
      <name val="Cambria"/>
      <family val="1"/>
      <scheme val="major"/>
    </font>
    <font>
      <b/>
      <sz val="10"/>
      <color theme="1"/>
      <name val="Book Antiqua"/>
      <family val="1"/>
    </font>
    <font>
      <b/>
      <sz val="10"/>
      <name val="Cambria"/>
      <family val="1"/>
      <scheme val="major"/>
    </font>
    <font>
      <sz val="10"/>
      <color indexed="8"/>
      <name val="Book Antiqua"/>
      <family val="1"/>
    </font>
    <font>
      <b/>
      <sz val="10"/>
      <color theme="1"/>
      <name val="Cambria"/>
      <family val="1"/>
      <scheme val="major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dotted">
        <color rgb="FFC00000"/>
      </left>
      <right style="dotted">
        <color rgb="FFC00000"/>
      </right>
      <top style="dotted">
        <color rgb="FFC00000"/>
      </top>
      <bottom style="dotted">
        <color rgb="FFC00000"/>
      </bottom>
      <diagonal/>
    </border>
    <border>
      <left style="dotted">
        <color rgb="FFC00000"/>
      </left>
      <right/>
      <top style="dotted">
        <color rgb="FFC00000"/>
      </top>
      <bottom style="dotted">
        <color rgb="FFC00000"/>
      </bottom>
      <diagonal/>
    </border>
    <border>
      <left/>
      <right style="dotted">
        <color rgb="FFC00000"/>
      </right>
      <top style="dotted">
        <color rgb="FFC00000"/>
      </top>
      <bottom style="dotted">
        <color rgb="FFC00000"/>
      </bottom>
      <diagonal/>
    </border>
    <border>
      <left/>
      <right/>
      <top style="thin">
        <color rgb="FFC00000"/>
      </top>
      <bottom style="dotted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 style="dotted">
        <color rgb="FFC00000"/>
      </left>
      <right style="dotted">
        <color rgb="FFC00000"/>
      </right>
      <top/>
      <bottom style="dotted">
        <color rgb="FFC00000"/>
      </bottom>
      <diagonal/>
    </border>
    <border>
      <left style="thin">
        <color rgb="FFC00000"/>
      </left>
      <right style="thin">
        <color rgb="FFC00000"/>
      </right>
      <top/>
      <bottom/>
      <diagonal/>
    </border>
    <border>
      <left style="dotted">
        <color rgb="FFC00000"/>
      </left>
      <right style="dotted">
        <color rgb="FFC00000"/>
      </right>
      <top/>
      <bottom/>
      <diagonal/>
    </border>
  </borders>
  <cellStyleXfs count="7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  <xf numFmtId="0" fontId="3" fillId="0" borderId="0"/>
    <xf numFmtId="0" fontId="5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7" fillId="4" borderId="0" applyNumberFormat="0" applyBorder="0" applyAlignment="0" applyProtection="0"/>
    <xf numFmtId="0" fontId="8" fillId="21" borderId="2" applyNumberFormat="0" applyAlignment="0" applyProtection="0"/>
    <xf numFmtId="0" fontId="9" fillId="22" borderId="3" applyNumberFormat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8" borderId="2" applyNumberFormat="0" applyAlignment="0" applyProtection="0"/>
    <xf numFmtId="0" fontId="17" fillId="0" borderId="7" applyNumberFormat="0" applyFill="0" applyAlignment="0" applyProtection="0"/>
    <xf numFmtId="0" fontId="18" fillId="23" borderId="0" applyNumberFormat="0" applyBorder="0" applyAlignment="0" applyProtection="0"/>
    <xf numFmtId="0" fontId="19" fillId="0" borderId="0"/>
    <xf numFmtId="0" fontId="2" fillId="0" borderId="0"/>
    <xf numFmtId="0" fontId="2" fillId="0" borderId="0"/>
    <xf numFmtId="0" fontId="19" fillId="0" borderId="0"/>
    <xf numFmtId="0" fontId="1" fillId="0" borderId="0"/>
    <xf numFmtId="0" fontId="4" fillId="24" borderId="8" applyNumberFormat="0" applyFont="0" applyAlignment="0" applyProtection="0"/>
    <xf numFmtId="0" fontId="20" fillId="21" borderId="9" applyNumberFormat="0" applyAlignment="0" applyProtection="0"/>
    <xf numFmtId="9" fontId="4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3" fillId="0" borderId="0"/>
    <xf numFmtId="168" fontId="3" fillId="0" borderId="0"/>
    <xf numFmtId="168" fontId="3" fillId="0" borderId="0"/>
    <xf numFmtId="0" fontId="3" fillId="0" borderId="0"/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24" fillId="0" borderId="0" xfId="4" applyFont="1"/>
    <xf numFmtId="0" fontId="24" fillId="2" borderId="0" xfId="2" applyFont="1" applyFill="1" applyAlignment="1">
      <alignment vertical="center"/>
    </xf>
    <xf numFmtId="0" fontId="29" fillId="2" borderId="0" xfId="2" applyFont="1" applyFill="1" applyAlignment="1">
      <alignment vertical="center"/>
    </xf>
    <xf numFmtId="0" fontId="24" fillId="0" borderId="0" xfId="4" applyFont="1" applyAlignment="1">
      <alignment vertical="center"/>
    </xf>
    <xf numFmtId="0" fontId="29" fillId="0" borderId="0" xfId="4" applyFont="1" applyAlignment="1">
      <alignment vertical="center"/>
    </xf>
    <xf numFmtId="0" fontId="26" fillId="0" borderId="0" xfId="0" applyFont="1" applyAlignment="1">
      <alignment vertical="center"/>
    </xf>
    <xf numFmtId="0" fontId="25" fillId="2" borderId="0" xfId="2" applyFont="1" applyFill="1" applyAlignment="1">
      <alignment vertical="center"/>
    </xf>
    <xf numFmtId="0" fontId="26" fillId="0" borderId="0" xfId="0" applyFont="1" applyAlignment="1">
      <alignment vertical="top"/>
    </xf>
    <xf numFmtId="0" fontId="26" fillId="0" borderId="0" xfId="0" applyFont="1" applyAlignment="1">
      <alignment vertical="top" wrapText="1"/>
    </xf>
    <xf numFmtId="0" fontId="24" fillId="2" borderId="0" xfId="2" applyFont="1" applyFill="1" applyAlignment="1">
      <alignment horizontal="left" vertical="center" indent="2"/>
    </xf>
    <xf numFmtId="0" fontId="26" fillId="25" borderId="0" xfId="0" applyFont="1" applyFill="1" applyAlignment="1">
      <alignment horizontal="left" vertical="top" indent="2"/>
    </xf>
    <xf numFmtId="0" fontId="26" fillId="25" borderId="0" xfId="0" applyFont="1" applyFill="1" applyAlignment="1">
      <alignment horizontal="left" vertical="top" wrapText="1" indent="2"/>
    </xf>
    <xf numFmtId="0" fontId="25" fillId="2" borderId="0" xfId="2" applyFont="1" applyFill="1" applyAlignment="1">
      <alignment horizontal="center" vertical="center"/>
    </xf>
    <xf numFmtId="0" fontId="26" fillId="25" borderId="0" xfId="0" applyFont="1" applyFill="1" applyAlignment="1">
      <alignment horizontal="left" vertical="top" wrapText="1" indent="3"/>
    </xf>
    <xf numFmtId="0" fontId="28" fillId="0" borderId="0" xfId="4" applyFont="1" applyAlignment="1">
      <alignment horizontal="right" vertical="center"/>
    </xf>
    <xf numFmtId="0" fontId="28" fillId="2" borderId="0" xfId="2" applyFont="1" applyFill="1" applyAlignment="1">
      <alignment horizontal="right" vertical="center"/>
    </xf>
    <xf numFmtId="0" fontId="30" fillId="0" borderId="0" xfId="4" applyFont="1" applyAlignment="1">
      <alignment vertical="center"/>
    </xf>
    <xf numFmtId="0" fontId="31" fillId="0" borderId="0" xfId="4" applyFont="1" applyAlignment="1">
      <alignment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vertical="top"/>
    </xf>
    <xf numFmtId="0" fontId="34" fillId="0" borderId="0" xfId="0" applyFont="1" applyAlignment="1">
      <alignment vertical="center"/>
    </xf>
    <xf numFmtId="0" fontId="32" fillId="0" borderId="0" xfId="0" applyFont="1" applyAlignment="1">
      <alignment vertical="center" wrapText="1"/>
    </xf>
    <xf numFmtId="0" fontId="34" fillId="0" borderId="0" xfId="0" applyFont="1" applyAlignment="1">
      <alignment vertical="center" wrapText="1"/>
    </xf>
    <xf numFmtId="0" fontId="31" fillId="2" borderId="0" xfId="2" applyFont="1" applyFill="1" applyAlignment="1">
      <alignment vertical="center"/>
    </xf>
    <xf numFmtId="0" fontId="33" fillId="2" borderId="0" xfId="2" applyFont="1" applyFill="1" applyAlignment="1">
      <alignment vertical="center"/>
    </xf>
    <xf numFmtId="165" fontId="24" fillId="2" borderId="12" xfId="1" applyNumberFormat="1" applyFont="1" applyFill="1" applyBorder="1" applyAlignment="1">
      <alignment horizontal="right" vertical="center"/>
    </xf>
    <xf numFmtId="9" fontId="24" fillId="2" borderId="12" xfId="74" applyFont="1" applyFill="1" applyBorder="1" applyAlignment="1">
      <alignment horizontal="center" vertical="center"/>
    </xf>
    <xf numFmtId="0" fontId="36" fillId="0" borderId="0" xfId="4" applyFont="1"/>
    <xf numFmtId="0" fontId="36" fillId="0" borderId="0" xfId="4" applyFont="1" applyAlignment="1">
      <alignment horizontal="center"/>
    </xf>
    <xf numFmtId="0" fontId="35" fillId="0" borderId="0" xfId="4" quotePrefix="1" applyFont="1" applyAlignment="1">
      <alignment horizontal="right" vertical="center"/>
    </xf>
    <xf numFmtId="0" fontId="36" fillId="0" borderId="0" xfId="4" applyFont="1" applyAlignment="1">
      <alignment vertical="center"/>
    </xf>
    <xf numFmtId="0" fontId="37" fillId="0" borderId="0" xfId="4" applyFont="1"/>
    <xf numFmtId="0" fontId="37" fillId="0" borderId="0" xfId="4" applyFont="1" applyAlignment="1">
      <alignment horizontal="center"/>
    </xf>
    <xf numFmtId="0" fontId="38" fillId="0" borderId="0" xfId="0" applyFont="1" applyAlignment="1">
      <alignment vertical="center"/>
    </xf>
    <xf numFmtId="0" fontId="37" fillId="0" borderId="0" xfId="4" applyFont="1" applyAlignment="1">
      <alignment vertical="center"/>
    </xf>
    <xf numFmtId="0" fontId="39" fillId="0" borderId="0" xfId="3" applyNumberFormat="1" applyFont="1" applyFill="1" applyBorder="1" applyAlignment="1" applyProtection="1">
      <alignment vertical="center"/>
    </xf>
    <xf numFmtId="0" fontId="39" fillId="0" borderId="0" xfId="3" applyNumberFormat="1" applyFont="1" applyAlignment="1">
      <alignment vertical="center"/>
    </xf>
    <xf numFmtId="0" fontId="39" fillId="0" borderId="0" xfId="3" applyNumberFormat="1" applyFont="1" applyAlignment="1">
      <alignment horizontal="center" vertical="center"/>
    </xf>
    <xf numFmtId="0" fontId="40" fillId="0" borderId="0" xfId="3" applyNumberFormat="1" applyFont="1" applyAlignment="1">
      <alignment horizontal="center" vertical="center"/>
    </xf>
    <xf numFmtId="0" fontId="37" fillId="0" borderId="0" xfId="4" applyFont="1" applyAlignment="1">
      <alignment horizontal="center" vertical="center"/>
    </xf>
    <xf numFmtId="0" fontId="40" fillId="0" borderId="0" xfId="4" applyFont="1" applyAlignment="1">
      <alignment horizontal="center"/>
    </xf>
    <xf numFmtId="0" fontId="37" fillId="0" borderId="12" xfId="4" applyFont="1" applyBorder="1" applyAlignment="1">
      <alignment horizontal="center" vertical="center"/>
    </xf>
    <xf numFmtId="0" fontId="37" fillId="0" borderId="12" xfId="4" applyFont="1" applyBorder="1" applyAlignment="1">
      <alignment vertical="center"/>
    </xf>
    <xf numFmtId="0" fontId="37" fillId="0" borderId="12" xfId="4" applyFont="1" applyBorder="1"/>
    <xf numFmtId="0" fontId="37" fillId="0" borderId="12" xfId="4" applyFont="1" applyBorder="1" applyAlignment="1">
      <alignment horizontal="left" vertical="center"/>
    </xf>
    <xf numFmtId="0" fontId="35" fillId="0" borderId="0" xfId="4" applyFont="1" applyAlignment="1">
      <alignment vertical="center"/>
    </xf>
    <xf numFmtId="0" fontId="35" fillId="2" borderId="0" xfId="2" applyFont="1" applyFill="1" applyAlignment="1">
      <alignment horizontal="left" vertical="center"/>
    </xf>
    <xf numFmtId="0" fontId="35" fillId="0" borderId="0" xfId="4" applyFont="1" applyAlignment="1">
      <alignment horizontal="right" vertical="center"/>
    </xf>
    <xf numFmtId="0" fontId="40" fillId="0" borderId="0" xfId="4" applyFont="1" applyAlignment="1">
      <alignment vertical="center"/>
    </xf>
    <xf numFmtId="0" fontId="41" fillId="0" borderId="0" xfId="0" applyFont="1" applyAlignment="1">
      <alignment horizontal="center" vertical="top"/>
    </xf>
    <xf numFmtId="0" fontId="38" fillId="0" borderId="0" xfId="0" applyFont="1" applyAlignment="1">
      <alignment vertical="top"/>
    </xf>
    <xf numFmtId="0" fontId="41" fillId="0" borderId="0" xfId="0" applyFont="1" applyAlignment="1">
      <alignment horizontal="center" vertical="center"/>
    </xf>
    <xf numFmtId="0" fontId="38" fillId="0" borderId="12" xfId="0" quotePrefix="1" applyFont="1" applyBorder="1" applyAlignment="1">
      <alignment horizontal="center" vertical="center" wrapText="1"/>
    </xf>
    <xf numFmtId="0" fontId="38" fillId="0" borderId="12" xfId="0" applyFont="1" applyBorder="1" applyAlignment="1">
      <alignment vertical="center"/>
    </xf>
    <xf numFmtId="0" fontId="38" fillId="0" borderId="12" xfId="0" applyFont="1" applyBorder="1" applyAlignment="1">
      <alignment vertical="center" wrapText="1"/>
    </xf>
    <xf numFmtId="0" fontId="38" fillId="0" borderId="12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7" fillId="2" borderId="0" xfId="2" quotePrefix="1" applyFont="1" applyFill="1" applyAlignment="1">
      <alignment horizontal="center" vertical="center"/>
    </xf>
    <xf numFmtId="0" fontId="37" fillId="2" borderId="0" xfId="2" applyFont="1" applyFill="1" applyAlignment="1">
      <alignment vertical="justify"/>
    </xf>
    <xf numFmtId="0" fontId="37" fillId="2" borderId="0" xfId="2" applyFont="1" applyFill="1" applyAlignment="1">
      <alignment vertical="center"/>
    </xf>
    <xf numFmtId="0" fontId="40" fillId="2" borderId="0" xfId="2" applyFont="1" applyFill="1" applyAlignment="1">
      <alignment vertical="center"/>
    </xf>
    <xf numFmtId="0" fontId="36" fillId="2" borderId="0" xfId="2" applyFont="1" applyFill="1" applyAlignment="1">
      <alignment vertical="center"/>
    </xf>
    <xf numFmtId="0" fontId="35" fillId="2" borderId="0" xfId="2" applyFont="1" applyFill="1" applyAlignment="1">
      <alignment vertical="center"/>
    </xf>
    <xf numFmtId="0" fontId="36" fillId="2" borderId="0" xfId="2" applyFont="1" applyFill="1" applyAlignment="1">
      <alignment horizontal="center" vertical="center"/>
    </xf>
    <xf numFmtId="0" fontId="42" fillId="0" borderId="0" xfId="0" applyFont="1" applyAlignment="1">
      <alignment vertical="center"/>
    </xf>
    <xf numFmtId="0" fontId="40" fillId="2" borderId="0" xfId="2" applyFont="1" applyFill="1" applyAlignment="1">
      <alignment horizontal="center" vertical="center"/>
    </xf>
    <xf numFmtId="0" fontId="37" fillId="2" borderId="12" xfId="2" applyFont="1" applyFill="1" applyBorder="1" applyAlignment="1">
      <alignment vertical="center"/>
    </xf>
    <xf numFmtId="165" fontId="37" fillId="2" borderId="12" xfId="1" applyNumberFormat="1" applyFont="1" applyFill="1" applyBorder="1" applyAlignment="1">
      <alignment horizontal="right" vertical="center"/>
    </xf>
    <xf numFmtId="165" fontId="37" fillId="2" borderId="12" xfId="1" applyNumberFormat="1" applyFont="1" applyFill="1" applyBorder="1" applyAlignment="1">
      <alignment horizontal="center" vertical="center"/>
    </xf>
    <xf numFmtId="0" fontId="38" fillId="25" borderId="0" xfId="0" applyFont="1" applyFill="1" applyAlignment="1">
      <alignment horizontal="left" vertical="top" wrapText="1" indent="3"/>
    </xf>
    <xf numFmtId="0" fontId="38" fillId="0" borderId="0" xfId="0" applyFont="1"/>
    <xf numFmtId="0" fontId="40" fillId="2" borderId="12" xfId="2" applyFont="1" applyFill="1" applyBorder="1" applyAlignment="1">
      <alignment horizontal="left" vertical="center" indent="1"/>
    </xf>
    <xf numFmtId="0" fontId="37" fillId="2" borderId="12" xfId="2" applyFont="1" applyFill="1" applyBorder="1" applyAlignment="1">
      <alignment horizontal="left" vertical="center" indent="1"/>
    </xf>
    <xf numFmtId="0" fontId="37" fillId="2" borderId="12" xfId="2" applyFont="1" applyFill="1" applyBorder="1" applyAlignment="1">
      <alignment horizontal="left" vertical="center" indent="2"/>
    </xf>
    <xf numFmtId="0" fontId="40" fillId="2" borderId="12" xfId="2" applyFont="1" applyFill="1" applyBorder="1" applyAlignment="1">
      <alignment horizontal="center" vertical="center"/>
    </xf>
    <xf numFmtId="0" fontId="43" fillId="0" borderId="0" xfId="3" applyNumberFormat="1" applyFont="1" applyFill="1" applyBorder="1" applyAlignment="1" applyProtection="1">
      <alignment vertical="center"/>
    </xf>
    <xf numFmtId="0" fontId="27" fillId="25" borderId="0" xfId="0" applyFont="1" applyFill="1" applyAlignment="1">
      <alignment horizontal="left" vertical="top" wrapText="1" indent="1"/>
    </xf>
    <xf numFmtId="0" fontId="41" fillId="0" borderId="11" xfId="4" applyFont="1" applyBorder="1" applyAlignment="1">
      <alignment horizontal="center" vertical="center"/>
    </xf>
    <xf numFmtId="0" fontId="41" fillId="0" borderId="11" xfId="4" applyFont="1" applyBorder="1" applyAlignment="1">
      <alignment horizontal="center" vertical="center" wrapText="1"/>
    </xf>
    <xf numFmtId="0" fontId="41" fillId="0" borderId="11" xfId="0" applyFont="1" applyBorder="1" applyAlignment="1">
      <alignment horizontal="center" vertical="center"/>
    </xf>
    <xf numFmtId="0" fontId="41" fillId="0" borderId="11" xfId="0" applyFont="1" applyBorder="1" applyAlignment="1">
      <alignment horizontal="center" vertical="center" wrapText="1"/>
    </xf>
    <xf numFmtId="0" fontId="41" fillId="0" borderId="11" xfId="2" applyFont="1" applyBorder="1" applyAlignment="1">
      <alignment horizontal="center" vertical="center" wrapText="1"/>
    </xf>
    <xf numFmtId="0" fontId="41" fillId="0" borderId="11" xfId="2" applyFont="1" applyBorder="1" applyAlignment="1">
      <alignment horizontal="center" vertical="center"/>
    </xf>
    <xf numFmtId="0" fontId="27" fillId="0" borderId="11" xfId="2" applyFont="1" applyBorder="1" applyAlignment="1">
      <alignment horizontal="center" vertical="center"/>
    </xf>
    <xf numFmtId="0" fontId="27" fillId="0" borderId="11" xfId="2" applyFont="1" applyBorder="1" applyAlignment="1">
      <alignment horizontal="center" vertical="center" wrapText="1"/>
    </xf>
    <xf numFmtId="0" fontId="37" fillId="0" borderId="15" xfId="4" applyFont="1" applyBorder="1" applyAlignment="1">
      <alignment horizontal="center" vertical="center"/>
    </xf>
    <xf numFmtId="0" fontId="37" fillId="0" borderId="15" xfId="4" applyFont="1" applyBorder="1" applyAlignment="1">
      <alignment vertical="center"/>
    </xf>
    <xf numFmtId="0" fontId="37" fillId="0" borderId="15" xfId="4" applyFont="1" applyBorder="1"/>
    <xf numFmtId="0" fontId="37" fillId="2" borderId="15" xfId="2" applyFont="1" applyFill="1" applyBorder="1" applyAlignment="1">
      <alignment vertical="center"/>
    </xf>
    <xf numFmtId="165" fontId="40" fillId="2" borderId="15" xfId="1" applyNumberFormat="1" applyFont="1" applyFill="1" applyBorder="1" applyAlignment="1">
      <alignment horizontal="right" vertical="center"/>
    </xf>
    <xf numFmtId="165" fontId="37" fillId="2" borderId="15" xfId="1" applyNumberFormat="1" applyFont="1" applyFill="1" applyBorder="1" applyAlignment="1">
      <alignment horizontal="right" vertical="center"/>
    </xf>
    <xf numFmtId="165" fontId="24" fillId="2" borderId="15" xfId="1" applyNumberFormat="1" applyFont="1" applyFill="1" applyBorder="1" applyAlignment="1">
      <alignment horizontal="right" vertical="center"/>
    </xf>
    <xf numFmtId="0" fontId="41" fillId="0" borderId="16" xfId="2" applyFont="1" applyBorder="1" applyAlignment="1">
      <alignment horizontal="center" vertical="center"/>
    </xf>
    <xf numFmtId="0" fontId="27" fillId="0" borderId="16" xfId="2" applyFont="1" applyBorder="1" applyAlignment="1">
      <alignment horizontal="center" vertical="center"/>
    </xf>
    <xf numFmtId="0" fontId="40" fillId="2" borderId="17" xfId="2" applyFont="1" applyFill="1" applyBorder="1" applyAlignment="1">
      <alignment horizontal="left" vertical="center" indent="1"/>
    </xf>
    <xf numFmtId="0" fontId="37" fillId="2" borderId="17" xfId="2" applyFont="1" applyFill="1" applyBorder="1" applyAlignment="1">
      <alignment horizontal="left" vertical="center" indent="1"/>
    </xf>
    <xf numFmtId="0" fontId="37" fillId="2" borderId="17" xfId="2" applyFont="1" applyFill="1" applyBorder="1" applyAlignment="1">
      <alignment vertical="center"/>
    </xf>
    <xf numFmtId="165" fontId="37" fillId="2" borderId="17" xfId="1" applyNumberFormat="1" applyFont="1" applyFill="1" applyBorder="1" applyAlignment="1">
      <alignment horizontal="right" vertical="center"/>
    </xf>
    <xf numFmtId="165" fontId="24" fillId="2" borderId="17" xfId="1" applyNumberFormat="1" applyFont="1" applyFill="1" applyBorder="1" applyAlignment="1">
      <alignment horizontal="right" vertical="center"/>
    </xf>
    <xf numFmtId="0" fontId="26" fillId="0" borderId="15" xfId="0" applyFont="1" applyBorder="1" applyAlignment="1">
      <alignment vertical="center"/>
    </xf>
    <xf numFmtId="0" fontId="38" fillId="0" borderId="15" xfId="0" quotePrefix="1" applyFont="1" applyBorder="1" applyAlignment="1">
      <alignment horizontal="center" vertical="center" wrapText="1"/>
    </xf>
    <xf numFmtId="0" fontId="38" fillId="0" borderId="15" xfId="0" applyFont="1" applyBorder="1" applyAlignment="1">
      <alignment vertical="center"/>
    </xf>
    <xf numFmtId="0" fontId="44" fillId="0" borderId="0" xfId="4" applyFont="1"/>
    <xf numFmtId="0" fontId="45" fillId="0" borderId="0" xfId="4" applyFont="1"/>
    <xf numFmtId="0" fontId="46" fillId="0" borderId="0" xfId="3" applyNumberFormat="1" applyFont="1" applyFill="1" applyBorder="1" applyAlignment="1" applyProtection="1">
      <alignment vertical="center"/>
    </xf>
    <xf numFmtId="0" fontId="46" fillId="0" borderId="0" xfId="3" applyNumberFormat="1" applyFont="1" applyFill="1" applyAlignment="1">
      <alignment vertical="center"/>
    </xf>
    <xf numFmtId="0" fontId="44" fillId="0" borderId="0" xfId="0" applyFont="1" applyAlignment="1">
      <alignment vertical="center"/>
    </xf>
    <xf numFmtId="0" fontId="46" fillId="0" borderId="0" xfId="4" applyFont="1" applyAlignment="1">
      <alignment horizontal="left" vertical="center"/>
    </xf>
    <xf numFmtId="0" fontId="45" fillId="0" borderId="0" xfId="4" applyFont="1" applyAlignment="1">
      <alignment horizontal="center" vertical="center"/>
    </xf>
    <xf numFmtId="169" fontId="45" fillId="0" borderId="1" xfId="4" applyNumberFormat="1" applyFont="1" applyBorder="1" applyAlignment="1">
      <alignment horizontal="center" vertical="center"/>
    </xf>
    <xf numFmtId="0" fontId="45" fillId="0" borderId="1" xfId="4" applyFont="1" applyBorder="1" applyAlignment="1">
      <alignment horizontal="center" vertical="center"/>
    </xf>
    <xf numFmtId="0" fontId="40" fillId="0" borderId="0" xfId="4" applyFont="1" applyAlignment="1">
      <alignment horizontal="left"/>
    </xf>
    <xf numFmtId="0" fontId="46" fillId="0" borderId="0" xfId="3" applyNumberFormat="1" applyFont="1" applyFill="1" applyBorder="1" applyAlignment="1">
      <alignment vertical="center"/>
    </xf>
    <xf numFmtId="0" fontId="41" fillId="0" borderId="18" xfId="4" applyFont="1" applyBorder="1" applyAlignment="1">
      <alignment horizontal="center" vertical="center"/>
    </xf>
    <xf numFmtId="0" fontId="37" fillId="0" borderId="19" xfId="4" applyFont="1" applyBorder="1" applyAlignment="1">
      <alignment vertical="center"/>
    </xf>
    <xf numFmtId="0" fontId="37" fillId="0" borderId="19" xfId="4" applyFont="1" applyBorder="1" applyAlignment="1">
      <alignment horizontal="left" vertical="center"/>
    </xf>
    <xf numFmtId="0" fontId="39" fillId="0" borderId="0" xfId="3" applyNumberFormat="1" applyFont="1" applyBorder="1" applyAlignment="1">
      <alignment horizontal="center" vertical="center"/>
    </xf>
    <xf numFmtId="0" fontId="40" fillId="0" borderId="0" xfId="3" applyNumberFormat="1" applyFont="1" applyBorder="1" applyAlignment="1">
      <alignment horizontal="center" vertical="center"/>
    </xf>
    <xf numFmtId="0" fontId="41" fillId="0" borderId="18" xfId="4" applyFont="1" applyBorder="1" applyAlignment="1">
      <alignment horizontal="center" vertical="center" wrapText="1"/>
    </xf>
    <xf numFmtId="0" fontId="37" fillId="0" borderId="19" xfId="4" applyFont="1" applyBorder="1" applyAlignment="1">
      <alignment horizontal="center" vertical="center"/>
    </xf>
    <xf numFmtId="0" fontId="39" fillId="0" borderId="0" xfId="3" applyNumberFormat="1" applyFont="1" applyBorder="1" applyAlignment="1">
      <alignment vertical="center"/>
    </xf>
    <xf numFmtId="0" fontId="44" fillId="0" borderId="0" xfId="4" applyFont="1" applyAlignment="1">
      <alignment vertical="center"/>
    </xf>
    <xf numFmtId="0" fontId="45" fillId="0" borderId="0" xfId="4" applyFont="1" applyAlignment="1">
      <alignment vertical="center"/>
    </xf>
    <xf numFmtId="0" fontId="44" fillId="2" borderId="0" xfId="2" applyFont="1" applyFill="1" applyAlignment="1">
      <alignment horizontal="left" vertical="center"/>
    </xf>
    <xf numFmtId="0" fontId="44" fillId="0" borderId="0" xfId="4" applyFont="1" applyAlignment="1">
      <alignment horizontal="right" vertical="center"/>
    </xf>
    <xf numFmtId="0" fontId="47" fillId="0" borderId="0" xfId="4" applyFont="1" applyAlignment="1">
      <alignment vertical="center"/>
    </xf>
    <xf numFmtId="0" fontId="48" fillId="0" borderId="0" xfId="0" applyFont="1" applyAlignment="1">
      <alignment vertical="center"/>
    </xf>
    <xf numFmtId="0" fontId="46" fillId="0" borderId="0" xfId="3" applyNumberFormat="1" applyFont="1" applyAlignment="1">
      <alignment vertical="center"/>
    </xf>
    <xf numFmtId="0" fontId="46" fillId="0" borderId="0" xfId="3" applyNumberFormat="1" applyFont="1" applyBorder="1" applyAlignment="1">
      <alignment vertical="center"/>
    </xf>
    <xf numFmtId="0" fontId="49" fillId="0" borderId="0" xfId="0" applyFont="1" applyAlignment="1">
      <alignment vertical="center"/>
    </xf>
    <xf numFmtId="0" fontId="50" fillId="0" borderId="11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11" xfId="0" applyFont="1" applyBorder="1" applyAlignment="1">
      <alignment horizontal="center" vertical="center" wrapText="1"/>
    </xf>
    <xf numFmtId="0" fontId="50" fillId="0" borderId="15" xfId="0" applyFont="1" applyBorder="1" applyAlignment="1">
      <alignment vertical="top"/>
    </xf>
    <xf numFmtId="0" fontId="48" fillId="0" borderId="15" xfId="0" applyFont="1" applyBorder="1" applyAlignment="1">
      <alignment vertical="top"/>
    </xf>
    <xf numFmtId="0" fontId="48" fillId="0" borderId="0" xfId="0" applyFont="1" applyAlignment="1">
      <alignment vertical="top"/>
    </xf>
    <xf numFmtId="0" fontId="49" fillId="0" borderId="0" xfId="0" applyFont="1" applyAlignment="1">
      <alignment vertical="top"/>
    </xf>
    <xf numFmtId="0" fontId="48" fillId="0" borderId="12" xfId="0" quotePrefix="1" applyFont="1" applyBorder="1" applyAlignment="1">
      <alignment horizontal="center" vertical="center" wrapText="1"/>
    </xf>
    <xf numFmtId="0" fontId="48" fillId="0" borderId="12" xfId="0" applyFont="1" applyBorder="1" applyAlignment="1">
      <alignment vertical="center" wrapText="1"/>
    </xf>
    <xf numFmtId="0" fontId="48" fillId="0" borderId="0" xfId="0" applyFont="1" applyAlignment="1">
      <alignment vertical="center" wrapText="1"/>
    </xf>
    <xf numFmtId="0" fontId="49" fillId="0" borderId="0" xfId="0" applyFont="1" applyAlignment="1">
      <alignment vertical="center" wrapText="1"/>
    </xf>
    <xf numFmtId="0" fontId="48" fillId="0" borderId="12" xfId="0" quotePrefix="1" applyFont="1" applyBorder="1" applyAlignment="1">
      <alignment horizontal="center" vertical="top" wrapText="1"/>
    </xf>
    <xf numFmtId="0" fontId="48" fillId="0" borderId="12" xfId="0" applyFont="1" applyBorder="1" applyAlignment="1">
      <alignment vertical="justify" wrapText="1"/>
    </xf>
    <xf numFmtId="0" fontId="48" fillId="0" borderId="12" xfId="0" applyFont="1" applyBorder="1" applyAlignment="1">
      <alignment vertical="top" wrapText="1"/>
    </xf>
    <xf numFmtId="0" fontId="48" fillId="0" borderId="0" xfId="0" applyFont="1" applyAlignment="1">
      <alignment vertical="top" wrapText="1"/>
    </xf>
    <xf numFmtId="0" fontId="49" fillId="0" borderId="0" xfId="0" applyFont="1" applyAlignment="1">
      <alignment vertical="top" wrapText="1"/>
    </xf>
    <xf numFmtId="0" fontId="48" fillId="0" borderId="0" xfId="0" quotePrefix="1" applyFont="1" applyAlignment="1">
      <alignment horizontal="center" vertical="top" wrapText="1"/>
    </xf>
    <xf numFmtId="0" fontId="48" fillId="0" borderId="0" xfId="0" applyFont="1" applyAlignment="1">
      <alignment vertical="justify" wrapText="1"/>
    </xf>
    <xf numFmtId="0" fontId="45" fillId="2" borderId="0" xfId="2" applyFont="1" applyFill="1" applyAlignment="1">
      <alignment vertical="center"/>
    </xf>
    <xf numFmtId="0" fontId="47" fillId="2" borderId="0" xfId="2" applyFont="1" applyFill="1" applyAlignment="1">
      <alignment vertical="center"/>
    </xf>
    <xf numFmtId="0" fontId="44" fillId="2" borderId="15" xfId="2" applyFont="1" applyFill="1" applyBorder="1" applyAlignment="1">
      <alignment vertical="center"/>
    </xf>
    <xf numFmtId="0" fontId="45" fillId="2" borderId="15" xfId="2" applyFont="1" applyFill="1" applyBorder="1" applyAlignment="1">
      <alignment vertical="center"/>
    </xf>
    <xf numFmtId="0" fontId="44" fillId="2" borderId="15" xfId="2" applyFont="1" applyFill="1" applyBorder="1" applyAlignment="1">
      <alignment horizontal="center" vertical="center"/>
    </xf>
    <xf numFmtId="0" fontId="45" fillId="2" borderId="12" xfId="2" applyFont="1" applyFill="1" applyBorder="1" applyAlignment="1">
      <alignment vertical="center" wrapText="1"/>
    </xf>
    <xf numFmtId="0" fontId="45" fillId="2" borderId="0" xfId="2" applyFont="1" applyFill="1" applyAlignment="1">
      <alignment vertical="center" wrapText="1"/>
    </xf>
    <xf numFmtId="0" fontId="47" fillId="2" borderId="0" xfId="2" applyFont="1" applyFill="1" applyAlignment="1">
      <alignment vertical="center" wrapText="1"/>
    </xf>
    <xf numFmtId="0" fontId="48" fillId="0" borderId="12" xfId="0" applyFont="1" applyBorder="1" applyAlignment="1">
      <alignment horizontal="center" vertical="center" wrapText="1"/>
    </xf>
    <xf numFmtId="0" fontId="45" fillId="2" borderId="0" xfId="2" quotePrefix="1" applyFont="1" applyFill="1" applyAlignment="1">
      <alignment horizontal="center" vertical="center"/>
    </xf>
    <xf numFmtId="0" fontId="45" fillId="2" borderId="0" xfId="2" applyFont="1" applyFill="1" applyAlignment="1">
      <alignment vertical="justify"/>
    </xf>
    <xf numFmtId="0" fontId="44" fillId="2" borderId="0" xfId="2" applyFont="1" applyFill="1" applyAlignment="1">
      <alignment vertical="center"/>
    </xf>
    <xf numFmtId="0" fontId="51" fillId="2" borderId="0" xfId="2" applyFont="1" applyFill="1" applyAlignment="1">
      <alignment vertical="center"/>
    </xf>
    <xf numFmtId="0" fontId="44" fillId="0" borderId="0" xfId="4" applyFont="1" applyAlignment="1">
      <alignment horizontal="left" vertical="center"/>
    </xf>
    <xf numFmtId="0" fontId="51" fillId="2" borderId="0" xfId="2" applyFont="1" applyFill="1" applyAlignment="1">
      <alignment horizontal="right" vertical="center"/>
    </xf>
    <xf numFmtId="0" fontId="45" fillId="2" borderId="0" xfId="2" applyFont="1" applyFill="1" applyAlignment="1">
      <alignment horizontal="center" vertical="center"/>
    </xf>
    <xf numFmtId="0" fontId="47" fillId="0" borderId="0" xfId="4" applyFont="1"/>
    <xf numFmtId="0" fontId="52" fillId="0" borderId="0" xfId="3" applyNumberFormat="1" applyFont="1" applyFill="1" applyBorder="1" applyAlignment="1" applyProtection="1">
      <alignment vertical="center"/>
    </xf>
    <xf numFmtId="0" fontId="44" fillId="2" borderId="0" xfId="2" applyFont="1" applyFill="1" applyAlignment="1">
      <alignment horizontal="left" vertical="center" indent="1"/>
    </xf>
    <xf numFmtId="0" fontId="47" fillId="2" borderId="0" xfId="2" applyFont="1" applyFill="1" applyAlignment="1">
      <alignment vertical="top"/>
    </xf>
    <xf numFmtId="0" fontId="45" fillId="2" borderId="0" xfId="2" applyFont="1" applyFill="1" applyAlignment="1">
      <alignment horizontal="left" vertical="top" wrapText="1" indent="2"/>
    </xf>
    <xf numFmtId="0" fontId="47" fillId="2" borderId="0" xfId="2" applyFont="1" applyFill="1" applyAlignment="1">
      <alignment horizontal="left" vertical="top" wrapText="1" indent="2"/>
    </xf>
    <xf numFmtId="0" fontId="45" fillId="2" borderId="0" xfId="2" applyFont="1" applyFill="1" applyAlignment="1">
      <alignment horizontal="left" vertical="top" wrapText="1"/>
    </xf>
    <xf numFmtId="0" fontId="47" fillId="2" borderId="0" xfId="2" applyFont="1" applyFill="1" applyAlignment="1">
      <alignment horizontal="left" vertical="top" wrapText="1"/>
    </xf>
    <xf numFmtId="0" fontId="49" fillId="25" borderId="0" xfId="0" applyFont="1" applyFill="1" applyAlignment="1">
      <alignment horizontal="left" vertical="top" wrapText="1" indent="2"/>
    </xf>
    <xf numFmtId="0" fontId="47" fillId="2" borderId="0" xfId="2" applyFont="1" applyFill="1" applyAlignment="1">
      <alignment horizontal="left" vertical="center" indent="2"/>
    </xf>
    <xf numFmtId="0" fontId="47" fillId="2" borderId="0" xfId="2" applyFont="1" applyFill="1" applyAlignment="1">
      <alignment horizontal="left" vertical="center" wrapText="1" indent="2"/>
    </xf>
    <xf numFmtId="0" fontId="50" fillId="0" borderId="11" xfId="2" applyFont="1" applyBorder="1" applyAlignment="1">
      <alignment horizontal="center" vertical="center"/>
    </xf>
    <xf numFmtId="0" fontId="53" fillId="0" borderId="11" xfId="2" applyFont="1" applyBorder="1" applyAlignment="1">
      <alignment horizontal="center" vertical="center"/>
    </xf>
    <xf numFmtId="165" fontId="44" fillId="2" borderId="15" xfId="1" applyNumberFormat="1" applyFont="1" applyFill="1" applyBorder="1" applyAlignment="1">
      <alignment horizontal="right" vertical="center"/>
    </xf>
    <xf numFmtId="165" fontId="45" fillId="2" borderId="15" xfId="1" applyNumberFormat="1" applyFont="1" applyFill="1" applyBorder="1" applyAlignment="1">
      <alignment horizontal="right" vertical="center"/>
    </xf>
    <xf numFmtId="165" fontId="47" fillId="2" borderId="15" xfId="1" applyNumberFormat="1" applyFont="1" applyFill="1" applyBorder="1" applyAlignment="1">
      <alignment horizontal="right" vertical="center"/>
    </xf>
    <xf numFmtId="0" fontId="45" fillId="2" borderId="12" xfId="2" applyFont="1" applyFill="1" applyBorder="1" applyAlignment="1">
      <alignment vertical="center"/>
    </xf>
    <xf numFmtId="165" fontId="45" fillId="2" borderId="12" xfId="1" applyNumberFormat="1" applyFont="1" applyFill="1" applyBorder="1" applyAlignment="1">
      <alignment horizontal="right" vertical="center"/>
    </xf>
    <xf numFmtId="165" fontId="47" fillId="2" borderId="12" xfId="1" applyNumberFormat="1" applyFont="1" applyFill="1" applyBorder="1" applyAlignment="1">
      <alignment horizontal="right" vertical="center"/>
    </xf>
    <xf numFmtId="9" fontId="47" fillId="2" borderId="12" xfId="74" applyFont="1" applyFill="1" applyBorder="1" applyAlignment="1">
      <alignment horizontal="center" vertical="center"/>
    </xf>
    <xf numFmtId="165" fontId="45" fillId="2" borderId="12" xfId="1" applyNumberFormat="1" applyFont="1" applyFill="1" applyBorder="1" applyAlignment="1">
      <alignment horizontal="center" vertical="center"/>
    </xf>
    <xf numFmtId="0" fontId="45" fillId="2" borderId="0" xfId="2" applyFont="1" applyFill="1" applyAlignment="1">
      <alignment horizontal="left" vertical="center" indent="2"/>
    </xf>
    <xf numFmtId="0" fontId="50" fillId="0" borderId="18" xfId="2" applyFont="1" applyBorder="1" applyAlignment="1">
      <alignment horizontal="center" vertical="center" wrapText="1"/>
    </xf>
    <xf numFmtId="0" fontId="45" fillId="2" borderId="0" xfId="2" applyFont="1" applyFill="1" applyAlignment="1">
      <alignment horizontal="left" vertical="center" indent="1"/>
    </xf>
    <xf numFmtId="0" fontId="44" fillId="2" borderId="19" xfId="2" applyFont="1" applyFill="1" applyBorder="1" applyAlignment="1">
      <alignment horizontal="left" vertical="center" indent="1"/>
    </xf>
    <xf numFmtId="0" fontId="45" fillId="2" borderId="19" xfId="2" applyFont="1" applyFill="1" applyBorder="1" applyAlignment="1">
      <alignment horizontal="left" vertical="center" indent="2"/>
    </xf>
    <xf numFmtId="0" fontId="45" fillId="0" borderId="19" xfId="3" applyNumberFormat="1" applyFont="1" applyFill="1" applyBorder="1" applyAlignment="1">
      <alignment horizontal="left" vertical="center" indent="2"/>
    </xf>
    <xf numFmtId="0" fontId="44" fillId="2" borderId="19" xfId="2" applyFont="1" applyFill="1" applyBorder="1" applyAlignment="1">
      <alignment horizontal="center" vertical="center"/>
    </xf>
    <xf numFmtId="0" fontId="45" fillId="2" borderId="19" xfId="2" applyFont="1" applyFill="1" applyBorder="1" applyAlignment="1">
      <alignment vertical="center"/>
    </xf>
    <xf numFmtId="0" fontId="27" fillId="25" borderId="0" xfId="0" applyFont="1" applyFill="1" applyAlignment="1">
      <alignment vertical="top"/>
    </xf>
    <xf numFmtId="0" fontId="26" fillId="25" borderId="0" xfId="0" applyFont="1" applyFill="1" applyAlignment="1">
      <alignment vertical="top"/>
    </xf>
    <xf numFmtId="0" fontId="27" fillId="25" borderId="0" xfId="0" applyFont="1" applyFill="1" applyAlignment="1">
      <alignment vertical="top" wrapText="1"/>
    </xf>
    <xf numFmtId="0" fontId="26" fillId="25" borderId="0" xfId="0" applyFont="1" applyFill="1" applyAlignment="1">
      <alignment vertical="top" wrapText="1"/>
    </xf>
    <xf numFmtId="0" fontId="41" fillId="0" borderId="18" xfId="2" applyFont="1" applyBorder="1" applyAlignment="1">
      <alignment horizontal="center" vertical="center" wrapText="1"/>
    </xf>
    <xf numFmtId="0" fontId="37" fillId="2" borderId="0" xfId="2" applyFont="1" applyFill="1" applyAlignment="1">
      <alignment horizontal="center" vertical="center"/>
    </xf>
    <xf numFmtId="0" fontId="37" fillId="2" borderId="19" xfId="2" applyFont="1" applyFill="1" applyBorder="1" applyAlignment="1">
      <alignment horizontal="left" vertical="center" indent="1"/>
    </xf>
    <xf numFmtId="0" fontId="37" fillId="2" borderId="19" xfId="2" applyFont="1" applyFill="1" applyBorder="1" applyAlignment="1">
      <alignment horizontal="left" vertical="center" indent="2"/>
    </xf>
    <xf numFmtId="0" fontId="40" fillId="2" borderId="19" xfId="2" applyFont="1" applyFill="1" applyBorder="1" applyAlignment="1">
      <alignment horizontal="center" vertical="center"/>
    </xf>
    <xf numFmtId="0" fontId="37" fillId="2" borderId="19" xfId="2" applyFont="1" applyFill="1" applyBorder="1" applyAlignment="1">
      <alignment vertical="center"/>
    </xf>
    <xf numFmtId="0" fontId="40" fillId="2" borderId="19" xfId="2" applyFont="1" applyFill="1" applyBorder="1" applyAlignment="1">
      <alignment horizontal="left" vertical="center" indent="1"/>
    </xf>
    <xf numFmtId="0" fontId="25" fillId="2" borderId="0" xfId="2" applyFont="1" applyFill="1" applyAlignment="1">
      <alignment horizontal="left" vertical="center"/>
    </xf>
    <xf numFmtId="0" fontId="50" fillId="0" borderId="11" xfId="0" applyFont="1" applyBorder="1" applyAlignment="1">
      <alignment horizontal="center" vertical="center"/>
    </xf>
    <xf numFmtId="0" fontId="50" fillId="0" borderId="11" xfId="0" applyFont="1" applyBorder="1" applyAlignment="1">
      <alignment horizontal="center" vertical="center" wrapText="1"/>
    </xf>
    <xf numFmtId="0" fontId="50" fillId="0" borderId="11" xfId="0" quotePrefix="1" applyFont="1" applyBorder="1" applyAlignment="1">
      <alignment horizontal="center" vertical="center" wrapText="1"/>
    </xf>
    <xf numFmtId="0" fontId="44" fillId="2" borderId="12" xfId="2" applyFont="1" applyFill="1" applyBorder="1" applyAlignment="1">
      <alignment horizontal="center" vertical="center"/>
    </xf>
    <xf numFmtId="0" fontId="45" fillId="0" borderId="12" xfId="3" applyNumberFormat="1" applyFont="1" applyFill="1" applyBorder="1" applyAlignment="1">
      <alignment horizontal="left" vertical="center" indent="2"/>
    </xf>
    <xf numFmtId="0" fontId="45" fillId="2" borderId="15" xfId="2" applyFont="1" applyFill="1" applyBorder="1" applyAlignment="1">
      <alignment horizontal="left" vertical="center" indent="1"/>
    </xf>
    <xf numFmtId="0" fontId="44" fillId="2" borderId="12" xfId="2" applyFont="1" applyFill="1" applyBorder="1" applyAlignment="1">
      <alignment horizontal="left" vertical="center" indent="1"/>
    </xf>
    <xf numFmtId="0" fontId="53" fillId="0" borderId="11" xfId="2" applyFont="1" applyBorder="1" applyAlignment="1">
      <alignment horizontal="center" vertical="center" wrapText="1"/>
    </xf>
    <xf numFmtId="0" fontId="50" fillId="0" borderId="11" xfId="2" applyFont="1" applyBorder="1" applyAlignment="1">
      <alignment horizontal="center" vertical="center" wrapText="1"/>
    </xf>
    <xf numFmtId="0" fontId="45" fillId="2" borderId="12" xfId="2" applyFont="1" applyFill="1" applyBorder="1" applyAlignment="1">
      <alignment horizontal="left" vertical="center" indent="2"/>
    </xf>
    <xf numFmtId="0" fontId="26" fillId="25" borderId="0" xfId="0" applyFont="1" applyFill="1" applyAlignment="1">
      <alignment horizontal="left" vertical="top" wrapText="1" indent="2"/>
    </xf>
    <xf numFmtId="0" fontId="41" fillId="0" borderId="11" xfId="2" applyFont="1" applyBorder="1" applyAlignment="1">
      <alignment horizontal="center" vertical="center" wrapText="1"/>
    </xf>
    <xf numFmtId="0" fontId="41" fillId="0" borderId="16" xfId="2" applyFont="1" applyBorder="1" applyAlignment="1">
      <alignment horizontal="center" vertical="center" wrapText="1"/>
    </xf>
    <xf numFmtId="0" fontId="27" fillId="0" borderId="11" xfId="2" applyFont="1" applyBorder="1" applyAlignment="1">
      <alignment horizontal="center" vertical="center" wrapText="1"/>
    </xf>
    <xf numFmtId="0" fontId="27" fillId="0" borderId="16" xfId="2" applyFont="1" applyBorder="1" applyAlignment="1">
      <alignment horizontal="center" vertical="center" wrapText="1"/>
    </xf>
    <xf numFmtId="0" fontId="37" fillId="2" borderId="12" xfId="2" applyFont="1" applyFill="1" applyBorder="1" applyAlignment="1">
      <alignment horizontal="left" vertical="center" indent="2"/>
    </xf>
    <xf numFmtId="0" fontId="40" fillId="2" borderId="12" xfId="2" applyFont="1" applyFill="1" applyBorder="1" applyAlignment="1">
      <alignment horizontal="center" vertical="center"/>
    </xf>
    <xf numFmtId="0" fontId="37" fillId="2" borderId="15" xfId="2" applyFont="1" applyFill="1" applyBorder="1" applyAlignment="1">
      <alignment horizontal="center" vertical="center"/>
    </xf>
    <xf numFmtId="0" fontId="40" fillId="2" borderId="12" xfId="2" applyFont="1" applyFill="1" applyBorder="1" applyAlignment="1">
      <alignment horizontal="left" vertical="center" indent="1"/>
    </xf>
    <xf numFmtId="0" fontId="37" fillId="2" borderId="15" xfId="2" applyFont="1" applyFill="1" applyBorder="1" applyAlignment="1">
      <alignment horizontal="left" vertical="center" indent="1"/>
    </xf>
    <xf numFmtId="0" fontId="37" fillId="0" borderId="12" xfId="3" applyNumberFormat="1" applyFont="1" applyFill="1" applyBorder="1" applyAlignment="1">
      <alignment horizontal="left" vertical="center" indent="3"/>
    </xf>
    <xf numFmtId="0" fontId="27" fillId="0" borderId="11" xfId="2" applyFont="1" applyBorder="1" applyAlignment="1">
      <alignment horizontal="center" vertical="center"/>
    </xf>
    <xf numFmtId="0" fontId="37" fillId="2" borderId="13" xfId="2" applyFont="1" applyFill="1" applyBorder="1" applyAlignment="1">
      <alignment horizontal="center" vertical="center"/>
    </xf>
    <xf numFmtId="0" fontId="37" fillId="2" borderId="14" xfId="2" applyFont="1" applyFill="1" applyBorder="1" applyAlignment="1">
      <alignment horizontal="center" vertical="center"/>
    </xf>
    <xf numFmtId="0" fontId="41" fillId="0" borderId="11" xfId="0" quotePrefix="1" applyFont="1" applyBorder="1" applyAlignment="1">
      <alignment horizontal="center" vertical="center" wrapText="1"/>
    </xf>
    <xf numFmtId="0" fontId="41" fillId="0" borderId="11" xfId="0" applyFont="1" applyBorder="1" applyAlignment="1">
      <alignment horizontal="center" vertical="top"/>
    </xf>
    <xf numFmtId="0" fontId="50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45" fillId="2" borderId="0" xfId="2" applyFont="1" applyFill="1" applyAlignment="1">
      <alignment horizontal="left" vertical="top" wrapText="1" indent="1"/>
    </xf>
  </cellXfs>
  <cellStyles count="75">
    <cellStyle name="20% - Accent1 2" xfId="15" xr:uid="{00000000-0005-0000-0000-000000000000}"/>
    <cellStyle name="20% - Accent2 2" xfId="16" xr:uid="{00000000-0005-0000-0000-000001000000}"/>
    <cellStyle name="20% - Accent3 2" xfId="17" xr:uid="{00000000-0005-0000-0000-000002000000}"/>
    <cellStyle name="20% - Accent4 2" xfId="18" xr:uid="{00000000-0005-0000-0000-000003000000}"/>
    <cellStyle name="20% - Accent5 2" xfId="19" xr:uid="{00000000-0005-0000-0000-000004000000}"/>
    <cellStyle name="20% - Accent6 2" xfId="20" xr:uid="{00000000-0005-0000-0000-000005000000}"/>
    <cellStyle name="40% - Accent1 2" xfId="21" xr:uid="{00000000-0005-0000-0000-000006000000}"/>
    <cellStyle name="40% - Accent2 2" xfId="22" xr:uid="{00000000-0005-0000-0000-000007000000}"/>
    <cellStyle name="40% - Accent3 2" xfId="23" xr:uid="{00000000-0005-0000-0000-000008000000}"/>
    <cellStyle name="40% - Accent4 2" xfId="24" xr:uid="{00000000-0005-0000-0000-000009000000}"/>
    <cellStyle name="40% - Accent5 2" xfId="25" xr:uid="{00000000-0005-0000-0000-00000A000000}"/>
    <cellStyle name="40% - Accent6 2" xfId="26" xr:uid="{00000000-0005-0000-0000-00000B000000}"/>
    <cellStyle name="60% - Accent1 2" xfId="27" xr:uid="{00000000-0005-0000-0000-00000C000000}"/>
    <cellStyle name="60% - Accent2 2" xfId="28" xr:uid="{00000000-0005-0000-0000-00000D000000}"/>
    <cellStyle name="60% - Accent3 2" xfId="29" xr:uid="{00000000-0005-0000-0000-00000E000000}"/>
    <cellStyle name="60% - Accent4 2" xfId="30" xr:uid="{00000000-0005-0000-0000-00000F000000}"/>
    <cellStyle name="60% - Accent5 2" xfId="31" xr:uid="{00000000-0005-0000-0000-000010000000}"/>
    <cellStyle name="60% - Accent6 2" xfId="32" xr:uid="{00000000-0005-0000-0000-000011000000}"/>
    <cellStyle name="Accent1 2" xfId="33" xr:uid="{00000000-0005-0000-0000-000012000000}"/>
    <cellStyle name="Accent2 2" xfId="34" xr:uid="{00000000-0005-0000-0000-000013000000}"/>
    <cellStyle name="Accent3 2" xfId="35" xr:uid="{00000000-0005-0000-0000-000014000000}"/>
    <cellStyle name="Accent4 2" xfId="36" xr:uid="{00000000-0005-0000-0000-000015000000}"/>
    <cellStyle name="Accent5 2" xfId="37" xr:uid="{00000000-0005-0000-0000-000016000000}"/>
    <cellStyle name="Accent6 2" xfId="38" xr:uid="{00000000-0005-0000-0000-000017000000}"/>
    <cellStyle name="Bad 2" xfId="39" xr:uid="{00000000-0005-0000-0000-000018000000}"/>
    <cellStyle name="Calculation 2" xfId="40" xr:uid="{00000000-0005-0000-0000-000019000000}"/>
    <cellStyle name="Check Cell 2" xfId="41" xr:uid="{00000000-0005-0000-0000-00001A000000}"/>
    <cellStyle name="Comma" xfId="1" builtinId="3"/>
    <cellStyle name="Comma 19" xfId="69" xr:uid="{00000000-0005-0000-0000-00001C000000}"/>
    <cellStyle name="Comma 2" xfId="5" xr:uid="{00000000-0005-0000-0000-00001D000000}"/>
    <cellStyle name="Comma 2 2" xfId="42" xr:uid="{00000000-0005-0000-0000-00001E000000}"/>
    <cellStyle name="Comma 2 2 4" xfId="68" xr:uid="{00000000-0005-0000-0000-00001F000000}"/>
    <cellStyle name="Comma 3" xfId="3" xr:uid="{00000000-0005-0000-0000-000020000000}"/>
    <cellStyle name="Comma 3 2" xfId="43" xr:uid="{00000000-0005-0000-0000-000021000000}"/>
    <cellStyle name="Comma 3 2 2" xfId="6" xr:uid="{00000000-0005-0000-0000-000022000000}"/>
    <cellStyle name="Comma 3 4" xfId="67" xr:uid="{00000000-0005-0000-0000-000023000000}"/>
    <cellStyle name="Comma 4" xfId="7" xr:uid="{00000000-0005-0000-0000-000024000000}"/>
    <cellStyle name="Comma 4 2" xfId="8" xr:uid="{00000000-0005-0000-0000-000025000000}"/>
    <cellStyle name="Comma 5" xfId="9" xr:uid="{00000000-0005-0000-0000-000026000000}"/>
    <cellStyle name="Comma 6" xfId="44" xr:uid="{00000000-0005-0000-0000-000027000000}"/>
    <cellStyle name="Comma 7" xfId="45" xr:uid="{00000000-0005-0000-0000-000028000000}"/>
    <cellStyle name="Comma 8" xfId="66" xr:uid="{00000000-0005-0000-0000-000029000000}"/>
    <cellStyle name="Explanatory Text 2" xfId="46" xr:uid="{00000000-0005-0000-0000-00002A000000}"/>
    <cellStyle name="Good 2" xfId="47" xr:uid="{00000000-0005-0000-0000-00002B000000}"/>
    <cellStyle name="Heading 1 2" xfId="48" xr:uid="{00000000-0005-0000-0000-00002C000000}"/>
    <cellStyle name="Heading 2 2" xfId="49" xr:uid="{00000000-0005-0000-0000-00002D000000}"/>
    <cellStyle name="Heading 3 2" xfId="50" xr:uid="{00000000-0005-0000-0000-00002E000000}"/>
    <cellStyle name="Heading 4 2" xfId="51" xr:uid="{00000000-0005-0000-0000-00002F000000}"/>
    <cellStyle name="Input 2" xfId="52" xr:uid="{00000000-0005-0000-0000-000030000000}"/>
    <cellStyle name="Linked Cell 2" xfId="53" xr:uid="{00000000-0005-0000-0000-000031000000}"/>
    <cellStyle name="Neutral 2" xfId="54" xr:uid="{00000000-0005-0000-0000-000032000000}"/>
    <cellStyle name="Normal" xfId="0" builtinId="0"/>
    <cellStyle name="Normal - Style1" xfId="73" xr:uid="{00000000-0005-0000-0000-000034000000}"/>
    <cellStyle name="Normal - Style1 2 2" xfId="70" xr:uid="{00000000-0005-0000-0000-000035000000}"/>
    <cellStyle name="Normal 2" xfId="10" xr:uid="{00000000-0005-0000-0000-000036000000}"/>
    <cellStyle name="Normal 2 2" xfId="55" xr:uid="{00000000-0005-0000-0000-000037000000}"/>
    <cellStyle name="Normal 29" xfId="72" xr:uid="{00000000-0005-0000-0000-000038000000}"/>
    <cellStyle name="Normal 3" xfId="2" xr:uid="{00000000-0005-0000-0000-000039000000}"/>
    <cellStyle name="Normal 3 2" xfId="56" xr:uid="{00000000-0005-0000-0000-00003A000000}"/>
    <cellStyle name="Normal 3 2 2" xfId="71" xr:uid="{00000000-0005-0000-0000-00003B000000}"/>
    <cellStyle name="Normal 3 3" xfId="11" xr:uid="{00000000-0005-0000-0000-00003C000000}"/>
    <cellStyle name="Normal 4" xfId="4" xr:uid="{00000000-0005-0000-0000-00003D000000}"/>
    <cellStyle name="Normal 4 2" xfId="12" xr:uid="{00000000-0005-0000-0000-00003E000000}"/>
    <cellStyle name="Normal 4 3" xfId="57" xr:uid="{00000000-0005-0000-0000-00003F000000}"/>
    <cellStyle name="Normal 5" xfId="13" xr:uid="{00000000-0005-0000-0000-000040000000}"/>
    <cellStyle name="Normal 5 2" xfId="58" xr:uid="{00000000-0005-0000-0000-000041000000}"/>
    <cellStyle name="Normal 7" xfId="59" xr:uid="{00000000-0005-0000-0000-000042000000}"/>
    <cellStyle name="Normal 9" xfId="14" xr:uid="{00000000-0005-0000-0000-000043000000}"/>
    <cellStyle name="Note 2" xfId="60" xr:uid="{00000000-0005-0000-0000-000044000000}"/>
    <cellStyle name="Output 2" xfId="61" xr:uid="{00000000-0005-0000-0000-000045000000}"/>
    <cellStyle name="Percent" xfId="74" builtinId="5"/>
    <cellStyle name="Percent 2" xfId="62" xr:uid="{00000000-0005-0000-0000-000047000000}"/>
    <cellStyle name="Title 2" xfId="63" xr:uid="{00000000-0005-0000-0000-000048000000}"/>
    <cellStyle name="Total 2" xfId="64" xr:uid="{00000000-0005-0000-0000-000049000000}"/>
    <cellStyle name="Warning Text 2" xfId="65" xr:uid="{00000000-0005-0000-0000-00004A000000}"/>
  </cellStyles>
  <dxfs count="0"/>
  <tableStyles count="0" defaultTableStyle="TableStyleMedium2" defaultPivotStyle="PivotStyleLight16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VP38"/>
  <sheetViews>
    <sheetView showGridLines="0" topLeftCell="A10" zoomScaleNormal="100" zoomScaleSheetLayoutView="100" workbookViewId="0">
      <selection activeCell="E30" sqref="E30"/>
    </sheetView>
  </sheetViews>
  <sheetFormatPr defaultColWidth="0" defaultRowHeight="16.5" zeroHeight="1" x14ac:dyDescent="0.25"/>
  <cols>
    <col min="1" max="1" width="1.28515625" style="4" customWidth="1"/>
    <col min="2" max="2" width="8.42578125" style="35" customWidth="1"/>
    <col min="3" max="3" width="44" style="35" customWidth="1"/>
    <col min="4" max="4" width="2.7109375" style="35" customWidth="1"/>
    <col min="5" max="5" width="12.140625" style="40" customWidth="1"/>
    <col min="6" max="6" width="2.7109375" style="40" customWidth="1"/>
    <col min="7" max="7" width="14.5703125" style="35" bestFit="1" customWidth="1"/>
    <col min="8" max="8" width="18.85546875" style="35" customWidth="1"/>
    <col min="9" max="9" width="1.42578125" style="35" customWidth="1"/>
    <col min="10" max="255" width="10.42578125" style="4" hidden="1"/>
    <col min="256" max="256" width="8.42578125" style="4" hidden="1"/>
    <col min="257" max="258" width="12.85546875" style="4" hidden="1"/>
    <col min="259" max="259" width="9.7109375" style="4" hidden="1"/>
    <col min="260" max="260" width="7.28515625" style="4" hidden="1"/>
    <col min="261" max="261" width="8.140625" style="4" hidden="1"/>
    <col min="262" max="262" width="12.85546875" style="4" hidden="1"/>
    <col min="263" max="264" width="13.28515625" style="4" hidden="1"/>
    <col min="265" max="511" width="10.42578125" style="4" hidden="1"/>
    <col min="512" max="512" width="8.42578125" style="4" hidden="1"/>
    <col min="513" max="514" width="12.85546875" style="4" hidden="1"/>
    <col min="515" max="515" width="9.7109375" style="4" hidden="1"/>
    <col min="516" max="516" width="7.28515625" style="4" hidden="1"/>
    <col min="517" max="517" width="8.140625" style="4" hidden="1"/>
    <col min="518" max="518" width="12.85546875" style="4" hidden="1"/>
    <col min="519" max="520" width="13.28515625" style="4" hidden="1"/>
    <col min="521" max="767" width="10.42578125" style="4" hidden="1"/>
    <col min="768" max="768" width="8.42578125" style="4" hidden="1"/>
    <col min="769" max="770" width="12.85546875" style="4" hidden="1"/>
    <col min="771" max="771" width="9.7109375" style="4" hidden="1"/>
    <col min="772" max="772" width="7.28515625" style="4" hidden="1"/>
    <col min="773" max="773" width="8.140625" style="4" hidden="1"/>
    <col min="774" max="774" width="12.85546875" style="4" hidden="1"/>
    <col min="775" max="776" width="13.28515625" style="4" hidden="1"/>
    <col min="777" max="1023" width="10.42578125" style="4" hidden="1"/>
    <col min="1024" max="1024" width="8.42578125" style="4" hidden="1"/>
    <col min="1025" max="1026" width="12.85546875" style="4" hidden="1"/>
    <col min="1027" max="1027" width="9.7109375" style="4" hidden="1"/>
    <col min="1028" max="1028" width="7.28515625" style="4" hidden="1"/>
    <col min="1029" max="1029" width="8.140625" style="4" hidden="1"/>
    <col min="1030" max="1030" width="12.85546875" style="4" hidden="1"/>
    <col min="1031" max="1032" width="13.28515625" style="4" hidden="1"/>
    <col min="1033" max="1279" width="10.42578125" style="4" hidden="1"/>
    <col min="1280" max="1280" width="8.42578125" style="4" hidden="1"/>
    <col min="1281" max="1282" width="12.85546875" style="4" hidden="1"/>
    <col min="1283" max="1283" width="9.7109375" style="4" hidden="1"/>
    <col min="1284" max="1284" width="7.28515625" style="4" hidden="1"/>
    <col min="1285" max="1285" width="8.140625" style="4" hidden="1"/>
    <col min="1286" max="1286" width="12.85546875" style="4" hidden="1"/>
    <col min="1287" max="1288" width="13.28515625" style="4" hidden="1"/>
    <col min="1289" max="1535" width="10.42578125" style="4" hidden="1"/>
    <col min="1536" max="1536" width="8.42578125" style="4" hidden="1"/>
    <col min="1537" max="1538" width="12.85546875" style="4" hidden="1"/>
    <col min="1539" max="1539" width="9.7109375" style="4" hidden="1"/>
    <col min="1540" max="1540" width="7.28515625" style="4" hidden="1"/>
    <col min="1541" max="1541" width="8.140625" style="4" hidden="1"/>
    <col min="1542" max="1542" width="12.85546875" style="4" hidden="1"/>
    <col min="1543" max="1544" width="13.28515625" style="4" hidden="1"/>
    <col min="1545" max="1791" width="10.42578125" style="4" hidden="1"/>
    <col min="1792" max="1792" width="8.42578125" style="4" hidden="1"/>
    <col min="1793" max="1794" width="12.85546875" style="4" hidden="1"/>
    <col min="1795" max="1795" width="9.7109375" style="4" hidden="1"/>
    <col min="1796" max="1796" width="7.28515625" style="4" hidden="1"/>
    <col min="1797" max="1797" width="8.140625" style="4" hidden="1"/>
    <col min="1798" max="1798" width="12.85546875" style="4" hidden="1"/>
    <col min="1799" max="1800" width="13.28515625" style="4" hidden="1"/>
    <col min="1801" max="2047" width="10.42578125" style="4" hidden="1"/>
    <col min="2048" max="2048" width="8.42578125" style="4" hidden="1"/>
    <col min="2049" max="2050" width="12.85546875" style="4" hidden="1"/>
    <col min="2051" max="2051" width="9.7109375" style="4" hidden="1"/>
    <col min="2052" max="2052" width="7.28515625" style="4" hidden="1"/>
    <col min="2053" max="2053" width="8.140625" style="4" hidden="1"/>
    <col min="2054" max="2054" width="12.85546875" style="4" hidden="1"/>
    <col min="2055" max="2056" width="13.28515625" style="4" hidden="1"/>
    <col min="2057" max="2303" width="10.42578125" style="4" hidden="1"/>
    <col min="2304" max="2304" width="8.42578125" style="4" hidden="1"/>
    <col min="2305" max="2306" width="12.85546875" style="4" hidden="1"/>
    <col min="2307" max="2307" width="9.7109375" style="4" hidden="1"/>
    <col min="2308" max="2308" width="7.28515625" style="4" hidden="1"/>
    <col min="2309" max="2309" width="8.140625" style="4" hidden="1"/>
    <col min="2310" max="2310" width="12.85546875" style="4" hidden="1"/>
    <col min="2311" max="2312" width="13.28515625" style="4" hidden="1"/>
    <col min="2313" max="2559" width="10.42578125" style="4" hidden="1"/>
    <col min="2560" max="2560" width="8.42578125" style="4" hidden="1"/>
    <col min="2561" max="2562" width="12.85546875" style="4" hidden="1"/>
    <col min="2563" max="2563" width="9.7109375" style="4" hidden="1"/>
    <col min="2564" max="2564" width="7.28515625" style="4" hidden="1"/>
    <col min="2565" max="2565" width="8.140625" style="4" hidden="1"/>
    <col min="2566" max="2566" width="12.85546875" style="4" hidden="1"/>
    <col min="2567" max="2568" width="13.28515625" style="4" hidden="1"/>
    <col min="2569" max="2815" width="10.42578125" style="4" hidden="1"/>
    <col min="2816" max="2816" width="8.42578125" style="4" hidden="1"/>
    <col min="2817" max="2818" width="12.85546875" style="4" hidden="1"/>
    <col min="2819" max="2819" width="9.7109375" style="4" hidden="1"/>
    <col min="2820" max="2820" width="7.28515625" style="4" hidden="1"/>
    <col min="2821" max="2821" width="8.140625" style="4" hidden="1"/>
    <col min="2822" max="2822" width="12.85546875" style="4" hidden="1"/>
    <col min="2823" max="2824" width="13.28515625" style="4" hidden="1"/>
    <col min="2825" max="3071" width="10.42578125" style="4" hidden="1"/>
    <col min="3072" max="3072" width="8.42578125" style="4" hidden="1"/>
    <col min="3073" max="3074" width="12.85546875" style="4" hidden="1"/>
    <col min="3075" max="3075" width="9.7109375" style="4" hidden="1"/>
    <col min="3076" max="3076" width="7.28515625" style="4" hidden="1"/>
    <col min="3077" max="3077" width="8.140625" style="4" hidden="1"/>
    <col min="3078" max="3078" width="12.85546875" style="4" hidden="1"/>
    <col min="3079" max="3080" width="13.28515625" style="4" hidden="1"/>
    <col min="3081" max="3327" width="10.42578125" style="4" hidden="1"/>
    <col min="3328" max="3328" width="8.42578125" style="4" hidden="1"/>
    <col min="3329" max="3330" width="12.85546875" style="4" hidden="1"/>
    <col min="3331" max="3331" width="9.7109375" style="4" hidden="1"/>
    <col min="3332" max="3332" width="7.28515625" style="4" hidden="1"/>
    <col min="3333" max="3333" width="8.140625" style="4" hidden="1"/>
    <col min="3334" max="3334" width="12.85546875" style="4" hidden="1"/>
    <col min="3335" max="3336" width="13.28515625" style="4" hidden="1"/>
    <col min="3337" max="3583" width="10.42578125" style="4" hidden="1"/>
    <col min="3584" max="3584" width="8.42578125" style="4" hidden="1"/>
    <col min="3585" max="3586" width="12.85546875" style="4" hidden="1"/>
    <col min="3587" max="3587" width="9.7109375" style="4" hidden="1"/>
    <col min="3588" max="3588" width="7.28515625" style="4" hidden="1"/>
    <col min="3589" max="3589" width="8.140625" style="4" hidden="1"/>
    <col min="3590" max="3590" width="12.85546875" style="4" hidden="1"/>
    <col min="3591" max="3592" width="13.28515625" style="4" hidden="1"/>
    <col min="3593" max="3839" width="10.42578125" style="4" hidden="1"/>
    <col min="3840" max="3840" width="8.42578125" style="4" hidden="1"/>
    <col min="3841" max="3842" width="12.85546875" style="4" hidden="1"/>
    <col min="3843" max="3843" width="9.7109375" style="4" hidden="1"/>
    <col min="3844" max="3844" width="7.28515625" style="4" hidden="1"/>
    <col min="3845" max="3845" width="8.140625" style="4" hidden="1"/>
    <col min="3846" max="3846" width="12.85546875" style="4" hidden="1"/>
    <col min="3847" max="3848" width="13.28515625" style="4" hidden="1"/>
    <col min="3849" max="4095" width="10.42578125" style="4" hidden="1"/>
    <col min="4096" max="4096" width="8.42578125" style="4" hidden="1"/>
    <col min="4097" max="4098" width="12.85546875" style="4" hidden="1"/>
    <col min="4099" max="4099" width="9.7109375" style="4" hidden="1"/>
    <col min="4100" max="4100" width="7.28515625" style="4" hidden="1"/>
    <col min="4101" max="4101" width="8.140625" style="4" hidden="1"/>
    <col min="4102" max="4102" width="12.85546875" style="4" hidden="1"/>
    <col min="4103" max="4104" width="13.28515625" style="4" hidden="1"/>
    <col min="4105" max="4351" width="10.42578125" style="4" hidden="1"/>
    <col min="4352" max="4352" width="8.42578125" style="4" hidden="1"/>
    <col min="4353" max="4354" width="12.85546875" style="4" hidden="1"/>
    <col min="4355" max="4355" width="9.7109375" style="4" hidden="1"/>
    <col min="4356" max="4356" width="7.28515625" style="4" hidden="1"/>
    <col min="4357" max="4357" width="8.140625" style="4" hidden="1"/>
    <col min="4358" max="4358" width="12.85546875" style="4" hidden="1"/>
    <col min="4359" max="4360" width="13.28515625" style="4" hidden="1"/>
    <col min="4361" max="4607" width="10.42578125" style="4" hidden="1"/>
    <col min="4608" max="4608" width="8.42578125" style="4" hidden="1"/>
    <col min="4609" max="4610" width="12.85546875" style="4" hidden="1"/>
    <col min="4611" max="4611" width="9.7109375" style="4" hidden="1"/>
    <col min="4612" max="4612" width="7.28515625" style="4" hidden="1"/>
    <col min="4613" max="4613" width="8.140625" style="4" hidden="1"/>
    <col min="4614" max="4614" width="12.85546875" style="4" hidden="1"/>
    <col min="4615" max="4616" width="13.28515625" style="4" hidden="1"/>
    <col min="4617" max="4863" width="10.42578125" style="4" hidden="1"/>
    <col min="4864" max="4864" width="8.42578125" style="4" hidden="1"/>
    <col min="4865" max="4866" width="12.85546875" style="4" hidden="1"/>
    <col min="4867" max="4867" width="9.7109375" style="4" hidden="1"/>
    <col min="4868" max="4868" width="7.28515625" style="4" hidden="1"/>
    <col min="4869" max="4869" width="8.140625" style="4" hidden="1"/>
    <col min="4870" max="4870" width="12.85546875" style="4" hidden="1"/>
    <col min="4871" max="4872" width="13.28515625" style="4" hidden="1"/>
    <col min="4873" max="5119" width="10.42578125" style="4" hidden="1"/>
    <col min="5120" max="5120" width="8.42578125" style="4" hidden="1"/>
    <col min="5121" max="5122" width="12.85546875" style="4" hidden="1"/>
    <col min="5123" max="5123" width="9.7109375" style="4" hidden="1"/>
    <col min="5124" max="5124" width="7.28515625" style="4" hidden="1"/>
    <col min="5125" max="5125" width="8.140625" style="4" hidden="1"/>
    <col min="5126" max="5126" width="12.85546875" style="4" hidden="1"/>
    <col min="5127" max="5128" width="13.28515625" style="4" hidden="1"/>
    <col min="5129" max="5375" width="10.42578125" style="4" hidden="1"/>
    <col min="5376" max="5376" width="8.42578125" style="4" hidden="1"/>
    <col min="5377" max="5378" width="12.85546875" style="4" hidden="1"/>
    <col min="5379" max="5379" width="9.7109375" style="4" hidden="1"/>
    <col min="5380" max="5380" width="7.28515625" style="4" hidden="1"/>
    <col min="5381" max="5381" width="8.140625" style="4" hidden="1"/>
    <col min="5382" max="5382" width="12.85546875" style="4" hidden="1"/>
    <col min="5383" max="5384" width="13.28515625" style="4" hidden="1"/>
    <col min="5385" max="5631" width="10.42578125" style="4" hidden="1"/>
    <col min="5632" max="5632" width="8.42578125" style="4" hidden="1"/>
    <col min="5633" max="5634" width="12.85546875" style="4" hidden="1"/>
    <col min="5635" max="5635" width="9.7109375" style="4" hidden="1"/>
    <col min="5636" max="5636" width="7.28515625" style="4" hidden="1"/>
    <col min="5637" max="5637" width="8.140625" style="4" hidden="1"/>
    <col min="5638" max="5638" width="12.85546875" style="4" hidden="1"/>
    <col min="5639" max="5640" width="13.28515625" style="4" hidden="1"/>
    <col min="5641" max="5887" width="10.42578125" style="4" hidden="1"/>
    <col min="5888" max="5888" width="8.42578125" style="4" hidden="1"/>
    <col min="5889" max="5890" width="12.85546875" style="4" hidden="1"/>
    <col min="5891" max="5891" width="9.7109375" style="4" hidden="1"/>
    <col min="5892" max="5892" width="7.28515625" style="4" hidden="1"/>
    <col min="5893" max="5893" width="8.140625" style="4" hidden="1"/>
    <col min="5894" max="5894" width="12.85546875" style="4" hidden="1"/>
    <col min="5895" max="5896" width="13.28515625" style="4" hidden="1"/>
    <col min="5897" max="6143" width="10.42578125" style="4" hidden="1"/>
    <col min="6144" max="6144" width="8.42578125" style="4" hidden="1"/>
    <col min="6145" max="6146" width="12.85546875" style="4" hidden="1"/>
    <col min="6147" max="6147" width="9.7109375" style="4" hidden="1"/>
    <col min="6148" max="6148" width="7.28515625" style="4" hidden="1"/>
    <col min="6149" max="6149" width="8.140625" style="4" hidden="1"/>
    <col min="6150" max="6150" width="12.85546875" style="4" hidden="1"/>
    <col min="6151" max="6152" width="13.28515625" style="4" hidden="1"/>
    <col min="6153" max="6399" width="10.42578125" style="4" hidden="1"/>
    <col min="6400" max="6400" width="8.42578125" style="4" hidden="1"/>
    <col min="6401" max="6402" width="12.85546875" style="4" hidden="1"/>
    <col min="6403" max="6403" width="9.7109375" style="4" hidden="1"/>
    <col min="6404" max="6404" width="7.28515625" style="4" hidden="1"/>
    <col min="6405" max="6405" width="8.140625" style="4" hidden="1"/>
    <col min="6406" max="6406" width="12.85546875" style="4" hidden="1"/>
    <col min="6407" max="6408" width="13.28515625" style="4" hidden="1"/>
    <col min="6409" max="6655" width="10.42578125" style="4" hidden="1"/>
    <col min="6656" max="6656" width="8.42578125" style="4" hidden="1"/>
    <col min="6657" max="6658" width="12.85546875" style="4" hidden="1"/>
    <col min="6659" max="6659" width="9.7109375" style="4" hidden="1"/>
    <col min="6660" max="6660" width="7.28515625" style="4" hidden="1"/>
    <col min="6661" max="6661" width="8.140625" style="4" hidden="1"/>
    <col min="6662" max="6662" width="12.85546875" style="4" hidden="1"/>
    <col min="6663" max="6664" width="13.28515625" style="4" hidden="1"/>
    <col min="6665" max="6911" width="10.42578125" style="4" hidden="1"/>
    <col min="6912" max="6912" width="8.42578125" style="4" hidden="1"/>
    <col min="6913" max="6914" width="12.85546875" style="4" hidden="1"/>
    <col min="6915" max="6915" width="9.7109375" style="4" hidden="1"/>
    <col min="6916" max="6916" width="7.28515625" style="4" hidden="1"/>
    <col min="6917" max="6917" width="8.140625" style="4" hidden="1"/>
    <col min="6918" max="6918" width="12.85546875" style="4" hidden="1"/>
    <col min="6919" max="6920" width="13.28515625" style="4" hidden="1"/>
    <col min="6921" max="7167" width="10.42578125" style="4" hidden="1"/>
    <col min="7168" max="7168" width="8.42578125" style="4" hidden="1"/>
    <col min="7169" max="7170" width="12.85546875" style="4" hidden="1"/>
    <col min="7171" max="7171" width="9.7109375" style="4" hidden="1"/>
    <col min="7172" max="7172" width="7.28515625" style="4" hidden="1"/>
    <col min="7173" max="7173" width="8.140625" style="4" hidden="1"/>
    <col min="7174" max="7174" width="12.85546875" style="4" hidden="1"/>
    <col min="7175" max="7176" width="13.28515625" style="4" hidden="1"/>
    <col min="7177" max="7423" width="10.42578125" style="4" hidden="1"/>
    <col min="7424" max="7424" width="8.42578125" style="4" hidden="1"/>
    <col min="7425" max="7426" width="12.85546875" style="4" hidden="1"/>
    <col min="7427" max="7427" width="9.7109375" style="4" hidden="1"/>
    <col min="7428" max="7428" width="7.28515625" style="4" hidden="1"/>
    <col min="7429" max="7429" width="8.140625" style="4" hidden="1"/>
    <col min="7430" max="7430" width="12.85546875" style="4" hidden="1"/>
    <col min="7431" max="7432" width="13.28515625" style="4" hidden="1"/>
    <col min="7433" max="7679" width="10.42578125" style="4" hidden="1"/>
    <col min="7680" max="7680" width="8.42578125" style="4" hidden="1"/>
    <col min="7681" max="7682" width="12.85546875" style="4" hidden="1"/>
    <col min="7683" max="7683" width="9.7109375" style="4" hidden="1"/>
    <col min="7684" max="7684" width="7.28515625" style="4" hidden="1"/>
    <col min="7685" max="7685" width="8.140625" style="4" hidden="1"/>
    <col min="7686" max="7686" width="12.85546875" style="4" hidden="1"/>
    <col min="7687" max="7688" width="13.28515625" style="4" hidden="1"/>
    <col min="7689" max="7935" width="10.42578125" style="4" hidden="1"/>
    <col min="7936" max="7936" width="8.42578125" style="4" hidden="1"/>
    <col min="7937" max="7938" width="12.85546875" style="4" hidden="1"/>
    <col min="7939" max="7939" width="9.7109375" style="4" hidden="1"/>
    <col min="7940" max="7940" width="7.28515625" style="4" hidden="1"/>
    <col min="7941" max="7941" width="8.140625" style="4" hidden="1"/>
    <col min="7942" max="7942" width="12.85546875" style="4" hidden="1"/>
    <col min="7943" max="7944" width="13.28515625" style="4" hidden="1"/>
    <col min="7945" max="8191" width="10.42578125" style="4" hidden="1"/>
    <col min="8192" max="8192" width="8.42578125" style="4" hidden="1"/>
    <col min="8193" max="8194" width="12.85546875" style="4" hidden="1"/>
    <col min="8195" max="8195" width="9.7109375" style="4" hidden="1"/>
    <col min="8196" max="8196" width="7.28515625" style="4" hidden="1"/>
    <col min="8197" max="8197" width="8.140625" style="4" hidden="1"/>
    <col min="8198" max="8198" width="12.85546875" style="4" hidden="1"/>
    <col min="8199" max="8200" width="13.28515625" style="4" hidden="1"/>
    <col min="8201" max="8447" width="10.42578125" style="4" hidden="1"/>
    <col min="8448" max="8448" width="8.42578125" style="4" hidden="1"/>
    <col min="8449" max="8450" width="12.85546875" style="4" hidden="1"/>
    <col min="8451" max="8451" width="9.7109375" style="4" hidden="1"/>
    <col min="8452" max="8452" width="7.28515625" style="4" hidden="1"/>
    <col min="8453" max="8453" width="8.140625" style="4" hidden="1"/>
    <col min="8454" max="8454" width="12.85546875" style="4" hidden="1"/>
    <col min="8455" max="8456" width="13.28515625" style="4" hidden="1"/>
    <col min="8457" max="8703" width="10.42578125" style="4" hidden="1"/>
    <col min="8704" max="8704" width="8.42578125" style="4" hidden="1"/>
    <col min="8705" max="8706" width="12.85546875" style="4" hidden="1"/>
    <col min="8707" max="8707" width="9.7109375" style="4" hidden="1"/>
    <col min="8708" max="8708" width="7.28515625" style="4" hidden="1"/>
    <col min="8709" max="8709" width="8.140625" style="4" hidden="1"/>
    <col min="8710" max="8710" width="12.85546875" style="4" hidden="1"/>
    <col min="8711" max="8712" width="13.28515625" style="4" hidden="1"/>
    <col min="8713" max="8959" width="10.42578125" style="4" hidden="1"/>
    <col min="8960" max="8960" width="8.42578125" style="4" hidden="1"/>
    <col min="8961" max="8962" width="12.85546875" style="4" hidden="1"/>
    <col min="8963" max="8963" width="9.7109375" style="4" hidden="1"/>
    <col min="8964" max="8964" width="7.28515625" style="4" hidden="1"/>
    <col min="8965" max="8965" width="8.140625" style="4" hidden="1"/>
    <col min="8966" max="8966" width="12.85546875" style="4" hidden="1"/>
    <col min="8967" max="8968" width="13.28515625" style="4" hidden="1"/>
    <col min="8969" max="9215" width="10.42578125" style="4" hidden="1"/>
    <col min="9216" max="9216" width="8.42578125" style="4" hidden="1"/>
    <col min="9217" max="9218" width="12.85546875" style="4" hidden="1"/>
    <col min="9219" max="9219" width="9.7109375" style="4" hidden="1"/>
    <col min="9220" max="9220" width="7.28515625" style="4" hidden="1"/>
    <col min="9221" max="9221" width="8.140625" style="4" hidden="1"/>
    <col min="9222" max="9222" width="12.85546875" style="4" hidden="1"/>
    <col min="9223" max="9224" width="13.28515625" style="4" hidden="1"/>
    <col min="9225" max="9471" width="10.42578125" style="4" hidden="1"/>
    <col min="9472" max="9472" width="8.42578125" style="4" hidden="1"/>
    <col min="9473" max="9474" width="12.85546875" style="4" hidden="1"/>
    <col min="9475" max="9475" width="9.7109375" style="4" hidden="1"/>
    <col min="9476" max="9476" width="7.28515625" style="4" hidden="1"/>
    <col min="9477" max="9477" width="8.140625" style="4" hidden="1"/>
    <col min="9478" max="9478" width="12.85546875" style="4" hidden="1"/>
    <col min="9479" max="9480" width="13.28515625" style="4" hidden="1"/>
    <col min="9481" max="9727" width="10.42578125" style="4" hidden="1"/>
    <col min="9728" max="9728" width="8.42578125" style="4" hidden="1"/>
    <col min="9729" max="9730" width="12.85546875" style="4" hidden="1"/>
    <col min="9731" max="9731" width="9.7109375" style="4" hidden="1"/>
    <col min="9732" max="9732" width="7.28515625" style="4" hidden="1"/>
    <col min="9733" max="9733" width="8.140625" style="4" hidden="1"/>
    <col min="9734" max="9734" width="12.85546875" style="4" hidden="1"/>
    <col min="9735" max="9736" width="13.28515625" style="4" hidden="1"/>
    <col min="9737" max="9983" width="10.42578125" style="4" hidden="1"/>
    <col min="9984" max="9984" width="8.42578125" style="4" hidden="1"/>
    <col min="9985" max="9986" width="12.85546875" style="4" hidden="1"/>
    <col min="9987" max="9987" width="9.7109375" style="4" hidden="1"/>
    <col min="9988" max="9988" width="7.28515625" style="4" hidden="1"/>
    <col min="9989" max="9989" width="8.140625" style="4" hidden="1"/>
    <col min="9990" max="9990" width="12.85546875" style="4" hidden="1"/>
    <col min="9991" max="9992" width="13.28515625" style="4" hidden="1"/>
    <col min="9993" max="10239" width="10.42578125" style="4" hidden="1"/>
    <col min="10240" max="10240" width="8.42578125" style="4" hidden="1"/>
    <col min="10241" max="10242" width="12.85546875" style="4" hidden="1"/>
    <col min="10243" max="10243" width="9.7109375" style="4" hidden="1"/>
    <col min="10244" max="10244" width="7.28515625" style="4" hidden="1"/>
    <col min="10245" max="10245" width="8.140625" style="4" hidden="1"/>
    <col min="10246" max="10246" width="12.85546875" style="4" hidden="1"/>
    <col min="10247" max="10248" width="13.28515625" style="4" hidden="1"/>
    <col min="10249" max="10495" width="10.42578125" style="4" hidden="1"/>
    <col min="10496" max="10496" width="8.42578125" style="4" hidden="1"/>
    <col min="10497" max="10498" width="12.85546875" style="4" hidden="1"/>
    <col min="10499" max="10499" width="9.7109375" style="4" hidden="1"/>
    <col min="10500" max="10500" width="7.28515625" style="4" hidden="1"/>
    <col min="10501" max="10501" width="8.140625" style="4" hidden="1"/>
    <col min="10502" max="10502" width="12.85546875" style="4" hidden="1"/>
    <col min="10503" max="10504" width="13.28515625" style="4" hidden="1"/>
    <col min="10505" max="10751" width="10.42578125" style="4" hidden="1"/>
    <col min="10752" max="10752" width="8.42578125" style="4" hidden="1"/>
    <col min="10753" max="10754" width="12.85546875" style="4" hidden="1"/>
    <col min="10755" max="10755" width="9.7109375" style="4" hidden="1"/>
    <col min="10756" max="10756" width="7.28515625" style="4" hidden="1"/>
    <col min="10757" max="10757" width="8.140625" style="4" hidden="1"/>
    <col min="10758" max="10758" width="12.85546875" style="4" hidden="1"/>
    <col min="10759" max="10760" width="13.28515625" style="4" hidden="1"/>
    <col min="10761" max="11007" width="10.42578125" style="4" hidden="1"/>
    <col min="11008" max="11008" width="8.42578125" style="4" hidden="1"/>
    <col min="11009" max="11010" width="12.85546875" style="4" hidden="1"/>
    <col min="11011" max="11011" width="9.7109375" style="4" hidden="1"/>
    <col min="11012" max="11012" width="7.28515625" style="4" hidden="1"/>
    <col min="11013" max="11013" width="8.140625" style="4" hidden="1"/>
    <col min="11014" max="11014" width="12.85546875" style="4" hidden="1"/>
    <col min="11015" max="11016" width="13.28515625" style="4" hidden="1"/>
    <col min="11017" max="11263" width="10.42578125" style="4" hidden="1"/>
    <col min="11264" max="11264" width="8.42578125" style="4" hidden="1"/>
    <col min="11265" max="11266" width="12.85546875" style="4" hidden="1"/>
    <col min="11267" max="11267" width="9.7109375" style="4" hidden="1"/>
    <col min="11268" max="11268" width="7.28515625" style="4" hidden="1"/>
    <col min="11269" max="11269" width="8.140625" style="4" hidden="1"/>
    <col min="11270" max="11270" width="12.85546875" style="4" hidden="1"/>
    <col min="11271" max="11272" width="13.28515625" style="4" hidden="1"/>
    <col min="11273" max="11519" width="10.42578125" style="4" hidden="1"/>
    <col min="11520" max="11520" width="8.42578125" style="4" hidden="1"/>
    <col min="11521" max="11522" width="12.85546875" style="4" hidden="1"/>
    <col min="11523" max="11523" width="9.7109375" style="4" hidden="1"/>
    <col min="11524" max="11524" width="7.28515625" style="4" hidden="1"/>
    <col min="11525" max="11525" width="8.140625" style="4" hidden="1"/>
    <col min="11526" max="11526" width="12.85546875" style="4" hidden="1"/>
    <col min="11527" max="11528" width="13.28515625" style="4" hidden="1"/>
    <col min="11529" max="11775" width="10.42578125" style="4" hidden="1"/>
    <col min="11776" max="11776" width="8.42578125" style="4" hidden="1"/>
    <col min="11777" max="11778" width="12.85546875" style="4" hidden="1"/>
    <col min="11779" max="11779" width="9.7109375" style="4" hidden="1"/>
    <col min="11780" max="11780" width="7.28515625" style="4" hidden="1"/>
    <col min="11781" max="11781" width="8.140625" style="4" hidden="1"/>
    <col min="11782" max="11782" width="12.85546875" style="4" hidden="1"/>
    <col min="11783" max="11784" width="13.28515625" style="4" hidden="1"/>
    <col min="11785" max="12031" width="10.42578125" style="4" hidden="1"/>
    <col min="12032" max="12032" width="8.42578125" style="4" hidden="1"/>
    <col min="12033" max="12034" width="12.85546875" style="4" hidden="1"/>
    <col min="12035" max="12035" width="9.7109375" style="4" hidden="1"/>
    <col min="12036" max="12036" width="7.28515625" style="4" hidden="1"/>
    <col min="12037" max="12037" width="8.140625" style="4" hidden="1"/>
    <col min="12038" max="12038" width="12.85546875" style="4" hidden="1"/>
    <col min="12039" max="12040" width="13.28515625" style="4" hidden="1"/>
    <col min="12041" max="12287" width="10.42578125" style="4" hidden="1"/>
    <col min="12288" max="12288" width="8.42578125" style="4" hidden="1"/>
    <col min="12289" max="12290" width="12.85546875" style="4" hidden="1"/>
    <col min="12291" max="12291" width="9.7109375" style="4" hidden="1"/>
    <col min="12292" max="12292" width="7.28515625" style="4" hidden="1"/>
    <col min="12293" max="12293" width="8.140625" style="4" hidden="1"/>
    <col min="12294" max="12294" width="12.85546875" style="4" hidden="1"/>
    <col min="12295" max="12296" width="13.28515625" style="4" hidden="1"/>
    <col min="12297" max="12543" width="10.42578125" style="4" hidden="1"/>
    <col min="12544" max="12544" width="8.42578125" style="4" hidden="1"/>
    <col min="12545" max="12546" width="12.85546875" style="4" hidden="1"/>
    <col min="12547" max="12547" width="9.7109375" style="4" hidden="1"/>
    <col min="12548" max="12548" width="7.28515625" style="4" hidden="1"/>
    <col min="12549" max="12549" width="8.140625" style="4" hidden="1"/>
    <col min="12550" max="12550" width="12.85546875" style="4" hidden="1"/>
    <col min="12551" max="12552" width="13.28515625" style="4" hidden="1"/>
    <col min="12553" max="12799" width="10.42578125" style="4" hidden="1"/>
    <col min="12800" max="12800" width="8.42578125" style="4" hidden="1"/>
    <col min="12801" max="12802" width="12.85546875" style="4" hidden="1"/>
    <col min="12803" max="12803" width="9.7109375" style="4" hidden="1"/>
    <col min="12804" max="12804" width="7.28515625" style="4" hidden="1"/>
    <col min="12805" max="12805" width="8.140625" style="4" hidden="1"/>
    <col min="12806" max="12806" width="12.85546875" style="4" hidden="1"/>
    <col min="12807" max="12808" width="13.28515625" style="4" hidden="1"/>
    <col min="12809" max="13055" width="10.42578125" style="4" hidden="1"/>
    <col min="13056" max="13056" width="8.42578125" style="4" hidden="1"/>
    <col min="13057" max="13058" width="12.85546875" style="4" hidden="1"/>
    <col min="13059" max="13059" width="9.7109375" style="4" hidden="1"/>
    <col min="13060" max="13060" width="7.28515625" style="4" hidden="1"/>
    <col min="13061" max="13061" width="8.140625" style="4" hidden="1"/>
    <col min="13062" max="13062" width="12.85546875" style="4" hidden="1"/>
    <col min="13063" max="13064" width="13.28515625" style="4" hidden="1"/>
    <col min="13065" max="13311" width="10.42578125" style="4" hidden="1"/>
    <col min="13312" max="13312" width="8.42578125" style="4" hidden="1"/>
    <col min="13313" max="13314" width="12.85546875" style="4" hidden="1"/>
    <col min="13315" max="13315" width="9.7109375" style="4" hidden="1"/>
    <col min="13316" max="13316" width="7.28515625" style="4" hidden="1"/>
    <col min="13317" max="13317" width="8.140625" style="4" hidden="1"/>
    <col min="13318" max="13318" width="12.85546875" style="4" hidden="1"/>
    <col min="13319" max="13320" width="13.28515625" style="4" hidden="1"/>
    <col min="13321" max="13567" width="10.42578125" style="4" hidden="1"/>
    <col min="13568" max="13568" width="8.42578125" style="4" hidden="1"/>
    <col min="13569" max="13570" width="12.85546875" style="4" hidden="1"/>
    <col min="13571" max="13571" width="9.7109375" style="4" hidden="1"/>
    <col min="13572" max="13572" width="7.28515625" style="4" hidden="1"/>
    <col min="13573" max="13573" width="8.140625" style="4" hidden="1"/>
    <col min="13574" max="13574" width="12.85546875" style="4" hidden="1"/>
    <col min="13575" max="13576" width="13.28515625" style="4" hidden="1"/>
    <col min="13577" max="13823" width="10.42578125" style="4" hidden="1"/>
    <col min="13824" max="13824" width="8.42578125" style="4" hidden="1"/>
    <col min="13825" max="13826" width="12.85546875" style="4" hidden="1"/>
    <col min="13827" max="13827" width="9.7109375" style="4" hidden="1"/>
    <col min="13828" max="13828" width="7.28515625" style="4" hidden="1"/>
    <col min="13829" max="13829" width="8.140625" style="4" hidden="1"/>
    <col min="13830" max="13830" width="12.85546875" style="4" hidden="1"/>
    <col min="13831" max="13832" width="13.28515625" style="4" hidden="1"/>
    <col min="13833" max="14079" width="10.42578125" style="4" hidden="1"/>
    <col min="14080" max="14080" width="8.42578125" style="4" hidden="1"/>
    <col min="14081" max="14082" width="12.85546875" style="4" hidden="1"/>
    <col min="14083" max="14083" width="9.7109375" style="4" hidden="1"/>
    <col min="14084" max="14084" width="7.28515625" style="4" hidden="1"/>
    <col min="14085" max="14085" width="8.140625" style="4" hidden="1"/>
    <col min="14086" max="14086" width="12.85546875" style="4" hidden="1"/>
    <col min="14087" max="14088" width="13.28515625" style="4" hidden="1"/>
    <col min="14089" max="14335" width="10.42578125" style="4" hidden="1"/>
    <col min="14336" max="14336" width="8.42578125" style="4" hidden="1"/>
    <col min="14337" max="14338" width="12.85546875" style="4" hidden="1"/>
    <col min="14339" max="14339" width="9.7109375" style="4" hidden="1"/>
    <col min="14340" max="14340" width="7.28515625" style="4" hidden="1"/>
    <col min="14341" max="14341" width="8.140625" style="4" hidden="1"/>
    <col min="14342" max="14342" width="12.85546875" style="4" hidden="1"/>
    <col min="14343" max="14344" width="13.28515625" style="4" hidden="1"/>
    <col min="14345" max="14591" width="10.42578125" style="4" hidden="1"/>
    <col min="14592" max="14592" width="8.42578125" style="4" hidden="1"/>
    <col min="14593" max="14594" width="12.85546875" style="4" hidden="1"/>
    <col min="14595" max="14595" width="9.7109375" style="4" hidden="1"/>
    <col min="14596" max="14596" width="7.28515625" style="4" hidden="1"/>
    <col min="14597" max="14597" width="8.140625" style="4" hidden="1"/>
    <col min="14598" max="14598" width="12.85546875" style="4" hidden="1"/>
    <col min="14599" max="14600" width="13.28515625" style="4" hidden="1"/>
    <col min="14601" max="14847" width="10.42578125" style="4" hidden="1"/>
    <col min="14848" max="14848" width="8.42578125" style="4" hidden="1"/>
    <col min="14849" max="14850" width="12.85546875" style="4" hidden="1"/>
    <col min="14851" max="14851" width="9.7109375" style="4" hidden="1"/>
    <col min="14852" max="14852" width="7.28515625" style="4" hidden="1"/>
    <col min="14853" max="14853" width="8.140625" style="4" hidden="1"/>
    <col min="14854" max="14854" width="12.85546875" style="4" hidden="1"/>
    <col min="14855" max="14856" width="13.28515625" style="4" hidden="1"/>
    <col min="14857" max="15103" width="10.42578125" style="4" hidden="1"/>
    <col min="15104" max="15104" width="8.42578125" style="4" hidden="1"/>
    <col min="15105" max="15106" width="12.85546875" style="4" hidden="1"/>
    <col min="15107" max="15107" width="9.7109375" style="4" hidden="1"/>
    <col min="15108" max="15108" width="7.28515625" style="4" hidden="1"/>
    <col min="15109" max="15109" width="8.140625" style="4" hidden="1"/>
    <col min="15110" max="15110" width="12.85546875" style="4" hidden="1"/>
    <col min="15111" max="15112" width="13.28515625" style="4" hidden="1"/>
    <col min="15113" max="15359" width="10.42578125" style="4" hidden="1"/>
    <col min="15360" max="15360" width="8.42578125" style="4" hidden="1"/>
    <col min="15361" max="15362" width="12.85546875" style="4" hidden="1"/>
    <col min="15363" max="15363" width="9.7109375" style="4" hidden="1"/>
    <col min="15364" max="15364" width="7.28515625" style="4" hidden="1"/>
    <col min="15365" max="15365" width="8.140625" style="4" hidden="1"/>
    <col min="15366" max="15366" width="12.85546875" style="4" hidden="1"/>
    <col min="15367" max="15368" width="13.28515625" style="4" hidden="1"/>
    <col min="15369" max="15615" width="10.42578125" style="4" hidden="1"/>
    <col min="15616" max="15616" width="8.42578125" style="4" hidden="1"/>
    <col min="15617" max="15618" width="12.85546875" style="4" hidden="1"/>
    <col min="15619" max="15619" width="9.7109375" style="4" hidden="1"/>
    <col min="15620" max="15620" width="7.28515625" style="4" hidden="1"/>
    <col min="15621" max="15621" width="8.140625" style="4" hidden="1"/>
    <col min="15622" max="15622" width="12.85546875" style="4" hidden="1"/>
    <col min="15623" max="15624" width="13.28515625" style="4" hidden="1"/>
    <col min="15625" max="15871" width="10.42578125" style="4" hidden="1"/>
    <col min="15872" max="15872" width="8.42578125" style="4" hidden="1"/>
    <col min="15873" max="15874" width="12.85546875" style="4" hidden="1"/>
    <col min="15875" max="15875" width="9.7109375" style="4" hidden="1"/>
    <col min="15876" max="15876" width="7.28515625" style="4" hidden="1"/>
    <col min="15877" max="15877" width="8.140625" style="4" hidden="1"/>
    <col min="15878" max="15878" width="12.85546875" style="4" hidden="1"/>
    <col min="15879" max="15880" width="13.28515625" style="4" hidden="1"/>
    <col min="15881" max="16127" width="10.42578125" style="4" hidden="1"/>
    <col min="16128" max="16128" width="8.42578125" style="4" hidden="1"/>
    <col min="16129" max="16130" width="12.85546875" style="4" hidden="1"/>
    <col min="16131" max="16131" width="9.7109375" style="4" hidden="1"/>
    <col min="16132" max="16132" width="7.28515625" style="4" hidden="1"/>
    <col min="16133" max="16133" width="8.140625" style="4" hidden="1"/>
    <col min="16134" max="16134" width="12.85546875" style="4" hidden="1"/>
    <col min="16135" max="16136" width="13.28515625" style="4" hidden="1"/>
    <col min="16137" max="16384" width="10.42578125" style="4" hidden="1"/>
  </cols>
  <sheetData>
    <row r="1" spans="2:9" s="5" customFormat="1" x14ac:dyDescent="0.3">
      <c r="B1" s="104" t="s">
        <v>112</v>
      </c>
      <c r="C1" s="105"/>
      <c r="D1" s="105"/>
      <c r="E1" s="29"/>
      <c r="F1" s="29"/>
      <c r="G1" s="28"/>
      <c r="H1" s="30" t="s">
        <v>106</v>
      </c>
      <c r="I1" s="31"/>
    </row>
    <row r="2" spans="2:9" s="5" customFormat="1" x14ac:dyDescent="0.3">
      <c r="B2" s="104" t="s">
        <v>113</v>
      </c>
      <c r="C2" s="104"/>
      <c r="D2" s="104"/>
      <c r="E2" s="29"/>
      <c r="F2" s="29"/>
      <c r="G2" s="28"/>
      <c r="H2" s="31"/>
      <c r="I2" s="31"/>
    </row>
    <row r="3" spans="2:9" x14ac:dyDescent="0.3">
      <c r="B3" s="105"/>
      <c r="C3" s="105"/>
      <c r="D3" s="105"/>
      <c r="E3" s="33"/>
      <c r="F3" s="33"/>
      <c r="G3" s="32"/>
      <c r="H3" s="34"/>
    </row>
    <row r="4" spans="2:9" x14ac:dyDescent="0.25">
      <c r="B4" s="106" t="s">
        <v>0</v>
      </c>
      <c r="C4" s="107" t="s">
        <v>114</v>
      </c>
      <c r="D4" s="114"/>
      <c r="E4" s="38"/>
      <c r="F4" s="118"/>
      <c r="G4" s="109" t="s">
        <v>10</v>
      </c>
      <c r="H4" s="110"/>
    </row>
    <row r="5" spans="2:9" x14ac:dyDescent="0.25">
      <c r="B5" s="106" t="s">
        <v>1</v>
      </c>
      <c r="C5" s="107" t="s">
        <v>115</v>
      </c>
      <c r="D5" s="114"/>
      <c r="E5" s="39"/>
      <c r="F5" s="119"/>
      <c r="G5" s="109" t="s">
        <v>116</v>
      </c>
      <c r="H5" s="111"/>
    </row>
    <row r="6" spans="2:9" x14ac:dyDescent="0.25">
      <c r="B6" s="106" t="s">
        <v>2</v>
      </c>
      <c r="C6" s="108" t="s">
        <v>118</v>
      </c>
      <c r="D6" s="108"/>
      <c r="E6" s="39"/>
      <c r="F6" s="119"/>
      <c r="G6" s="109" t="s">
        <v>11</v>
      </c>
      <c r="H6" s="112"/>
    </row>
    <row r="7" spans="2:9" x14ac:dyDescent="0.25">
      <c r="G7" s="109" t="s">
        <v>117</v>
      </c>
      <c r="H7" s="111"/>
    </row>
    <row r="8" spans="2:9" x14ac:dyDescent="0.25">
      <c r="B8" s="113" t="s">
        <v>5</v>
      </c>
      <c r="C8" s="113"/>
      <c r="D8" s="113"/>
      <c r="E8" s="113"/>
      <c r="F8" s="113"/>
      <c r="G8" s="113"/>
      <c r="H8" s="113"/>
    </row>
    <row r="9" spans="2:9" x14ac:dyDescent="0.25">
      <c r="B9" s="41"/>
      <c r="C9" s="41"/>
      <c r="D9" s="41"/>
      <c r="E9" s="41"/>
      <c r="F9" s="41"/>
      <c r="G9" s="41"/>
      <c r="H9" s="41"/>
    </row>
    <row r="10" spans="2:9" ht="30" x14ac:dyDescent="0.25">
      <c r="B10" s="79" t="s">
        <v>6</v>
      </c>
      <c r="C10" s="79" t="s">
        <v>23</v>
      </c>
      <c r="D10" s="115"/>
      <c r="E10" s="80" t="s">
        <v>22</v>
      </c>
      <c r="F10" s="120"/>
      <c r="G10" s="80" t="s">
        <v>7</v>
      </c>
      <c r="H10" s="80" t="s">
        <v>8</v>
      </c>
    </row>
    <row r="11" spans="2:9" x14ac:dyDescent="0.3">
      <c r="B11" s="87"/>
      <c r="C11" s="88"/>
      <c r="E11" s="87"/>
      <c r="G11" s="88"/>
      <c r="H11" s="89"/>
    </row>
    <row r="12" spans="2:9" x14ac:dyDescent="0.3">
      <c r="B12" s="42">
        <v>1</v>
      </c>
      <c r="C12" s="43" t="s">
        <v>20</v>
      </c>
      <c r="D12" s="116"/>
      <c r="E12" s="42" t="str">
        <f>$H$1&amp;" - "&amp;B12</f>
        <v>BS.08 - 1</v>
      </c>
      <c r="F12" s="121"/>
      <c r="G12" s="43"/>
      <c r="H12" s="44"/>
    </row>
    <row r="13" spans="2:9" x14ac:dyDescent="0.3">
      <c r="B13" s="42"/>
      <c r="C13" s="43"/>
      <c r="D13" s="116"/>
      <c r="E13" s="42"/>
      <c r="F13" s="121"/>
      <c r="G13" s="43"/>
      <c r="H13" s="44"/>
    </row>
    <row r="14" spans="2:9" x14ac:dyDescent="0.3">
      <c r="B14" s="42">
        <f>B12+1</f>
        <v>2</v>
      </c>
      <c r="C14" s="43" t="s">
        <v>21</v>
      </c>
      <c r="D14" s="116"/>
      <c r="E14" s="42" t="str">
        <f>$H$1&amp;" - "&amp;B14</f>
        <v>BS.08 - 2</v>
      </c>
      <c r="F14" s="121"/>
      <c r="G14" s="43"/>
      <c r="H14" s="44"/>
    </row>
    <row r="15" spans="2:9" x14ac:dyDescent="0.3">
      <c r="B15" s="42"/>
      <c r="C15" s="43"/>
      <c r="D15" s="116"/>
      <c r="E15" s="42"/>
      <c r="F15" s="121"/>
      <c r="G15" s="43"/>
      <c r="H15" s="44"/>
    </row>
    <row r="16" spans="2:9" x14ac:dyDescent="0.3">
      <c r="B16" s="42">
        <f>B14+1</f>
        <v>3</v>
      </c>
      <c r="C16" s="43" t="s">
        <v>33</v>
      </c>
      <c r="D16" s="116"/>
      <c r="E16" s="42" t="str">
        <f>$H$1&amp;" - "&amp;B16</f>
        <v>BS.08 - 3</v>
      </c>
      <c r="F16" s="121"/>
      <c r="G16" s="43"/>
      <c r="H16" s="44"/>
    </row>
    <row r="17" spans="2:8" x14ac:dyDescent="0.3">
      <c r="B17" s="42"/>
      <c r="C17" s="43"/>
      <c r="D17" s="116"/>
      <c r="E17" s="42"/>
      <c r="F17" s="121"/>
      <c r="G17" s="43"/>
      <c r="H17" s="44"/>
    </row>
    <row r="18" spans="2:8" x14ac:dyDescent="0.3">
      <c r="B18" s="42">
        <f>B16+1</f>
        <v>4</v>
      </c>
      <c r="C18" s="43" t="s">
        <v>50</v>
      </c>
      <c r="D18" s="116"/>
      <c r="E18" s="42" t="str">
        <f>$H$1&amp;" - "&amp;B18</f>
        <v>BS.08 - 4</v>
      </c>
      <c r="F18" s="121"/>
      <c r="G18" s="43"/>
      <c r="H18" s="44"/>
    </row>
    <row r="19" spans="2:8" x14ac:dyDescent="0.3">
      <c r="B19" s="42"/>
      <c r="C19" s="43"/>
      <c r="D19" s="116"/>
      <c r="E19" s="42"/>
      <c r="F19" s="121"/>
      <c r="G19" s="43"/>
      <c r="H19" s="44"/>
    </row>
    <row r="20" spans="2:8" x14ac:dyDescent="0.3">
      <c r="B20" s="42">
        <f>B18+1</f>
        <v>5</v>
      </c>
      <c r="C20" s="43" t="s">
        <v>34</v>
      </c>
      <c r="D20" s="116"/>
      <c r="E20" s="42" t="str">
        <f>$H$1&amp;" - "&amp;B20</f>
        <v>BS.08 - 5</v>
      </c>
      <c r="F20" s="121"/>
      <c r="G20" s="43"/>
      <c r="H20" s="44"/>
    </row>
    <row r="21" spans="2:8" x14ac:dyDescent="0.3">
      <c r="B21" s="42"/>
      <c r="C21" s="43"/>
      <c r="D21" s="116"/>
      <c r="E21" s="42"/>
      <c r="F21" s="121"/>
      <c r="G21" s="43"/>
      <c r="H21" s="44"/>
    </row>
    <row r="22" spans="2:8" x14ac:dyDescent="0.3">
      <c r="B22" s="42">
        <f>B20+1</f>
        <v>6</v>
      </c>
      <c r="C22" s="43" t="s">
        <v>35</v>
      </c>
      <c r="D22" s="116"/>
      <c r="E22" s="42" t="str">
        <f>$H$1&amp;" - "&amp;B22</f>
        <v>BS.08 - 6</v>
      </c>
      <c r="F22" s="121"/>
      <c r="G22" s="43"/>
      <c r="H22" s="44"/>
    </row>
    <row r="23" spans="2:8" x14ac:dyDescent="0.3">
      <c r="B23" s="42"/>
      <c r="C23" s="43"/>
      <c r="D23" s="116"/>
      <c r="E23" s="42"/>
      <c r="F23" s="121"/>
      <c r="G23" s="43"/>
      <c r="H23" s="44"/>
    </row>
    <row r="24" spans="2:8" x14ac:dyDescent="0.3">
      <c r="B24" s="42">
        <f>B22+1</f>
        <v>7</v>
      </c>
      <c r="C24" s="43" t="s">
        <v>39</v>
      </c>
      <c r="D24" s="116"/>
      <c r="E24" s="42" t="str">
        <f>$H$1&amp;" - "&amp;B24</f>
        <v>BS.08 - 7</v>
      </c>
      <c r="F24" s="121"/>
      <c r="G24" s="43"/>
      <c r="H24" s="44"/>
    </row>
    <row r="25" spans="2:8" x14ac:dyDescent="0.3">
      <c r="B25" s="42"/>
      <c r="C25" s="43"/>
      <c r="D25" s="116"/>
      <c r="E25" s="42"/>
      <c r="F25" s="121"/>
      <c r="G25" s="43"/>
      <c r="H25" s="44"/>
    </row>
    <row r="26" spans="2:8" x14ac:dyDescent="0.3">
      <c r="B26" s="42">
        <f>B24+1</f>
        <v>8</v>
      </c>
      <c r="C26" s="43" t="s">
        <v>51</v>
      </c>
      <c r="D26" s="116"/>
      <c r="E26" s="42" t="str">
        <f>$H$1&amp;" - "&amp;B26</f>
        <v>BS.08 - 8</v>
      </c>
      <c r="F26" s="121"/>
      <c r="G26" s="43"/>
      <c r="H26" s="44"/>
    </row>
    <row r="27" spans="2:8" x14ac:dyDescent="0.3">
      <c r="B27" s="42"/>
      <c r="C27" s="43"/>
      <c r="D27" s="116"/>
      <c r="E27" s="42"/>
      <c r="F27" s="121"/>
      <c r="G27" s="43"/>
      <c r="H27" s="44"/>
    </row>
    <row r="28" spans="2:8" x14ac:dyDescent="0.3">
      <c r="B28" s="42"/>
      <c r="C28" s="43"/>
      <c r="D28" s="116"/>
      <c r="E28" s="42"/>
      <c r="F28" s="121"/>
      <c r="G28" s="43"/>
      <c r="H28" s="44"/>
    </row>
    <row r="29" spans="2:8" x14ac:dyDescent="0.3">
      <c r="B29" s="42"/>
      <c r="C29" s="45"/>
      <c r="D29" s="117"/>
      <c r="E29" s="42"/>
      <c r="F29" s="121"/>
      <c r="G29" s="43"/>
      <c r="H29" s="44"/>
    </row>
    <row r="30" spans="2:8" x14ac:dyDescent="0.3">
      <c r="B30" s="42"/>
      <c r="C30" s="43"/>
      <c r="D30" s="116"/>
      <c r="E30" s="42"/>
      <c r="F30" s="121"/>
      <c r="G30" s="43"/>
      <c r="H30" s="44"/>
    </row>
    <row r="31" spans="2:8" x14ac:dyDescent="0.3">
      <c r="B31" s="42"/>
      <c r="C31" s="43"/>
      <c r="D31" s="116"/>
      <c r="E31" s="42"/>
      <c r="F31" s="121"/>
      <c r="G31" s="43"/>
      <c r="H31" s="44"/>
    </row>
    <row r="32" spans="2:8" x14ac:dyDescent="0.3">
      <c r="B32" s="42"/>
      <c r="C32" s="45"/>
      <c r="D32" s="117"/>
      <c r="E32" s="42"/>
      <c r="F32" s="121"/>
      <c r="G32" s="43"/>
      <c r="H32" s="44"/>
    </row>
    <row r="33" spans="2:8" x14ac:dyDescent="0.3">
      <c r="B33" s="42"/>
      <c r="C33" s="45"/>
      <c r="D33" s="117"/>
      <c r="E33" s="42"/>
      <c r="F33" s="121"/>
      <c r="G33" s="43"/>
      <c r="H33" s="44"/>
    </row>
    <row r="34" spans="2:8" x14ac:dyDescent="0.3">
      <c r="B34" s="42"/>
      <c r="C34" s="45"/>
      <c r="D34" s="117"/>
      <c r="E34" s="42"/>
      <c r="F34" s="121"/>
      <c r="G34" s="43"/>
      <c r="H34" s="44"/>
    </row>
    <row r="35" spans="2:8" x14ac:dyDescent="0.3">
      <c r="B35" s="42"/>
      <c r="C35" s="43"/>
      <c r="D35" s="116"/>
      <c r="E35" s="42"/>
      <c r="F35" s="121"/>
      <c r="G35" s="43"/>
      <c r="H35" s="44"/>
    </row>
    <row r="36" spans="2:8" x14ac:dyDescent="0.3">
      <c r="B36" s="42"/>
      <c r="C36" s="43"/>
      <c r="D36" s="116"/>
      <c r="E36" s="42"/>
      <c r="F36" s="121"/>
      <c r="G36" s="43"/>
      <c r="H36" s="44"/>
    </row>
    <row r="37" spans="2:8" x14ac:dyDescent="0.3">
      <c r="B37" s="42"/>
      <c r="C37" s="43"/>
      <c r="D37" s="116"/>
      <c r="E37" s="42"/>
      <c r="F37" s="121"/>
      <c r="G37" s="43"/>
      <c r="H37" s="44"/>
    </row>
    <row r="38" spans="2:8" x14ac:dyDescent="0.25"/>
  </sheetData>
  <printOptions horizontalCentered="1"/>
  <pageMargins left="0.25" right="0.25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31"/>
  <sheetViews>
    <sheetView showGridLines="0" zoomScaleNormal="100" zoomScaleSheetLayoutView="100" workbookViewId="0">
      <selection activeCell="C2" sqref="C2"/>
    </sheetView>
  </sheetViews>
  <sheetFormatPr defaultColWidth="0" defaultRowHeight="13.5" zeroHeight="1" x14ac:dyDescent="0.25"/>
  <cols>
    <col min="1" max="1" width="1" style="131" customWidth="1"/>
    <col min="2" max="2" width="10" style="128" customWidth="1"/>
    <col min="3" max="3" width="61.42578125" style="128" customWidth="1"/>
    <col min="4" max="5" width="13.5703125" style="128" customWidth="1"/>
    <col min="6" max="6" width="1" style="128" customWidth="1"/>
    <col min="7" max="7" width="9.140625" style="128" hidden="1" customWidth="1"/>
    <col min="8" max="9" width="0" style="131" hidden="1" customWidth="1"/>
    <col min="10" max="16384" width="9.140625" style="131" hidden="1"/>
  </cols>
  <sheetData>
    <row r="1" spans="2:7" s="127" customFormat="1" ht="15" x14ac:dyDescent="0.25">
      <c r="B1" s="123" t="str">
        <f>Index!$B$1</f>
        <v>ABC &amp; Co.</v>
      </c>
      <c r="C1" s="124"/>
      <c r="D1" s="125"/>
      <c r="E1" s="126" t="str">
        <f>Index!E12</f>
        <v>BS.08 - 1</v>
      </c>
      <c r="F1" s="124"/>
      <c r="G1" s="124"/>
    </row>
    <row r="2" spans="2:7" s="127" customFormat="1" ht="15" x14ac:dyDescent="0.25">
      <c r="B2" s="124" t="str">
        <f>Index!$B$2</f>
        <v>(Chartered Accountants)</v>
      </c>
      <c r="C2" s="124"/>
      <c r="D2" s="125"/>
      <c r="E2" s="124"/>
      <c r="F2" s="124"/>
      <c r="G2" s="124"/>
    </row>
    <row r="3" spans="2:7" s="127" customFormat="1" x14ac:dyDescent="0.25">
      <c r="B3" s="124"/>
      <c r="C3" s="124"/>
      <c r="D3" s="124"/>
      <c r="E3" s="128"/>
      <c r="F3" s="128"/>
      <c r="G3" s="124"/>
    </row>
    <row r="4" spans="2:7" s="127" customFormat="1" ht="15" x14ac:dyDescent="0.25">
      <c r="B4" s="106" t="str">
        <f>Index!$B$4</f>
        <v xml:space="preserve">Client: </v>
      </c>
      <c r="C4" s="129" t="str">
        <f>Index!$C$4</f>
        <v>ABC Limited</v>
      </c>
      <c r="D4" s="109" t="str">
        <f>Index!$G$4</f>
        <v>Prepared by:</v>
      </c>
      <c r="E4" s="110" t="str">
        <f>IF(Index!$H$4="","",Index!$H$4)</f>
        <v/>
      </c>
      <c r="F4" s="124"/>
      <c r="G4" s="124"/>
    </row>
    <row r="5" spans="2:7" s="127" customFormat="1" ht="15" x14ac:dyDescent="0.25">
      <c r="B5" s="106" t="str">
        <f>Index!$B$5</f>
        <v>Period:</v>
      </c>
      <c r="C5" s="129" t="str">
        <f>Index!$C$5</f>
        <v>Year ended June 30, 2023</v>
      </c>
      <c r="D5" s="109" t="str">
        <f>Index!$G$5</f>
        <v>Date prepared:</v>
      </c>
      <c r="E5" s="111" t="str">
        <f>IF(Index!$H$5="","",Index!$H$5)</f>
        <v/>
      </c>
      <c r="F5" s="124"/>
      <c r="G5" s="124"/>
    </row>
    <row r="6" spans="2:7" s="127" customFormat="1" ht="15" x14ac:dyDescent="0.25">
      <c r="B6" s="106" t="str">
        <f>Index!$B$6</f>
        <v>Head:</v>
      </c>
      <c r="C6" s="130" t="str">
        <f>Index!$C$6</f>
        <v>Stock in Trade</v>
      </c>
      <c r="D6" s="109" t="str">
        <f>Index!$G$6</f>
        <v>Reviewed by:</v>
      </c>
      <c r="E6" s="112" t="str">
        <f>IF(Index!$H$6="","",Index!$H$6)</f>
        <v/>
      </c>
      <c r="F6" s="124"/>
      <c r="G6" s="124"/>
    </row>
    <row r="7" spans="2:7" ht="15" x14ac:dyDescent="0.25">
      <c r="B7" s="124"/>
      <c r="C7" s="124"/>
      <c r="D7" s="109" t="str">
        <f>Index!$G$7</f>
        <v>Date reviewed:</v>
      </c>
      <c r="E7" s="111" t="str">
        <f>IF(Index!$H$7="","",Index!$H$7)</f>
        <v/>
      </c>
      <c r="F7" s="124"/>
    </row>
    <row r="8" spans="2:7" s="127" customFormat="1" ht="15" x14ac:dyDescent="0.25">
      <c r="B8" s="163" t="str">
        <f>UPPER("Audit Objectives and Conclusions")</f>
        <v>AUDIT OBJECTIVES AND CONCLUSIONS</v>
      </c>
      <c r="C8" s="163"/>
      <c r="D8" s="163"/>
      <c r="E8" s="163"/>
      <c r="F8" s="123"/>
      <c r="G8" s="124"/>
    </row>
    <row r="9" spans="2:7" x14ac:dyDescent="0.25"/>
    <row r="10" spans="2:7" ht="20.25" customHeight="1" x14ac:dyDescent="0.25">
      <c r="B10" s="209" t="s">
        <v>6</v>
      </c>
      <c r="C10" s="209" t="s">
        <v>14</v>
      </c>
      <c r="D10" s="207" t="s">
        <v>26</v>
      </c>
      <c r="E10" s="207"/>
      <c r="F10" s="133"/>
    </row>
    <row r="11" spans="2:7" ht="20.25" customHeight="1" x14ac:dyDescent="0.25">
      <c r="B11" s="209"/>
      <c r="C11" s="209"/>
      <c r="D11" s="132" t="s">
        <v>29</v>
      </c>
      <c r="E11" s="134" t="s">
        <v>30</v>
      </c>
      <c r="F11" s="133"/>
    </row>
    <row r="12" spans="2:7" s="138" customFormat="1" ht="15" x14ac:dyDescent="0.25">
      <c r="B12" s="135"/>
      <c r="C12" s="135"/>
      <c r="D12" s="136"/>
      <c r="E12" s="136"/>
      <c r="F12" s="137"/>
      <c r="G12" s="137"/>
    </row>
    <row r="13" spans="2:7" s="142" customFormat="1" ht="33" customHeight="1" x14ac:dyDescent="0.25">
      <c r="B13" s="139">
        <v>1</v>
      </c>
      <c r="C13" s="140" t="s">
        <v>82</v>
      </c>
      <c r="D13" s="140"/>
      <c r="E13" s="140"/>
      <c r="F13" s="141"/>
      <c r="G13" s="141"/>
    </row>
    <row r="14" spans="2:7" s="142" customFormat="1" ht="33" customHeight="1" x14ac:dyDescent="0.25">
      <c r="B14" s="139">
        <f>B13+1</f>
        <v>2</v>
      </c>
      <c r="C14" s="140" t="s">
        <v>81</v>
      </c>
      <c r="D14" s="140"/>
      <c r="E14" s="140"/>
      <c r="F14" s="141"/>
      <c r="G14" s="141"/>
    </row>
    <row r="15" spans="2:7" s="142" customFormat="1" ht="53.25" customHeight="1" x14ac:dyDescent="0.25">
      <c r="B15" s="139">
        <f>B14+1</f>
        <v>3</v>
      </c>
      <c r="C15" s="140" t="s">
        <v>80</v>
      </c>
      <c r="D15" s="140"/>
      <c r="E15" s="140"/>
      <c r="F15" s="141"/>
      <c r="G15" s="141"/>
    </row>
    <row r="16" spans="2:7" s="142" customFormat="1" ht="36.75" customHeight="1" x14ac:dyDescent="0.25">
      <c r="B16" s="139">
        <f>B15+1</f>
        <v>4</v>
      </c>
      <c r="C16" s="140" t="s">
        <v>83</v>
      </c>
      <c r="D16" s="140"/>
      <c r="E16" s="140"/>
      <c r="F16" s="141"/>
      <c r="G16" s="141"/>
    </row>
    <row r="17" spans="2:9" s="142" customFormat="1" ht="51.75" customHeight="1" x14ac:dyDescent="0.25">
      <c r="B17" s="139">
        <f>B16+1</f>
        <v>5</v>
      </c>
      <c r="C17" s="140" t="s">
        <v>110</v>
      </c>
      <c r="D17" s="140"/>
      <c r="E17" s="140"/>
      <c r="F17" s="141"/>
      <c r="G17" s="141"/>
    </row>
    <row r="18" spans="2:9" s="147" customFormat="1" x14ac:dyDescent="0.25">
      <c r="B18" s="143"/>
      <c r="C18" s="144"/>
      <c r="D18" s="145"/>
      <c r="E18" s="145"/>
      <c r="F18" s="146"/>
      <c r="G18" s="146"/>
    </row>
    <row r="19" spans="2:9" s="147" customFormat="1" x14ac:dyDescent="0.25">
      <c r="B19" s="148"/>
      <c r="C19" s="149"/>
      <c r="D19" s="146"/>
      <c r="E19" s="146"/>
      <c r="F19" s="146"/>
      <c r="G19" s="146"/>
    </row>
    <row r="20" spans="2:9" s="142" customFormat="1" ht="19.5" customHeight="1" x14ac:dyDescent="0.25">
      <c r="B20" s="209" t="s">
        <v>6</v>
      </c>
      <c r="C20" s="209" t="s">
        <v>28</v>
      </c>
      <c r="D20" s="208" t="s">
        <v>27</v>
      </c>
      <c r="E20" s="208"/>
      <c r="F20" s="141"/>
      <c r="G20" s="141"/>
    </row>
    <row r="21" spans="2:9" s="151" customFormat="1" ht="19.5" customHeight="1" x14ac:dyDescent="0.25">
      <c r="B21" s="209"/>
      <c r="C21" s="209"/>
      <c r="D21" s="132" t="s">
        <v>29</v>
      </c>
      <c r="E21" s="134" t="s">
        <v>30</v>
      </c>
      <c r="F21" s="150"/>
      <c r="G21" s="150"/>
    </row>
    <row r="22" spans="2:9" s="151" customFormat="1" ht="15" x14ac:dyDescent="0.25">
      <c r="B22" s="152"/>
      <c r="C22" s="153"/>
      <c r="D22" s="154"/>
      <c r="E22" s="154"/>
      <c r="F22" s="150"/>
      <c r="G22" s="150"/>
    </row>
    <row r="23" spans="2:9" s="157" customFormat="1" ht="34.5" customHeight="1" x14ac:dyDescent="0.25">
      <c r="B23" s="139">
        <v>1</v>
      </c>
      <c r="C23" s="155" t="s">
        <v>24</v>
      </c>
      <c r="D23" s="155"/>
      <c r="E23" s="155"/>
      <c r="F23" s="156"/>
      <c r="G23" s="156"/>
    </row>
    <row r="24" spans="2:9" s="157" customFormat="1" ht="34.5" customHeight="1" x14ac:dyDescent="0.25">
      <c r="B24" s="139">
        <f>B23+1</f>
        <v>2</v>
      </c>
      <c r="C24" s="155" t="s">
        <v>25</v>
      </c>
      <c r="D24" s="155"/>
      <c r="E24" s="155"/>
      <c r="F24" s="156"/>
      <c r="G24" s="156"/>
    </row>
    <row r="25" spans="2:9" s="157" customFormat="1" ht="48.75" customHeight="1" x14ac:dyDescent="0.25">
      <c r="B25" s="139">
        <f>B24+1</f>
        <v>3</v>
      </c>
      <c r="C25" s="155" t="s">
        <v>37</v>
      </c>
      <c r="D25" s="155"/>
      <c r="E25" s="155"/>
      <c r="F25" s="156"/>
      <c r="G25" s="156"/>
    </row>
    <row r="26" spans="2:9" s="157" customFormat="1" ht="34.5" customHeight="1" x14ac:dyDescent="0.25">
      <c r="B26" s="139">
        <f>B25+1</f>
        <v>4</v>
      </c>
      <c r="C26" s="155" t="s">
        <v>38</v>
      </c>
      <c r="D26" s="155"/>
      <c r="E26" s="155"/>
      <c r="F26" s="156"/>
      <c r="G26" s="156"/>
    </row>
    <row r="27" spans="2:9" s="142" customFormat="1" x14ac:dyDescent="0.25">
      <c r="B27" s="158"/>
      <c r="C27" s="140"/>
      <c r="D27" s="140"/>
      <c r="E27" s="140"/>
      <c r="F27" s="141"/>
      <c r="G27" s="141"/>
    </row>
    <row r="28" spans="2:9" s="151" customFormat="1" x14ac:dyDescent="0.25">
      <c r="B28" s="159"/>
      <c r="C28" s="160"/>
      <c r="D28" s="150"/>
      <c r="E28" s="150"/>
      <c r="F28" s="150"/>
      <c r="G28" s="150"/>
    </row>
    <row r="29" spans="2:9" s="151" customFormat="1" hidden="1" x14ac:dyDescent="0.25">
      <c r="B29" s="150"/>
      <c r="C29" s="150"/>
      <c r="D29" s="150"/>
      <c r="E29" s="150"/>
      <c r="F29" s="150"/>
      <c r="G29" s="150"/>
    </row>
    <row r="30" spans="2:9" s="151" customFormat="1" ht="15" hidden="1" x14ac:dyDescent="0.25">
      <c r="B30" s="150"/>
      <c r="C30" s="150"/>
      <c r="D30" s="161"/>
      <c r="E30" s="161"/>
      <c r="F30" s="161"/>
      <c r="G30" s="161"/>
      <c r="H30" s="162"/>
      <c r="I30" s="162"/>
    </row>
    <row r="31" spans="2:9" s="151" customFormat="1" hidden="1" x14ac:dyDescent="0.25">
      <c r="B31" s="150"/>
      <c r="C31" s="150"/>
      <c r="D31" s="150"/>
      <c r="E31" s="150"/>
      <c r="F31" s="150"/>
      <c r="G31" s="150"/>
    </row>
  </sheetData>
  <mergeCells count="6">
    <mergeCell ref="D10:E10"/>
    <mergeCell ref="D20:E20"/>
    <mergeCell ref="C10:C11"/>
    <mergeCell ref="B10:B11"/>
    <mergeCell ref="B20:B21"/>
    <mergeCell ref="C20:C21"/>
  </mergeCells>
  <printOptions horizontalCentered="1"/>
  <pageMargins left="0.25" right="0.25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65"/>
  <sheetViews>
    <sheetView showGridLines="0" topLeftCell="A9" zoomScaleNormal="100" zoomScaleSheetLayoutView="100" workbookViewId="0">
      <selection activeCell="B20" sqref="B20:B24"/>
    </sheetView>
  </sheetViews>
  <sheetFormatPr defaultColWidth="0" defaultRowHeight="13.5" zeroHeight="1" x14ac:dyDescent="0.25"/>
  <cols>
    <col min="1" max="1" width="1" style="131" customWidth="1"/>
    <col min="2" max="2" width="7.7109375" style="150" customWidth="1"/>
    <col min="3" max="3" width="33" style="150" customWidth="1"/>
    <col min="4" max="4" width="2.7109375" style="150" customWidth="1"/>
    <col min="5" max="5" width="11.7109375" style="150" bestFit="1" customWidth="1"/>
    <col min="6" max="6" width="2.7109375" style="150" customWidth="1"/>
    <col min="7" max="9" width="14.42578125" style="150" customWidth="1"/>
    <col min="10" max="10" width="14.42578125" style="151" customWidth="1"/>
    <col min="11" max="11" width="21.7109375" style="151" bestFit="1" customWidth="1"/>
    <col min="12" max="12" width="1" style="131" customWidth="1"/>
    <col min="13" max="16384" width="9.140625" style="151" hidden="1"/>
  </cols>
  <sheetData>
    <row r="1" spans="1:15" ht="15" x14ac:dyDescent="0.25">
      <c r="A1" s="127"/>
      <c r="B1" s="123" t="str">
        <f>Index!$B$1</f>
        <v>ABC &amp; Co.</v>
      </c>
      <c r="C1" s="124"/>
      <c r="D1" s="124"/>
      <c r="G1" s="161"/>
      <c r="J1" s="127"/>
      <c r="K1" s="164" t="str">
        <f>Index!E14</f>
        <v>BS.08 - 2</v>
      </c>
      <c r="L1" s="151"/>
    </row>
    <row r="2" spans="1:15" x14ac:dyDescent="0.25">
      <c r="A2" s="127"/>
      <c r="B2" s="124" t="str">
        <f>Index!$B$2</f>
        <v>(Chartered Accountants)</v>
      </c>
      <c r="C2" s="124"/>
      <c r="D2" s="124"/>
      <c r="E2" s="165"/>
      <c r="F2" s="165"/>
      <c r="G2" s="128"/>
      <c r="J2" s="127"/>
      <c r="L2" s="151"/>
    </row>
    <row r="3" spans="1:15" x14ac:dyDescent="0.25">
      <c r="A3" s="127"/>
      <c r="B3" s="124"/>
      <c r="C3" s="124"/>
      <c r="D3" s="124"/>
      <c r="L3" s="127"/>
    </row>
    <row r="4" spans="1:15" s="166" customFormat="1" ht="15" x14ac:dyDescent="0.25">
      <c r="A4" s="131"/>
      <c r="B4" s="106" t="str">
        <f>Index!$B$4</f>
        <v xml:space="preserve">Client: </v>
      </c>
      <c r="C4" s="129" t="str">
        <f>Index!$C$4</f>
        <v>ABC Limited</v>
      </c>
      <c r="D4" s="130"/>
      <c r="E4" s="105"/>
      <c r="F4" s="105"/>
      <c r="G4" s="105"/>
      <c r="H4" s="105"/>
      <c r="I4" s="105"/>
      <c r="J4" s="109" t="str">
        <f>Index!$G$4</f>
        <v>Prepared by:</v>
      </c>
      <c r="K4" s="110" t="str">
        <f>IF(Index!$H$4="","",Index!$H$4)</f>
        <v/>
      </c>
      <c r="L4" s="131"/>
    </row>
    <row r="5" spans="1:15" s="166" customFormat="1" ht="15" x14ac:dyDescent="0.25">
      <c r="A5" s="127"/>
      <c r="B5" s="106" t="str">
        <f>Index!$B$5</f>
        <v>Period:</v>
      </c>
      <c r="C5" s="129" t="str">
        <f>Index!$C$5</f>
        <v>Year ended June 30, 2023</v>
      </c>
      <c r="D5" s="130"/>
      <c r="E5" s="105"/>
      <c r="F5" s="105"/>
      <c r="G5" s="105"/>
      <c r="H5" s="105"/>
      <c r="I5" s="105"/>
      <c r="J5" s="109" t="str">
        <f>Index!$G$5</f>
        <v>Date prepared:</v>
      </c>
      <c r="K5" s="111" t="str">
        <f>IF(Index!$H$5="","",Index!$H$5)</f>
        <v/>
      </c>
      <c r="L5" s="127"/>
    </row>
    <row r="6" spans="1:15" s="166" customFormat="1" ht="15" x14ac:dyDescent="0.25">
      <c r="A6" s="127"/>
      <c r="B6" s="106" t="str">
        <f>Index!$B$6</f>
        <v>Head:</v>
      </c>
      <c r="C6" s="130" t="str">
        <f>Index!$C$6</f>
        <v>Stock in Trade</v>
      </c>
      <c r="D6" s="130"/>
      <c r="E6" s="105"/>
      <c r="F6" s="105"/>
      <c r="G6" s="105"/>
      <c r="H6" s="105"/>
      <c r="I6" s="105"/>
      <c r="J6" s="109" t="str">
        <f>Index!$G$6</f>
        <v>Reviewed by:</v>
      </c>
      <c r="K6" s="112" t="str">
        <f>IF(Index!$H$6="","",Index!$H$6)</f>
        <v/>
      </c>
      <c r="L6" s="127"/>
    </row>
    <row r="7" spans="1:15" s="166" customFormat="1" ht="15" x14ac:dyDescent="0.25">
      <c r="A7" s="127"/>
      <c r="B7" s="167"/>
      <c r="C7" s="129"/>
      <c r="D7" s="130"/>
      <c r="E7" s="105"/>
      <c r="F7" s="105"/>
      <c r="G7" s="105"/>
      <c r="H7" s="105"/>
      <c r="I7" s="105"/>
      <c r="J7" s="109" t="str">
        <f>Index!$G$7</f>
        <v>Date reviewed:</v>
      </c>
      <c r="K7" s="111" t="str">
        <f>IF(Index!$H$7="","",Index!$H$7)</f>
        <v/>
      </c>
      <c r="L7" s="127"/>
    </row>
    <row r="8" spans="1:15" ht="12.75" x14ac:dyDescent="0.25">
      <c r="B8" s="162" t="s">
        <v>9</v>
      </c>
      <c r="C8" s="162"/>
      <c r="D8" s="162"/>
      <c r="E8" s="162"/>
      <c r="F8" s="162"/>
      <c r="G8" s="162"/>
      <c r="H8" s="162"/>
      <c r="I8" s="162"/>
      <c r="J8" s="162"/>
      <c r="K8" s="162"/>
    </row>
    <row r="9" spans="1:15" ht="15" x14ac:dyDescent="0.25">
      <c r="A9" s="151"/>
      <c r="B9" s="161" t="s">
        <v>19</v>
      </c>
      <c r="L9" s="151"/>
    </row>
    <row r="10" spans="1:15" ht="15" x14ac:dyDescent="0.25">
      <c r="A10" s="151"/>
      <c r="B10" s="168" t="s">
        <v>17</v>
      </c>
      <c r="L10" s="151"/>
    </row>
    <row r="11" spans="1:15" ht="14.25" customHeight="1" x14ac:dyDescent="0.25">
      <c r="B11" s="169" t="s">
        <v>92</v>
      </c>
      <c r="C11" s="169"/>
      <c r="D11" s="169"/>
      <c r="E11" s="169"/>
      <c r="F11" s="169"/>
      <c r="G11" s="169"/>
      <c r="H11" s="169"/>
      <c r="I11" s="169"/>
      <c r="J11" s="169"/>
      <c r="K11" s="169"/>
      <c r="L11" s="169"/>
    </row>
    <row r="12" spans="1:15" ht="14.25" customHeight="1" x14ac:dyDescent="0.25">
      <c r="B12" s="170"/>
      <c r="C12" s="170"/>
      <c r="D12" s="170"/>
      <c r="E12" s="170"/>
      <c r="F12" s="170"/>
      <c r="G12" s="170"/>
      <c r="H12" s="170"/>
      <c r="I12" s="170"/>
      <c r="J12" s="171"/>
      <c r="K12" s="171"/>
      <c r="L12" s="171"/>
    </row>
    <row r="13" spans="1:15" ht="15" x14ac:dyDescent="0.25">
      <c r="A13" s="151"/>
      <c r="B13" s="168" t="s">
        <v>18</v>
      </c>
      <c r="C13" s="172"/>
      <c r="D13" s="172"/>
      <c r="E13" s="172"/>
      <c r="F13" s="172"/>
      <c r="G13" s="172"/>
      <c r="H13" s="172"/>
      <c r="I13" s="172"/>
      <c r="J13" s="173"/>
      <c r="K13" s="173"/>
      <c r="L13" s="151"/>
    </row>
    <row r="14" spans="1:15" ht="14.25" customHeight="1" x14ac:dyDescent="0.25">
      <c r="A14" s="151"/>
      <c r="B14" s="169" t="s">
        <v>63</v>
      </c>
      <c r="C14" s="169"/>
      <c r="D14" s="169"/>
      <c r="E14" s="169"/>
      <c r="F14" s="169"/>
      <c r="G14" s="169"/>
      <c r="H14" s="169"/>
      <c r="I14" s="169"/>
      <c r="J14" s="169"/>
      <c r="K14" s="169"/>
      <c r="L14" s="174"/>
      <c r="M14" s="174"/>
      <c r="N14" s="174"/>
      <c r="O14" s="174"/>
    </row>
    <row r="15" spans="1:15" ht="14.25" customHeight="1" x14ac:dyDescent="0.25">
      <c r="A15" s="151"/>
      <c r="B15" s="169" t="s">
        <v>65</v>
      </c>
      <c r="C15" s="169"/>
      <c r="D15" s="169"/>
      <c r="E15" s="169"/>
      <c r="F15" s="169"/>
      <c r="G15" s="169"/>
      <c r="H15" s="169"/>
      <c r="I15" s="169"/>
      <c r="J15" s="169"/>
      <c r="K15" s="169"/>
      <c r="L15" s="175"/>
      <c r="M15" s="175"/>
      <c r="N15" s="175"/>
      <c r="O15" s="175"/>
    </row>
    <row r="16" spans="1:15" ht="14.25" customHeight="1" x14ac:dyDescent="0.25">
      <c r="A16" s="151"/>
      <c r="B16" s="169" t="s">
        <v>64</v>
      </c>
      <c r="C16" s="169"/>
      <c r="D16" s="169"/>
      <c r="E16" s="169"/>
      <c r="F16" s="169"/>
      <c r="G16" s="169"/>
      <c r="H16" s="169"/>
      <c r="I16" s="169"/>
      <c r="J16" s="169"/>
      <c r="K16" s="169"/>
      <c r="L16" s="175"/>
      <c r="M16" s="175"/>
      <c r="N16" s="175"/>
      <c r="O16" s="175"/>
    </row>
    <row r="17" spans="1:15" ht="14.25" customHeight="1" x14ac:dyDescent="0.25">
      <c r="A17" s="151"/>
      <c r="B17" s="169" t="s">
        <v>36</v>
      </c>
      <c r="C17" s="169"/>
      <c r="D17" s="169"/>
      <c r="E17" s="169"/>
      <c r="F17" s="169"/>
      <c r="G17" s="169"/>
      <c r="H17" s="169"/>
      <c r="I17" s="169"/>
      <c r="J17" s="169"/>
      <c r="K17" s="169"/>
      <c r="L17" s="175"/>
      <c r="M17" s="175"/>
      <c r="N17" s="175"/>
      <c r="O17" s="175"/>
    </row>
    <row r="18" spans="1:15" ht="14.25" customHeight="1" x14ac:dyDescent="0.25">
      <c r="A18" s="151"/>
      <c r="B18" s="169" t="s">
        <v>111</v>
      </c>
      <c r="C18" s="169"/>
      <c r="D18" s="169"/>
      <c r="E18" s="169"/>
      <c r="F18" s="169"/>
      <c r="G18" s="169"/>
      <c r="H18" s="169"/>
      <c r="I18" s="169"/>
      <c r="J18" s="169"/>
      <c r="K18" s="169"/>
      <c r="L18" s="176"/>
      <c r="M18" s="176"/>
      <c r="N18" s="176"/>
      <c r="O18" s="176"/>
    </row>
    <row r="19" spans="1:15" ht="14.25" customHeight="1" x14ac:dyDescent="0.25">
      <c r="A19" s="151"/>
      <c r="B19" s="169"/>
      <c r="C19" s="169"/>
      <c r="D19" s="169"/>
      <c r="E19" s="169"/>
      <c r="F19" s="169"/>
      <c r="G19" s="169"/>
      <c r="H19" s="169"/>
      <c r="I19" s="169"/>
      <c r="J19" s="169"/>
      <c r="K19" s="169"/>
      <c r="L19" s="176"/>
      <c r="M19" s="176"/>
      <c r="N19" s="176"/>
      <c r="O19" s="176"/>
    </row>
    <row r="20" spans="1:15" ht="14.25" customHeight="1" x14ac:dyDescent="0.3">
      <c r="A20" s="151"/>
      <c r="B20" s="233" t="s">
        <v>127</v>
      </c>
      <c r="C20" s="169"/>
      <c r="D20" s="169"/>
      <c r="E20" s="169"/>
      <c r="F20" s="169"/>
      <c r="G20" s="169"/>
      <c r="H20" s="169"/>
      <c r="I20" s="169"/>
      <c r="J20" s="169"/>
      <c r="K20" s="169"/>
      <c r="L20" s="176"/>
      <c r="M20" s="176"/>
      <c r="N20" s="176"/>
      <c r="O20" s="176"/>
    </row>
    <row r="21" spans="1:15" ht="14.25" customHeight="1" x14ac:dyDescent="0.25">
      <c r="A21" s="151"/>
      <c r="B21" s="234" t="s">
        <v>128</v>
      </c>
      <c r="C21" s="169"/>
      <c r="D21" s="169"/>
      <c r="E21" s="169"/>
      <c r="F21" s="169"/>
      <c r="G21" s="169"/>
      <c r="H21" s="169"/>
      <c r="I21" s="169"/>
      <c r="J21" s="169"/>
      <c r="K21" s="169"/>
      <c r="L21" s="176"/>
      <c r="M21" s="176"/>
      <c r="N21" s="176"/>
      <c r="O21" s="176"/>
    </row>
    <row r="22" spans="1:15" ht="14.25" customHeight="1" x14ac:dyDescent="0.25">
      <c r="A22" s="151"/>
      <c r="B22" s="235"/>
      <c r="C22" s="169"/>
      <c r="D22" s="169"/>
      <c r="E22" s="169"/>
      <c r="F22" s="169"/>
      <c r="G22" s="169"/>
      <c r="H22" s="169"/>
      <c r="I22" s="169"/>
      <c r="J22" s="169"/>
      <c r="K22" s="169"/>
      <c r="L22" s="176"/>
      <c r="M22" s="176"/>
      <c r="N22" s="176"/>
      <c r="O22" s="176"/>
    </row>
    <row r="23" spans="1:15" ht="14.25" customHeight="1" x14ac:dyDescent="0.3">
      <c r="A23" s="151"/>
      <c r="B23" s="233" t="s">
        <v>28</v>
      </c>
      <c r="C23" s="169"/>
      <c r="D23" s="169"/>
      <c r="E23" s="169"/>
      <c r="F23" s="169"/>
      <c r="G23" s="169"/>
      <c r="H23" s="169"/>
      <c r="I23" s="169"/>
      <c r="J23" s="169"/>
      <c r="K23" s="169"/>
      <c r="L23" s="176"/>
      <c r="M23" s="176"/>
      <c r="N23" s="176"/>
      <c r="O23" s="176"/>
    </row>
    <row r="24" spans="1:15" ht="14.25" customHeight="1" x14ac:dyDescent="0.25">
      <c r="A24" s="151"/>
      <c r="B24" s="234" t="s">
        <v>27</v>
      </c>
      <c r="C24" s="169"/>
      <c r="D24" s="169"/>
      <c r="E24" s="169"/>
      <c r="F24" s="169"/>
      <c r="G24" s="169"/>
      <c r="H24" s="169"/>
      <c r="I24" s="169"/>
      <c r="J24" s="169"/>
      <c r="K24" s="169"/>
      <c r="L24" s="176"/>
      <c r="M24" s="176"/>
      <c r="N24" s="176"/>
      <c r="O24" s="176"/>
    </row>
    <row r="25" spans="1:15" x14ac:dyDescent="0.25">
      <c r="A25" s="127"/>
      <c r="B25" s="150" t="s">
        <v>3</v>
      </c>
      <c r="L25" s="127"/>
    </row>
    <row r="26" spans="1:15" ht="15" customHeight="1" x14ac:dyDescent="0.25">
      <c r="B26" s="215" t="s">
        <v>23</v>
      </c>
      <c r="C26" s="215"/>
      <c r="D26" s="188"/>
      <c r="E26" s="215" t="s">
        <v>22</v>
      </c>
      <c r="F26" s="188"/>
      <c r="G26" s="177">
        <v>2022</v>
      </c>
      <c r="H26" s="177">
        <f>G26-1</f>
        <v>2021</v>
      </c>
      <c r="I26" s="177" t="s">
        <v>12</v>
      </c>
      <c r="J26" s="178" t="s">
        <v>12</v>
      </c>
      <c r="K26" s="214" t="s">
        <v>13</v>
      </c>
    </row>
    <row r="27" spans="1:15" ht="15" x14ac:dyDescent="0.25">
      <c r="A27" s="138"/>
      <c r="B27" s="215"/>
      <c r="C27" s="215"/>
      <c r="D27" s="188"/>
      <c r="E27" s="215"/>
      <c r="F27" s="188"/>
      <c r="G27" s="177" t="s">
        <v>31</v>
      </c>
      <c r="H27" s="177" t="s">
        <v>31</v>
      </c>
      <c r="I27" s="177" t="s">
        <v>31</v>
      </c>
      <c r="J27" s="178" t="s">
        <v>15</v>
      </c>
      <c r="K27" s="214"/>
      <c r="L27" s="138"/>
    </row>
    <row r="28" spans="1:15" ht="15" x14ac:dyDescent="0.25">
      <c r="B28" s="212"/>
      <c r="C28" s="212"/>
      <c r="D28" s="189"/>
      <c r="E28" s="153"/>
      <c r="G28" s="179"/>
      <c r="H28" s="180"/>
      <c r="I28" s="180"/>
      <c r="J28" s="181"/>
      <c r="K28" s="181"/>
    </row>
    <row r="29" spans="1:15" ht="15" x14ac:dyDescent="0.25">
      <c r="A29" s="138"/>
      <c r="B29" s="213" t="str">
        <f>C6</f>
        <v>Stock in Trade</v>
      </c>
      <c r="C29" s="213"/>
      <c r="D29" s="190"/>
      <c r="E29" s="182"/>
      <c r="F29" s="194"/>
      <c r="G29" s="183"/>
      <c r="H29" s="183"/>
      <c r="I29" s="183"/>
      <c r="J29" s="184"/>
      <c r="K29" s="184"/>
      <c r="L29" s="138"/>
    </row>
    <row r="30" spans="1:15" x14ac:dyDescent="0.25">
      <c r="A30" s="138"/>
      <c r="B30" s="216" t="s">
        <v>84</v>
      </c>
      <c r="C30" s="216"/>
      <c r="D30" s="191"/>
      <c r="E30" s="182"/>
      <c r="F30" s="194"/>
      <c r="G30" s="183"/>
      <c r="H30" s="183"/>
      <c r="I30" s="183">
        <f t="shared" ref="I30" si="0">G30-H30</f>
        <v>0</v>
      </c>
      <c r="J30" s="185" t="str">
        <f>IFERROR(I30/H30,"")</f>
        <v/>
      </c>
      <c r="K30" s="184"/>
      <c r="L30" s="138"/>
    </row>
    <row r="31" spans="1:15" x14ac:dyDescent="0.25">
      <c r="A31" s="147"/>
      <c r="B31" s="211" t="s">
        <v>85</v>
      </c>
      <c r="C31" s="211"/>
      <c r="D31" s="192"/>
      <c r="E31" s="182"/>
      <c r="F31" s="194"/>
      <c r="G31" s="186"/>
      <c r="H31" s="183"/>
      <c r="I31" s="183">
        <f t="shared" ref="I31:I37" si="1">G31-H31</f>
        <v>0</v>
      </c>
      <c r="J31" s="185" t="str">
        <f t="shared" ref="J31:J37" si="2">IFERROR(I31/H31,"")</f>
        <v/>
      </c>
      <c r="K31" s="184"/>
      <c r="L31" s="147"/>
    </row>
    <row r="32" spans="1:15" x14ac:dyDescent="0.25">
      <c r="A32" s="147"/>
      <c r="B32" s="211" t="s">
        <v>86</v>
      </c>
      <c r="C32" s="211"/>
      <c r="D32" s="192"/>
      <c r="E32" s="182"/>
      <c r="F32" s="194"/>
      <c r="G32" s="186"/>
      <c r="H32" s="183"/>
      <c r="I32" s="183">
        <f t="shared" si="1"/>
        <v>0</v>
      </c>
      <c r="J32" s="185" t="str">
        <f>IFERROR(I32/H32,"")</f>
        <v/>
      </c>
      <c r="K32" s="184"/>
      <c r="L32" s="147"/>
    </row>
    <row r="33" spans="1:16" x14ac:dyDescent="0.25">
      <c r="A33" s="147"/>
      <c r="B33" s="211" t="s">
        <v>87</v>
      </c>
      <c r="C33" s="211"/>
      <c r="D33" s="192"/>
      <c r="E33" s="182"/>
      <c r="F33" s="194"/>
      <c r="G33" s="183"/>
      <c r="H33" s="183"/>
      <c r="I33" s="183">
        <f t="shared" si="1"/>
        <v>0</v>
      </c>
      <c r="J33" s="185" t="str">
        <f t="shared" si="2"/>
        <v/>
      </c>
      <c r="K33" s="184"/>
      <c r="L33" s="147"/>
    </row>
    <row r="34" spans="1:16" x14ac:dyDescent="0.25">
      <c r="A34" s="147"/>
      <c r="B34" s="211" t="s">
        <v>88</v>
      </c>
      <c r="C34" s="211"/>
      <c r="D34" s="192"/>
      <c r="E34" s="182"/>
      <c r="F34" s="194"/>
      <c r="G34" s="183"/>
      <c r="H34" s="183"/>
      <c r="I34" s="183">
        <f t="shared" si="1"/>
        <v>0</v>
      </c>
      <c r="J34" s="185" t="str">
        <f t="shared" si="2"/>
        <v/>
      </c>
      <c r="K34" s="184"/>
      <c r="L34" s="147"/>
    </row>
    <row r="35" spans="1:16" x14ac:dyDescent="0.25">
      <c r="A35" s="147"/>
      <c r="B35" s="211" t="s">
        <v>89</v>
      </c>
      <c r="C35" s="211"/>
      <c r="D35" s="192"/>
      <c r="E35" s="182"/>
      <c r="F35" s="194"/>
      <c r="G35" s="183"/>
      <c r="H35" s="183"/>
      <c r="I35" s="183">
        <f t="shared" si="1"/>
        <v>0</v>
      </c>
      <c r="J35" s="185" t="str">
        <f t="shared" si="2"/>
        <v/>
      </c>
      <c r="K35" s="184"/>
      <c r="L35" s="147"/>
    </row>
    <row r="36" spans="1:16" x14ac:dyDescent="0.25">
      <c r="A36" s="147"/>
      <c r="B36" s="211" t="s">
        <v>90</v>
      </c>
      <c r="C36" s="211"/>
      <c r="D36" s="192"/>
      <c r="E36" s="182"/>
      <c r="F36" s="194"/>
      <c r="G36" s="183"/>
      <c r="H36" s="183"/>
      <c r="I36" s="183">
        <f t="shared" si="1"/>
        <v>0</v>
      </c>
      <c r="J36" s="185" t="str">
        <f t="shared" si="2"/>
        <v/>
      </c>
      <c r="K36" s="184"/>
      <c r="L36" s="147"/>
    </row>
    <row r="37" spans="1:16" x14ac:dyDescent="0.25">
      <c r="A37" s="147"/>
      <c r="B37" s="211" t="s">
        <v>91</v>
      </c>
      <c r="C37" s="211"/>
      <c r="D37" s="192"/>
      <c r="E37" s="182"/>
      <c r="F37" s="194"/>
      <c r="G37" s="183"/>
      <c r="H37" s="183"/>
      <c r="I37" s="183">
        <f t="shared" si="1"/>
        <v>0</v>
      </c>
      <c r="J37" s="185" t="str">
        <f t="shared" si="2"/>
        <v/>
      </c>
      <c r="K37" s="184"/>
      <c r="L37" s="147"/>
    </row>
    <row r="38" spans="1:16" x14ac:dyDescent="0.25">
      <c r="A38" s="147"/>
      <c r="B38" s="211"/>
      <c r="C38" s="211"/>
      <c r="D38" s="192"/>
      <c r="E38" s="182"/>
      <c r="F38" s="194"/>
      <c r="G38" s="183"/>
      <c r="H38" s="183"/>
      <c r="I38" s="183"/>
      <c r="J38" s="184"/>
      <c r="K38" s="184"/>
      <c r="L38" s="147"/>
    </row>
    <row r="39" spans="1:16" x14ac:dyDescent="0.25">
      <c r="A39" s="147"/>
      <c r="B39" s="211"/>
      <c r="C39" s="211"/>
      <c r="D39" s="192"/>
      <c r="E39" s="182"/>
      <c r="F39" s="194"/>
      <c r="G39" s="183"/>
      <c r="H39" s="183"/>
      <c r="I39" s="183"/>
      <c r="J39" s="184"/>
      <c r="K39" s="184"/>
      <c r="L39" s="147"/>
    </row>
    <row r="40" spans="1:16" x14ac:dyDescent="0.25">
      <c r="A40" s="151"/>
      <c r="B40" s="211"/>
      <c r="C40" s="211"/>
      <c r="D40" s="192"/>
      <c r="E40" s="182"/>
      <c r="F40" s="194"/>
      <c r="G40" s="183"/>
      <c r="H40" s="183"/>
      <c r="I40" s="183"/>
      <c r="J40" s="184"/>
      <c r="K40" s="184"/>
      <c r="L40" s="151"/>
    </row>
    <row r="41" spans="1:16" x14ac:dyDescent="0.25">
      <c r="A41" s="151"/>
      <c r="B41" s="211"/>
      <c r="C41" s="211"/>
      <c r="D41" s="192"/>
      <c r="E41" s="182"/>
      <c r="F41" s="194"/>
      <c r="G41" s="183"/>
      <c r="H41" s="183"/>
      <c r="I41" s="183"/>
      <c r="J41" s="184"/>
      <c r="K41" s="184"/>
      <c r="L41" s="151"/>
    </row>
    <row r="42" spans="1:16" ht="15" x14ac:dyDescent="0.25">
      <c r="A42" s="151"/>
      <c r="B42" s="210" t="s">
        <v>4</v>
      </c>
      <c r="C42" s="210"/>
      <c r="D42" s="193"/>
      <c r="E42" s="182"/>
      <c r="F42" s="194"/>
      <c r="G42" s="183">
        <f>SUM(G28:G41)</f>
        <v>0</v>
      </c>
      <c r="H42" s="183">
        <f>SUM(H28:H40)</f>
        <v>0</v>
      </c>
      <c r="I42" s="183">
        <f>SUM(I28:I40)</f>
        <v>0</v>
      </c>
      <c r="J42" s="184"/>
      <c r="K42" s="184"/>
      <c r="L42" s="151"/>
    </row>
    <row r="43" spans="1:16" x14ac:dyDescent="0.25">
      <c r="A43" s="151"/>
      <c r="L43" s="151"/>
    </row>
    <row r="44" spans="1:16" x14ac:dyDescent="0.25">
      <c r="B44" s="187"/>
      <c r="C44" s="187"/>
      <c r="D44" s="187"/>
      <c r="E44" s="187"/>
      <c r="F44" s="187"/>
      <c r="G44" s="187"/>
      <c r="H44" s="187"/>
      <c r="I44" s="187"/>
      <c r="J44" s="175"/>
      <c r="K44" s="175"/>
      <c r="L44" s="175"/>
      <c r="M44" s="175"/>
      <c r="N44" s="175"/>
      <c r="O44" s="175"/>
      <c r="P44" s="175"/>
    </row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</sheetData>
  <mergeCells count="18">
    <mergeCell ref="B34:C34"/>
    <mergeCell ref="K26:K27"/>
    <mergeCell ref="B26:C27"/>
    <mergeCell ref="E26:E27"/>
    <mergeCell ref="B30:C30"/>
    <mergeCell ref="B28:C28"/>
    <mergeCell ref="B29:C29"/>
    <mergeCell ref="B31:C31"/>
    <mergeCell ref="B32:C32"/>
    <mergeCell ref="B33:C33"/>
    <mergeCell ref="B42:C42"/>
    <mergeCell ref="B41:C41"/>
    <mergeCell ref="B40:C40"/>
    <mergeCell ref="B35:C35"/>
    <mergeCell ref="B36:C36"/>
    <mergeCell ref="B37:C37"/>
    <mergeCell ref="B38:C38"/>
    <mergeCell ref="B39:C39"/>
  </mergeCells>
  <printOptions horizontalCentered="1"/>
  <pageMargins left="0.25" right="0.25" top="0.75" bottom="0.75" header="0.3" footer="0.3"/>
  <pageSetup scale="8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6"/>
  <sheetViews>
    <sheetView showGridLines="0" topLeftCell="A13" zoomScaleNormal="100" zoomScaleSheetLayoutView="100" workbookViewId="0">
      <selection activeCell="B32" sqref="B32:B36"/>
    </sheetView>
  </sheetViews>
  <sheetFormatPr defaultColWidth="0" defaultRowHeight="16.5" zeroHeight="1" x14ac:dyDescent="0.25"/>
  <cols>
    <col min="1" max="1" width="1" style="6" customWidth="1"/>
    <col min="2" max="2" width="12" style="61" customWidth="1"/>
    <col min="3" max="3" width="33" style="61" customWidth="1"/>
    <col min="4" max="4" width="11.7109375" style="61" bestFit="1" customWidth="1"/>
    <col min="5" max="7" width="14.42578125" style="61" customWidth="1"/>
    <col min="8" max="8" width="14.42578125" style="2" customWidth="1"/>
    <col min="9" max="9" width="21.7109375" style="2" bestFit="1" customWidth="1"/>
    <col min="10" max="10" width="1" style="6" customWidth="1"/>
    <col min="11" max="16384" width="9.140625" style="2" hidden="1"/>
  </cols>
  <sheetData>
    <row r="1" spans="1:14" s="3" customFormat="1" x14ac:dyDescent="0.25">
      <c r="A1" s="5"/>
      <c r="B1" s="123" t="str">
        <f>Index!$B$1</f>
        <v>ABC &amp; Co.</v>
      </c>
      <c r="C1" s="124"/>
      <c r="D1" s="63"/>
      <c r="E1" s="64"/>
      <c r="F1" s="63"/>
      <c r="G1" s="63"/>
      <c r="H1" s="5"/>
      <c r="I1" s="16" t="str">
        <f>Index!E16</f>
        <v>BS.08 - 3</v>
      </c>
    </row>
    <row r="2" spans="1:14" s="3" customFormat="1" ht="15.75" x14ac:dyDescent="0.25">
      <c r="A2" s="5"/>
      <c r="B2" s="124" t="str">
        <f>Index!$B$2</f>
        <v>(Chartered Accountants)</v>
      </c>
      <c r="C2" s="124"/>
      <c r="D2" s="65"/>
      <c r="E2" s="66"/>
      <c r="F2" s="63"/>
      <c r="G2" s="63"/>
      <c r="H2" s="5"/>
    </row>
    <row r="3" spans="1:14" x14ac:dyDescent="0.25">
      <c r="A3" s="4"/>
      <c r="B3" s="124"/>
      <c r="C3" s="124"/>
      <c r="J3" s="4"/>
    </row>
    <row r="4" spans="1:14" s="1" customFormat="1" x14ac:dyDescent="0.3">
      <c r="A4" s="6"/>
      <c r="B4" s="106" t="str">
        <f>Index!$B$4</f>
        <v xml:space="preserve">Client: </v>
      </c>
      <c r="C4" s="129" t="str">
        <f>Index!$C$4</f>
        <v>ABC Limited</v>
      </c>
      <c r="D4" s="32"/>
      <c r="E4" s="32"/>
      <c r="F4" s="32"/>
      <c r="G4" s="32"/>
      <c r="H4" s="109" t="str">
        <f>Index!$G$4</f>
        <v>Prepared by:</v>
      </c>
      <c r="I4" s="110" t="str">
        <f>IF(Index!$H$4="","",Index!$H$4)</f>
        <v/>
      </c>
      <c r="J4" s="6"/>
    </row>
    <row r="5" spans="1:14" s="1" customFormat="1" x14ac:dyDescent="0.3">
      <c r="A5" s="4"/>
      <c r="B5" s="106" t="str">
        <f>Index!$B$5</f>
        <v>Period:</v>
      </c>
      <c r="C5" s="129" t="str">
        <f>Index!$C$5</f>
        <v>Year ended June 30, 2023</v>
      </c>
      <c r="D5" s="32"/>
      <c r="E5" s="32"/>
      <c r="F5" s="32"/>
      <c r="G5" s="32"/>
      <c r="H5" s="109" t="str">
        <f>Index!$G$5</f>
        <v>Date prepared:</v>
      </c>
      <c r="I5" s="111" t="str">
        <f>IF(Index!$H$5="","",Index!$H$5)</f>
        <v/>
      </c>
      <c r="J5" s="4"/>
    </row>
    <row r="6" spans="1:14" s="1" customFormat="1" ht="14.25" customHeight="1" x14ac:dyDescent="0.3">
      <c r="A6" s="4"/>
      <c r="B6" s="106" t="str">
        <f>Index!$B$6</f>
        <v>Head:</v>
      </c>
      <c r="C6" s="130" t="str">
        <f>Index!$C$6</f>
        <v>Stock in Trade</v>
      </c>
      <c r="D6" s="32"/>
      <c r="E6" s="32"/>
      <c r="F6" s="32"/>
      <c r="G6" s="32"/>
      <c r="H6" s="109" t="str">
        <f>Index!$G$6</f>
        <v>Reviewed by:</v>
      </c>
      <c r="I6" s="112" t="str">
        <f>IF(Index!$H$6="","",Index!$H$6)</f>
        <v/>
      </c>
      <c r="J6" s="4"/>
    </row>
    <row r="7" spans="1:14" s="1" customFormat="1" ht="14.25" customHeight="1" x14ac:dyDescent="0.3">
      <c r="A7" s="4"/>
      <c r="B7" s="77"/>
      <c r="C7" s="37"/>
      <c r="D7" s="32"/>
      <c r="E7" s="32"/>
      <c r="F7" s="32"/>
      <c r="G7" s="32"/>
      <c r="H7" s="109" t="str">
        <f>Index!$G$7</f>
        <v>Date reviewed:</v>
      </c>
      <c r="I7" s="111" t="str">
        <f>IF(Index!$H$7="","",Index!$H$7)</f>
        <v/>
      </c>
      <c r="J7" s="4"/>
    </row>
    <row r="8" spans="1:14" ht="14.25" x14ac:dyDescent="0.25">
      <c r="B8" s="7" t="s">
        <v>16</v>
      </c>
      <c r="C8" s="7"/>
      <c r="D8" s="7"/>
      <c r="E8" s="7"/>
      <c r="F8" s="7"/>
      <c r="G8" s="7"/>
      <c r="H8" s="7"/>
      <c r="I8" s="7"/>
    </row>
    <row r="9" spans="1:14" ht="14.25" x14ac:dyDescent="0.25">
      <c r="A9" s="2"/>
      <c r="B9" s="7" t="s">
        <v>19</v>
      </c>
      <c r="C9" s="7"/>
      <c r="D9" s="7"/>
      <c r="E9" s="7"/>
      <c r="F9" s="7"/>
      <c r="G9" s="7"/>
      <c r="H9" s="7"/>
      <c r="I9" s="7"/>
      <c r="J9" s="2"/>
    </row>
    <row r="10" spans="1:14" ht="14.25" x14ac:dyDescent="0.25">
      <c r="A10" s="2"/>
      <c r="B10" s="195" t="s">
        <v>71</v>
      </c>
      <c r="C10" s="195"/>
      <c r="D10" s="195"/>
      <c r="E10" s="195"/>
      <c r="F10" s="195"/>
      <c r="G10" s="195"/>
      <c r="H10" s="195"/>
      <c r="I10" s="195"/>
      <c r="J10" s="2"/>
    </row>
    <row r="11" spans="1:14" ht="14.25" x14ac:dyDescent="0.25">
      <c r="A11" s="2"/>
      <c r="B11" s="196" t="s">
        <v>67</v>
      </c>
      <c r="C11" s="196"/>
      <c r="D11" s="196"/>
      <c r="E11" s="196"/>
      <c r="F11" s="196"/>
      <c r="G11" s="196"/>
      <c r="H11" s="196"/>
      <c r="I11" s="196"/>
      <c r="J11" s="11"/>
      <c r="K11" s="11"/>
      <c r="L11" s="11"/>
      <c r="M11" s="11"/>
      <c r="N11" s="11"/>
    </row>
    <row r="12" spans="1:14" ht="14.25" customHeight="1" x14ac:dyDescent="0.25">
      <c r="B12" s="196" t="s">
        <v>68</v>
      </c>
      <c r="C12" s="196"/>
      <c r="D12" s="196"/>
      <c r="E12" s="196"/>
      <c r="F12" s="196"/>
      <c r="G12" s="196"/>
      <c r="H12" s="196"/>
      <c r="I12" s="196"/>
      <c r="J12" s="12"/>
      <c r="K12" s="12"/>
      <c r="L12" s="12"/>
      <c r="M12" s="12"/>
      <c r="N12" s="12"/>
    </row>
    <row r="13" spans="1:14" ht="14.25" x14ac:dyDescent="0.25">
      <c r="A13" s="2"/>
      <c r="B13" s="196" t="s">
        <v>69</v>
      </c>
      <c r="C13" s="196"/>
      <c r="D13" s="196"/>
      <c r="E13" s="196"/>
      <c r="F13" s="196"/>
      <c r="G13" s="196"/>
      <c r="H13" s="196"/>
      <c r="I13" s="196"/>
      <c r="J13" s="12"/>
      <c r="K13" s="12"/>
      <c r="L13" s="12"/>
      <c r="M13" s="12"/>
      <c r="N13" s="12"/>
    </row>
    <row r="14" spans="1:14" ht="14.25" customHeight="1" x14ac:dyDescent="0.25">
      <c r="A14" s="2"/>
      <c r="B14" s="196" t="s">
        <v>70</v>
      </c>
      <c r="C14" s="196"/>
      <c r="D14" s="196"/>
      <c r="E14" s="196"/>
      <c r="F14" s="196"/>
      <c r="G14" s="196"/>
      <c r="H14" s="196"/>
      <c r="I14" s="196"/>
      <c r="J14" s="12"/>
      <c r="K14" s="12"/>
      <c r="L14" s="12"/>
      <c r="M14" s="12"/>
      <c r="N14" s="12"/>
    </row>
    <row r="15" spans="1:14" ht="2.25" customHeight="1" x14ac:dyDescent="0.25">
      <c r="A15" s="2"/>
      <c r="B15" s="217"/>
      <c r="C15" s="217"/>
      <c r="D15" s="217"/>
      <c r="E15" s="217"/>
      <c r="F15" s="217"/>
      <c r="G15" s="217"/>
      <c r="H15" s="217"/>
      <c r="I15" s="217"/>
      <c r="J15" s="10"/>
      <c r="K15" s="10"/>
      <c r="L15" s="10"/>
      <c r="M15" s="10"/>
      <c r="N15" s="10"/>
    </row>
    <row r="16" spans="1:14" ht="14.25" customHeight="1" x14ac:dyDescent="0.25">
      <c r="A16" s="2"/>
      <c r="B16" s="195" t="s">
        <v>72</v>
      </c>
      <c r="C16" s="195"/>
      <c r="D16" s="195"/>
      <c r="E16" s="195"/>
      <c r="F16" s="195"/>
      <c r="G16" s="195"/>
      <c r="H16" s="195"/>
      <c r="I16" s="195"/>
      <c r="J16" s="10"/>
      <c r="K16" s="10"/>
      <c r="L16" s="10"/>
      <c r="M16" s="10"/>
      <c r="N16" s="10"/>
    </row>
    <row r="17" spans="1:14" ht="14.25" customHeight="1" x14ac:dyDescent="0.25">
      <c r="A17" s="2"/>
      <c r="B17" s="196" t="s">
        <v>119</v>
      </c>
      <c r="C17" s="196"/>
      <c r="D17" s="196"/>
      <c r="E17" s="196"/>
      <c r="F17" s="196"/>
      <c r="G17" s="196"/>
      <c r="H17" s="196"/>
      <c r="I17" s="196"/>
      <c r="J17" s="12"/>
      <c r="K17" s="12"/>
      <c r="L17" s="12"/>
      <c r="M17" s="12"/>
      <c r="N17" s="12"/>
    </row>
    <row r="18" spans="1:14" ht="14.25" customHeight="1" x14ac:dyDescent="0.25">
      <c r="A18" s="2"/>
      <c r="B18" s="196" t="s">
        <v>120</v>
      </c>
      <c r="C18" s="196"/>
      <c r="D18" s="196"/>
      <c r="E18" s="196"/>
      <c r="F18" s="196"/>
      <c r="G18" s="196"/>
      <c r="H18" s="196"/>
      <c r="I18" s="196"/>
      <c r="J18" s="12"/>
      <c r="K18" s="12"/>
      <c r="L18" s="12"/>
      <c r="M18" s="12"/>
      <c r="N18" s="12"/>
    </row>
    <row r="19" spans="1:14" ht="14.25" x14ac:dyDescent="0.25">
      <c r="B19" s="196" t="s">
        <v>121</v>
      </c>
      <c r="C19" s="196"/>
      <c r="D19" s="196"/>
      <c r="E19" s="196"/>
      <c r="F19" s="196"/>
      <c r="G19" s="196"/>
      <c r="H19" s="196"/>
      <c r="I19" s="196"/>
    </row>
    <row r="20" spans="1:14" ht="14.25" customHeight="1" x14ac:dyDescent="0.25">
      <c r="B20" s="196" t="s">
        <v>94</v>
      </c>
      <c r="C20" s="196"/>
      <c r="D20" s="196"/>
      <c r="E20" s="196"/>
      <c r="F20" s="196"/>
      <c r="G20" s="196"/>
      <c r="H20" s="196"/>
      <c r="I20" s="196"/>
    </row>
    <row r="21" spans="1:14" ht="14.25" x14ac:dyDescent="0.25">
      <c r="B21" s="196" t="s">
        <v>95</v>
      </c>
      <c r="C21" s="196"/>
      <c r="D21" s="196"/>
      <c r="E21" s="196"/>
      <c r="F21" s="196"/>
      <c r="G21" s="196"/>
      <c r="H21" s="196"/>
      <c r="I21" s="196"/>
    </row>
    <row r="22" spans="1:14" ht="14.25" x14ac:dyDescent="0.25">
      <c r="B22" s="196" t="s">
        <v>73</v>
      </c>
      <c r="C22" s="196"/>
      <c r="D22" s="196"/>
      <c r="E22" s="196"/>
      <c r="F22" s="196"/>
      <c r="G22" s="196"/>
      <c r="H22" s="196"/>
      <c r="I22" s="196"/>
    </row>
    <row r="23" spans="1:14" ht="14.25" x14ac:dyDescent="0.25">
      <c r="B23" s="196" t="s">
        <v>74</v>
      </c>
      <c r="C23" s="196"/>
      <c r="D23" s="196"/>
      <c r="E23" s="196"/>
      <c r="F23" s="196"/>
      <c r="G23" s="196"/>
      <c r="H23" s="196"/>
      <c r="I23" s="196"/>
    </row>
    <row r="24" spans="1:14" ht="14.25" x14ac:dyDescent="0.25">
      <c r="B24" s="196" t="s">
        <v>75</v>
      </c>
      <c r="C24" s="196"/>
      <c r="D24" s="196"/>
      <c r="E24" s="196"/>
      <c r="F24" s="196"/>
      <c r="G24" s="196"/>
      <c r="H24" s="196"/>
      <c r="I24" s="196"/>
    </row>
    <row r="25" spans="1:14" ht="14.25" x14ac:dyDescent="0.25">
      <c r="B25" s="196" t="s">
        <v>76</v>
      </c>
      <c r="C25" s="196"/>
      <c r="D25" s="196"/>
      <c r="E25" s="196"/>
      <c r="F25" s="196"/>
      <c r="G25" s="196"/>
      <c r="H25" s="196"/>
      <c r="I25" s="196"/>
    </row>
    <row r="26" spans="1:14" ht="14.25" x14ac:dyDescent="0.25">
      <c r="B26" s="196" t="s">
        <v>77</v>
      </c>
      <c r="C26" s="196"/>
      <c r="D26" s="196"/>
      <c r="E26" s="196"/>
      <c r="F26" s="196"/>
      <c r="G26" s="196"/>
      <c r="H26" s="196"/>
      <c r="I26" s="196"/>
    </row>
    <row r="27" spans="1:14" ht="14.25" x14ac:dyDescent="0.25">
      <c r="B27" s="196" t="s">
        <v>78</v>
      </c>
      <c r="C27" s="196"/>
      <c r="D27" s="196"/>
      <c r="E27" s="196"/>
      <c r="F27" s="196"/>
      <c r="G27" s="196"/>
      <c r="H27" s="196"/>
      <c r="I27" s="196"/>
    </row>
    <row r="28" spans="1:14" ht="14.25" x14ac:dyDescent="0.25">
      <c r="B28" s="196" t="s">
        <v>98</v>
      </c>
      <c r="C28" s="196"/>
      <c r="D28" s="196"/>
      <c r="E28" s="196"/>
      <c r="F28" s="196"/>
      <c r="G28" s="196"/>
      <c r="H28" s="196"/>
      <c r="I28" s="196"/>
    </row>
    <row r="29" spans="1:14" ht="14.25" x14ac:dyDescent="0.25">
      <c r="B29" s="196" t="s">
        <v>79</v>
      </c>
      <c r="C29" s="196"/>
      <c r="D29" s="196"/>
      <c r="E29" s="196"/>
      <c r="F29" s="196"/>
      <c r="G29" s="196"/>
      <c r="H29" s="196"/>
      <c r="I29" s="196"/>
    </row>
    <row r="30" spans="1:14" ht="14.25" x14ac:dyDescent="0.25">
      <c r="B30" s="196" t="s">
        <v>96</v>
      </c>
      <c r="C30" s="196"/>
      <c r="D30" s="196"/>
      <c r="E30" s="196"/>
      <c r="F30" s="196"/>
      <c r="G30" s="196"/>
      <c r="H30" s="196"/>
      <c r="I30" s="196"/>
    </row>
    <row r="31" spans="1:14" ht="14.25" x14ac:dyDescent="0.25">
      <c r="B31" s="196"/>
      <c r="C31" s="196"/>
      <c r="D31" s="196"/>
      <c r="E31" s="196"/>
      <c r="F31" s="196"/>
      <c r="G31" s="196"/>
      <c r="H31" s="196"/>
      <c r="I31" s="196"/>
    </row>
    <row r="32" spans="1:14" ht="15" x14ac:dyDescent="0.3">
      <c r="B32" s="233" t="s">
        <v>127</v>
      </c>
      <c r="C32" s="196"/>
      <c r="D32" s="196"/>
      <c r="E32" s="196"/>
      <c r="F32" s="196"/>
      <c r="G32" s="196"/>
      <c r="H32" s="196"/>
      <c r="I32" s="196"/>
    </row>
    <row r="33" spans="1:10" ht="14.25" x14ac:dyDescent="0.25">
      <c r="B33" s="234" t="s">
        <v>128</v>
      </c>
      <c r="C33" s="196"/>
      <c r="D33" s="196"/>
      <c r="E33" s="196"/>
      <c r="F33" s="196"/>
      <c r="G33" s="196"/>
      <c r="H33" s="196"/>
      <c r="I33" s="196"/>
    </row>
    <row r="34" spans="1:10" ht="14.25" x14ac:dyDescent="0.25">
      <c r="B34" s="235"/>
      <c r="C34" s="196"/>
      <c r="D34" s="196"/>
      <c r="E34" s="196"/>
      <c r="F34" s="196"/>
      <c r="G34" s="196"/>
      <c r="H34" s="196"/>
      <c r="I34" s="196"/>
    </row>
    <row r="35" spans="1:10" ht="15" x14ac:dyDescent="0.3">
      <c r="B35" s="233" t="s">
        <v>28</v>
      </c>
      <c r="C35" s="196"/>
      <c r="D35" s="196"/>
      <c r="E35" s="196"/>
      <c r="F35" s="196"/>
      <c r="G35" s="196"/>
      <c r="H35" s="196"/>
      <c r="I35" s="196"/>
    </row>
    <row r="36" spans="1:10" ht="14.25" x14ac:dyDescent="0.25">
      <c r="B36" s="234" t="s">
        <v>27</v>
      </c>
      <c r="C36" s="196"/>
      <c r="D36" s="196"/>
      <c r="E36" s="196"/>
      <c r="F36" s="196"/>
      <c r="G36" s="196"/>
      <c r="H36" s="196"/>
      <c r="I36" s="196"/>
    </row>
    <row r="37" spans="1:10" x14ac:dyDescent="0.25">
      <c r="A37" s="4"/>
      <c r="B37" s="61" t="s">
        <v>3</v>
      </c>
      <c r="J37" s="4"/>
    </row>
    <row r="38" spans="1:10" ht="15" customHeight="1" x14ac:dyDescent="0.25">
      <c r="B38" s="218" t="s">
        <v>23</v>
      </c>
      <c r="C38" s="218"/>
      <c r="D38" s="218" t="s">
        <v>22</v>
      </c>
      <c r="E38" s="84">
        <f>Lead!G26</f>
        <v>2022</v>
      </c>
      <c r="F38" s="84">
        <f>Lead!H26</f>
        <v>2021</v>
      </c>
      <c r="G38" s="84" t="s">
        <v>12</v>
      </c>
      <c r="H38" s="85" t="s">
        <v>12</v>
      </c>
      <c r="I38" s="220" t="s">
        <v>13</v>
      </c>
    </row>
    <row r="39" spans="1:10" ht="15" x14ac:dyDescent="0.25">
      <c r="A39" s="8"/>
      <c r="B39" s="219"/>
      <c r="C39" s="219"/>
      <c r="D39" s="219"/>
      <c r="E39" s="94" t="s">
        <v>31</v>
      </c>
      <c r="F39" s="94" t="s">
        <v>31</v>
      </c>
      <c r="G39" s="94" t="s">
        <v>31</v>
      </c>
      <c r="H39" s="95" t="s">
        <v>15</v>
      </c>
      <c r="I39" s="221"/>
      <c r="J39" s="8"/>
    </row>
    <row r="40" spans="1:10" x14ac:dyDescent="0.25">
      <c r="B40" s="224"/>
      <c r="C40" s="224"/>
      <c r="D40" s="90"/>
      <c r="E40" s="91"/>
      <c r="F40" s="92"/>
      <c r="G40" s="92"/>
      <c r="H40" s="93"/>
      <c r="I40" s="93"/>
      <c r="J40" s="101"/>
    </row>
    <row r="41" spans="1:10" x14ac:dyDescent="0.25">
      <c r="A41" s="8"/>
      <c r="B41" s="96" t="str">
        <f>Lead!B30</f>
        <v>Raw Material</v>
      </c>
      <c r="C41" s="97"/>
      <c r="D41" s="98"/>
      <c r="E41" s="99"/>
      <c r="F41" s="99"/>
      <c r="G41" s="99"/>
      <c r="H41" s="100"/>
      <c r="I41" s="100"/>
      <c r="J41" s="8"/>
    </row>
    <row r="42" spans="1:10" x14ac:dyDescent="0.25">
      <c r="A42" s="8"/>
      <c r="B42" s="222" t="s">
        <v>32</v>
      </c>
      <c r="C42" s="222"/>
      <c r="D42" s="68"/>
      <c r="E42" s="69"/>
      <c r="F42" s="69"/>
      <c r="G42" s="69">
        <f t="shared" ref="G42:G44" si="0">E42-F42</f>
        <v>0</v>
      </c>
      <c r="H42" s="27" t="str">
        <f>IFERROR(G42/F42,"")</f>
        <v/>
      </c>
      <c r="I42" s="26"/>
      <c r="J42" s="8"/>
    </row>
    <row r="43" spans="1:10" x14ac:dyDescent="0.25">
      <c r="A43" s="9"/>
      <c r="B43" s="222" t="s">
        <v>66</v>
      </c>
      <c r="C43" s="222"/>
      <c r="D43" s="68"/>
      <c r="E43" s="70"/>
      <c r="F43" s="69"/>
      <c r="G43" s="69">
        <f t="shared" si="0"/>
        <v>0</v>
      </c>
      <c r="H43" s="27" t="str">
        <f>IFERROR(G43/F43,"")</f>
        <v/>
      </c>
      <c r="I43" s="26"/>
      <c r="J43" s="9"/>
    </row>
    <row r="44" spans="1:10" x14ac:dyDescent="0.25">
      <c r="A44" s="9"/>
      <c r="B44" s="222" t="s">
        <v>93</v>
      </c>
      <c r="C44" s="222"/>
      <c r="D44" s="68"/>
      <c r="E44" s="69"/>
      <c r="F44" s="69"/>
      <c r="G44" s="69">
        <f t="shared" si="0"/>
        <v>0</v>
      </c>
      <c r="H44" s="27" t="str">
        <f>IFERROR(G44/F44,"")</f>
        <v/>
      </c>
      <c r="I44" s="26"/>
      <c r="J44" s="9"/>
    </row>
    <row r="45" spans="1:10" x14ac:dyDescent="0.25">
      <c r="A45" s="9"/>
      <c r="B45" s="222"/>
      <c r="C45" s="222"/>
      <c r="D45" s="68"/>
      <c r="E45" s="69"/>
      <c r="F45" s="69"/>
      <c r="G45" s="69"/>
      <c r="H45" s="26"/>
      <c r="I45" s="26"/>
      <c r="J45" s="9"/>
    </row>
    <row r="46" spans="1:10" x14ac:dyDescent="0.25">
      <c r="A46" s="2"/>
      <c r="B46" s="223" t="s">
        <v>41</v>
      </c>
      <c r="C46" s="223"/>
      <c r="D46" s="68"/>
      <c r="E46" s="69">
        <f>SUM(E42:E45)</f>
        <v>0</v>
      </c>
      <c r="F46" s="69">
        <f>SUM(F42:F45)</f>
        <v>0</v>
      </c>
      <c r="G46" s="69">
        <f>SUM(G42:G45)</f>
        <v>0</v>
      </c>
      <c r="H46" s="26"/>
      <c r="I46" s="26"/>
      <c r="J46" s="2"/>
    </row>
    <row r="47" spans="1:10" x14ac:dyDescent="0.25">
      <c r="A47" s="2"/>
      <c r="J47" s="2"/>
    </row>
    <row r="48" spans="1:10" x14ac:dyDescent="0.25"/>
    <row r="49" spans="2:9" ht="14.25" hidden="1" x14ac:dyDescent="0.25">
      <c r="B49" s="217"/>
      <c r="C49" s="217"/>
      <c r="D49" s="217"/>
      <c r="E49" s="217"/>
      <c r="F49" s="217"/>
      <c r="G49" s="217"/>
      <c r="H49" s="217"/>
      <c r="I49" s="217"/>
    </row>
    <row r="50" spans="2:9" x14ac:dyDescent="0.25"/>
    <row r="51" spans="2:9" x14ac:dyDescent="0.25"/>
    <row r="52" spans="2:9" x14ac:dyDescent="0.25"/>
    <row r="53" spans="2:9" x14ac:dyDescent="0.25"/>
    <row r="54" spans="2:9" x14ac:dyDescent="0.25"/>
    <row r="55" spans="2:9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</sheetData>
  <mergeCells count="11">
    <mergeCell ref="B15:I15"/>
    <mergeCell ref="B46:C46"/>
    <mergeCell ref="B43:C43"/>
    <mergeCell ref="B44:C44"/>
    <mergeCell ref="B45:C45"/>
    <mergeCell ref="B40:C40"/>
    <mergeCell ref="B49:I49"/>
    <mergeCell ref="B38:C39"/>
    <mergeCell ref="D38:D39"/>
    <mergeCell ref="I38:I39"/>
    <mergeCell ref="B42:C42"/>
  </mergeCells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81"/>
  <sheetViews>
    <sheetView showGridLines="0" topLeftCell="A12" zoomScaleNormal="100" zoomScaleSheetLayoutView="100" workbookViewId="0">
      <selection activeCell="B28" sqref="B28:B32"/>
    </sheetView>
  </sheetViews>
  <sheetFormatPr defaultColWidth="0" defaultRowHeight="14.25" customHeight="1" zeroHeight="1" x14ac:dyDescent="0.25"/>
  <cols>
    <col min="1" max="1" width="1" style="6" customWidth="1"/>
    <col min="2" max="2" width="12" style="61" customWidth="1"/>
    <col min="3" max="3" width="33" style="61" customWidth="1"/>
    <col min="4" max="4" width="2.7109375" style="61" customWidth="1"/>
    <col min="5" max="5" width="11.7109375" style="61" customWidth="1"/>
    <col min="6" max="6" width="2.7109375" style="61" customWidth="1"/>
    <col min="7" max="9" width="14.42578125" style="61" customWidth="1"/>
    <col min="10" max="10" width="14.42578125" style="2" customWidth="1"/>
    <col min="11" max="11" width="21.7109375" style="2" customWidth="1"/>
    <col min="12" max="12" width="1" style="6" customWidth="1"/>
    <col min="13" max="16384" width="9.140625" style="2" hidden="1"/>
  </cols>
  <sheetData>
    <row r="1" spans="1:16" s="3" customFormat="1" ht="16.5" x14ac:dyDescent="0.25">
      <c r="A1" s="5"/>
      <c r="B1" s="123" t="str">
        <f>Index!$B$1</f>
        <v>ABC &amp; Co.</v>
      </c>
      <c r="C1" s="124"/>
      <c r="D1" s="124"/>
      <c r="E1" s="63"/>
      <c r="F1" s="63"/>
      <c r="G1" s="64"/>
      <c r="H1" s="63"/>
      <c r="I1" s="63"/>
      <c r="J1" s="5"/>
      <c r="K1" s="16" t="str">
        <f>Index!E16</f>
        <v>BS.08 - 3</v>
      </c>
    </row>
    <row r="2" spans="1:16" s="3" customFormat="1" ht="15.75" x14ac:dyDescent="0.25">
      <c r="A2" s="5"/>
      <c r="B2" s="124" t="str">
        <f>Index!$B$2</f>
        <v>(Chartered Accountants)</v>
      </c>
      <c r="C2" s="124"/>
      <c r="D2" s="124"/>
      <c r="E2" s="65"/>
      <c r="F2" s="65"/>
      <c r="G2" s="66"/>
      <c r="H2" s="63"/>
      <c r="I2" s="63"/>
      <c r="J2" s="5"/>
    </row>
    <row r="3" spans="1:16" ht="16.5" x14ac:dyDescent="0.25">
      <c r="A3" s="4"/>
      <c r="B3" s="124"/>
      <c r="C3" s="124"/>
      <c r="D3" s="124"/>
      <c r="L3" s="4"/>
    </row>
    <row r="4" spans="1:16" s="1" customFormat="1" ht="16.5" x14ac:dyDescent="0.3">
      <c r="A4" s="6"/>
      <c r="B4" s="106" t="str">
        <f>Index!$B$4</f>
        <v xml:space="preserve">Client: </v>
      </c>
      <c r="C4" s="129" t="str">
        <f>Index!$C$4</f>
        <v>ABC Limited</v>
      </c>
      <c r="D4" s="130"/>
      <c r="E4" s="32"/>
      <c r="F4" s="32"/>
      <c r="G4" s="32"/>
      <c r="H4" s="32"/>
      <c r="I4" s="32"/>
      <c r="J4" s="109" t="str">
        <f>Index!$G$4</f>
        <v>Prepared by:</v>
      </c>
      <c r="K4" s="110" t="str">
        <f>IF(Index!$H$4="","",Index!$H$4)</f>
        <v/>
      </c>
      <c r="L4" s="6"/>
    </row>
    <row r="5" spans="1:16" s="1" customFormat="1" ht="16.5" x14ac:dyDescent="0.3">
      <c r="A5" s="4"/>
      <c r="B5" s="106" t="str">
        <f>Index!$B$5</f>
        <v>Period:</v>
      </c>
      <c r="C5" s="129" t="str">
        <f>Index!$C$5</f>
        <v>Year ended June 30, 2023</v>
      </c>
      <c r="D5" s="130"/>
      <c r="E5" s="32"/>
      <c r="F5" s="32"/>
      <c r="G5" s="32"/>
      <c r="H5" s="32"/>
      <c r="I5" s="32"/>
      <c r="J5" s="109" t="str">
        <f>Index!$G$5</f>
        <v>Date prepared:</v>
      </c>
      <c r="K5" s="111" t="str">
        <f>IF(Index!$H$5="","",Index!$H$5)</f>
        <v/>
      </c>
      <c r="L5" s="4"/>
    </row>
    <row r="6" spans="1:16" s="1" customFormat="1" ht="16.5" x14ac:dyDescent="0.3">
      <c r="A6" s="4"/>
      <c r="B6" s="106" t="str">
        <f>Index!$B$6</f>
        <v>Head:</v>
      </c>
      <c r="C6" s="130" t="str">
        <f>Index!$C$6</f>
        <v>Stock in Trade</v>
      </c>
      <c r="D6" s="130"/>
      <c r="E6" s="32"/>
      <c r="F6" s="32"/>
      <c r="G6" s="32"/>
      <c r="H6" s="32"/>
      <c r="I6" s="32"/>
      <c r="J6" s="109" t="str">
        <f>Index!$G$6</f>
        <v>Reviewed by:</v>
      </c>
      <c r="K6" s="112" t="str">
        <f>IF(Index!$H$6="","",Index!$H$6)</f>
        <v/>
      </c>
      <c r="L6" s="4"/>
    </row>
    <row r="7" spans="1:16" s="1" customFormat="1" ht="16.5" x14ac:dyDescent="0.3">
      <c r="A7" s="4"/>
      <c r="B7" s="77"/>
      <c r="C7" s="37"/>
      <c r="D7" s="122"/>
      <c r="E7" s="32"/>
      <c r="F7" s="32"/>
      <c r="G7" s="32"/>
      <c r="H7" s="32"/>
      <c r="I7" s="32"/>
      <c r="J7" s="109" t="str">
        <f>Index!$G$7</f>
        <v>Date reviewed:</v>
      </c>
      <c r="K7" s="111" t="str">
        <f>IF(Index!$H$7="","",Index!$H$7)</f>
        <v/>
      </c>
      <c r="L7" s="4"/>
    </row>
    <row r="8" spans="1:16" x14ac:dyDescent="0.25">
      <c r="B8" s="7" t="s">
        <v>16</v>
      </c>
      <c r="C8" s="7"/>
      <c r="D8" s="7"/>
      <c r="E8" s="7"/>
      <c r="F8" s="7"/>
      <c r="G8" s="7"/>
      <c r="H8" s="7"/>
      <c r="I8" s="7"/>
      <c r="J8" s="7"/>
      <c r="K8" s="7"/>
    </row>
    <row r="9" spans="1:16" x14ac:dyDescent="0.25">
      <c r="A9" s="2"/>
      <c r="B9" s="7" t="s">
        <v>19</v>
      </c>
      <c r="C9" s="7"/>
      <c r="D9" s="7"/>
      <c r="E9" s="7"/>
      <c r="F9" s="7"/>
      <c r="G9" s="7"/>
      <c r="H9" s="7"/>
      <c r="I9" s="7"/>
      <c r="J9" s="7"/>
      <c r="K9" s="7"/>
      <c r="L9" s="2"/>
    </row>
    <row r="10" spans="1:16" ht="14.25" customHeight="1" x14ac:dyDescent="0.25">
      <c r="A10" s="2"/>
      <c r="B10" s="195" t="s">
        <v>71</v>
      </c>
      <c r="C10" s="195"/>
      <c r="D10" s="195"/>
      <c r="E10" s="195"/>
      <c r="F10" s="195"/>
      <c r="G10" s="195"/>
      <c r="H10" s="195"/>
      <c r="I10" s="195"/>
      <c r="J10" s="195"/>
      <c r="K10" s="195"/>
      <c r="L10" s="2"/>
    </row>
    <row r="11" spans="1:16" ht="14.25" customHeight="1" x14ac:dyDescent="0.25">
      <c r="A11" s="2"/>
      <c r="B11" s="196" t="s">
        <v>67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1"/>
      <c r="M11" s="11"/>
      <c r="N11" s="11"/>
      <c r="O11" s="11"/>
      <c r="P11" s="11"/>
    </row>
    <row r="12" spans="1:16" ht="14.25" customHeight="1" x14ac:dyDescent="0.25">
      <c r="B12" s="196" t="s">
        <v>68</v>
      </c>
      <c r="C12" s="196"/>
      <c r="D12" s="196"/>
      <c r="E12" s="196"/>
      <c r="F12" s="196"/>
      <c r="G12" s="196"/>
      <c r="H12" s="196"/>
      <c r="I12" s="196"/>
      <c r="J12" s="196"/>
      <c r="K12" s="196"/>
      <c r="L12" s="12"/>
      <c r="M12" s="12"/>
      <c r="N12" s="12"/>
      <c r="O12" s="12"/>
      <c r="P12" s="12"/>
    </row>
    <row r="13" spans="1:16" ht="14.25" customHeight="1" x14ac:dyDescent="0.25">
      <c r="A13" s="2"/>
      <c r="B13" s="196" t="s">
        <v>69</v>
      </c>
      <c r="C13" s="196"/>
      <c r="D13" s="196"/>
      <c r="E13" s="196"/>
      <c r="F13" s="196"/>
      <c r="G13" s="196"/>
      <c r="H13" s="196"/>
      <c r="I13" s="196"/>
      <c r="J13" s="196"/>
      <c r="K13" s="196"/>
      <c r="L13" s="12"/>
      <c r="M13" s="12"/>
      <c r="N13" s="12"/>
      <c r="O13" s="12"/>
      <c r="P13" s="12"/>
    </row>
    <row r="14" spans="1:16" ht="14.25" customHeight="1" x14ac:dyDescent="0.25">
      <c r="A14" s="2"/>
      <c r="B14" s="196" t="s">
        <v>70</v>
      </c>
      <c r="C14" s="196"/>
      <c r="D14" s="196"/>
      <c r="E14" s="196"/>
      <c r="F14" s="196"/>
      <c r="G14" s="196"/>
      <c r="H14" s="196"/>
      <c r="I14" s="196"/>
      <c r="J14" s="196"/>
      <c r="K14" s="196"/>
      <c r="L14" s="12"/>
      <c r="M14" s="12"/>
      <c r="N14" s="12"/>
      <c r="O14" s="12"/>
      <c r="P14" s="12"/>
    </row>
    <row r="15" spans="1:16" ht="14.25" customHeight="1" x14ac:dyDescent="0.25">
      <c r="A15" s="2"/>
      <c r="B15" s="196"/>
      <c r="C15" s="196"/>
      <c r="D15" s="196"/>
      <c r="E15" s="196"/>
      <c r="F15" s="196"/>
      <c r="G15" s="196"/>
      <c r="H15" s="196"/>
      <c r="I15" s="196"/>
      <c r="J15" s="196"/>
      <c r="K15" s="196"/>
      <c r="L15" s="10"/>
      <c r="M15" s="10"/>
      <c r="N15" s="10"/>
      <c r="O15" s="10"/>
      <c r="P15" s="10"/>
    </row>
    <row r="16" spans="1:16" ht="14.25" customHeight="1" x14ac:dyDescent="0.25">
      <c r="A16" s="2"/>
      <c r="B16" s="195" t="s">
        <v>72</v>
      </c>
      <c r="C16" s="197"/>
      <c r="D16" s="197"/>
      <c r="E16" s="197"/>
      <c r="F16" s="197"/>
      <c r="G16" s="197"/>
      <c r="H16" s="197"/>
      <c r="I16" s="197"/>
      <c r="J16" s="197"/>
      <c r="K16" s="197"/>
      <c r="L16" s="10"/>
      <c r="M16" s="10"/>
      <c r="N16" s="10"/>
      <c r="O16" s="10"/>
      <c r="P16" s="10"/>
    </row>
    <row r="17" spans="1:16" ht="14.25" customHeight="1" x14ac:dyDescent="0.25">
      <c r="A17" s="2"/>
      <c r="B17" s="196" t="s">
        <v>119</v>
      </c>
      <c r="C17" s="196"/>
      <c r="D17" s="196"/>
      <c r="E17" s="196"/>
      <c r="F17" s="196"/>
      <c r="G17" s="196"/>
      <c r="H17" s="196"/>
      <c r="I17" s="196"/>
      <c r="J17" s="196"/>
      <c r="K17" s="196"/>
      <c r="L17" s="12"/>
      <c r="M17" s="12"/>
      <c r="N17" s="12"/>
      <c r="O17" s="12"/>
      <c r="P17" s="12"/>
    </row>
    <row r="18" spans="1:16" ht="14.25" customHeight="1" x14ac:dyDescent="0.25">
      <c r="A18" s="2"/>
      <c r="B18" s="196" t="s">
        <v>122</v>
      </c>
      <c r="C18" s="196"/>
      <c r="D18" s="196"/>
      <c r="E18" s="196"/>
      <c r="F18" s="196"/>
      <c r="G18" s="196"/>
      <c r="H18" s="196"/>
      <c r="I18" s="196"/>
      <c r="J18" s="196"/>
      <c r="K18" s="196"/>
      <c r="L18" s="12"/>
      <c r="M18" s="12"/>
      <c r="N18" s="12"/>
      <c r="O18" s="12"/>
      <c r="P18" s="12"/>
    </row>
    <row r="19" spans="1:16" x14ac:dyDescent="0.25">
      <c r="B19" s="196" t="s">
        <v>123</v>
      </c>
      <c r="C19" s="196"/>
      <c r="D19" s="196"/>
      <c r="E19" s="196"/>
      <c r="F19" s="196"/>
      <c r="G19" s="196"/>
      <c r="H19" s="196"/>
      <c r="I19" s="196"/>
      <c r="J19" s="196"/>
      <c r="K19" s="196"/>
    </row>
    <row r="20" spans="1:16" ht="14.25" customHeight="1" x14ac:dyDescent="0.25">
      <c r="B20" s="196" t="s">
        <v>73</v>
      </c>
      <c r="C20" s="196"/>
      <c r="D20" s="196"/>
      <c r="E20" s="196"/>
      <c r="F20" s="196"/>
      <c r="G20" s="196"/>
      <c r="H20" s="196"/>
      <c r="I20" s="196"/>
      <c r="J20" s="196"/>
      <c r="K20" s="196"/>
    </row>
    <row r="21" spans="1:16" s="6" customFormat="1" ht="14.25" customHeight="1" x14ac:dyDescent="0.25">
      <c r="B21" s="196" t="s">
        <v>74</v>
      </c>
      <c r="C21" s="196"/>
      <c r="D21" s="196"/>
      <c r="E21" s="196"/>
      <c r="F21" s="196"/>
      <c r="G21" s="196"/>
      <c r="H21" s="196"/>
      <c r="I21" s="196"/>
      <c r="J21" s="196"/>
      <c r="K21" s="196"/>
      <c r="M21" s="2"/>
      <c r="N21" s="2"/>
      <c r="O21" s="2"/>
      <c r="P21" s="2"/>
    </row>
    <row r="22" spans="1:16" s="6" customFormat="1" ht="14.25" customHeight="1" x14ac:dyDescent="0.25">
      <c r="B22" s="196" t="s">
        <v>75</v>
      </c>
      <c r="C22" s="196"/>
      <c r="D22" s="196"/>
      <c r="E22" s="196"/>
      <c r="F22" s="196"/>
      <c r="G22" s="196"/>
      <c r="H22" s="196"/>
      <c r="I22" s="196"/>
      <c r="J22" s="196"/>
      <c r="K22" s="196"/>
      <c r="M22" s="2"/>
      <c r="N22" s="2"/>
      <c r="O22" s="2"/>
      <c r="P22" s="2"/>
    </row>
    <row r="23" spans="1:16" s="6" customFormat="1" ht="14.25" customHeight="1" x14ac:dyDescent="0.25">
      <c r="B23" s="196" t="s">
        <v>76</v>
      </c>
      <c r="C23" s="196"/>
      <c r="D23" s="196"/>
      <c r="E23" s="196"/>
      <c r="F23" s="196"/>
      <c r="G23" s="196"/>
      <c r="H23" s="196"/>
      <c r="I23" s="196"/>
      <c r="J23" s="196"/>
      <c r="K23" s="196"/>
      <c r="M23" s="2"/>
      <c r="N23" s="2"/>
      <c r="O23" s="2"/>
      <c r="P23" s="2"/>
    </row>
    <row r="24" spans="1:16" s="6" customFormat="1" ht="14.25" customHeight="1" x14ac:dyDescent="0.25">
      <c r="B24" s="196" t="s">
        <v>77</v>
      </c>
      <c r="C24" s="196"/>
      <c r="D24" s="196"/>
      <c r="E24" s="196"/>
      <c r="F24" s="196"/>
      <c r="G24" s="196"/>
      <c r="H24" s="196"/>
      <c r="I24" s="196"/>
      <c r="J24" s="196"/>
      <c r="K24" s="196"/>
      <c r="M24" s="2"/>
      <c r="N24" s="2"/>
      <c r="O24" s="2"/>
      <c r="P24" s="2"/>
    </row>
    <row r="25" spans="1:16" s="6" customFormat="1" ht="14.25" customHeight="1" x14ac:dyDescent="0.25">
      <c r="B25" s="196" t="s">
        <v>78</v>
      </c>
      <c r="C25" s="196"/>
      <c r="D25" s="196"/>
      <c r="E25" s="196"/>
      <c r="F25" s="196"/>
      <c r="G25" s="196"/>
      <c r="H25" s="196"/>
      <c r="I25" s="196"/>
      <c r="J25" s="196"/>
      <c r="K25" s="196"/>
      <c r="M25" s="2"/>
      <c r="N25" s="2"/>
      <c r="O25" s="2"/>
      <c r="P25" s="2"/>
    </row>
    <row r="26" spans="1:16" s="6" customFormat="1" ht="14.25" customHeight="1" x14ac:dyDescent="0.25">
      <c r="B26" s="196" t="s">
        <v>98</v>
      </c>
      <c r="C26" s="196"/>
      <c r="D26" s="196"/>
      <c r="E26" s="196"/>
      <c r="F26" s="196"/>
      <c r="G26" s="196"/>
      <c r="H26" s="196"/>
      <c r="I26" s="196"/>
      <c r="J26" s="196"/>
      <c r="K26" s="196"/>
      <c r="M26" s="2"/>
      <c r="N26" s="2"/>
      <c r="O26" s="2"/>
      <c r="P26" s="2"/>
    </row>
    <row r="27" spans="1:16" s="6" customFormat="1" ht="14.25" customHeight="1" x14ac:dyDescent="0.25">
      <c r="B27" s="196"/>
      <c r="C27" s="196"/>
      <c r="D27" s="196"/>
      <c r="E27" s="196"/>
      <c r="F27" s="196"/>
      <c r="G27" s="196"/>
      <c r="H27" s="196"/>
      <c r="I27" s="196"/>
      <c r="J27" s="196"/>
      <c r="K27" s="196"/>
      <c r="M27" s="2"/>
      <c r="N27" s="2"/>
      <c r="O27" s="2"/>
      <c r="P27" s="2"/>
    </row>
    <row r="28" spans="1:16" s="6" customFormat="1" ht="14.25" customHeight="1" x14ac:dyDescent="0.3">
      <c r="B28" s="233" t="s">
        <v>127</v>
      </c>
      <c r="C28" s="196"/>
      <c r="D28" s="196"/>
      <c r="E28" s="196"/>
      <c r="F28" s="196"/>
      <c r="G28" s="196"/>
      <c r="H28" s="196"/>
      <c r="I28" s="196"/>
      <c r="J28" s="196"/>
      <c r="K28" s="196"/>
      <c r="M28" s="2"/>
      <c r="N28" s="2"/>
      <c r="O28" s="2"/>
      <c r="P28" s="2"/>
    </row>
    <row r="29" spans="1:16" s="6" customFormat="1" ht="14.25" customHeight="1" x14ac:dyDescent="0.25">
      <c r="B29" s="234" t="s">
        <v>128</v>
      </c>
      <c r="C29" s="196"/>
      <c r="D29" s="196"/>
      <c r="E29" s="196"/>
      <c r="F29" s="196"/>
      <c r="G29" s="196"/>
      <c r="H29" s="196"/>
      <c r="I29" s="196"/>
      <c r="J29" s="196"/>
      <c r="K29" s="196"/>
      <c r="M29" s="2"/>
      <c r="N29" s="2"/>
      <c r="O29" s="2"/>
      <c r="P29" s="2"/>
    </row>
    <row r="30" spans="1:16" s="6" customFormat="1" ht="14.25" customHeight="1" x14ac:dyDescent="0.25">
      <c r="B30" s="235"/>
      <c r="C30" s="196"/>
      <c r="D30" s="196"/>
      <c r="E30" s="196"/>
      <c r="F30" s="196"/>
      <c r="G30" s="196"/>
      <c r="H30" s="196"/>
      <c r="I30" s="196"/>
      <c r="J30" s="196"/>
      <c r="K30" s="196"/>
      <c r="M30" s="2"/>
      <c r="N30" s="2"/>
      <c r="O30" s="2"/>
      <c r="P30" s="2"/>
    </row>
    <row r="31" spans="1:16" s="6" customFormat="1" ht="14.25" customHeight="1" x14ac:dyDescent="0.3">
      <c r="B31" s="233" t="s">
        <v>28</v>
      </c>
      <c r="C31" s="196"/>
      <c r="D31" s="196"/>
      <c r="E31" s="196"/>
      <c r="F31" s="196"/>
      <c r="G31" s="196"/>
      <c r="H31" s="196"/>
      <c r="I31" s="196"/>
      <c r="J31" s="196"/>
      <c r="K31" s="196"/>
      <c r="M31" s="2"/>
      <c r="N31" s="2"/>
      <c r="O31" s="2"/>
      <c r="P31" s="2"/>
    </row>
    <row r="32" spans="1:16" s="6" customFormat="1" ht="14.25" customHeight="1" x14ac:dyDescent="0.25">
      <c r="B32" s="234" t="s">
        <v>27</v>
      </c>
      <c r="C32" s="196"/>
      <c r="D32" s="196"/>
      <c r="E32" s="196"/>
      <c r="F32" s="196"/>
      <c r="G32" s="196"/>
      <c r="H32" s="196"/>
      <c r="I32" s="196"/>
      <c r="J32" s="196"/>
      <c r="K32" s="196"/>
      <c r="M32" s="2"/>
      <c r="N32" s="2"/>
      <c r="O32" s="2"/>
      <c r="P32" s="2"/>
    </row>
    <row r="33" spans="1:16" ht="16.5" x14ac:dyDescent="0.25">
      <c r="A33" s="4"/>
      <c r="B33" s="61" t="s">
        <v>3</v>
      </c>
      <c r="L33" s="4"/>
    </row>
    <row r="34" spans="1:16" ht="15" customHeight="1" x14ac:dyDescent="0.25">
      <c r="B34" s="218" t="s">
        <v>23</v>
      </c>
      <c r="C34" s="218"/>
      <c r="D34" s="199"/>
      <c r="E34" s="218" t="s">
        <v>22</v>
      </c>
      <c r="F34" s="199"/>
      <c r="G34" s="84">
        <f>Lead!G26</f>
        <v>2022</v>
      </c>
      <c r="H34" s="84">
        <f>Lead!H26</f>
        <v>2021</v>
      </c>
      <c r="I34" s="84" t="s">
        <v>12</v>
      </c>
      <c r="J34" s="85" t="s">
        <v>12</v>
      </c>
      <c r="K34" s="220" t="s">
        <v>13</v>
      </c>
    </row>
    <row r="35" spans="1:16" ht="15" x14ac:dyDescent="0.25">
      <c r="A35" s="8"/>
      <c r="B35" s="218"/>
      <c r="C35" s="218"/>
      <c r="D35" s="199"/>
      <c r="E35" s="218"/>
      <c r="F35" s="199"/>
      <c r="G35" s="84" t="s">
        <v>31</v>
      </c>
      <c r="H35" s="84" t="s">
        <v>31</v>
      </c>
      <c r="I35" s="84" t="s">
        <v>31</v>
      </c>
      <c r="J35" s="85" t="s">
        <v>15</v>
      </c>
      <c r="K35" s="220"/>
      <c r="L35" s="8"/>
    </row>
    <row r="36" spans="1:16" ht="16.5" x14ac:dyDescent="0.25">
      <c r="B36" s="224"/>
      <c r="C36" s="224"/>
      <c r="D36" s="200"/>
      <c r="E36" s="90"/>
      <c r="G36" s="91"/>
      <c r="H36" s="92"/>
      <c r="I36" s="92"/>
      <c r="J36" s="93"/>
      <c r="K36" s="93"/>
    </row>
    <row r="37" spans="1:16" ht="16.5" x14ac:dyDescent="0.25">
      <c r="A37" s="8"/>
      <c r="B37" s="73" t="str">
        <f>Lead!B31</f>
        <v>Packing Material</v>
      </c>
      <c r="C37" s="74"/>
      <c r="D37" s="201"/>
      <c r="E37" s="68"/>
      <c r="F37" s="204"/>
      <c r="G37" s="69"/>
      <c r="H37" s="69"/>
      <c r="I37" s="69"/>
      <c r="J37" s="26"/>
      <c r="K37" s="26"/>
      <c r="L37" s="8"/>
    </row>
    <row r="38" spans="1:16" ht="16.5" x14ac:dyDescent="0.25">
      <c r="A38" s="8"/>
      <c r="B38" s="222" t="s">
        <v>32</v>
      </c>
      <c r="C38" s="222"/>
      <c r="D38" s="202"/>
      <c r="E38" s="68"/>
      <c r="F38" s="204"/>
      <c r="G38" s="69"/>
      <c r="H38" s="69"/>
      <c r="I38" s="69">
        <f t="shared" ref="I38:I40" si="0">G38-H38</f>
        <v>0</v>
      </c>
      <c r="J38" s="27" t="str">
        <f>IFERROR(I38/H38,"")</f>
        <v/>
      </c>
      <c r="K38" s="26"/>
      <c r="L38" s="8"/>
    </row>
    <row r="39" spans="1:16" ht="16.5" x14ac:dyDescent="0.25">
      <c r="A39" s="9"/>
      <c r="B39" s="222" t="s">
        <v>66</v>
      </c>
      <c r="C39" s="222"/>
      <c r="D39" s="202"/>
      <c r="E39" s="68"/>
      <c r="F39" s="204"/>
      <c r="G39" s="70"/>
      <c r="H39" s="69"/>
      <c r="I39" s="69">
        <f t="shared" si="0"/>
        <v>0</v>
      </c>
      <c r="J39" s="27" t="str">
        <f>IFERROR(I39/H39,"")</f>
        <v/>
      </c>
      <c r="K39" s="26"/>
      <c r="L39" s="9"/>
    </row>
    <row r="40" spans="1:16" ht="16.5" x14ac:dyDescent="0.25">
      <c r="A40" s="9"/>
      <c r="B40" s="222" t="s">
        <v>97</v>
      </c>
      <c r="C40" s="222"/>
      <c r="D40" s="202"/>
      <c r="E40" s="68"/>
      <c r="F40" s="204"/>
      <c r="G40" s="69"/>
      <c r="H40" s="69"/>
      <c r="I40" s="69">
        <f t="shared" si="0"/>
        <v>0</v>
      </c>
      <c r="J40" s="27" t="str">
        <f>IFERROR(I40/H40,"")</f>
        <v/>
      </c>
      <c r="K40" s="26"/>
      <c r="L40" s="9"/>
    </row>
    <row r="41" spans="1:16" ht="16.5" x14ac:dyDescent="0.25">
      <c r="A41" s="9"/>
      <c r="B41" s="222"/>
      <c r="C41" s="222"/>
      <c r="D41" s="202"/>
      <c r="E41" s="68"/>
      <c r="F41" s="204"/>
      <c r="G41" s="69"/>
      <c r="H41" s="69"/>
      <c r="I41" s="69"/>
      <c r="J41" s="26"/>
      <c r="K41" s="26"/>
      <c r="L41" s="9"/>
    </row>
    <row r="42" spans="1:16" ht="16.5" x14ac:dyDescent="0.25">
      <c r="A42" s="2"/>
      <c r="B42" s="223" t="s">
        <v>41</v>
      </c>
      <c r="C42" s="223"/>
      <c r="D42" s="203"/>
      <c r="E42" s="68"/>
      <c r="F42" s="204"/>
      <c r="G42" s="69">
        <f>SUM(G38:G41)</f>
        <v>0</v>
      </c>
      <c r="H42" s="69">
        <f>SUM(H38:H41)</f>
        <v>0</v>
      </c>
      <c r="I42" s="69">
        <f>SUM(I38:I41)</f>
        <v>0</v>
      </c>
      <c r="J42" s="26"/>
      <c r="K42" s="26"/>
      <c r="L42" s="2"/>
    </row>
    <row r="43" spans="1:16" ht="16.5" x14ac:dyDescent="0.25">
      <c r="A43" s="2"/>
      <c r="L43" s="2"/>
    </row>
    <row r="44" spans="1:16" s="6" customFormat="1" x14ac:dyDescent="0.25">
      <c r="B44" s="198"/>
      <c r="C44" s="198"/>
      <c r="D44" s="198"/>
      <c r="E44" s="198"/>
      <c r="F44" s="198"/>
      <c r="G44" s="198"/>
      <c r="H44" s="198"/>
      <c r="I44" s="198"/>
      <c r="J44" s="198"/>
      <c r="K44" s="198"/>
      <c r="M44" s="2"/>
      <c r="N44" s="2"/>
      <c r="O44" s="2"/>
      <c r="P44" s="2"/>
    </row>
    <row r="45" spans="1:16" s="6" customFormat="1" x14ac:dyDescent="0.25"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M45" s="2"/>
      <c r="N45" s="2"/>
      <c r="O45" s="2"/>
      <c r="P45" s="2"/>
    </row>
    <row r="46" spans="1:16" s="6" customFormat="1" ht="14.25" hidden="1" customHeight="1" x14ac:dyDescent="0.25">
      <c r="B46" s="198"/>
      <c r="C46" s="198"/>
      <c r="D46" s="198"/>
      <c r="E46" s="198"/>
      <c r="F46" s="198"/>
      <c r="G46" s="198"/>
      <c r="H46" s="198"/>
      <c r="I46" s="198"/>
      <c r="J46" s="198"/>
      <c r="K46" s="198"/>
      <c r="M46" s="2"/>
      <c r="N46" s="2"/>
      <c r="O46" s="2"/>
      <c r="P46" s="2"/>
    </row>
    <row r="47" spans="1:16" s="6" customFormat="1" ht="16.5" hidden="1" customHeight="1" x14ac:dyDescent="0.25">
      <c r="B47" s="61"/>
      <c r="C47" s="61"/>
      <c r="D47" s="61"/>
      <c r="E47" s="61"/>
      <c r="F47" s="61"/>
      <c r="G47" s="61"/>
      <c r="H47" s="61"/>
      <c r="I47" s="61"/>
      <c r="J47" s="2"/>
      <c r="K47" s="2"/>
      <c r="M47" s="2"/>
      <c r="N47" s="2"/>
      <c r="O47" s="2"/>
      <c r="P47" s="2"/>
    </row>
    <row r="48" spans="1:16" s="6" customFormat="1" ht="16.5" hidden="1" customHeight="1" x14ac:dyDescent="0.25">
      <c r="B48" s="61"/>
      <c r="C48" s="61"/>
      <c r="D48" s="61"/>
      <c r="E48" s="61"/>
      <c r="F48" s="61"/>
      <c r="G48" s="61"/>
      <c r="H48" s="61"/>
      <c r="I48" s="61"/>
      <c r="J48" s="2"/>
      <c r="K48" s="2"/>
      <c r="M48" s="2"/>
      <c r="N48" s="2"/>
      <c r="O48" s="2"/>
      <c r="P48" s="2"/>
    </row>
    <row r="49" spans="2:16" s="6" customFormat="1" ht="16.5" hidden="1" customHeight="1" x14ac:dyDescent="0.25">
      <c r="B49" s="61"/>
      <c r="C49" s="61"/>
      <c r="D49" s="61"/>
      <c r="E49" s="61"/>
      <c r="F49" s="61"/>
      <c r="G49" s="61"/>
      <c r="H49" s="61"/>
      <c r="I49" s="61"/>
      <c r="J49" s="2"/>
      <c r="K49" s="2"/>
      <c r="M49" s="2"/>
      <c r="N49" s="2"/>
      <c r="O49" s="2"/>
      <c r="P49" s="2"/>
    </row>
    <row r="50" spans="2:16" s="6" customFormat="1" ht="16.5" hidden="1" customHeight="1" x14ac:dyDescent="0.25">
      <c r="B50" s="61"/>
      <c r="C50" s="61"/>
      <c r="D50" s="61"/>
      <c r="E50" s="61"/>
      <c r="F50" s="61"/>
      <c r="G50" s="61"/>
      <c r="H50" s="61"/>
      <c r="I50" s="61"/>
      <c r="J50" s="2"/>
      <c r="K50" s="2"/>
      <c r="M50" s="2"/>
      <c r="N50" s="2"/>
      <c r="O50" s="2"/>
      <c r="P50" s="2"/>
    </row>
    <row r="51" spans="2:16" s="6" customFormat="1" ht="16.5" hidden="1" customHeight="1" x14ac:dyDescent="0.25">
      <c r="B51" s="61"/>
      <c r="C51" s="61"/>
      <c r="D51" s="61"/>
      <c r="E51" s="61"/>
      <c r="F51" s="61"/>
      <c r="G51" s="61"/>
      <c r="H51" s="61"/>
      <c r="I51" s="61"/>
      <c r="J51" s="2"/>
      <c r="K51" s="2"/>
      <c r="M51" s="2"/>
      <c r="N51" s="2"/>
      <c r="O51" s="2"/>
      <c r="P51" s="2"/>
    </row>
    <row r="52" spans="2:16" s="6" customFormat="1" ht="16.5" hidden="1" customHeight="1" x14ac:dyDescent="0.25">
      <c r="B52" s="61"/>
      <c r="C52" s="61"/>
      <c r="D52" s="61"/>
      <c r="E52" s="61"/>
      <c r="F52" s="61"/>
      <c r="G52" s="61"/>
      <c r="H52" s="61"/>
      <c r="I52" s="61"/>
      <c r="J52" s="2"/>
      <c r="K52" s="2"/>
      <c r="M52" s="2"/>
      <c r="N52" s="2"/>
      <c r="O52" s="2"/>
      <c r="P52" s="2"/>
    </row>
    <row r="53" spans="2:16" s="6" customFormat="1" ht="16.5" hidden="1" customHeight="1" x14ac:dyDescent="0.25">
      <c r="B53" s="61"/>
      <c r="C53" s="61"/>
      <c r="D53" s="61"/>
      <c r="E53" s="61"/>
      <c r="F53" s="61"/>
      <c r="G53" s="61"/>
      <c r="H53" s="61"/>
      <c r="I53" s="61"/>
      <c r="J53" s="2"/>
      <c r="K53" s="2"/>
      <c r="M53" s="2"/>
      <c r="N53" s="2"/>
      <c r="O53" s="2"/>
      <c r="P53" s="2"/>
    </row>
    <row r="54" spans="2:16" s="6" customFormat="1" ht="16.5" hidden="1" customHeight="1" x14ac:dyDescent="0.25">
      <c r="B54" s="61"/>
      <c r="C54" s="61"/>
      <c r="D54" s="61"/>
      <c r="E54" s="61"/>
      <c r="F54" s="61"/>
      <c r="G54" s="61"/>
      <c r="H54" s="61"/>
      <c r="I54" s="61"/>
      <c r="J54" s="2"/>
      <c r="K54" s="2"/>
      <c r="M54" s="2"/>
      <c r="N54" s="2"/>
      <c r="O54" s="2"/>
      <c r="P54" s="2"/>
    </row>
    <row r="55" spans="2:16" s="6" customFormat="1" ht="16.5" hidden="1" customHeight="1" x14ac:dyDescent="0.25">
      <c r="B55" s="61"/>
      <c r="C55" s="61"/>
      <c r="D55" s="61"/>
      <c r="E55" s="61"/>
      <c r="F55" s="61"/>
      <c r="G55" s="61"/>
      <c r="H55" s="61"/>
      <c r="I55" s="61"/>
      <c r="J55" s="2"/>
      <c r="K55" s="2"/>
      <c r="M55" s="2"/>
      <c r="N55" s="2"/>
      <c r="O55" s="2"/>
      <c r="P55" s="2"/>
    </row>
    <row r="56" spans="2:16" s="6" customFormat="1" ht="16.5" hidden="1" customHeight="1" x14ac:dyDescent="0.25">
      <c r="B56" s="61"/>
      <c r="C56" s="61"/>
      <c r="D56" s="61"/>
      <c r="E56" s="61"/>
      <c r="F56" s="61"/>
      <c r="G56" s="61"/>
      <c r="H56" s="61"/>
      <c r="I56" s="61"/>
      <c r="J56" s="2"/>
      <c r="K56" s="2"/>
      <c r="M56" s="2"/>
      <c r="N56" s="2"/>
      <c r="O56" s="2"/>
      <c r="P56" s="2"/>
    </row>
    <row r="57" spans="2:16" s="6" customFormat="1" ht="16.5" hidden="1" customHeight="1" x14ac:dyDescent="0.25">
      <c r="B57" s="61"/>
      <c r="C57" s="61"/>
      <c r="D57" s="61"/>
      <c r="E57" s="61"/>
      <c r="F57" s="61"/>
      <c r="G57" s="61"/>
      <c r="H57" s="61"/>
      <c r="I57" s="61"/>
      <c r="J57" s="2"/>
      <c r="K57" s="2"/>
      <c r="M57" s="2"/>
      <c r="N57" s="2"/>
      <c r="O57" s="2"/>
      <c r="P57" s="2"/>
    </row>
    <row r="58" spans="2:16" s="6" customFormat="1" ht="16.5" hidden="1" customHeight="1" x14ac:dyDescent="0.25">
      <c r="B58" s="61"/>
      <c r="C58" s="61"/>
      <c r="D58" s="61"/>
      <c r="E58" s="61"/>
      <c r="F58" s="61"/>
      <c r="G58" s="61"/>
      <c r="H58" s="61"/>
      <c r="I58" s="61"/>
      <c r="J58" s="2"/>
      <c r="K58" s="2"/>
      <c r="M58" s="2"/>
      <c r="N58" s="2"/>
      <c r="O58" s="2"/>
      <c r="P58" s="2"/>
    </row>
    <row r="59" spans="2:16" s="6" customFormat="1" ht="16.5" hidden="1" customHeight="1" x14ac:dyDescent="0.25">
      <c r="B59" s="61"/>
      <c r="C59" s="61"/>
      <c r="D59" s="61"/>
      <c r="E59" s="61"/>
      <c r="F59" s="61"/>
      <c r="G59" s="61"/>
      <c r="H59" s="61"/>
      <c r="I59" s="61"/>
      <c r="J59" s="2"/>
      <c r="K59" s="2"/>
      <c r="M59" s="2"/>
      <c r="N59" s="2"/>
      <c r="O59" s="2"/>
      <c r="P59" s="2"/>
    </row>
    <row r="60" spans="2:16" s="6" customFormat="1" ht="16.5" hidden="1" customHeight="1" x14ac:dyDescent="0.25">
      <c r="B60" s="61"/>
      <c r="C60" s="61"/>
      <c r="D60" s="61"/>
      <c r="E60" s="61"/>
      <c r="F60" s="61"/>
      <c r="G60" s="61"/>
      <c r="H60" s="61"/>
      <c r="I60" s="61"/>
      <c r="J60" s="2"/>
      <c r="K60" s="2"/>
      <c r="M60" s="2"/>
      <c r="N60" s="2"/>
      <c r="O60" s="2"/>
      <c r="P60" s="2"/>
    </row>
    <row r="61" spans="2:16" s="6" customFormat="1" ht="16.5" hidden="1" customHeight="1" x14ac:dyDescent="0.25">
      <c r="B61" s="61"/>
      <c r="C61" s="61"/>
      <c r="D61" s="61"/>
      <c r="E61" s="61"/>
      <c r="F61" s="61"/>
      <c r="G61" s="61"/>
      <c r="H61" s="61"/>
      <c r="I61" s="61"/>
      <c r="J61" s="2"/>
      <c r="K61" s="2"/>
      <c r="M61" s="2"/>
      <c r="N61" s="2"/>
      <c r="O61" s="2"/>
      <c r="P61" s="2"/>
    </row>
    <row r="62" spans="2:16" s="6" customFormat="1" ht="16.5" hidden="1" customHeight="1" x14ac:dyDescent="0.25">
      <c r="B62" s="61"/>
      <c r="C62" s="61"/>
      <c r="D62" s="61"/>
      <c r="E62" s="61"/>
      <c r="F62" s="61"/>
      <c r="G62" s="61"/>
      <c r="H62" s="61"/>
      <c r="I62" s="61"/>
      <c r="J62" s="2"/>
      <c r="K62" s="2"/>
      <c r="M62" s="2"/>
      <c r="N62" s="2"/>
      <c r="O62" s="2"/>
      <c r="P62" s="2"/>
    </row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</sheetData>
  <mergeCells count="9">
    <mergeCell ref="B40:C40"/>
    <mergeCell ref="B41:C41"/>
    <mergeCell ref="B42:C42"/>
    <mergeCell ref="B39:C39"/>
    <mergeCell ref="B34:C35"/>
    <mergeCell ref="E34:E35"/>
    <mergeCell ref="K34:K35"/>
    <mergeCell ref="B38:C38"/>
    <mergeCell ref="B36:C36"/>
  </mergeCells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84"/>
  <sheetViews>
    <sheetView showGridLines="0" topLeftCell="A14" zoomScaleNormal="100" zoomScaleSheetLayoutView="100" workbookViewId="0">
      <selection activeCell="B31" sqref="B31:B35"/>
    </sheetView>
  </sheetViews>
  <sheetFormatPr defaultColWidth="0" defaultRowHeight="14.25" customHeight="1" zeroHeight="1" x14ac:dyDescent="0.25"/>
  <cols>
    <col min="1" max="1" width="1" style="6" customWidth="1"/>
    <col min="2" max="2" width="12" style="61" customWidth="1"/>
    <col min="3" max="3" width="33" style="61" customWidth="1"/>
    <col min="4" max="4" width="2.7109375" style="61" customWidth="1"/>
    <col min="5" max="5" width="11.7109375" style="61" customWidth="1"/>
    <col min="6" max="6" width="2.7109375" style="61" customWidth="1"/>
    <col min="7" max="9" width="14.42578125" style="61" customWidth="1"/>
    <col min="10" max="10" width="14.42578125" style="2" customWidth="1"/>
    <col min="11" max="11" width="21.7109375" style="2" customWidth="1"/>
    <col min="12" max="12" width="1" style="6" customWidth="1"/>
    <col min="13" max="16384" width="9.140625" style="2" hidden="1"/>
  </cols>
  <sheetData>
    <row r="1" spans="1:16" s="3" customFormat="1" ht="16.5" x14ac:dyDescent="0.25">
      <c r="A1" s="5"/>
      <c r="B1" s="123" t="str">
        <f>Index!$B$1</f>
        <v>ABC &amp; Co.</v>
      </c>
      <c r="C1" s="124"/>
      <c r="D1" s="124"/>
      <c r="E1" s="63"/>
      <c r="F1" s="63"/>
      <c r="G1" s="64"/>
      <c r="H1" s="63"/>
      <c r="I1" s="63"/>
      <c r="J1" s="5"/>
      <c r="K1" s="16" t="str">
        <f>Index!E16</f>
        <v>BS.08 - 3</v>
      </c>
    </row>
    <row r="2" spans="1:16" s="3" customFormat="1" ht="15.75" x14ac:dyDescent="0.25">
      <c r="A2" s="5"/>
      <c r="B2" s="124" t="str">
        <f>Index!$B$2</f>
        <v>(Chartered Accountants)</v>
      </c>
      <c r="C2" s="124"/>
      <c r="D2" s="124"/>
      <c r="E2" s="65"/>
      <c r="F2" s="65"/>
      <c r="G2" s="66"/>
      <c r="H2" s="63"/>
      <c r="I2" s="63"/>
      <c r="J2" s="5"/>
    </row>
    <row r="3" spans="1:16" ht="16.5" x14ac:dyDescent="0.25">
      <c r="A3" s="4"/>
      <c r="B3" s="124"/>
      <c r="C3" s="124"/>
      <c r="D3" s="124"/>
      <c r="L3" s="4"/>
    </row>
    <row r="4" spans="1:16" s="1" customFormat="1" ht="16.5" x14ac:dyDescent="0.3">
      <c r="A4" s="6"/>
      <c r="B4" s="106" t="str">
        <f>Index!$B$4</f>
        <v xml:space="preserve">Client: </v>
      </c>
      <c r="C4" s="129" t="str">
        <f>Index!$C$4</f>
        <v>ABC Limited</v>
      </c>
      <c r="D4" s="130"/>
      <c r="E4" s="32"/>
      <c r="F4" s="32"/>
      <c r="G4" s="32"/>
      <c r="H4" s="32"/>
      <c r="I4" s="32"/>
      <c r="J4" s="109" t="str">
        <f>Index!$G$4</f>
        <v>Prepared by:</v>
      </c>
      <c r="K4" s="110" t="str">
        <f>IF(Index!$H$4="","",Index!$H$4)</f>
        <v/>
      </c>
      <c r="L4" s="6"/>
    </row>
    <row r="5" spans="1:16" s="1" customFormat="1" ht="16.5" x14ac:dyDescent="0.3">
      <c r="A5" s="4"/>
      <c r="B5" s="106" t="str">
        <f>Index!$B$5</f>
        <v>Period:</v>
      </c>
      <c r="C5" s="129" t="str">
        <f>Index!$C$5</f>
        <v>Year ended June 30, 2023</v>
      </c>
      <c r="D5" s="130"/>
      <c r="E5" s="32"/>
      <c r="F5" s="32"/>
      <c r="G5" s="32"/>
      <c r="H5" s="32"/>
      <c r="I5" s="32"/>
      <c r="J5" s="109" t="str">
        <f>Index!$G$5</f>
        <v>Date prepared:</v>
      </c>
      <c r="K5" s="111" t="str">
        <f>IF(Index!$H$5="","",Index!$H$5)</f>
        <v/>
      </c>
      <c r="L5" s="4"/>
    </row>
    <row r="6" spans="1:16" s="1" customFormat="1" ht="16.5" x14ac:dyDescent="0.3">
      <c r="A6" s="4"/>
      <c r="B6" s="106" t="str">
        <f>Index!$B$6</f>
        <v>Head:</v>
      </c>
      <c r="C6" s="130" t="str">
        <f>Index!$C$6</f>
        <v>Stock in Trade</v>
      </c>
      <c r="D6" s="130"/>
      <c r="E6" s="32"/>
      <c r="F6" s="32"/>
      <c r="G6" s="32"/>
      <c r="H6" s="32"/>
      <c r="I6" s="32"/>
      <c r="J6" s="109" t="str">
        <f>Index!$G$6</f>
        <v>Reviewed by:</v>
      </c>
      <c r="K6" s="112" t="str">
        <f>IF(Index!$H$6="","",Index!$H$6)</f>
        <v/>
      </c>
      <c r="L6" s="4"/>
    </row>
    <row r="7" spans="1:16" s="1" customFormat="1" ht="16.5" x14ac:dyDescent="0.3">
      <c r="A7" s="4"/>
      <c r="B7" s="77"/>
      <c r="C7" s="37"/>
      <c r="D7" s="122"/>
      <c r="E7" s="32"/>
      <c r="F7" s="32"/>
      <c r="G7" s="32"/>
      <c r="H7" s="32"/>
      <c r="I7" s="32"/>
      <c r="J7" s="109" t="str">
        <f>Index!$G$7</f>
        <v>Date reviewed:</v>
      </c>
      <c r="K7" s="111" t="str">
        <f>IF(Index!$H$7="","",Index!$H$7)</f>
        <v/>
      </c>
      <c r="L7" s="4"/>
    </row>
    <row r="8" spans="1:16" x14ac:dyDescent="0.25">
      <c r="B8" s="7" t="s">
        <v>16</v>
      </c>
      <c r="C8" s="7"/>
      <c r="D8" s="7"/>
      <c r="E8" s="7"/>
      <c r="F8" s="7"/>
      <c r="G8" s="7"/>
      <c r="H8" s="7"/>
      <c r="I8" s="7"/>
      <c r="J8" s="7"/>
      <c r="K8" s="7"/>
    </row>
    <row r="9" spans="1:16" x14ac:dyDescent="0.25">
      <c r="A9" s="2"/>
      <c r="B9" s="7" t="s">
        <v>19</v>
      </c>
      <c r="C9" s="7"/>
      <c r="D9" s="7"/>
      <c r="E9" s="7"/>
      <c r="F9" s="7"/>
      <c r="G9" s="7"/>
      <c r="H9" s="7"/>
      <c r="I9" s="7"/>
      <c r="J9" s="7"/>
      <c r="K9" s="7"/>
      <c r="L9" s="2"/>
    </row>
    <row r="10" spans="1:16" ht="14.25" customHeight="1" x14ac:dyDescent="0.25">
      <c r="A10" s="2"/>
      <c r="B10" s="195" t="s">
        <v>71</v>
      </c>
      <c r="C10" s="195"/>
      <c r="D10" s="195"/>
      <c r="E10" s="195"/>
      <c r="F10" s="195"/>
      <c r="G10" s="195"/>
      <c r="H10" s="195"/>
      <c r="I10" s="195"/>
      <c r="J10" s="195"/>
      <c r="K10" s="195"/>
      <c r="L10" s="2"/>
    </row>
    <row r="11" spans="1:16" x14ac:dyDescent="0.25">
      <c r="A11" s="2"/>
      <c r="B11" s="196" t="s">
        <v>67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1"/>
      <c r="M11" s="11"/>
      <c r="N11" s="11"/>
      <c r="O11" s="11"/>
      <c r="P11" s="11"/>
    </row>
    <row r="12" spans="1:16" ht="14.25" customHeight="1" x14ac:dyDescent="0.25">
      <c r="B12" s="196" t="s">
        <v>68</v>
      </c>
      <c r="C12" s="196"/>
      <c r="D12" s="196"/>
      <c r="E12" s="196"/>
      <c r="F12" s="196"/>
      <c r="G12" s="196"/>
      <c r="H12" s="196"/>
      <c r="I12" s="196"/>
      <c r="J12" s="196"/>
      <c r="K12" s="196"/>
      <c r="L12" s="12"/>
      <c r="M12" s="12"/>
      <c r="N12" s="12"/>
      <c r="O12" s="12"/>
      <c r="P12" s="12"/>
    </row>
    <row r="13" spans="1:16" x14ac:dyDescent="0.25">
      <c r="A13" s="2"/>
      <c r="B13" s="196" t="s">
        <v>69</v>
      </c>
      <c r="C13" s="196"/>
      <c r="D13" s="196"/>
      <c r="E13" s="196"/>
      <c r="F13" s="196"/>
      <c r="G13" s="196"/>
      <c r="H13" s="196"/>
      <c r="I13" s="196"/>
      <c r="J13" s="196"/>
      <c r="K13" s="196"/>
      <c r="L13" s="12"/>
      <c r="M13" s="12"/>
      <c r="N13" s="12"/>
      <c r="O13" s="12"/>
      <c r="P13" s="12"/>
    </row>
    <row r="14" spans="1:16" ht="14.25" customHeight="1" x14ac:dyDescent="0.25">
      <c r="A14" s="2"/>
      <c r="B14" s="196" t="s">
        <v>70</v>
      </c>
      <c r="C14" s="196"/>
      <c r="D14" s="196"/>
      <c r="E14" s="196"/>
      <c r="F14" s="196"/>
      <c r="G14" s="196"/>
      <c r="H14" s="196"/>
      <c r="I14" s="196"/>
      <c r="J14" s="196"/>
      <c r="K14" s="196"/>
      <c r="L14" s="12"/>
      <c r="M14" s="12"/>
      <c r="N14" s="12"/>
      <c r="O14" s="12"/>
      <c r="P14" s="12"/>
    </row>
    <row r="15" spans="1:16" ht="14.25" customHeight="1" x14ac:dyDescent="0.25">
      <c r="A15" s="2"/>
      <c r="B15" s="196"/>
      <c r="C15" s="196"/>
      <c r="D15" s="196"/>
      <c r="E15" s="196"/>
      <c r="F15" s="196"/>
      <c r="G15" s="196"/>
      <c r="H15" s="196"/>
      <c r="I15" s="196"/>
      <c r="J15" s="196"/>
      <c r="K15" s="196"/>
      <c r="L15" s="10"/>
      <c r="M15" s="10"/>
      <c r="N15" s="10"/>
      <c r="O15" s="10"/>
      <c r="P15" s="10"/>
    </row>
    <row r="16" spans="1:16" ht="14.25" customHeight="1" x14ac:dyDescent="0.25">
      <c r="A16" s="2"/>
      <c r="B16" s="195" t="s">
        <v>72</v>
      </c>
      <c r="C16" s="195"/>
      <c r="D16" s="195"/>
      <c r="E16" s="195"/>
      <c r="F16" s="195"/>
      <c r="G16" s="195"/>
      <c r="H16" s="195"/>
      <c r="I16" s="195"/>
      <c r="J16" s="195"/>
      <c r="K16" s="195"/>
      <c r="L16" s="10"/>
      <c r="M16" s="10"/>
      <c r="N16" s="10"/>
      <c r="O16" s="10"/>
      <c r="P16" s="10"/>
    </row>
    <row r="17" spans="1:16" ht="14.25" customHeight="1" x14ac:dyDescent="0.25">
      <c r="A17" s="2"/>
      <c r="B17" s="196" t="s">
        <v>119</v>
      </c>
      <c r="C17" s="196"/>
      <c r="D17" s="196"/>
      <c r="E17" s="196"/>
      <c r="F17" s="196"/>
      <c r="G17" s="196"/>
      <c r="H17" s="196"/>
      <c r="I17" s="196"/>
      <c r="J17" s="196"/>
      <c r="K17" s="196"/>
      <c r="L17" s="12"/>
      <c r="M17" s="12"/>
      <c r="N17" s="12"/>
      <c r="O17" s="12"/>
      <c r="P17" s="12"/>
    </row>
    <row r="18" spans="1:16" ht="14.25" customHeight="1" x14ac:dyDescent="0.25">
      <c r="A18" s="2"/>
      <c r="B18" s="196" t="s">
        <v>122</v>
      </c>
      <c r="C18" s="196"/>
      <c r="D18" s="196"/>
      <c r="E18" s="196"/>
      <c r="F18" s="196"/>
      <c r="G18" s="196"/>
      <c r="H18" s="196"/>
      <c r="I18" s="196"/>
      <c r="J18" s="196"/>
      <c r="K18" s="196"/>
      <c r="L18" s="12"/>
      <c r="M18" s="12"/>
      <c r="N18" s="12"/>
      <c r="O18" s="12"/>
      <c r="P18" s="12"/>
    </row>
    <row r="19" spans="1:16" x14ac:dyDescent="0.25">
      <c r="B19" s="196" t="s">
        <v>123</v>
      </c>
      <c r="C19" s="196"/>
      <c r="D19" s="196"/>
      <c r="E19" s="196"/>
      <c r="F19" s="196"/>
      <c r="G19" s="196"/>
      <c r="H19" s="196"/>
      <c r="I19" s="196"/>
      <c r="J19" s="196"/>
      <c r="K19" s="196"/>
    </row>
    <row r="20" spans="1:16" ht="14.25" customHeight="1" x14ac:dyDescent="0.25">
      <c r="B20" s="196" t="s">
        <v>94</v>
      </c>
      <c r="C20" s="196"/>
      <c r="D20" s="196"/>
      <c r="E20" s="196"/>
      <c r="F20" s="196"/>
      <c r="G20" s="196"/>
      <c r="H20" s="196"/>
      <c r="I20" s="196"/>
      <c r="J20" s="196"/>
      <c r="K20" s="196"/>
    </row>
    <row r="21" spans="1:16" ht="14.25" customHeight="1" x14ac:dyDescent="0.25">
      <c r="B21" s="196" t="s">
        <v>95</v>
      </c>
      <c r="C21" s="196"/>
      <c r="D21" s="196"/>
      <c r="E21" s="196"/>
      <c r="F21" s="196"/>
      <c r="G21" s="196"/>
      <c r="H21" s="196"/>
      <c r="I21" s="196"/>
      <c r="J21" s="196"/>
      <c r="K21" s="196"/>
    </row>
    <row r="22" spans="1:16" x14ac:dyDescent="0.25">
      <c r="B22" s="196" t="s">
        <v>73</v>
      </c>
      <c r="C22" s="196"/>
      <c r="D22" s="196"/>
      <c r="E22" s="196"/>
      <c r="F22" s="196"/>
      <c r="G22" s="196"/>
      <c r="H22" s="196"/>
      <c r="I22" s="196"/>
      <c r="J22" s="196"/>
      <c r="K22" s="196"/>
    </row>
    <row r="23" spans="1:16" x14ac:dyDescent="0.25">
      <c r="B23" s="196" t="s">
        <v>74</v>
      </c>
      <c r="C23" s="196"/>
      <c r="D23" s="196"/>
      <c r="E23" s="196"/>
      <c r="F23" s="196"/>
      <c r="G23" s="196"/>
      <c r="H23" s="196"/>
      <c r="I23" s="196"/>
      <c r="J23" s="196"/>
      <c r="K23" s="196"/>
    </row>
    <row r="24" spans="1:16" x14ac:dyDescent="0.25">
      <c r="B24" s="196" t="s">
        <v>75</v>
      </c>
      <c r="C24" s="196"/>
      <c r="D24" s="196"/>
      <c r="E24" s="196"/>
      <c r="F24" s="196"/>
      <c r="G24" s="196"/>
      <c r="H24" s="196"/>
      <c r="I24" s="196"/>
      <c r="J24" s="196"/>
      <c r="K24" s="196"/>
    </row>
    <row r="25" spans="1:16" x14ac:dyDescent="0.25">
      <c r="B25" s="196" t="s">
        <v>76</v>
      </c>
      <c r="C25" s="196"/>
      <c r="D25" s="196"/>
      <c r="E25" s="196"/>
      <c r="F25" s="196"/>
      <c r="G25" s="196"/>
      <c r="H25" s="196"/>
      <c r="I25" s="196"/>
      <c r="J25" s="196"/>
      <c r="K25" s="196"/>
    </row>
    <row r="26" spans="1:16" x14ac:dyDescent="0.25">
      <c r="B26" s="196" t="s">
        <v>77</v>
      </c>
      <c r="C26" s="196"/>
      <c r="D26" s="196"/>
      <c r="E26" s="196"/>
      <c r="F26" s="196"/>
      <c r="G26" s="196"/>
      <c r="H26" s="196"/>
      <c r="I26" s="196"/>
      <c r="J26" s="196"/>
      <c r="K26" s="196"/>
    </row>
    <row r="27" spans="1:16" x14ac:dyDescent="0.25">
      <c r="B27" s="196" t="s">
        <v>100</v>
      </c>
      <c r="C27" s="196"/>
      <c r="D27" s="196"/>
      <c r="E27" s="196"/>
      <c r="F27" s="196"/>
      <c r="G27" s="196"/>
      <c r="H27" s="196"/>
      <c r="I27" s="196"/>
      <c r="J27" s="196"/>
      <c r="K27" s="196"/>
    </row>
    <row r="28" spans="1:16" x14ac:dyDescent="0.25">
      <c r="B28" s="196" t="s">
        <v>107</v>
      </c>
      <c r="C28" s="196"/>
      <c r="D28" s="196"/>
      <c r="E28" s="196"/>
      <c r="F28" s="196"/>
      <c r="G28" s="196"/>
      <c r="H28" s="196"/>
      <c r="I28" s="196"/>
      <c r="J28" s="196"/>
      <c r="K28" s="196"/>
    </row>
    <row r="29" spans="1:16" x14ac:dyDescent="0.25">
      <c r="B29" s="196" t="s">
        <v>99</v>
      </c>
      <c r="C29" s="196"/>
      <c r="D29" s="196"/>
      <c r="E29" s="196"/>
      <c r="F29" s="196"/>
      <c r="G29" s="196"/>
      <c r="H29" s="196"/>
      <c r="I29" s="196"/>
      <c r="J29" s="196"/>
      <c r="K29" s="196"/>
    </row>
    <row r="30" spans="1:16" x14ac:dyDescent="0.25">
      <c r="B30" s="196"/>
      <c r="C30" s="196"/>
      <c r="D30" s="196"/>
      <c r="E30" s="196"/>
      <c r="F30" s="196"/>
      <c r="G30" s="196"/>
      <c r="H30" s="196"/>
      <c r="I30" s="196"/>
      <c r="J30" s="196"/>
      <c r="K30" s="196"/>
    </row>
    <row r="31" spans="1:16" ht="15" x14ac:dyDescent="0.3">
      <c r="B31" s="233" t="s">
        <v>127</v>
      </c>
      <c r="C31" s="196"/>
      <c r="D31" s="196"/>
      <c r="E31" s="196"/>
      <c r="F31" s="196"/>
      <c r="G31" s="196"/>
      <c r="H31" s="196"/>
      <c r="I31" s="196"/>
      <c r="J31" s="196"/>
      <c r="K31" s="196"/>
    </row>
    <row r="32" spans="1:16" x14ac:dyDescent="0.25">
      <c r="B32" s="234" t="s">
        <v>128</v>
      </c>
      <c r="C32" s="196"/>
      <c r="D32" s="196"/>
      <c r="E32" s="196"/>
      <c r="F32" s="196"/>
      <c r="G32" s="196"/>
      <c r="H32" s="196"/>
      <c r="I32" s="196"/>
      <c r="J32" s="196"/>
      <c r="K32" s="196"/>
    </row>
    <row r="33" spans="1:12" x14ac:dyDescent="0.25">
      <c r="B33" s="235"/>
      <c r="C33" s="196"/>
      <c r="D33" s="196"/>
      <c r="E33" s="196"/>
      <c r="F33" s="196"/>
      <c r="G33" s="196"/>
      <c r="H33" s="196"/>
      <c r="I33" s="196"/>
      <c r="J33" s="196"/>
      <c r="K33" s="196"/>
    </row>
    <row r="34" spans="1:12" ht="15" x14ac:dyDescent="0.3">
      <c r="B34" s="233" t="s">
        <v>28</v>
      </c>
      <c r="C34" s="196"/>
      <c r="D34" s="196"/>
      <c r="E34" s="196"/>
      <c r="F34" s="196"/>
      <c r="G34" s="196"/>
      <c r="H34" s="196"/>
      <c r="I34" s="196"/>
      <c r="J34" s="196"/>
      <c r="K34" s="196"/>
    </row>
    <row r="35" spans="1:12" x14ac:dyDescent="0.25">
      <c r="B35" s="234" t="s">
        <v>27</v>
      </c>
      <c r="C35" s="196"/>
      <c r="D35" s="196"/>
      <c r="E35" s="196"/>
      <c r="F35" s="196"/>
      <c r="G35" s="196"/>
      <c r="H35" s="196"/>
      <c r="I35" s="196"/>
      <c r="J35" s="196"/>
      <c r="K35" s="196"/>
    </row>
    <row r="36" spans="1:12" ht="16.5" x14ac:dyDescent="0.25">
      <c r="A36" s="4"/>
      <c r="L36" s="4"/>
    </row>
    <row r="37" spans="1:12" ht="15" customHeight="1" x14ac:dyDescent="0.25">
      <c r="B37" s="218" t="s">
        <v>23</v>
      </c>
      <c r="C37" s="218"/>
      <c r="D37" s="199"/>
      <c r="E37" s="218" t="s">
        <v>22</v>
      </c>
      <c r="F37" s="199"/>
      <c r="G37" s="84">
        <f>'SubLead-PackingMaterial'!G34</f>
        <v>2022</v>
      </c>
      <c r="H37" s="84">
        <f>'SubLead-PackingMaterial'!H34</f>
        <v>2021</v>
      </c>
      <c r="I37" s="84" t="s">
        <v>12</v>
      </c>
      <c r="J37" s="85" t="s">
        <v>12</v>
      </c>
      <c r="K37" s="220" t="s">
        <v>13</v>
      </c>
    </row>
    <row r="38" spans="1:12" ht="15" x14ac:dyDescent="0.25">
      <c r="A38" s="8"/>
      <c r="B38" s="218"/>
      <c r="C38" s="218"/>
      <c r="D38" s="199"/>
      <c r="E38" s="218"/>
      <c r="F38" s="199"/>
      <c r="G38" s="84" t="s">
        <v>31</v>
      </c>
      <c r="H38" s="84" t="s">
        <v>31</v>
      </c>
      <c r="I38" s="84" t="s">
        <v>31</v>
      </c>
      <c r="J38" s="85" t="s">
        <v>15</v>
      </c>
      <c r="K38" s="220"/>
      <c r="L38" s="8"/>
    </row>
    <row r="39" spans="1:12" ht="16.5" x14ac:dyDescent="0.25">
      <c r="B39" s="224"/>
      <c r="C39" s="224"/>
      <c r="D39" s="200"/>
      <c r="E39" s="90"/>
      <c r="G39" s="91"/>
      <c r="H39" s="92"/>
      <c r="I39" s="92"/>
      <c r="J39" s="93"/>
      <c r="K39" s="93"/>
    </row>
    <row r="40" spans="1:12" ht="16.5" x14ac:dyDescent="0.25">
      <c r="A40" s="8"/>
      <c r="B40" s="225" t="str">
        <f>Lead!B32</f>
        <v>Work in Process</v>
      </c>
      <c r="C40" s="225"/>
      <c r="D40" s="205"/>
      <c r="E40" s="68"/>
      <c r="F40" s="204"/>
      <c r="G40" s="69"/>
      <c r="H40" s="69"/>
      <c r="I40" s="69"/>
      <c r="J40" s="26"/>
      <c r="K40" s="26"/>
      <c r="L40" s="8"/>
    </row>
    <row r="41" spans="1:12" ht="16.5" x14ac:dyDescent="0.25">
      <c r="A41" s="8"/>
      <c r="B41" s="222" t="s">
        <v>32</v>
      </c>
      <c r="C41" s="222"/>
      <c r="D41" s="202"/>
      <c r="E41" s="68"/>
      <c r="F41" s="204"/>
      <c r="G41" s="69"/>
      <c r="H41" s="69"/>
      <c r="I41" s="69">
        <f t="shared" ref="I41:I43" si="0">G41-H41</f>
        <v>0</v>
      </c>
      <c r="J41" s="27" t="str">
        <f>IFERROR(I41/H41,"")</f>
        <v/>
      </c>
      <c r="K41" s="26"/>
      <c r="L41" s="8"/>
    </row>
    <row r="42" spans="1:12" ht="16.5" x14ac:dyDescent="0.25">
      <c r="A42" s="9"/>
      <c r="B42" s="222" t="s">
        <v>66</v>
      </c>
      <c r="C42" s="222"/>
      <c r="D42" s="202"/>
      <c r="E42" s="68"/>
      <c r="F42" s="204"/>
      <c r="G42" s="70"/>
      <c r="H42" s="69"/>
      <c r="I42" s="69">
        <f t="shared" si="0"/>
        <v>0</v>
      </c>
      <c r="J42" s="27" t="str">
        <f t="shared" ref="J42:J43" si="1">IFERROR(I42/H42,"")</f>
        <v/>
      </c>
      <c r="K42" s="26"/>
      <c r="L42" s="9"/>
    </row>
    <row r="43" spans="1:12" ht="16.5" x14ac:dyDescent="0.25">
      <c r="A43" s="9"/>
      <c r="B43" s="222" t="s">
        <v>93</v>
      </c>
      <c r="C43" s="222"/>
      <c r="D43" s="202"/>
      <c r="E43" s="68"/>
      <c r="F43" s="204"/>
      <c r="G43" s="69"/>
      <c r="H43" s="69"/>
      <c r="I43" s="69">
        <f t="shared" si="0"/>
        <v>0</v>
      </c>
      <c r="J43" s="27" t="str">
        <f t="shared" si="1"/>
        <v/>
      </c>
      <c r="K43" s="26"/>
      <c r="L43" s="9"/>
    </row>
    <row r="44" spans="1:12" ht="16.5" x14ac:dyDescent="0.25">
      <c r="A44" s="9"/>
      <c r="B44" s="222"/>
      <c r="C44" s="222"/>
      <c r="D44" s="202"/>
      <c r="E44" s="68"/>
      <c r="F44" s="204"/>
      <c r="G44" s="69"/>
      <c r="H44" s="69"/>
      <c r="I44" s="69"/>
      <c r="J44" s="26"/>
      <c r="K44" s="26"/>
      <c r="L44" s="9"/>
    </row>
    <row r="45" spans="1:12" ht="16.5" x14ac:dyDescent="0.25">
      <c r="A45" s="2"/>
      <c r="B45" s="223" t="s">
        <v>41</v>
      </c>
      <c r="C45" s="223"/>
      <c r="D45" s="203"/>
      <c r="E45" s="68"/>
      <c r="F45" s="204"/>
      <c r="G45" s="69">
        <f>SUM(G41:G44)</f>
        <v>0</v>
      </c>
      <c r="H45" s="69">
        <f>SUM(H41:H44)</f>
        <v>0</v>
      </c>
      <c r="I45" s="69">
        <f>SUM(I41:I44)</f>
        <v>0</v>
      </c>
      <c r="J45" s="26"/>
      <c r="K45" s="26"/>
      <c r="L45" s="2"/>
    </row>
    <row r="46" spans="1:12" ht="16.5" x14ac:dyDescent="0.25">
      <c r="A46" s="2"/>
      <c r="L46" s="2"/>
    </row>
    <row r="47" spans="1:12" x14ac:dyDescent="0.25">
      <c r="B47" s="196"/>
      <c r="C47" s="196"/>
      <c r="D47" s="196"/>
      <c r="E47" s="196"/>
      <c r="F47" s="196"/>
      <c r="G47" s="196"/>
      <c r="H47" s="196"/>
      <c r="I47" s="196"/>
      <c r="J47" s="196"/>
      <c r="K47" s="196"/>
    </row>
    <row r="48" spans="1:12" ht="14.25" hidden="1" customHeight="1" x14ac:dyDescent="0.25">
      <c r="B48" s="196"/>
      <c r="C48" s="196"/>
      <c r="D48" s="196"/>
      <c r="E48" s="196"/>
      <c r="F48" s="196"/>
      <c r="G48" s="196"/>
      <c r="H48" s="196"/>
      <c r="I48" s="196"/>
      <c r="J48" s="196"/>
      <c r="K48" s="196"/>
    </row>
    <row r="49" ht="16.5" hidden="1" customHeight="1" x14ac:dyDescent="0.25"/>
    <row r="50" ht="16.5" hidden="1" customHeight="1" x14ac:dyDescent="0.25"/>
    <row r="51" ht="16.5" hidden="1" customHeight="1" x14ac:dyDescent="0.25"/>
    <row r="52" ht="16.5" hidden="1" customHeight="1" x14ac:dyDescent="0.25"/>
    <row r="53" ht="16.5" hidden="1" customHeight="1" x14ac:dyDescent="0.25"/>
    <row r="54" ht="16.5" hidden="1" customHeight="1" x14ac:dyDescent="0.25"/>
    <row r="55" ht="16.5" hidden="1" customHeight="1" x14ac:dyDescent="0.25"/>
    <row r="56" ht="16.5" hidden="1" customHeight="1" x14ac:dyDescent="0.25"/>
    <row r="57" ht="16.5" hidden="1" customHeight="1" x14ac:dyDescent="0.25"/>
    <row r="58" ht="16.5" hidden="1" customHeight="1" x14ac:dyDescent="0.25"/>
    <row r="59" ht="16.5" hidden="1" customHeight="1" x14ac:dyDescent="0.25"/>
    <row r="60" ht="16.5" hidden="1" customHeight="1" x14ac:dyDescent="0.25"/>
    <row r="61" ht="16.5" hidden="1" customHeight="1" x14ac:dyDescent="0.25"/>
    <row r="62" ht="16.5" hidden="1" customHeight="1" x14ac:dyDescent="0.25"/>
    <row r="63" ht="16.5" hidden="1" customHeight="1" x14ac:dyDescent="0.25"/>
    <row r="64" ht="16.5" hidden="1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</sheetData>
  <mergeCells count="10">
    <mergeCell ref="B43:C43"/>
    <mergeCell ref="B44:C44"/>
    <mergeCell ref="B45:C45"/>
    <mergeCell ref="B37:C38"/>
    <mergeCell ref="E37:E38"/>
    <mergeCell ref="K37:K38"/>
    <mergeCell ref="B41:C41"/>
    <mergeCell ref="B42:C42"/>
    <mergeCell ref="B40:C40"/>
    <mergeCell ref="B39:C39"/>
  </mergeCells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86"/>
  <sheetViews>
    <sheetView showGridLines="0" topLeftCell="A22" zoomScaleNormal="100" zoomScaleSheetLayoutView="100" workbookViewId="0">
      <selection activeCell="B31" sqref="B31:B35"/>
    </sheetView>
  </sheetViews>
  <sheetFormatPr defaultColWidth="0" defaultRowHeight="14.25" customHeight="1" zeroHeight="1" x14ac:dyDescent="0.25"/>
  <cols>
    <col min="1" max="1" width="1" style="6" customWidth="1"/>
    <col min="2" max="2" width="12" style="61" customWidth="1"/>
    <col min="3" max="3" width="33" style="61" customWidth="1"/>
    <col min="4" max="4" width="2.7109375" style="61" customWidth="1"/>
    <col min="5" max="5" width="11.7109375" style="61" customWidth="1"/>
    <col min="6" max="6" width="2.7109375" style="61" customWidth="1"/>
    <col min="7" max="9" width="14.42578125" style="61" customWidth="1"/>
    <col min="10" max="10" width="14.42578125" style="2" customWidth="1"/>
    <col min="11" max="11" width="21.7109375" style="2" customWidth="1"/>
    <col min="12" max="12" width="1" style="6" customWidth="1"/>
    <col min="13" max="16384" width="9.140625" style="2" hidden="1"/>
  </cols>
  <sheetData>
    <row r="1" spans="1:16" s="3" customFormat="1" ht="16.5" x14ac:dyDescent="0.25">
      <c r="A1" s="5"/>
      <c r="B1" s="123" t="str">
        <f>Index!$B$1</f>
        <v>ABC &amp; Co.</v>
      </c>
      <c r="C1" s="124"/>
      <c r="D1" s="124"/>
      <c r="E1" s="63"/>
      <c r="F1" s="63"/>
      <c r="G1" s="64"/>
      <c r="H1" s="63"/>
      <c r="I1" s="63"/>
      <c r="J1" s="5"/>
      <c r="K1" s="16" t="str">
        <f>Index!E16</f>
        <v>BS.08 - 3</v>
      </c>
    </row>
    <row r="2" spans="1:16" s="3" customFormat="1" ht="15.75" x14ac:dyDescent="0.25">
      <c r="A2" s="5"/>
      <c r="B2" s="124" t="str">
        <f>Index!$B$2</f>
        <v>(Chartered Accountants)</v>
      </c>
      <c r="C2" s="124"/>
      <c r="D2" s="124"/>
      <c r="E2" s="65"/>
      <c r="F2" s="65"/>
      <c r="G2" s="66"/>
      <c r="H2" s="63"/>
      <c r="I2" s="63"/>
      <c r="J2" s="5"/>
    </row>
    <row r="3" spans="1:16" ht="16.5" x14ac:dyDescent="0.25">
      <c r="A3" s="4"/>
      <c r="B3" s="124"/>
      <c r="C3" s="124"/>
      <c r="D3" s="124"/>
      <c r="L3" s="4"/>
    </row>
    <row r="4" spans="1:16" s="1" customFormat="1" ht="16.5" x14ac:dyDescent="0.3">
      <c r="A4" s="6"/>
      <c r="B4" s="106" t="str">
        <f>Index!$B$4</f>
        <v xml:space="preserve">Client: </v>
      </c>
      <c r="C4" s="129" t="str">
        <f>Index!$C$4</f>
        <v>ABC Limited</v>
      </c>
      <c r="D4" s="130"/>
      <c r="E4" s="32"/>
      <c r="F4" s="32"/>
      <c r="G4" s="32"/>
      <c r="H4" s="32"/>
      <c r="I4" s="32"/>
      <c r="J4" s="109" t="str">
        <f>Index!$G$4</f>
        <v>Prepared by:</v>
      </c>
      <c r="K4" s="110" t="str">
        <f>IF(Index!$H$4="","",Index!$H$4)</f>
        <v/>
      </c>
      <c r="L4" s="6"/>
    </row>
    <row r="5" spans="1:16" s="1" customFormat="1" ht="16.5" x14ac:dyDescent="0.3">
      <c r="A5" s="4"/>
      <c r="B5" s="106" t="str">
        <f>Index!$B$5</f>
        <v>Period:</v>
      </c>
      <c r="C5" s="129" t="str">
        <f>Index!$C$5</f>
        <v>Year ended June 30, 2023</v>
      </c>
      <c r="D5" s="130"/>
      <c r="E5" s="32"/>
      <c r="F5" s="32"/>
      <c r="G5" s="32"/>
      <c r="H5" s="32"/>
      <c r="I5" s="32"/>
      <c r="J5" s="109" t="str">
        <f>Index!$G$5</f>
        <v>Date prepared:</v>
      </c>
      <c r="K5" s="111" t="str">
        <f>IF(Index!$H$5="","",Index!$H$5)</f>
        <v/>
      </c>
      <c r="L5" s="4"/>
    </row>
    <row r="6" spans="1:16" s="1" customFormat="1" ht="16.5" x14ac:dyDescent="0.3">
      <c r="A6" s="4"/>
      <c r="B6" s="106" t="str">
        <f>Index!$B$6</f>
        <v>Head:</v>
      </c>
      <c r="C6" s="130" t="str">
        <f>Index!$C$6</f>
        <v>Stock in Trade</v>
      </c>
      <c r="D6" s="130"/>
      <c r="E6" s="32"/>
      <c r="F6" s="32"/>
      <c r="G6" s="32"/>
      <c r="H6" s="32"/>
      <c r="I6" s="32"/>
      <c r="J6" s="109" t="str">
        <f>Index!$G$6</f>
        <v>Reviewed by:</v>
      </c>
      <c r="K6" s="112" t="str">
        <f>IF(Index!$H$6="","",Index!$H$6)</f>
        <v/>
      </c>
      <c r="L6" s="4"/>
    </row>
    <row r="7" spans="1:16" s="1" customFormat="1" ht="16.5" x14ac:dyDescent="0.3">
      <c r="A7" s="4"/>
      <c r="B7" s="77"/>
      <c r="C7" s="37"/>
      <c r="D7" s="122"/>
      <c r="E7" s="32"/>
      <c r="F7" s="32"/>
      <c r="G7" s="32"/>
      <c r="H7" s="32"/>
      <c r="I7" s="32"/>
      <c r="J7" s="109" t="str">
        <f>Index!$G$7</f>
        <v>Date reviewed:</v>
      </c>
      <c r="K7" s="111" t="str">
        <f>IF(Index!$H$7="","",Index!$H$7)</f>
        <v/>
      </c>
      <c r="L7" s="4"/>
    </row>
    <row r="8" spans="1:16" x14ac:dyDescent="0.25">
      <c r="B8" s="206" t="s">
        <v>16</v>
      </c>
      <c r="C8" s="7"/>
      <c r="D8" s="7"/>
      <c r="E8" s="7"/>
      <c r="F8" s="7"/>
      <c r="G8" s="7"/>
      <c r="H8" s="7"/>
      <c r="I8" s="7"/>
      <c r="J8" s="7"/>
      <c r="K8" s="7"/>
    </row>
    <row r="9" spans="1:16" x14ac:dyDescent="0.25">
      <c r="A9" s="2"/>
      <c r="B9" s="7" t="s">
        <v>19</v>
      </c>
      <c r="C9" s="7"/>
      <c r="D9" s="7"/>
      <c r="E9" s="7"/>
      <c r="F9" s="7"/>
      <c r="G9" s="7"/>
      <c r="H9" s="7"/>
      <c r="I9" s="7"/>
      <c r="J9" s="7"/>
      <c r="K9" s="7"/>
      <c r="L9" s="2"/>
    </row>
    <row r="10" spans="1:16" x14ac:dyDescent="0.25">
      <c r="A10" s="2"/>
      <c r="B10" s="195" t="s">
        <v>71</v>
      </c>
      <c r="C10" s="195"/>
      <c r="D10" s="195"/>
      <c r="E10" s="195"/>
      <c r="F10" s="195"/>
      <c r="G10" s="195"/>
      <c r="H10" s="195"/>
      <c r="I10" s="195"/>
      <c r="J10" s="195"/>
      <c r="K10" s="195"/>
      <c r="L10" s="2"/>
    </row>
    <row r="11" spans="1:16" x14ac:dyDescent="0.25">
      <c r="A11" s="2"/>
      <c r="B11" s="196" t="s">
        <v>103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1"/>
      <c r="M11" s="11"/>
      <c r="N11" s="11"/>
      <c r="O11" s="11"/>
      <c r="P11" s="11"/>
    </row>
    <row r="12" spans="1:16" ht="14.25" customHeight="1" x14ac:dyDescent="0.25">
      <c r="A12" s="2"/>
      <c r="B12" s="196" t="s">
        <v>70</v>
      </c>
      <c r="C12" s="196"/>
      <c r="D12" s="196"/>
      <c r="E12" s="196"/>
      <c r="F12" s="196"/>
      <c r="G12" s="196"/>
      <c r="H12" s="196"/>
      <c r="I12" s="196"/>
      <c r="J12" s="196"/>
      <c r="K12" s="196"/>
      <c r="L12" s="12"/>
      <c r="M12" s="12"/>
      <c r="N12" s="12"/>
      <c r="O12" s="12"/>
      <c r="P12" s="12"/>
    </row>
    <row r="13" spans="1:16" ht="14.25" customHeight="1" x14ac:dyDescent="0.25">
      <c r="A13" s="2"/>
      <c r="B13" s="196"/>
      <c r="C13" s="196"/>
      <c r="D13" s="196"/>
      <c r="E13" s="196"/>
      <c r="F13" s="196"/>
      <c r="G13" s="196"/>
      <c r="H13" s="196"/>
      <c r="I13" s="196"/>
      <c r="J13" s="196"/>
      <c r="K13" s="196"/>
      <c r="L13" s="10"/>
      <c r="M13" s="10"/>
      <c r="N13" s="10"/>
      <c r="O13" s="10"/>
      <c r="P13" s="10"/>
    </row>
    <row r="14" spans="1:16" ht="14.25" customHeight="1" x14ac:dyDescent="0.25">
      <c r="A14" s="2"/>
      <c r="B14" s="195" t="s">
        <v>72</v>
      </c>
      <c r="C14" s="195"/>
      <c r="D14" s="195"/>
      <c r="E14" s="195"/>
      <c r="F14" s="195"/>
      <c r="G14" s="195"/>
      <c r="H14" s="195"/>
      <c r="I14" s="195"/>
      <c r="J14" s="195"/>
      <c r="K14" s="195"/>
      <c r="L14" s="10"/>
      <c r="M14" s="10"/>
      <c r="N14" s="10"/>
      <c r="O14" s="10"/>
      <c r="P14" s="10"/>
    </row>
    <row r="15" spans="1:16" ht="14.25" customHeight="1" x14ac:dyDescent="0.25">
      <c r="A15" s="2"/>
      <c r="B15" s="196" t="s">
        <v>119</v>
      </c>
      <c r="C15" s="78"/>
      <c r="D15" s="78"/>
      <c r="E15" s="78"/>
      <c r="F15" s="78"/>
      <c r="G15" s="78"/>
      <c r="H15" s="78"/>
      <c r="I15" s="78"/>
      <c r="J15" s="78"/>
      <c r="K15" s="78"/>
      <c r="L15" s="10"/>
      <c r="M15" s="10"/>
      <c r="N15" s="10"/>
      <c r="O15" s="10"/>
      <c r="P15" s="10"/>
    </row>
    <row r="16" spans="1:16" ht="14.25" customHeight="1" x14ac:dyDescent="0.25">
      <c r="A16" s="2"/>
      <c r="B16" s="196" t="s">
        <v>122</v>
      </c>
      <c r="C16" s="196"/>
      <c r="D16" s="196"/>
      <c r="E16" s="196"/>
      <c r="F16" s="196"/>
      <c r="G16" s="196"/>
      <c r="H16" s="196"/>
      <c r="I16" s="196"/>
      <c r="J16" s="196"/>
      <c r="K16" s="196"/>
      <c r="L16" s="12"/>
      <c r="M16" s="12"/>
      <c r="N16" s="12"/>
      <c r="O16" s="12"/>
      <c r="P16" s="12"/>
    </row>
    <row r="17" spans="2:16" x14ac:dyDescent="0.25">
      <c r="B17" s="196" t="s">
        <v>123</v>
      </c>
      <c r="C17" s="196"/>
      <c r="D17" s="196"/>
      <c r="E17" s="196"/>
      <c r="F17" s="196"/>
      <c r="G17" s="196"/>
      <c r="H17" s="196"/>
      <c r="I17" s="196"/>
      <c r="J17" s="196"/>
      <c r="K17" s="196"/>
    </row>
    <row r="18" spans="2:16" ht="14.25" customHeight="1" x14ac:dyDescent="0.25">
      <c r="B18" s="196" t="s">
        <v>94</v>
      </c>
      <c r="C18" s="196"/>
      <c r="D18" s="196"/>
      <c r="E18" s="196"/>
      <c r="F18" s="196"/>
      <c r="G18" s="196"/>
      <c r="H18" s="196"/>
      <c r="I18" s="196"/>
      <c r="J18" s="196"/>
      <c r="K18" s="196"/>
    </row>
    <row r="19" spans="2:16" ht="14.25" customHeight="1" x14ac:dyDescent="0.25">
      <c r="B19" s="196" t="s">
        <v>95</v>
      </c>
      <c r="C19" s="196"/>
      <c r="D19" s="196"/>
      <c r="E19" s="196"/>
      <c r="F19" s="196"/>
      <c r="G19" s="196"/>
      <c r="H19" s="196"/>
      <c r="I19" s="196"/>
      <c r="J19" s="196"/>
      <c r="K19" s="196"/>
    </row>
    <row r="20" spans="2:16" x14ac:dyDescent="0.25">
      <c r="B20" s="196" t="s">
        <v>73</v>
      </c>
      <c r="C20" s="196"/>
      <c r="D20" s="196"/>
      <c r="E20" s="196"/>
      <c r="F20" s="196"/>
      <c r="G20" s="196"/>
      <c r="H20" s="196"/>
      <c r="I20" s="196"/>
      <c r="J20" s="196"/>
      <c r="K20" s="196"/>
    </row>
    <row r="21" spans="2:16" s="6" customFormat="1" x14ac:dyDescent="0.25">
      <c r="B21" s="196" t="s">
        <v>74</v>
      </c>
      <c r="C21" s="196"/>
      <c r="D21" s="196"/>
      <c r="E21" s="196"/>
      <c r="F21" s="196"/>
      <c r="G21" s="196"/>
      <c r="H21" s="196"/>
      <c r="I21" s="196"/>
      <c r="J21" s="196"/>
      <c r="K21" s="196"/>
      <c r="M21" s="2"/>
      <c r="N21" s="2"/>
      <c r="O21" s="2"/>
      <c r="P21" s="2"/>
    </row>
    <row r="22" spans="2:16" s="6" customFormat="1" x14ac:dyDescent="0.25">
      <c r="B22" s="196" t="s">
        <v>75</v>
      </c>
      <c r="C22" s="196"/>
      <c r="D22" s="196"/>
      <c r="E22" s="196"/>
      <c r="F22" s="196"/>
      <c r="G22" s="196"/>
      <c r="H22" s="196"/>
      <c r="I22" s="196"/>
      <c r="J22" s="196"/>
      <c r="K22" s="196"/>
      <c r="M22" s="2"/>
      <c r="N22" s="2"/>
      <c r="O22" s="2"/>
      <c r="P22" s="2"/>
    </row>
    <row r="23" spans="2:16" s="6" customFormat="1" x14ac:dyDescent="0.25">
      <c r="B23" s="196" t="s">
        <v>76</v>
      </c>
      <c r="C23" s="196"/>
      <c r="D23" s="196"/>
      <c r="E23" s="196"/>
      <c r="F23" s="196"/>
      <c r="G23" s="196"/>
      <c r="H23" s="196"/>
      <c r="I23" s="196"/>
      <c r="J23" s="196"/>
      <c r="K23" s="196"/>
      <c r="M23" s="2"/>
      <c r="N23" s="2"/>
      <c r="O23" s="2"/>
      <c r="P23" s="2"/>
    </row>
    <row r="24" spans="2:16" s="6" customFormat="1" x14ac:dyDescent="0.25">
      <c r="B24" s="196" t="s">
        <v>77</v>
      </c>
      <c r="C24" s="196"/>
      <c r="D24" s="196"/>
      <c r="E24" s="196"/>
      <c r="F24" s="196"/>
      <c r="G24" s="196"/>
      <c r="H24" s="196"/>
      <c r="I24" s="196"/>
      <c r="J24" s="196"/>
      <c r="K24" s="196"/>
      <c r="M24" s="2"/>
      <c r="N24" s="2"/>
      <c r="O24" s="2"/>
      <c r="P24" s="2"/>
    </row>
    <row r="25" spans="2:16" s="6" customFormat="1" x14ac:dyDescent="0.25">
      <c r="B25" s="196" t="s">
        <v>100</v>
      </c>
      <c r="C25" s="196"/>
      <c r="D25" s="196"/>
      <c r="E25" s="196"/>
      <c r="F25" s="196"/>
      <c r="G25" s="196"/>
      <c r="H25" s="196"/>
      <c r="I25" s="196"/>
      <c r="J25" s="196"/>
      <c r="K25" s="196"/>
      <c r="M25" s="2"/>
      <c r="N25" s="2"/>
      <c r="O25" s="2"/>
      <c r="P25" s="2"/>
    </row>
    <row r="26" spans="2:16" s="6" customFormat="1" x14ac:dyDescent="0.25">
      <c r="B26" s="196" t="s">
        <v>107</v>
      </c>
      <c r="C26" s="196"/>
      <c r="D26" s="196"/>
      <c r="E26" s="196"/>
      <c r="F26" s="196"/>
      <c r="G26" s="196"/>
      <c r="H26" s="196"/>
      <c r="I26" s="196"/>
      <c r="J26" s="196"/>
      <c r="K26" s="196"/>
      <c r="M26" s="2"/>
      <c r="N26" s="2"/>
      <c r="O26" s="2"/>
      <c r="P26" s="2"/>
    </row>
    <row r="27" spans="2:16" s="6" customFormat="1" x14ac:dyDescent="0.25">
      <c r="B27" s="196" t="s">
        <v>99</v>
      </c>
      <c r="C27" s="196"/>
      <c r="D27" s="196"/>
      <c r="E27" s="196"/>
      <c r="F27" s="196"/>
      <c r="G27" s="196"/>
      <c r="H27" s="196"/>
      <c r="I27" s="196"/>
      <c r="J27" s="196"/>
      <c r="K27" s="196"/>
      <c r="M27" s="2"/>
      <c r="N27" s="2"/>
      <c r="O27" s="2"/>
      <c r="P27" s="2"/>
    </row>
    <row r="28" spans="2:16" s="6" customFormat="1" x14ac:dyDescent="0.25">
      <c r="B28" s="196" t="s">
        <v>104</v>
      </c>
      <c r="C28" s="196"/>
      <c r="D28" s="196"/>
      <c r="E28" s="196"/>
      <c r="F28" s="196"/>
      <c r="G28" s="196"/>
      <c r="H28" s="196"/>
      <c r="I28" s="196"/>
      <c r="J28" s="196"/>
      <c r="K28" s="196"/>
      <c r="M28" s="2"/>
      <c r="N28" s="2"/>
      <c r="O28" s="2"/>
      <c r="P28" s="2"/>
    </row>
    <row r="29" spans="2:16" s="6" customFormat="1" x14ac:dyDescent="0.25">
      <c r="B29" s="196" t="s">
        <v>108</v>
      </c>
      <c r="C29" s="196"/>
      <c r="D29" s="196"/>
      <c r="E29" s="196"/>
      <c r="F29" s="196"/>
      <c r="G29" s="196"/>
      <c r="H29" s="196"/>
      <c r="I29" s="196"/>
      <c r="J29" s="196"/>
      <c r="K29" s="196"/>
      <c r="M29" s="2"/>
      <c r="N29" s="2"/>
      <c r="O29" s="2"/>
      <c r="P29" s="2"/>
    </row>
    <row r="30" spans="2:16" s="6" customFormat="1" x14ac:dyDescent="0.25">
      <c r="B30" s="196"/>
      <c r="C30" s="196"/>
      <c r="D30" s="196"/>
      <c r="E30" s="196"/>
      <c r="F30" s="196"/>
      <c r="G30" s="196"/>
      <c r="H30" s="196"/>
      <c r="I30" s="196"/>
      <c r="J30" s="196"/>
      <c r="K30" s="196"/>
      <c r="M30" s="2"/>
      <c r="N30" s="2"/>
      <c r="O30" s="2"/>
      <c r="P30" s="2"/>
    </row>
    <row r="31" spans="2:16" s="6" customFormat="1" ht="15" x14ac:dyDescent="0.3">
      <c r="B31" s="233" t="s">
        <v>127</v>
      </c>
      <c r="C31" s="196"/>
      <c r="D31" s="196"/>
      <c r="E31" s="196"/>
      <c r="F31" s="196"/>
      <c r="G31" s="196"/>
      <c r="H31" s="196"/>
      <c r="I31" s="196"/>
      <c r="J31" s="196"/>
      <c r="K31" s="196"/>
      <c r="M31" s="2"/>
      <c r="N31" s="2"/>
      <c r="O31" s="2"/>
      <c r="P31" s="2"/>
    </row>
    <row r="32" spans="2:16" s="6" customFormat="1" x14ac:dyDescent="0.25">
      <c r="B32" s="234" t="s">
        <v>128</v>
      </c>
      <c r="C32" s="196"/>
      <c r="D32" s="196"/>
      <c r="E32" s="196"/>
      <c r="F32" s="196"/>
      <c r="G32" s="196"/>
      <c r="H32" s="196"/>
      <c r="I32" s="196"/>
      <c r="J32" s="196"/>
      <c r="K32" s="196"/>
      <c r="M32" s="2"/>
      <c r="N32" s="2"/>
      <c r="O32" s="2"/>
      <c r="P32" s="2"/>
    </row>
    <row r="33" spans="1:16" s="6" customFormat="1" x14ac:dyDescent="0.25">
      <c r="B33" s="235"/>
      <c r="C33" s="196"/>
      <c r="D33" s="196"/>
      <c r="E33" s="196"/>
      <c r="F33" s="196"/>
      <c r="G33" s="196"/>
      <c r="H33" s="196"/>
      <c r="I33" s="196"/>
      <c r="J33" s="196"/>
      <c r="K33" s="196"/>
      <c r="M33" s="2"/>
      <c r="N33" s="2"/>
      <c r="O33" s="2"/>
      <c r="P33" s="2"/>
    </row>
    <row r="34" spans="1:16" s="6" customFormat="1" ht="15" x14ac:dyDescent="0.3">
      <c r="B34" s="233" t="s">
        <v>28</v>
      </c>
      <c r="C34" s="196"/>
      <c r="D34" s="196"/>
      <c r="E34" s="196"/>
      <c r="F34" s="196"/>
      <c r="G34" s="196"/>
      <c r="H34" s="196"/>
      <c r="I34" s="196"/>
      <c r="J34" s="196"/>
      <c r="K34" s="196"/>
      <c r="M34" s="2"/>
      <c r="N34" s="2"/>
      <c r="O34" s="2"/>
      <c r="P34" s="2"/>
    </row>
    <row r="35" spans="1:16" s="6" customFormat="1" x14ac:dyDescent="0.25">
      <c r="B35" s="234" t="s">
        <v>27</v>
      </c>
      <c r="C35" s="196"/>
      <c r="D35" s="196"/>
      <c r="E35" s="196"/>
      <c r="F35" s="196"/>
      <c r="G35" s="196"/>
      <c r="H35" s="196"/>
      <c r="I35" s="196"/>
      <c r="J35" s="196"/>
      <c r="K35" s="196"/>
      <c r="M35" s="2"/>
      <c r="N35" s="2"/>
      <c r="O35" s="2"/>
      <c r="P35" s="2"/>
    </row>
    <row r="36" spans="1:16" ht="16.5" x14ac:dyDescent="0.25">
      <c r="A36" s="4"/>
      <c r="B36" s="61" t="s">
        <v>3</v>
      </c>
      <c r="L36" s="4"/>
    </row>
    <row r="37" spans="1:16" ht="15" customHeight="1" x14ac:dyDescent="0.25">
      <c r="B37" s="218" t="s">
        <v>23</v>
      </c>
      <c r="C37" s="218"/>
      <c r="D37" s="199"/>
      <c r="E37" s="218" t="s">
        <v>22</v>
      </c>
      <c r="F37" s="199"/>
      <c r="G37" s="84">
        <f>Lead!G26</f>
        <v>2022</v>
      </c>
      <c r="H37" s="84">
        <f>Lead!H26</f>
        <v>2021</v>
      </c>
      <c r="I37" s="84" t="s">
        <v>12</v>
      </c>
      <c r="J37" s="85" t="s">
        <v>12</v>
      </c>
      <c r="K37" s="220" t="s">
        <v>13</v>
      </c>
    </row>
    <row r="38" spans="1:16" ht="15" x14ac:dyDescent="0.25">
      <c r="A38" s="8"/>
      <c r="B38" s="218"/>
      <c r="C38" s="218"/>
      <c r="D38" s="199"/>
      <c r="E38" s="218"/>
      <c r="F38" s="199"/>
      <c r="G38" s="84" t="s">
        <v>31</v>
      </c>
      <c r="H38" s="84" t="s">
        <v>31</v>
      </c>
      <c r="I38" s="84" t="s">
        <v>31</v>
      </c>
      <c r="J38" s="85" t="s">
        <v>15</v>
      </c>
      <c r="K38" s="220"/>
      <c r="L38" s="8"/>
    </row>
    <row r="39" spans="1:16" ht="16.5" x14ac:dyDescent="0.25">
      <c r="B39" s="90"/>
      <c r="C39" s="90"/>
      <c r="E39" s="90"/>
      <c r="G39" s="91"/>
      <c r="H39" s="92"/>
      <c r="I39" s="92"/>
      <c r="J39" s="93"/>
      <c r="K39" s="93"/>
    </row>
    <row r="40" spans="1:16" ht="16.5" x14ac:dyDescent="0.25">
      <c r="A40" s="8"/>
      <c r="B40" s="225" t="str">
        <f>Lead!B33</f>
        <v>Finished Goods</v>
      </c>
      <c r="C40" s="225"/>
      <c r="D40" s="205"/>
      <c r="E40" s="68"/>
      <c r="F40" s="204"/>
      <c r="G40" s="69"/>
      <c r="H40" s="69"/>
      <c r="I40" s="69"/>
      <c r="J40" s="26"/>
      <c r="K40" s="26"/>
      <c r="L40" s="8"/>
    </row>
    <row r="41" spans="1:16" ht="16.5" x14ac:dyDescent="0.25">
      <c r="A41" s="8"/>
      <c r="B41" s="222" t="s">
        <v>32</v>
      </c>
      <c r="C41" s="222"/>
      <c r="D41" s="202"/>
      <c r="E41" s="68"/>
      <c r="F41" s="204"/>
      <c r="G41" s="69"/>
      <c r="H41" s="69"/>
      <c r="I41" s="69">
        <f t="shared" ref="I41:I43" si="0">G41-H41</f>
        <v>0</v>
      </c>
      <c r="J41" s="27" t="str">
        <f>IFERROR(I41/H41,"")</f>
        <v/>
      </c>
      <c r="K41" s="26"/>
      <c r="L41" s="8"/>
    </row>
    <row r="42" spans="1:16" ht="16.5" x14ac:dyDescent="0.25">
      <c r="A42" s="9"/>
      <c r="B42" s="222" t="s">
        <v>101</v>
      </c>
      <c r="C42" s="222"/>
      <c r="D42" s="202"/>
      <c r="E42" s="68"/>
      <c r="F42" s="204"/>
      <c r="G42" s="70"/>
      <c r="H42" s="69"/>
      <c r="I42" s="69">
        <f t="shared" si="0"/>
        <v>0</v>
      </c>
      <c r="J42" s="27" t="str">
        <f t="shared" ref="J42:J43" si="1">IFERROR(I42/H42,"")</f>
        <v/>
      </c>
      <c r="K42" s="26"/>
      <c r="L42" s="9"/>
    </row>
    <row r="43" spans="1:16" ht="16.5" x14ac:dyDescent="0.25">
      <c r="A43" s="9"/>
      <c r="B43" s="222" t="s">
        <v>102</v>
      </c>
      <c r="C43" s="222"/>
      <c r="D43" s="202"/>
      <c r="E43" s="68"/>
      <c r="F43" s="204"/>
      <c r="G43" s="69"/>
      <c r="H43" s="69"/>
      <c r="I43" s="69">
        <f t="shared" si="0"/>
        <v>0</v>
      </c>
      <c r="J43" s="27" t="str">
        <f t="shared" si="1"/>
        <v/>
      </c>
      <c r="K43" s="26"/>
      <c r="L43" s="9"/>
    </row>
    <row r="44" spans="1:16" ht="16.5" x14ac:dyDescent="0.25">
      <c r="A44" s="9"/>
      <c r="B44" s="222"/>
      <c r="C44" s="222"/>
      <c r="D44" s="202"/>
      <c r="E44" s="68"/>
      <c r="F44" s="204"/>
      <c r="G44" s="69"/>
      <c r="H44" s="69"/>
      <c r="I44" s="69"/>
      <c r="J44" s="26"/>
      <c r="K44" s="26"/>
      <c r="L44" s="9"/>
    </row>
    <row r="45" spans="1:16" ht="16.5" x14ac:dyDescent="0.25">
      <c r="A45" s="2"/>
      <c r="B45" s="223" t="s">
        <v>41</v>
      </c>
      <c r="C45" s="223"/>
      <c r="D45" s="203"/>
      <c r="E45" s="68"/>
      <c r="F45" s="204"/>
      <c r="G45" s="69">
        <f>SUM(G41:G44)</f>
        <v>0</v>
      </c>
      <c r="H45" s="69">
        <f>SUM(H41:H44)</f>
        <v>0</v>
      </c>
      <c r="I45" s="69">
        <f>SUM(I41:I44)</f>
        <v>0</v>
      </c>
      <c r="J45" s="26"/>
      <c r="K45" s="26"/>
      <c r="L45" s="2"/>
    </row>
    <row r="46" spans="1:16" ht="16.5" x14ac:dyDescent="0.25">
      <c r="A46" s="2"/>
      <c r="L46" s="2"/>
    </row>
    <row r="47" spans="1:16" s="6" customFormat="1" x14ac:dyDescent="0.25"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M47" s="2"/>
      <c r="N47" s="2"/>
      <c r="O47" s="2"/>
      <c r="P47" s="2"/>
    </row>
    <row r="48" spans="1:16" s="6" customFormat="1" ht="14.25" hidden="1" customHeight="1" x14ac:dyDescent="0.25"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M48" s="2"/>
      <c r="N48" s="2"/>
      <c r="O48" s="2"/>
      <c r="P48" s="2"/>
    </row>
    <row r="49" spans="2:16" s="6" customFormat="1" ht="16.5" hidden="1" customHeight="1" x14ac:dyDescent="0.25">
      <c r="B49" s="61"/>
      <c r="C49" s="61"/>
      <c r="D49" s="61"/>
      <c r="E49" s="61"/>
      <c r="F49" s="61"/>
      <c r="G49" s="61"/>
      <c r="H49" s="61"/>
      <c r="I49" s="61"/>
      <c r="J49" s="2"/>
      <c r="K49" s="2"/>
      <c r="M49" s="2"/>
      <c r="N49" s="2"/>
      <c r="O49" s="2"/>
      <c r="P49" s="2"/>
    </row>
    <row r="50" spans="2:16" s="6" customFormat="1" ht="16.5" hidden="1" customHeight="1" x14ac:dyDescent="0.25">
      <c r="B50" s="61"/>
      <c r="C50" s="61"/>
      <c r="D50" s="61"/>
      <c r="E50" s="61"/>
      <c r="F50" s="61"/>
      <c r="G50" s="61"/>
      <c r="H50" s="61"/>
      <c r="I50" s="61"/>
      <c r="J50" s="2"/>
      <c r="K50" s="2"/>
      <c r="M50" s="2"/>
      <c r="N50" s="2"/>
      <c r="O50" s="2"/>
      <c r="P50" s="2"/>
    </row>
    <row r="51" spans="2:16" s="6" customFormat="1" ht="16.5" hidden="1" customHeight="1" x14ac:dyDescent="0.25">
      <c r="B51" s="61"/>
      <c r="C51" s="61"/>
      <c r="D51" s="61"/>
      <c r="E51" s="61"/>
      <c r="F51" s="61"/>
      <c r="G51" s="61"/>
      <c r="H51" s="61"/>
      <c r="I51" s="61"/>
      <c r="J51" s="2"/>
      <c r="K51" s="2"/>
      <c r="M51" s="2"/>
      <c r="N51" s="2"/>
      <c r="O51" s="2"/>
      <c r="P51" s="2"/>
    </row>
    <row r="52" spans="2:16" s="6" customFormat="1" ht="16.5" hidden="1" customHeight="1" x14ac:dyDescent="0.25">
      <c r="B52" s="61"/>
      <c r="C52" s="61"/>
      <c r="D52" s="61"/>
      <c r="E52" s="61"/>
      <c r="F52" s="61"/>
      <c r="G52" s="61"/>
      <c r="H52" s="61"/>
      <c r="I52" s="61"/>
      <c r="J52" s="2"/>
      <c r="K52" s="2"/>
      <c r="M52" s="2"/>
      <c r="N52" s="2"/>
      <c r="O52" s="2"/>
      <c r="P52" s="2"/>
    </row>
    <row r="53" spans="2:16" s="6" customFormat="1" ht="16.5" hidden="1" customHeight="1" x14ac:dyDescent="0.25">
      <c r="B53" s="61"/>
      <c r="C53" s="61"/>
      <c r="D53" s="61"/>
      <c r="E53" s="61"/>
      <c r="F53" s="61"/>
      <c r="G53" s="61"/>
      <c r="H53" s="61"/>
      <c r="I53" s="61"/>
      <c r="J53" s="2"/>
      <c r="K53" s="2"/>
      <c r="M53" s="2"/>
      <c r="N53" s="2"/>
      <c r="O53" s="2"/>
      <c r="P53" s="2"/>
    </row>
    <row r="54" spans="2:16" s="6" customFormat="1" ht="16.5" hidden="1" customHeight="1" x14ac:dyDescent="0.25">
      <c r="B54" s="61"/>
      <c r="C54" s="61"/>
      <c r="D54" s="61"/>
      <c r="E54" s="61"/>
      <c r="F54" s="61"/>
      <c r="G54" s="61"/>
      <c r="H54" s="61"/>
      <c r="I54" s="61"/>
      <c r="J54" s="2"/>
      <c r="K54" s="2"/>
      <c r="M54" s="2"/>
      <c r="N54" s="2"/>
      <c r="O54" s="2"/>
      <c r="P54" s="2"/>
    </row>
    <row r="55" spans="2:16" s="6" customFormat="1" ht="16.5" hidden="1" customHeight="1" x14ac:dyDescent="0.25">
      <c r="B55" s="61"/>
      <c r="C55" s="61"/>
      <c r="D55" s="61"/>
      <c r="E55" s="61"/>
      <c r="F55" s="61"/>
      <c r="G55" s="61"/>
      <c r="H55" s="61"/>
      <c r="I55" s="61"/>
      <c r="J55" s="2"/>
      <c r="K55" s="2"/>
      <c r="M55" s="2"/>
      <c r="N55" s="2"/>
      <c r="O55" s="2"/>
      <c r="P55" s="2"/>
    </row>
    <row r="56" spans="2:16" s="6" customFormat="1" ht="16.5" hidden="1" customHeight="1" x14ac:dyDescent="0.25">
      <c r="B56" s="61"/>
      <c r="C56" s="61"/>
      <c r="D56" s="61"/>
      <c r="E56" s="61"/>
      <c r="F56" s="61"/>
      <c r="G56" s="61"/>
      <c r="H56" s="61"/>
      <c r="I56" s="61"/>
      <c r="J56" s="2"/>
      <c r="K56" s="2"/>
      <c r="M56" s="2"/>
      <c r="N56" s="2"/>
      <c r="O56" s="2"/>
      <c r="P56" s="2"/>
    </row>
    <row r="57" spans="2:16" s="6" customFormat="1" ht="16.5" hidden="1" customHeight="1" x14ac:dyDescent="0.25">
      <c r="B57" s="61"/>
      <c r="C57" s="61"/>
      <c r="D57" s="61"/>
      <c r="E57" s="61"/>
      <c r="F57" s="61"/>
      <c r="G57" s="61"/>
      <c r="H57" s="61"/>
      <c r="I57" s="61"/>
      <c r="J57" s="2"/>
      <c r="K57" s="2"/>
      <c r="M57" s="2"/>
      <c r="N57" s="2"/>
      <c r="O57" s="2"/>
      <c r="P57" s="2"/>
    </row>
    <row r="58" spans="2:16" s="6" customFormat="1" ht="16.5" hidden="1" customHeight="1" x14ac:dyDescent="0.25">
      <c r="B58" s="61"/>
      <c r="C58" s="61"/>
      <c r="D58" s="61"/>
      <c r="E58" s="61"/>
      <c r="F58" s="61"/>
      <c r="G58" s="61"/>
      <c r="H58" s="61"/>
      <c r="I58" s="61"/>
      <c r="J58" s="2"/>
      <c r="K58" s="2"/>
      <c r="M58" s="2"/>
      <c r="N58" s="2"/>
      <c r="O58" s="2"/>
      <c r="P58" s="2"/>
    </row>
    <row r="59" spans="2:16" s="6" customFormat="1" ht="16.5" hidden="1" customHeight="1" x14ac:dyDescent="0.25">
      <c r="B59" s="61"/>
      <c r="C59" s="61"/>
      <c r="D59" s="61"/>
      <c r="E59" s="61"/>
      <c r="F59" s="61"/>
      <c r="G59" s="61"/>
      <c r="H59" s="61"/>
      <c r="I59" s="61"/>
      <c r="J59" s="2"/>
      <c r="K59" s="2"/>
      <c r="M59" s="2"/>
      <c r="N59" s="2"/>
      <c r="O59" s="2"/>
      <c r="P59" s="2"/>
    </row>
    <row r="60" spans="2:16" s="6" customFormat="1" ht="16.5" hidden="1" customHeight="1" x14ac:dyDescent="0.25">
      <c r="B60" s="61"/>
      <c r="C60" s="61"/>
      <c r="D60" s="61"/>
      <c r="E60" s="61"/>
      <c r="F60" s="61"/>
      <c r="G60" s="61"/>
      <c r="H60" s="61"/>
      <c r="I60" s="61"/>
      <c r="J60" s="2"/>
      <c r="K60" s="2"/>
      <c r="M60" s="2"/>
      <c r="N60" s="2"/>
      <c r="O60" s="2"/>
      <c r="P60" s="2"/>
    </row>
    <row r="61" spans="2:16" s="6" customFormat="1" ht="16.5" hidden="1" customHeight="1" x14ac:dyDescent="0.25">
      <c r="B61" s="61"/>
      <c r="C61" s="61"/>
      <c r="D61" s="61"/>
      <c r="E61" s="61"/>
      <c r="F61" s="61"/>
      <c r="G61" s="61"/>
      <c r="H61" s="61"/>
      <c r="I61" s="61"/>
      <c r="J61" s="2"/>
      <c r="K61" s="2"/>
      <c r="M61" s="2"/>
      <c r="N61" s="2"/>
      <c r="O61" s="2"/>
      <c r="P61" s="2"/>
    </row>
    <row r="62" spans="2:16" s="6" customFormat="1" ht="16.5" hidden="1" customHeight="1" x14ac:dyDescent="0.25">
      <c r="B62" s="61"/>
      <c r="C62" s="61"/>
      <c r="D62" s="61"/>
      <c r="E62" s="61"/>
      <c r="F62" s="61"/>
      <c r="G62" s="61"/>
      <c r="H62" s="61"/>
      <c r="I62" s="61"/>
      <c r="J62" s="2"/>
      <c r="K62" s="2"/>
      <c r="M62" s="2"/>
      <c r="N62" s="2"/>
      <c r="O62" s="2"/>
      <c r="P62" s="2"/>
    </row>
    <row r="63" spans="2:16" s="6" customFormat="1" ht="16.5" hidden="1" customHeight="1" x14ac:dyDescent="0.25">
      <c r="B63" s="61"/>
      <c r="C63" s="61"/>
      <c r="D63" s="61"/>
      <c r="E63" s="61"/>
      <c r="F63" s="61"/>
      <c r="G63" s="61"/>
      <c r="H63" s="61"/>
      <c r="I63" s="61"/>
      <c r="J63" s="2"/>
      <c r="K63" s="2"/>
      <c r="M63" s="2"/>
      <c r="N63" s="2"/>
      <c r="O63" s="2"/>
      <c r="P63" s="2"/>
    </row>
    <row r="64" spans="2:16" s="6" customFormat="1" ht="16.5" hidden="1" customHeight="1" x14ac:dyDescent="0.25">
      <c r="B64" s="61"/>
      <c r="C64" s="61"/>
      <c r="D64" s="61"/>
      <c r="E64" s="61"/>
      <c r="F64" s="61"/>
      <c r="G64" s="61"/>
      <c r="H64" s="61"/>
      <c r="I64" s="61"/>
      <c r="J64" s="2"/>
      <c r="K64" s="2"/>
      <c r="M64" s="2"/>
      <c r="N64" s="2"/>
      <c r="O64" s="2"/>
      <c r="P64" s="2"/>
    </row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</sheetData>
  <mergeCells count="9">
    <mergeCell ref="B37:C38"/>
    <mergeCell ref="E37:E38"/>
    <mergeCell ref="K37:K38"/>
    <mergeCell ref="B45:C45"/>
    <mergeCell ref="B40:C40"/>
    <mergeCell ref="B41:C41"/>
    <mergeCell ref="B42:C42"/>
    <mergeCell ref="B43:C43"/>
    <mergeCell ref="B44:C44"/>
  </mergeCells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5"/>
  <sheetViews>
    <sheetView showGridLines="0" zoomScaleNormal="100" zoomScaleSheetLayoutView="100" workbookViewId="0">
      <selection activeCell="B10" sqref="B10"/>
    </sheetView>
  </sheetViews>
  <sheetFormatPr defaultColWidth="0" defaultRowHeight="16.5" zeroHeight="1" x14ac:dyDescent="0.25"/>
  <cols>
    <col min="1" max="1" width="1" style="6" customWidth="1"/>
    <col min="2" max="2" width="12" style="61" customWidth="1"/>
    <col min="3" max="3" width="13.85546875" style="61" customWidth="1"/>
    <col min="4" max="4" width="35.85546875" style="61" customWidth="1"/>
    <col min="5" max="7" width="14.42578125" style="61" customWidth="1"/>
    <col min="8" max="8" width="15.5703125" style="2" customWidth="1"/>
    <col min="9" max="9" width="17.28515625" style="2" customWidth="1"/>
    <col min="10" max="10" width="1" style="6" customWidth="1"/>
    <col min="11" max="16384" width="9.140625" style="2" hidden="1"/>
  </cols>
  <sheetData>
    <row r="1" spans="1:10" s="3" customFormat="1" x14ac:dyDescent="0.25">
      <c r="A1" s="5"/>
      <c r="B1" s="123" t="str">
        <f>Index!$B$1</f>
        <v>ABC &amp; Co.</v>
      </c>
      <c r="C1" s="124"/>
      <c r="D1" s="63"/>
      <c r="E1" s="64"/>
      <c r="F1" s="63"/>
      <c r="G1" s="63"/>
      <c r="H1" s="5"/>
      <c r="I1" s="16" t="str">
        <f>Index!E18</f>
        <v>BS.08 - 4</v>
      </c>
    </row>
    <row r="2" spans="1:10" s="3" customFormat="1" ht="15.75" x14ac:dyDescent="0.25">
      <c r="A2" s="5"/>
      <c r="B2" s="124" t="str">
        <f>Index!$B$2</f>
        <v>(Chartered Accountants)</v>
      </c>
      <c r="C2" s="124"/>
      <c r="D2" s="65"/>
      <c r="E2" s="66"/>
      <c r="F2" s="63"/>
      <c r="G2" s="63"/>
      <c r="H2" s="5"/>
    </row>
    <row r="3" spans="1:10" x14ac:dyDescent="0.25">
      <c r="A3" s="4"/>
      <c r="B3" s="124"/>
      <c r="C3" s="124"/>
      <c r="J3" s="4"/>
    </row>
    <row r="4" spans="1:10" s="1" customFormat="1" x14ac:dyDescent="0.3">
      <c r="A4" s="6"/>
      <c r="B4" s="106" t="str">
        <f>Index!$B$4</f>
        <v xml:space="preserve">Client: </v>
      </c>
      <c r="C4" s="129" t="str">
        <f>Index!$C$4</f>
        <v>ABC Limited</v>
      </c>
      <c r="D4" s="32"/>
      <c r="E4" s="32"/>
      <c r="F4" s="32"/>
      <c r="G4" s="32"/>
      <c r="H4" s="109" t="str">
        <f>Index!$G$4</f>
        <v>Prepared by:</v>
      </c>
      <c r="I4" s="110" t="str">
        <f>IF(Index!$H$4="","",Index!$H$4)</f>
        <v/>
      </c>
      <c r="J4" s="6"/>
    </row>
    <row r="5" spans="1:10" s="1" customFormat="1" x14ac:dyDescent="0.3">
      <c r="A5" s="4"/>
      <c r="B5" s="106" t="str">
        <f>Index!$B$5</f>
        <v>Period:</v>
      </c>
      <c r="C5" s="129" t="str">
        <f>Index!$C$5</f>
        <v>Year ended June 30, 2023</v>
      </c>
      <c r="D5" s="32"/>
      <c r="E5" s="32"/>
      <c r="F5" s="32"/>
      <c r="G5" s="32"/>
      <c r="H5" s="109" t="str">
        <f>Index!$G$5</f>
        <v>Date prepared:</v>
      </c>
      <c r="I5" s="111" t="str">
        <f>IF(Index!$H$5="","",Index!$H$5)</f>
        <v/>
      </c>
      <c r="J5" s="4"/>
    </row>
    <row r="6" spans="1:10" s="1" customFormat="1" x14ac:dyDescent="0.3">
      <c r="A6" s="4"/>
      <c r="B6" s="106" t="str">
        <f>Index!$B$6</f>
        <v>Head:</v>
      </c>
      <c r="C6" s="130" t="str">
        <f>Index!$C$6</f>
        <v>Stock in Trade</v>
      </c>
      <c r="D6" s="32"/>
      <c r="E6" s="32"/>
      <c r="F6" s="32"/>
      <c r="G6" s="32"/>
      <c r="H6" s="109" t="str">
        <f>Index!$G$6</f>
        <v>Reviewed by:</v>
      </c>
      <c r="I6" s="112" t="str">
        <f>IF(Index!$H$6="","",Index!$H$6)</f>
        <v/>
      </c>
      <c r="J6" s="4"/>
    </row>
    <row r="7" spans="1:10" s="1" customFormat="1" x14ac:dyDescent="0.3">
      <c r="A7" s="4"/>
      <c r="B7" s="36" t="s">
        <v>109</v>
      </c>
      <c r="C7" s="37"/>
      <c r="D7" s="32"/>
      <c r="E7" s="32"/>
      <c r="F7" s="32"/>
      <c r="G7" s="32"/>
      <c r="H7" s="109" t="str">
        <f>Index!$G$7</f>
        <v>Date reviewed:</v>
      </c>
      <c r="I7" s="111" t="str">
        <f>IF(Index!$H$7="","",Index!$H$7)</f>
        <v/>
      </c>
      <c r="J7" s="4"/>
    </row>
    <row r="8" spans="1:10" ht="14.25" x14ac:dyDescent="0.25">
      <c r="B8" s="7" t="s">
        <v>42</v>
      </c>
      <c r="C8" s="7"/>
      <c r="D8" s="7"/>
      <c r="E8" s="7"/>
      <c r="F8" s="7"/>
      <c r="G8" s="7"/>
      <c r="H8" s="7"/>
      <c r="I8" s="7"/>
    </row>
    <row r="9" spans="1:10" x14ac:dyDescent="0.25">
      <c r="B9" s="62" t="s">
        <v>19</v>
      </c>
    </row>
    <row r="10" spans="1:10" x14ac:dyDescent="0.25">
      <c r="A10" s="4"/>
      <c r="B10" s="61" t="s">
        <v>3</v>
      </c>
      <c r="J10" s="4"/>
    </row>
    <row r="11" spans="1:10" ht="42.75" x14ac:dyDescent="0.25">
      <c r="B11" s="83" t="s">
        <v>43</v>
      </c>
      <c r="C11" s="83" t="s">
        <v>44</v>
      </c>
      <c r="D11" s="83" t="s">
        <v>23</v>
      </c>
      <c r="E11" s="83" t="s">
        <v>49</v>
      </c>
      <c r="F11" s="83" t="s">
        <v>46</v>
      </c>
      <c r="G11" s="83" t="s">
        <v>45</v>
      </c>
      <c r="H11" s="86" t="s">
        <v>48</v>
      </c>
      <c r="I11" s="86" t="s">
        <v>47</v>
      </c>
    </row>
    <row r="12" spans="1:10" x14ac:dyDescent="0.25">
      <c r="B12" s="90"/>
      <c r="C12" s="90"/>
      <c r="D12" s="90"/>
      <c r="E12" s="91"/>
      <c r="F12" s="92"/>
      <c r="G12" s="92"/>
      <c r="H12" s="93"/>
      <c r="I12" s="93"/>
    </row>
    <row r="13" spans="1:10" x14ac:dyDescent="0.25">
      <c r="A13" s="8"/>
      <c r="B13" s="73"/>
      <c r="C13" s="74"/>
      <c r="D13" s="68"/>
      <c r="E13" s="69"/>
      <c r="F13" s="69"/>
      <c r="G13" s="69"/>
      <c r="H13" s="26"/>
      <c r="I13" s="26"/>
      <c r="J13" s="8"/>
    </row>
    <row r="14" spans="1:10" x14ac:dyDescent="0.25">
      <c r="A14" s="8"/>
      <c r="B14" s="75"/>
      <c r="C14" s="75"/>
      <c r="D14" s="68"/>
      <c r="E14" s="69"/>
      <c r="F14" s="69"/>
      <c r="G14" s="69"/>
      <c r="H14" s="26"/>
      <c r="I14" s="26"/>
      <c r="J14" s="8"/>
    </row>
    <row r="15" spans="1:10" x14ac:dyDescent="0.25">
      <c r="A15" s="9"/>
      <c r="B15" s="75"/>
      <c r="C15" s="75"/>
      <c r="D15" s="68"/>
      <c r="E15" s="70"/>
      <c r="F15" s="69"/>
      <c r="G15" s="69"/>
      <c r="H15" s="26"/>
      <c r="I15" s="26"/>
      <c r="J15" s="9"/>
    </row>
    <row r="16" spans="1:10" x14ac:dyDescent="0.25">
      <c r="A16" s="9"/>
      <c r="B16" s="75"/>
      <c r="C16" s="75"/>
      <c r="D16" s="68"/>
      <c r="E16" s="69"/>
      <c r="F16" s="69"/>
      <c r="G16" s="69"/>
      <c r="H16" s="26"/>
      <c r="I16" s="26"/>
      <c r="J16" s="9"/>
    </row>
    <row r="17" spans="1:14" x14ac:dyDescent="0.25">
      <c r="A17" s="9"/>
      <c r="B17" s="75"/>
      <c r="C17" s="75"/>
      <c r="D17" s="68"/>
      <c r="E17" s="69"/>
      <c r="F17" s="69"/>
      <c r="G17" s="69"/>
      <c r="H17" s="26"/>
      <c r="I17" s="26"/>
      <c r="J17" s="9"/>
    </row>
    <row r="18" spans="1:14" x14ac:dyDescent="0.25">
      <c r="A18" s="9"/>
      <c r="B18" s="74"/>
      <c r="C18" s="74"/>
      <c r="D18" s="68"/>
      <c r="E18" s="69"/>
      <c r="F18" s="69"/>
      <c r="G18" s="69"/>
      <c r="H18" s="26"/>
      <c r="I18" s="26"/>
      <c r="J18" s="9"/>
    </row>
    <row r="19" spans="1:14" x14ac:dyDescent="0.25">
      <c r="A19" s="8"/>
      <c r="B19" s="73"/>
      <c r="C19" s="74"/>
      <c r="D19" s="68"/>
      <c r="E19" s="69"/>
      <c r="F19" s="69"/>
      <c r="G19" s="69"/>
      <c r="H19" s="26"/>
      <c r="I19" s="26"/>
      <c r="J19" s="8"/>
    </row>
    <row r="20" spans="1:14" x14ac:dyDescent="0.25">
      <c r="A20" s="8"/>
      <c r="B20" s="75"/>
      <c r="C20" s="75"/>
      <c r="D20" s="68"/>
      <c r="E20" s="69"/>
      <c r="F20" s="69"/>
      <c r="G20" s="69"/>
      <c r="H20" s="26"/>
      <c r="I20" s="26"/>
      <c r="J20" s="8"/>
    </row>
    <row r="21" spans="1:14" x14ac:dyDescent="0.25">
      <c r="A21" s="9"/>
      <c r="B21" s="75"/>
      <c r="C21" s="75"/>
      <c r="D21" s="68"/>
      <c r="E21" s="70"/>
      <c r="F21" s="69"/>
      <c r="G21" s="69"/>
      <c r="H21" s="26"/>
      <c r="I21" s="26"/>
      <c r="J21" s="9"/>
    </row>
    <row r="22" spans="1:14" x14ac:dyDescent="0.25">
      <c r="A22" s="9"/>
      <c r="B22" s="75"/>
      <c r="C22" s="75"/>
      <c r="D22" s="68"/>
      <c r="E22" s="69"/>
      <c r="F22" s="69"/>
      <c r="G22" s="69"/>
      <c r="H22" s="26"/>
      <c r="I22" s="26"/>
      <c r="J22" s="9"/>
    </row>
    <row r="23" spans="1:14" x14ac:dyDescent="0.25">
      <c r="A23" s="9"/>
      <c r="B23" s="75"/>
      <c r="C23" s="75"/>
      <c r="D23" s="68"/>
      <c r="E23" s="69"/>
      <c r="F23" s="69"/>
      <c r="G23" s="69"/>
      <c r="H23" s="26"/>
      <c r="I23" s="26"/>
      <c r="J23" s="9"/>
    </row>
    <row r="24" spans="1:14" x14ac:dyDescent="0.25">
      <c r="A24" s="9"/>
      <c r="B24" s="74"/>
      <c r="C24" s="74"/>
      <c r="D24" s="68"/>
      <c r="E24" s="69"/>
      <c r="F24" s="69"/>
      <c r="G24" s="69"/>
      <c r="H24" s="26"/>
      <c r="I24" s="26"/>
      <c r="J24" s="9"/>
    </row>
    <row r="25" spans="1:14" x14ac:dyDescent="0.25">
      <c r="A25" s="2"/>
      <c r="B25" s="76"/>
      <c r="C25" s="76"/>
      <c r="D25" s="68"/>
      <c r="E25" s="69"/>
      <c r="F25" s="69"/>
      <c r="G25" s="69"/>
      <c r="H25" s="26"/>
      <c r="I25" s="26"/>
      <c r="J25" s="2"/>
    </row>
    <row r="26" spans="1:14" x14ac:dyDescent="0.25">
      <c r="A26" s="2"/>
      <c r="J26" s="2"/>
    </row>
    <row r="29" spans="1:14" s="6" customFormat="1" hidden="1" x14ac:dyDescent="0.25">
      <c r="B29" s="61"/>
      <c r="C29" s="61"/>
      <c r="D29" s="61"/>
      <c r="E29" s="61"/>
      <c r="F29" s="61"/>
      <c r="G29" s="61"/>
      <c r="H29" s="2"/>
      <c r="I29" s="2"/>
      <c r="K29" s="2"/>
      <c r="L29" s="2"/>
      <c r="M29" s="2"/>
      <c r="N29" s="2"/>
    </row>
    <row r="30" spans="1:14" s="6" customFormat="1" hidden="1" x14ac:dyDescent="0.25">
      <c r="B30" s="61"/>
      <c r="C30" s="61"/>
      <c r="D30" s="61"/>
      <c r="E30" s="61"/>
      <c r="F30" s="61"/>
      <c r="G30" s="61"/>
      <c r="H30" s="2"/>
      <c r="I30" s="2"/>
      <c r="K30" s="2"/>
      <c r="L30" s="2"/>
      <c r="M30" s="2"/>
      <c r="N30" s="2"/>
    </row>
    <row r="31" spans="1:14" s="6" customFormat="1" hidden="1" x14ac:dyDescent="0.25">
      <c r="B31" s="61"/>
      <c r="C31" s="61"/>
      <c r="D31" s="61"/>
      <c r="E31" s="61"/>
      <c r="F31" s="61"/>
      <c r="G31" s="61"/>
      <c r="H31" s="2"/>
      <c r="I31" s="2"/>
      <c r="K31" s="2"/>
      <c r="L31" s="2"/>
      <c r="M31" s="2"/>
      <c r="N31" s="2"/>
    </row>
    <row r="32" spans="1:14" s="6" customFormat="1" hidden="1" x14ac:dyDescent="0.25">
      <c r="B32" s="61"/>
      <c r="C32" s="61"/>
      <c r="D32" s="61"/>
      <c r="E32" s="61"/>
      <c r="F32" s="61"/>
      <c r="G32" s="61"/>
      <c r="H32" s="2"/>
      <c r="I32" s="2"/>
      <c r="K32" s="2"/>
      <c r="L32" s="2"/>
      <c r="M32" s="2"/>
      <c r="N32" s="2"/>
    </row>
    <row r="33" spans="2:14" s="6" customFormat="1" hidden="1" x14ac:dyDescent="0.25">
      <c r="B33" s="61"/>
      <c r="C33" s="61"/>
      <c r="D33" s="61"/>
      <c r="E33" s="61"/>
      <c r="F33" s="61"/>
      <c r="G33" s="61"/>
      <c r="H33" s="2"/>
      <c r="I33" s="2"/>
      <c r="K33" s="2"/>
      <c r="L33" s="2"/>
      <c r="M33" s="2"/>
      <c r="N33" s="2"/>
    </row>
    <row r="34" spans="2:14" s="6" customFormat="1" hidden="1" x14ac:dyDescent="0.25">
      <c r="B34" s="61"/>
      <c r="C34" s="61"/>
      <c r="D34" s="61"/>
      <c r="E34" s="61"/>
      <c r="F34" s="61"/>
      <c r="G34" s="61"/>
      <c r="H34" s="2"/>
      <c r="I34" s="2"/>
      <c r="K34" s="2"/>
      <c r="L34" s="2"/>
      <c r="M34" s="2"/>
      <c r="N34" s="2"/>
    </row>
    <row r="35" spans="2:14" x14ac:dyDescent="0.25"/>
    <row r="36" spans="2:14" x14ac:dyDescent="0.25"/>
    <row r="37" spans="2:14" x14ac:dyDescent="0.25"/>
    <row r="55" x14ac:dyDescent="0.25"/>
  </sheetData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47"/>
  <sheetViews>
    <sheetView showGridLines="0" zoomScaleNormal="100" zoomScaleSheetLayoutView="100" workbookViewId="0">
      <selection activeCell="B16" sqref="B16"/>
    </sheetView>
  </sheetViews>
  <sheetFormatPr defaultColWidth="0" defaultRowHeight="16.5" zeroHeight="1" x14ac:dyDescent="0.3"/>
  <cols>
    <col min="1" max="1" width="1" customWidth="1"/>
    <col min="2" max="2" width="12" style="72" customWidth="1"/>
    <col min="3" max="3" width="33" style="72" customWidth="1"/>
    <col min="4" max="4" width="11.7109375" style="72" bestFit="1" customWidth="1"/>
    <col min="5" max="7" width="14.42578125" style="72" customWidth="1"/>
    <col min="8" max="8" width="14.42578125" customWidth="1"/>
    <col min="9" max="9" width="17.140625" customWidth="1"/>
    <col min="10" max="10" width="1" customWidth="1"/>
    <col min="11" max="13" width="0" hidden="1" customWidth="1"/>
    <col min="14" max="16384" width="9.140625" hidden="1"/>
  </cols>
  <sheetData>
    <row r="1" spans="2:10" x14ac:dyDescent="0.25">
      <c r="B1" s="123" t="str">
        <f>Index!$B$1</f>
        <v>ABC &amp; Co.</v>
      </c>
      <c r="C1" s="124"/>
      <c r="D1" s="63"/>
      <c r="E1" s="64"/>
      <c r="F1" s="63"/>
      <c r="G1" s="63"/>
      <c r="H1" s="5"/>
      <c r="I1" s="15" t="str">
        <f>Index!E24</f>
        <v>BS.08 - 7</v>
      </c>
      <c r="J1" s="3"/>
    </row>
    <row r="2" spans="2:10" ht="15.75" x14ac:dyDescent="0.25">
      <c r="B2" s="124" t="str">
        <f>Index!$B$2</f>
        <v>(Chartered Accountants)</v>
      </c>
      <c r="C2" s="124"/>
      <c r="D2" s="65"/>
      <c r="E2" s="66"/>
      <c r="F2" s="63"/>
      <c r="G2" s="63"/>
      <c r="H2" s="5"/>
      <c r="J2" s="3"/>
    </row>
    <row r="3" spans="2:10" ht="15" customHeight="1" x14ac:dyDescent="0.25">
      <c r="B3" s="124"/>
      <c r="C3" s="124"/>
      <c r="D3" s="61"/>
      <c r="E3" s="61"/>
      <c r="F3" s="61"/>
      <c r="G3" s="61"/>
      <c r="H3" s="2"/>
      <c r="J3" s="2"/>
    </row>
    <row r="4" spans="2:10" x14ac:dyDescent="0.3">
      <c r="B4" s="106" t="str">
        <f>Index!$B$4</f>
        <v xml:space="preserve">Client: </v>
      </c>
      <c r="C4" s="129" t="str">
        <f>Index!$C$4</f>
        <v>ABC Limited</v>
      </c>
      <c r="D4" s="32"/>
      <c r="E4" s="32"/>
      <c r="F4" s="32"/>
      <c r="G4" s="32"/>
      <c r="H4" s="109" t="str">
        <f>Index!$G$4</f>
        <v>Prepared by:</v>
      </c>
      <c r="I4" s="110" t="str">
        <f>IF(Index!$H$4="","",Index!$H$4)</f>
        <v/>
      </c>
    </row>
    <row r="5" spans="2:10" x14ac:dyDescent="0.3">
      <c r="B5" s="106" t="str">
        <f>Index!$B$5</f>
        <v>Period:</v>
      </c>
      <c r="C5" s="129" t="str">
        <f>Index!$C$5</f>
        <v>Year ended June 30, 2023</v>
      </c>
      <c r="D5" s="32"/>
      <c r="E5" s="32"/>
      <c r="F5" s="32"/>
      <c r="G5" s="32"/>
      <c r="H5" s="109" t="str">
        <f>Index!$G$5</f>
        <v>Date prepared:</v>
      </c>
      <c r="I5" s="111" t="str">
        <f>IF(Index!$H$5="","",Index!$H$5)</f>
        <v/>
      </c>
    </row>
    <row r="6" spans="2:10" ht="15" customHeight="1" x14ac:dyDescent="0.3">
      <c r="B6" s="106" t="str">
        <f>Index!$B$6</f>
        <v>Head:</v>
      </c>
      <c r="C6" s="130" t="str">
        <f>Index!$C$6</f>
        <v>Stock in Trade</v>
      </c>
      <c r="D6" s="32"/>
      <c r="E6" s="32"/>
      <c r="F6" s="32"/>
      <c r="G6" s="32"/>
      <c r="H6" s="109" t="str">
        <f>Index!$G$6</f>
        <v>Reviewed by:</v>
      </c>
      <c r="I6" s="112" t="str">
        <f>IF(Index!$H$6="","",Index!$H$6)</f>
        <v/>
      </c>
    </row>
    <row r="7" spans="2:10" x14ac:dyDescent="0.3">
      <c r="B7" s="36"/>
      <c r="C7" s="37"/>
      <c r="D7" s="32"/>
      <c r="E7" s="32"/>
      <c r="F7" s="32"/>
      <c r="G7" s="32"/>
      <c r="H7" s="109" t="str">
        <f>Index!$G$7</f>
        <v>Date reviewed:</v>
      </c>
      <c r="I7" s="111" t="str">
        <f>IF(Index!$H$7="","",Index!$H$7)</f>
        <v/>
      </c>
      <c r="J7" s="1"/>
    </row>
    <row r="8" spans="2:10" ht="15" x14ac:dyDescent="0.25">
      <c r="B8" s="7" t="s">
        <v>40</v>
      </c>
      <c r="C8" s="7"/>
      <c r="D8" s="7"/>
      <c r="E8" s="7"/>
      <c r="F8" s="7"/>
      <c r="G8" s="7"/>
      <c r="H8" s="7"/>
      <c r="I8" s="7"/>
      <c r="J8" s="7"/>
    </row>
    <row r="9" spans="2:10" ht="15" x14ac:dyDescent="0.25">
      <c r="B9" s="62" t="s">
        <v>19</v>
      </c>
      <c r="C9" s="67"/>
      <c r="D9" s="67"/>
      <c r="E9" s="67"/>
      <c r="F9" s="67"/>
      <c r="G9" s="67"/>
      <c r="H9" s="13"/>
      <c r="J9" s="13"/>
    </row>
    <row r="10" spans="2:10" ht="15" customHeight="1" x14ac:dyDescent="0.25">
      <c r="B10" s="196" t="s">
        <v>105</v>
      </c>
      <c r="C10" s="196"/>
      <c r="D10" s="196"/>
      <c r="E10" s="196"/>
      <c r="F10" s="196"/>
      <c r="G10" s="196"/>
      <c r="H10" s="196"/>
      <c r="I10" s="196"/>
      <c r="J10" s="14"/>
    </row>
    <row r="11" spans="2:10" ht="15" customHeight="1" x14ac:dyDescent="0.25">
      <c r="B11" s="196" t="s">
        <v>124</v>
      </c>
      <c r="C11" s="196"/>
      <c r="D11" s="196"/>
      <c r="E11" s="196"/>
      <c r="F11" s="196"/>
      <c r="G11" s="196"/>
      <c r="H11" s="196"/>
      <c r="I11" s="196"/>
      <c r="J11" s="14"/>
    </row>
    <row r="12" spans="2:10" ht="15" x14ac:dyDescent="0.25">
      <c r="B12" s="196" t="s">
        <v>125</v>
      </c>
      <c r="C12" s="196"/>
      <c r="D12" s="196"/>
      <c r="E12" s="196"/>
      <c r="F12" s="196"/>
      <c r="G12" s="196"/>
      <c r="H12" s="196"/>
      <c r="I12" s="196"/>
      <c r="J12" s="14"/>
    </row>
    <row r="13" spans="2:10" ht="15" x14ac:dyDescent="0.25">
      <c r="B13" s="196" t="s">
        <v>126</v>
      </c>
      <c r="C13" s="196"/>
      <c r="D13" s="196"/>
      <c r="E13" s="196"/>
      <c r="F13" s="196"/>
      <c r="G13" s="196"/>
      <c r="H13" s="196"/>
      <c r="I13" s="196"/>
      <c r="J13" s="14"/>
    </row>
    <row r="14" spans="2:10" ht="15" x14ac:dyDescent="0.25">
      <c r="B14" s="196"/>
      <c r="C14" s="196"/>
      <c r="D14" s="196"/>
      <c r="E14" s="196"/>
      <c r="F14" s="196"/>
      <c r="G14" s="196"/>
      <c r="H14" s="196"/>
      <c r="I14" s="196"/>
      <c r="J14" s="14"/>
    </row>
    <row r="15" spans="2:10" ht="15.75" x14ac:dyDescent="0.3">
      <c r="B15" s="233" t="s">
        <v>127</v>
      </c>
      <c r="C15" s="196"/>
      <c r="D15" s="196"/>
      <c r="E15" s="196"/>
      <c r="F15" s="196"/>
      <c r="G15" s="196"/>
      <c r="H15" s="196"/>
      <c r="I15" s="196"/>
      <c r="J15" s="14"/>
    </row>
    <row r="16" spans="2:10" ht="15" x14ac:dyDescent="0.25">
      <c r="B16" s="234" t="s">
        <v>128</v>
      </c>
      <c r="C16" s="196"/>
      <c r="D16" s="196"/>
      <c r="E16" s="196"/>
      <c r="F16" s="196"/>
      <c r="G16" s="196"/>
      <c r="H16" s="196"/>
      <c r="I16" s="196"/>
      <c r="J16" s="14"/>
    </row>
    <row r="17" spans="2:10" ht="15" x14ac:dyDescent="0.25">
      <c r="B17" s="235"/>
      <c r="C17" s="196"/>
      <c r="D17" s="196"/>
      <c r="E17" s="196"/>
      <c r="F17" s="196"/>
      <c r="G17" s="196"/>
      <c r="H17" s="196"/>
      <c r="I17" s="196"/>
      <c r="J17" s="14"/>
    </row>
    <row r="18" spans="2:10" ht="15.75" x14ac:dyDescent="0.3">
      <c r="B18" s="233" t="s">
        <v>28</v>
      </c>
      <c r="C18" s="196"/>
      <c r="D18" s="196"/>
      <c r="E18" s="196"/>
      <c r="F18" s="196"/>
      <c r="G18" s="196"/>
      <c r="H18" s="196"/>
      <c r="I18" s="196"/>
      <c r="J18" s="14"/>
    </row>
    <row r="19" spans="2:10" ht="15" x14ac:dyDescent="0.25">
      <c r="B19" s="234" t="s">
        <v>27</v>
      </c>
      <c r="C19" s="196"/>
      <c r="D19" s="196"/>
      <c r="E19" s="196"/>
      <c r="F19" s="196"/>
      <c r="G19" s="196"/>
      <c r="H19" s="196"/>
      <c r="I19" s="196"/>
      <c r="J19" s="14"/>
    </row>
    <row r="20" spans="2:10" ht="15" x14ac:dyDescent="0.25">
      <c r="B20" s="67"/>
      <c r="C20" s="67"/>
      <c r="D20" s="67"/>
      <c r="E20" s="67"/>
      <c r="F20" s="67"/>
      <c r="G20" s="67"/>
      <c r="H20" s="13"/>
      <c r="I20" s="13"/>
      <c r="J20" s="13"/>
    </row>
    <row r="21" spans="2:10" ht="15" x14ac:dyDescent="0.25">
      <c r="B21" s="218" t="s">
        <v>23</v>
      </c>
      <c r="C21" s="218"/>
      <c r="D21" s="218" t="s">
        <v>52</v>
      </c>
      <c r="E21" s="228" t="s">
        <v>53</v>
      </c>
      <c r="F21" s="228"/>
      <c r="G21" s="228"/>
      <c r="H21" s="228"/>
      <c r="I21" s="220" t="s">
        <v>58</v>
      </c>
      <c r="J21" s="13"/>
    </row>
    <row r="22" spans="2:10" ht="28.5" x14ac:dyDescent="0.25">
      <c r="B22" s="218"/>
      <c r="C22" s="218"/>
      <c r="D22" s="218"/>
      <c r="E22" s="84" t="s">
        <v>54</v>
      </c>
      <c r="F22" s="84" t="s">
        <v>55</v>
      </c>
      <c r="G22" s="84" t="s">
        <v>56</v>
      </c>
      <c r="H22" s="86" t="s">
        <v>57</v>
      </c>
      <c r="I22" s="220"/>
      <c r="J22" s="13"/>
    </row>
    <row r="23" spans="2:10" x14ac:dyDescent="0.25">
      <c r="B23" s="226"/>
      <c r="C23" s="226"/>
      <c r="D23" s="90"/>
      <c r="E23" s="91"/>
      <c r="F23" s="92"/>
      <c r="G23" s="92"/>
      <c r="H23" s="93"/>
      <c r="I23" s="93"/>
      <c r="J23" s="13"/>
    </row>
    <row r="24" spans="2:10" x14ac:dyDescent="0.25">
      <c r="B24" s="229"/>
      <c r="C24" s="230"/>
      <c r="D24" s="68"/>
      <c r="E24" s="69"/>
      <c r="F24" s="69"/>
      <c r="G24" s="69"/>
      <c r="H24" s="26"/>
      <c r="I24" s="26"/>
      <c r="J24" s="13"/>
    </row>
    <row r="25" spans="2:10" x14ac:dyDescent="0.25">
      <c r="B25" s="229"/>
      <c r="C25" s="230"/>
      <c r="D25" s="68"/>
      <c r="E25" s="69"/>
      <c r="F25" s="69"/>
      <c r="G25" s="69"/>
      <c r="H25" s="26"/>
      <c r="I25" s="26"/>
      <c r="J25" s="13"/>
    </row>
    <row r="26" spans="2:10" x14ac:dyDescent="0.25">
      <c r="B26" s="229"/>
      <c r="C26" s="230"/>
      <c r="D26" s="68"/>
      <c r="E26" s="69"/>
      <c r="F26" s="69"/>
      <c r="G26" s="69"/>
      <c r="H26" s="26"/>
      <c r="I26" s="26"/>
      <c r="J26" s="13"/>
    </row>
    <row r="27" spans="2:10" x14ac:dyDescent="0.25">
      <c r="B27" s="229"/>
      <c r="C27" s="230"/>
      <c r="D27" s="68"/>
      <c r="E27" s="69"/>
      <c r="F27" s="69"/>
      <c r="G27" s="69"/>
      <c r="H27" s="26"/>
      <c r="I27" s="26"/>
      <c r="J27" s="13"/>
    </row>
    <row r="28" spans="2:10" x14ac:dyDescent="0.25">
      <c r="B28" s="229"/>
      <c r="C28" s="230"/>
      <c r="D28" s="68"/>
      <c r="E28" s="69"/>
      <c r="F28" s="69"/>
      <c r="G28" s="69"/>
      <c r="H28" s="26"/>
      <c r="I28" s="26"/>
      <c r="J28" s="13"/>
    </row>
    <row r="29" spans="2:10" x14ac:dyDescent="0.25">
      <c r="B29" s="229"/>
      <c r="C29" s="230"/>
      <c r="D29" s="68"/>
      <c r="E29" s="69"/>
      <c r="F29" s="69"/>
      <c r="G29" s="69"/>
      <c r="H29" s="26"/>
      <c r="I29" s="26"/>
      <c r="J29" s="13"/>
    </row>
    <row r="30" spans="2:10" x14ac:dyDescent="0.25">
      <c r="B30" s="227"/>
      <c r="C30" s="227"/>
      <c r="D30" s="68"/>
      <c r="E30" s="70"/>
      <c r="F30" s="69"/>
      <c r="G30" s="69"/>
      <c r="H30" s="26"/>
      <c r="I30" s="26"/>
      <c r="J30" s="13"/>
    </row>
    <row r="31" spans="2:10" x14ac:dyDescent="0.25">
      <c r="B31" s="227"/>
      <c r="C31" s="227"/>
      <c r="D31" s="68"/>
      <c r="E31" s="70"/>
      <c r="F31" s="69"/>
      <c r="G31" s="69"/>
      <c r="H31" s="26"/>
      <c r="I31" s="26"/>
      <c r="J31" s="13"/>
    </row>
    <row r="32" spans="2:10" ht="15" x14ac:dyDescent="0.25">
      <c r="B32" s="67"/>
      <c r="C32" s="67"/>
      <c r="D32" s="67"/>
      <c r="E32" s="67"/>
      <c r="F32" s="67"/>
      <c r="G32" s="67"/>
      <c r="H32" s="13"/>
      <c r="I32" s="13"/>
      <c r="J32" s="13"/>
    </row>
    <row r="33" spans="2:10" x14ac:dyDescent="0.25">
      <c r="B33" s="71"/>
      <c r="C33" s="71"/>
      <c r="D33" s="71"/>
      <c r="E33" s="71"/>
      <c r="F33" s="71"/>
      <c r="G33" s="71"/>
      <c r="H33" s="14"/>
      <c r="J33" s="14"/>
    </row>
    <row r="34" spans="2:10" x14ac:dyDescent="0.3"/>
    <row r="35" spans="2:10" x14ac:dyDescent="0.3"/>
    <row r="36" spans="2:10" x14ac:dyDescent="0.3"/>
    <row r="37" spans="2:10" x14ac:dyDescent="0.3"/>
    <row r="38" spans="2:10" x14ac:dyDescent="0.3"/>
    <row r="43" spans="2:10" x14ac:dyDescent="0.3"/>
    <row r="44" spans="2:10" x14ac:dyDescent="0.3"/>
    <row r="45" spans="2:10" x14ac:dyDescent="0.3"/>
    <row r="46" spans="2:10" x14ac:dyDescent="0.3"/>
    <row r="47" spans="2:10" x14ac:dyDescent="0.3"/>
  </sheetData>
  <mergeCells count="13">
    <mergeCell ref="B31:C31"/>
    <mergeCell ref="E21:H21"/>
    <mergeCell ref="B24:C24"/>
    <mergeCell ref="B25:C25"/>
    <mergeCell ref="B26:C26"/>
    <mergeCell ref="B27:C27"/>
    <mergeCell ref="B28:C28"/>
    <mergeCell ref="B29:C29"/>
    <mergeCell ref="B21:C22"/>
    <mergeCell ref="D21:D22"/>
    <mergeCell ref="I21:I22"/>
    <mergeCell ref="B23:C23"/>
    <mergeCell ref="B30:C30"/>
  </mergeCells>
  <pageMargins left="0.7" right="0.7" top="0.75" bottom="0.75" header="0.3" footer="0.3"/>
  <pageSetup scale="6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8"/>
  <sheetViews>
    <sheetView showGridLines="0" tabSelected="1" topLeftCell="A4" zoomScaleNormal="100" zoomScaleSheetLayoutView="100" workbookViewId="0">
      <selection activeCell="B24" sqref="B24"/>
    </sheetView>
  </sheetViews>
  <sheetFormatPr defaultColWidth="0" defaultRowHeight="16.5" zeroHeight="1" x14ac:dyDescent="0.25"/>
  <cols>
    <col min="1" max="1" width="1" style="19" customWidth="1"/>
    <col min="2" max="2" width="10" style="34" customWidth="1"/>
    <col min="3" max="3" width="61.42578125" style="34" customWidth="1"/>
    <col min="4" max="5" width="13.5703125" style="34" customWidth="1"/>
    <col min="6" max="6" width="1" style="34" customWidth="1"/>
    <col min="7" max="7" width="9.140625" style="34" hidden="1" customWidth="1"/>
    <col min="8" max="9" width="0" style="19" hidden="1" customWidth="1"/>
    <col min="10" max="16384" width="9.140625" style="19" hidden="1"/>
  </cols>
  <sheetData>
    <row r="1" spans="2:10" s="17" customFormat="1" x14ac:dyDescent="0.25">
      <c r="B1" s="123" t="str">
        <f>Index!$B$1</f>
        <v>ABC &amp; Co.</v>
      </c>
      <c r="C1" s="124"/>
      <c r="D1" s="47"/>
      <c r="E1" s="48" t="str">
        <f>Index!E26</f>
        <v>BS.08 - 8</v>
      </c>
      <c r="F1" s="31"/>
      <c r="G1" s="31"/>
    </row>
    <row r="2" spans="2:10" s="17" customFormat="1" x14ac:dyDescent="0.25">
      <c r="B2" s="124" t="str">
        <f>Index!$B$2</f>
        <v>(Chartered Accountants)</v>
      </c>
      <c r="C2" s="124"/>
      <c r="D2" s="47"/>
      <c r="E2" s="31"/>
      <c r="F2" s="31"/>
      <c r="G2" s="31"/>
    </row>
    <row r="3" spans="2:10" s="18" customFormat="1" x14ac:dyDescent="0.25">
      <c r="B3" s="124"/>
      <c r="C3" s="124"/>
      <c r="D3" s="35"/>
      <c r="E3" s="34"/>
      <c r="F3" s="34"/>
      <c r="G3" s="35"/>
    </row>
    <row r="4" spans="2:10" s="18" customFormat="1" x14ac:dyDescent="0.25">
      <c r="B4" s="106" t="str">
        <f>Index!$B$4</f>
        <v xml:space="preserve">Client: </v>
      </c>
      <c r="C4" s="129" t="str">
        <f>Index!$C$4</f>
        <v>ABC Limited</v>
      </c>
      <c r="D4" s="109" t="str">
        <f>Index!$G$4</f>
        <v>Prepared by:</v>
      </c>
      <c r="E4" s="110" t="str">
        <f>IF(Index!$H$4="","",Index!$H$4)</f>
        <v/>
      </c>
      <c r="F4" s="35"/>
      <c r="G4" s="35"/>
    </row>
    <row r="5" spans="2:10" s="18" customFormat="1" x14ac:dyDescent="0.25">
      <c r="B5" s="106" t="str">
        <f>Index!$B$5</f>
        <v>Period:</v>
      </c>
      <c r="C5" s="129" t="str">
        <f>Index!$C$5</f>
        <v>Year ended June 30, 2023</v>
      </c>
      <c r="D5" s="109" t="str">
        <f>Index!$G$5</f>
        <v>Date prepared:</v>
      </c>
      <c r="E5" s="111" t="str">
        <f>IF(Index!$H$5="","",Index!$H$5)</f>
        <v/>
      </c>
      <c r="F5" s="35"/>
      <c r="G5" s="35"/>
    </row>
    <row r="6" spans="2:10" s="18" customFormat="1" x14ac:dyDescent="0.25">
      <c r="B6" s="106" t="str">
        <f>Index!$B$6</f>
        <v>Head:</v>
      </c>
      <c r="C6" s="130" t="str">
        <f>Index!$C$6</f>
        <v>Stock in Trade</v>
      </c>
      <c r="D6" s="109" t="str">
        <f>Index!$G$6</f>
        <v>Reviewed by:</v>
      </c>
      <c r="E6" s="112" t="str">
        <f>IF(Index!$H$6="","",Index!$H$6)</f>
        <v/>
      </c>
      <c r="F6" s="35"/>
      <c r="G6" s="35"/>
    </row>
    <row r="7" spans="2:10" x14ac:dyDescent="0.25">
      <c r="B7" s="35"/>
      <c r="C7" s="35"/>
      <c r="D7" s="109" t="str">
        <f>Index!$G$7</f>
        <v>Date reviewed:</v>
      </c>
      <c r="E7" s="111" t="str">
        <f>IF(Index!$H$7="","",Index!$H$7)</f>
        <v/>
      </c>
      <c r="F7" s="35"/>
    </row>
    <row r="8" spans="2:10" s="18" customFormat="1" x14ac:dyDescent="0.25">
      <c r="B8" s="46" t="s">
        <v>59</v>
      </c>
      <c r="C8" s="46"/>
      <c r="D8" s="46"/>
      <c r="E8" s="46"/>
      <c r="F8" s="49"/>
      <c r="G8" s="35"/>
    </row>
    <row r="9" spans="2:10" x14ac:dyDescent="0.25"/>
    <row r="10" spans="2:10" s="20" customFormat="1" ht="14.25" customHeight="1" x14ac:dyDescent="0.25">
      <c r="B10" s="231" t="s">
        <v>6</v>
      </c>
      <c r="C10" s="231" t="s">
        <v>60</v>
      </c>
      <c r="D10" s="232" t="s">
        <v>52</v>
      </c>
      <c r="E10" s="232"/>
      <c r="F10" s="50"/>
      <c r="G10" s="51"/>
    </row>
    <row r="11" spans="2:10" x14ac:dyDescent="0.25">
      <c r="B11" s="231"/>
      <c r="C11" s="231"/>
      <c r="D11" s="81" t="s">
        <v>61</v>
      </c>
      <c r="E11" s="82" t="s">
        <v>62</v>
      </c>
      <c r="F11" s="52"/>
    </row>
    <row r="12" spans="2:10" x14ac:dyDescent="0.25">
      <c r="B12" s="102"/>
      <c r="C12" s="103"/>
      <c r="D12" s="103"/>
      <c r="E12" s="103"/>
      <c r="H12" s="21"/>
      <c r="I12" s="21"/>
      <c r="J12" s="21"/>
    </row>
    <row r="13" spans="2:10" s="22" customFormat="1" x14ac:dyDescent="0.25">
      <c r="B13" s="53"/>
      <c r="C13" s="54"/>
      <c r="D13" s="54"/>
      <c r="E13" s="54"/>
      <c r="F13" s="34"/>
      <c r="G13" s="34"/>
      <c r="H13" s="21"/>
      <c r="I13" s="21"/>
      <c r="J13" s="21"/>
    </row>
    <row r="14" spans="2:10" s="22" customFormat="1" x14ac:dyDescent="0.25">
      <c r="B14" s="53"/>
      <c r="C14" s="54"/>
      <c r="D14" s="54"/>
      <c r="E14" s="54"/>
      <c r="F14" s="34"/>
      <c r="G14" s="34"/>
      <c r="H14" s="21"/>
      <c r="I14" s="21"/>
      <c r="J14" s="21"/>
    </row>
    <row r="15" spans="2:10" s="22" customFormat="1" x14ac:dyDescent="0.25">
      <c r="B15" s="53"/>
      <c r="C15" s="54"/>
      <c r="D15" s="54"/>
      <c r="E15" s="54"/>
      <c r="F15" s="34"/>
      <c r="G15" s="34"/>
      <c r="H15" s="21"/>
      <c r="I15" s="21"/>
      <c r="J15" s="21"/>
    </row>
    <row r="16" spans="2:10" s="22" customFormat="1" x14ac:dyDescent="0.25">
      <c r="B16" s="53"/>
      <c r="C16" s="54"/>
      <c r="D16" s="54"/>
      <c r="E16" s="54"/>
      <c r="F16" s="34"/>
      <c r="G16" s="34"/>
      <c r="H16" s="21"/>
      <c r="I16" s="21"/>
      <c r="J16" s="21"/>
    </row>
    <row r="17" spans="2:10" s="22" customFormat="1" x14ac:dyDescent="0.25">
      <c r="B17" s="53"/>
      <c r="C17" s="54"/>
      <c r="D17" s="54"/>
      <c r="E17" s="54"/>
      <c r="F17" s="34"/>
      <c r="G17" s="34"/>
      <c r="H17" s="21"/>
      <c r="I17" s="21"/>
      <c r="J17" s="21"/>
    </row>
    <row r="18" spans="2:10" s="22" customFormat="1" x14ac:dyDescent="0.25">
      <c r="B18" s="53"/>
      <c r="C18" s="54"/>
      <c r="D18" s="54"/>
      <c r="E18" s="54"/>
      <c r="F18" s="34"/>
      <c r="G18" s="34"/>
      <c r="H18" s="21"/>
      <c r="I18" s="21"/>
      <c r="J18" s="21"/>
    </row>
    <row r="19" spans="2:10" s="22" customFormat="1" x14ac:dyDescent="0.25">
      <c r="B19" s="53"/>
      <c r="C19" s="54"/>
      <c r="D19" s="54"/>
      <c r="E19" s="54"/>
      <c r="F19" s="34"/>
      <c r="G19" s="34"/>
      <c r="H19" s="21"/>
      <c r="I19" s="21"/>
      <c r="J19" s="21"/>
    </row>
    <row r="20" spans="2:10" s="22" customFormat="1" x14ac:dyDescent="0.25">
      <c r="B20" s="53"/>
      <c r="C20" s="54"/>
      <c r="D20" s="54"/>
      <c r="E20" s="54"/>
      <c r="F20" s="34"/>
      <c r="G20" s="34"/>
      <c r="H20" s="21"/>
      <c r="I20" s="21"/>
      <c r="J20" s="21"/>
    </row>
    <row r="21" spans="2:10" s="22" customFormat="1" x14ac:dyDescent="0.25">
      <c r="B21" s="53"/>
      <c r="C21" s="54"/>
      <c r="D21" s="54"/>
      <c r="E21" s="54"/>
      <c r="F21" s="34"/>
      <c r="G21" s="34"/>
      <c r="H21" s="21"/>
      <c r="I21" s="21"/>
      <c r="J21" s="21"/>
    </row>
    <row r="22" spans="2:10" s="22" customFormat="1" x14ac:dyDescent="0.25">
      <c r="B22" s="53"/>
      <c r="C22" s="55"/>
      <c r="D22" s="56"/>
      <c r="E22" s="56"/>
      <c r="F22" s="34"/>
      <c r="G22" s="34"/>
      <c r="H22" s="21"/>
      <c r="I22" s="21"/>
      <c r="J22" s="21"/>
    </row>
    <row r="23" spans="2:10" s="22" customFormat="1" x14ac:dyDescent="0.25">
      <c r="B23" s="53"/>
      <c r="C23" s="55"/>
      <c r="D23" s="57"/>
      <c r="E23" s="57"/>
      <c r="F23" s="58"/>
      <c r="G23" s="58"/>
      <c r="H23" s="23"/>
      <c r="I23" s="23"/>
      <c r="J23" s="23"/>
    </row>
    <row r="24" spans="2:10" s="22" customFormat="1" x14ac:dyDescent="0.25">
      <c r="B24" s="53"/>
      <c r="C24" s="55"/>
      <c r="D24" s="55"/>
      <c r="E24" s="55"/>
      <c r="F24" s="58"/>
      <c r="G24" s="58"/>
      <c r="H24" s="23"/>
      <c r="I24" s="23"/>
      <c r="J24" s="23"/>
    </row>
    <row r="25" spans="2:10" s="24" customFormat="1" x14ac:dyDescent="0.25">
      <c r="B25" s="59"/>
      <c r="C25" s="60"/>
      <c r="D25" s="61"/>
      <c r="E25" s="61"/>
      <c r="F25" s="61"/>
      <c r="G25" s="61"/>
    </row>
    <row r="26" spans="2:10" s="24" customFormat="1" hidden="1" x14ac:dyDescent="0.25">
      <c r="B26" s="61"/>
      <c r="C26" s="61"/>
      <c r="D26" s="61"/>
      <c r="E26" s="61"/>
      <c r="F26" s="61"/>
      <c r="G26" s="61"/>
    </row>
    <row r="27" spans="2:10" s="24" customFormat="1" hidden="1" x14ac:dyDescent="0.25">
      <c r="B27" s="61"/>
      <c r="C27" s="61"/>
      <c r="D27" s="62"/>
      <c r="E27" s="62"/>
      <c r="F27" s="62"/>
      <c r="G27" s="62"/>
      <c r="H27" s="25"/>
      <c r="I27" s="25"/>
    </row>
    <row r="28" spans="2:10" s="24" customFormat="1" hidden="1" x14ac:dyDescent="0.25">
      <c r="B28" s="61"/>
      <c r="C28" s="61"/>
      <c r="D28" s="61"/>
      <c r="E28" s="61"/>
      <c r="F28" s="61"/>
      <c r="G28" s="61"/>
    </row>
  </sheetData>
  <mergeCells count="3">
    <mergeCell ref="B10:B11"/>
    <mergeCell ref="C10:C11"/>
    <mergeCell ref="D10:E10"/>
  </mergeCells>
  <printOptions horizontalCentered="1"/>
  <pageMargins left="0.25" right="0.25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Index</vt:lpstr>
      <vt:lpstr>AOC</vt:lpstr>
      <vt:lpstr>Lead</vt:lpstr>
      <vt:lpstr>SubLead-RawMaterial</vt:lpstr>
      <vt:lpstr>SubLead-PackingMaterial</vt:lpstr>
      <vt:lpstr>SubLead-WIP</vt:lpstr>
      <vt:lpstr>SubLead-FinishedGoods</vt:lpstr>
      <vt:lpstr>Vouching-Additions</vt:lpstr>
      <vt:lpstr>Impairnment</vt:lpstr>
      <vt:lpstr>Adjusting Entries</vt:lpstr>
      <vt:lpstr>'Adjusting Entries'!Print_Area</vt:lpstr>
      <vt:lpstr>AOC!Print_Area</vt:lpstr>
      <vt:lpstr>Impairnment!Print_Area</vt:lpstr>
      <vt:lpstr>Index!Print_Area</vt:lpstr>
      <vt:lpstr>Lead!Print_Area</vt:lpstr>
      <vt:lpstr>'SubLead-FinishedGoods'!Print_Area</vt:lpstr>
      <vt:lpstr>'SubLead-PackingMaterial'!Print_Area</vt:lpstr>
      <vt:lpstr>'SubLead-RawMaterial'!Print_Area</vt:lpstr>
      <vt:lpstr>'SubLead-WIP'!Print_Area</vt:lpstr>
      <vt:lpstr>'Vouching-Additions'!Print_Area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 Manager</dc:creator>
  <cp:lastModifiedBy>Hamid Ali</cp:lastModifiedBy>
  <cp:lastPrinted>2017-05-30T06:28:56Z</cp:lastPrinted>
  <dcterms:created xsi:type="dcterms:W3CDTF">2013-09-04T12:17:25Z</dcterms:created>
  <dcterms:modified xsi:type="dcterms:W3CDTF">2023-06-23T14:01:46Z</dcterms:modified>
</cp:coreProperties>
</file>