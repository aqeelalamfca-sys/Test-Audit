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Office\Templates\Audit Working Papers\2023\"/>
    </mc:Choice>
  </mc:AlternateContent>
  <xr:revisionPtr revIDLastSave="0" documentId="13_ncr:1_{C31D6144-4F9C-40DF-8A8B-1EFA49F1A104}" xr6:coauthVersionLast="47" xr6:coauthVersionMax="47" xr10:uidLastSave="{00000000-0000-0000-0000-000000000000}"/>
  <bookViews>
    <workbookView xWindow="-120" yWindow="-120" windowWidth="20730" windowHeight="11040" tabRatio="857" activeTab="4" xr2:uid="{00000000-000D-0000-FFFF-FFFF00000000}"/>
  </bookViews>
  <sheets>
    <sheet name="Index" sheetId="6" r:id="rId1"/>
    <sheet name="AOC" sheetId="7" r:id="rId2"/>
    <sheet name="Lead" sheetId="3" r:id="rId3"/>
    <sheet name="SubLead" sheetId="10" r:id="rId4"/>
    <sheet name="Additions-Vouching" sheetId="12" r:id="rId5"/>
    <sheet name="Disposals-Vouching" sheetId="13" r:id="rId6"/>
    <sheet name="Ammortization-AP" sheetId="14" r:id="rId7"/>
    <sheet name="Adjusting Entries" sheetId="22" r:id="rId8"/>
  </sheets>
  <definedNames>
    <definedName name="_xlnm.Print_Area" localSheetId="4">'Additions-Vouching'!$A$1:$AB$60</definedName>
    <definedName name="_xlnm.Print_Area" localSheetId="7">'Adjusting Entries'!$A$1:$F$37</definedName>
    <definedName name="_xlnm.Print_Area" localSheetId="6">'Ammortization-AP'!$A$1:$L$46</definedName>
    <definedName name="_xlnm.Print_Area" localSheetId="1">AOC!$A$1:$H$29</definedName>
    <definedName name="_xlnm.Print_Area" localSheetId="5">'Disposals-Vouching'!$A$1:$Z$48</definedName>
    <definedName name="_xlnm.Print_Area" localSheetId="0">Index!$A$1:$K$35</definedName>
    <definedName name="_xlnm.Print_Area" localSheetId="2">Lead!$A$1:$N$43</definedName>
    <definedName name="_xlnm.Print_Area" localSheetId="3">SubLead!$A$1:$N$39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2" i="12" l="1"/>
  <c r="F20" i="12" l="1"/>
  <c r="I52" i="14"/>
  <c r="G52" i="14"/>
  <c r="F52" i="14"/>
  <c r="E52" i="14"/>
  <c r="D52" i="14"/>
  <c r="I35" i="14"/>
  <c r="G35" i="14"/>
  <c r="F35" i="14"/>
  <c r="E35" i="14"/>
  <c r="D35" i="14"/>
  <c r="I44" i="14"/>
  <c r="G44" i="14"/>
  <c r="F44" i="14"/>
  <c r="E44" i="14"/>
  <c r="D44" i="14"/>
  <c r="V46" i="13"/>
  <c r="U46" i="13"/>
  <c r="T46" i="13"/>
  <c r="S46" i="13"/>
  <c r="R46" i="13"/>
  <c r="Q46" i="13"/>
  <c r="P46" i="13"/>
  <c r="O46" i="13"/>
  <c r="N46" i="13"/>
  <c r="M46" i="13"/>
  <c r="I46" i="13"/>
  <c r="G46" i="13"/>
  <c r="B15" i="6"/>
  <c r="F15" i="6" s="1"/>
  <c r="B24" i="7"/>
  <c r="B25" i="7" s="1"/>
  <c r="B26" i="7" s="1"/>
  <c r="B27" i="7" s="1"/>
  <c r="B13" i="7"/>
  <c r="B14" i="7" s="1"/>
  <c r="B15" i="7" s="1"/>
  <c r="B16" i="7" s="1"/>
  <c r="B17" i="7" s="1"/>
  <c r="B18" i="7" s="1"/>
  <c r="D6" i="22"/>
  <c r="D5" i="22"/>
  <c r="D4" i="22"/>
  <c r="D3" i="22"/>
  <c r="G7" i="14"/>
  <c r="G6" i="14"/>
  <c r="G5" i="14"/>
  <c r="G4" i="14"/>
  <c r="U7" i="13"/>
  <c r="U6" i="13"/>
  <c r="U5" i="13"/>
  <c r="U4" i="13"/>
  <c r="Z7" i="12"/>
  <c r="Z6" i="12"/>
  <c r="Z5" i="12"/>
  <c r="Z4" i="12"/>
  <c r="K6" i="10"/>
  <c r="K5" i="10"/>
  <c r="K4" i="10"/>
  <c r="K3" i="10"/>
  <c r="K6" i="3"/>
  <c r="K5" i="3"/>
  <c r="K4" i="3"/>
  <c r="K3" i="3"/>
  <c r="F6" i="7"/>
  <c r="F5" i="7"/>
  <c r="F4" i="7"/>
  <c r="B1" i="22"/>
  <c r="B1" i="14"/>
  <c r="E6" i="22"/>
  <c r="E5" i="22"/>
  <c r="E4" i="22"/>
  <c r="E3" i="22"/>
  <c r="I7" i="14"/>
  <c r="I6" i="14"/>
  <c r="I5" i="14"/>
  <c r="I4" i="14"/>
  <c r="V7" i="13"/>
  <c r="V6" i="13"/>
  <c r="V5" i="13"/>
  <c r="V4" i="13"/>
  <c r="AA7" i="12"/>
  <c r="AA6" i="12"/>
  <c r="AA5" i="12"/>
  <c r="AA4" i="12"/>
  <c r="M6" i="10"/>
  <c r="M5" i="10"/>
  <c r="M4" i="10"/>
  <c r="M3" i="10"/>
  <c r="C6" i="22"/>
  <c r="B6" i="22"/>
  <c r="C5" i="22"/>
  <c r="B5" i="22"/>
  <c r="C4" i="22"/>
  <c r="B4" i="22"/>
  <c r="B2" i="22"/>
  <c r="C6" i="14"/>
  <c r="B6" i="14"/>
  <c r="C5" i="14"/>
  <c r="B5" i="14"/>
  <c r="C4" i="14"/>
  <c r="B4" i="14"/>
  <c r="B2" i="14"/>
  <c r="C6" i="13"/>
  <c r="B6" i="13"/>
  <c r="C5" i="13"/>
  <c r="B5" i="13"/>
  <c r="C4" i="13"/>
  <c r="B4" i="13"/>
  <c r="B2" i="13"/>
  <c r="B1" i="13"/>
  <c r="C6" i="12"/>
  <c r="B6" i="12"/>
  <c r="C5" i="12"/>
  <c r="B5" i="12"/>
  <c r="C4" i="12"/>
  <c r="B4" i="12"/>
  <c r="B2" i="12"/>
  <c r="B1" i="12"/>
  <c r="C6" i="10"/>
  <c r="B6" i="10"/>
  <c r="C5" i="10"/>
  <c r="B5" i="10"/>
  <c r="C4" i="10"/>
  <c r="B4" i="10"/>
  <c r="B2" i="10"/>
  <c r="B1" i="10"/>
  <c r="J34" i="3"/>
  <c r="K34" i="3" s="1"/>
  <c r="C6" i="3"/>
  <c r="B6" i="3"/>
  <c r="C5" i="3"/>
  <c r="B5" i="3"/>
  <c r="C4" i="3"/>
  <c r="B4" i="3"/>
  <c r="B2" i="3"/>
  <c r="B1" i="3"/>
  <c r="G6" i="7"/>
  <c r="G5" i="7"/>
  <c r="G4" i="7"/>
  <c r="G3" i="7"/>
  <c r="F3" i="7"/>
  <c r="M6" i="3"/>
  <c r="M5" i="3"/>
  <c r="M4" i="3"/>
  <c r="M3" i="3"/>
  <c r="D6" i="7"/>
  <c r="D5" i="7"/>
  <c r="D4" i="7"/>
  <c r="B2" i="7"/>
  <c r="B1" i="7"/>
  <c r="F13" i="6"/>
  <c r="J35" i="3"/>
  <c r="K35" i="3" s="1"/>
  <c r="J36" i="3"/>
  <c r="K36" i="3" s="1"/>
  <c r="J37" i="3"/>
  <c r="K37" i="3" s="1"/>
  <c r="J38" i="3"/>
  <c r="K38" i="3" s="1"/>
  <c r="H41" i="3"/>
  <c r="G41" i="3"/>
  <c r="B17" i="6" l="1"/>
  <c r="F17" i="6" s="1"/>
  <c r="M1" i="10" s="1"/>
  <c r="G21" i="12" s="1"/>
  <c r="J41" i="3"/>
  <c r="M1" i="3"/>
  <c r="G1" i="7"/>
  <c r="C7" i="14"/>
  <c r="B19" i="6" l="1"/>
  <c r="J40" i="10"/>
  <c r="H40" i="10"/>
  <c r="G40" i="10"/>
  <c r="I40" i="10"/>
  <c r="M40" i="10"/>
  <c r="K40" i="10"/>
  <c r="E35" i="3"/>
  <c r="E34" i="3"/>
  <c r="E36" i="3"/>
  <c r="E37" i="3"/>
  <c r="E38" i="3"/>
  <c r="B21" i="6"/>
  <c r="F19" i="6"/>
  <c r="D31" i="14"/>
  <c r="E31" i="14"/>
  <c r="F31" i="14"/>
  <c r="G31" i="14"/>
  <c r="F21" i="6" l="1"/>
  <c r="AA1" i="12" s="1"/>
  <c r="E27" i="10" s="1"/>
  <c r="B23" i="6"/>
  <c r="H46" i="13"/>
  <c r="B8" i="7"/>
  <c r="F23" i="6" l="1"/>
  <c r="V1" i="13" s="1"/>
  <c r="E28" i="10" s="1"/>
  <c r="E33" i="10" s="1"/>
  <c r="B25" i="6"/>
  <c r="B27" i="6" s="1"/>
  <c r="B6" i="7"/>
  <c r="B5" i="7"/>
  <c r="B4" i="7"/>
  <c r="F25" i="6" l="1"/>
  <c r="I1" i="14" s="1"/>
  <c r="E32" i="10" l="1"/>
  <c r="K43" i="14" s="1"/>
  <c r="E26" i="10"/>
  <c r="E31" i="10"/>
  <c r="E34" i="10" s="1"/>
  <c r="E36" i="10"/>
  <c r="E38" i="10" s="1"/>
  <c r="F27" i="6"/>
  <c r="E1" i="22" s="1"/>
  <c r="E29" i="10" l="1"/>
  <c r="K50" i="14" s="1"/>
  <c r="K51" i="14" s="1"/>
  <c r="K52" i="14" s="1"/>
  <c r="K33" i="14"/>
  <c r="K34" i="14" s="1"/>
  <c r="K35" i="14" s="1"/>
</calcChain>
</file>

<file path=xl/sharedStrings.xml><?xml version="1.0" encoding="utf-8"?>
<sst xmlns="http://schemas.openxmlformats.org/spreadsheetml/2006/main" count="232" uniqueCount="178">
  <si>
    <t xml:space="preserve">Client: </t>
  </si>
  <si>
    <t>Period:</t>
  </si>
  <si>
    <t>Head:</t>
  </si>
  <si>
    <t xml:space="preserve"> </t>
  </si>
  <si>
    <t>INDEX</t>
  </si>
  <si>
    <t>Sr. #</t>
  </si>
  <si>
    <t>Whether Placed in File</t>
  </si>
  <si>
    <t>Initials of Reviewer</t>
  </si>
  <si>
    <t>LEAD SCHEDULE</t>
  </si>
  <si>
    <t>Prepared by:</t>
  </si>
  <si>
    <t>Reviewed by:</t>
  </si>
  <si>
    <t>Variance</t>
  </si>
  <si>
    <t>Reason for Variance</t>
  </si>
  <si>
    <t>Audit Objectives</t>
  </si>
  <si>
    <t>%</t>
  </si>
  <si>
    <t>SUB-LEAD SCHEDULE</t>
  </si>
  <si>
    <t>Test of Details</t>
  </si>
  <si>
    <t>Work Performed</t>
  </si>
  <si>
    <t>Performed casting and cross casting of the schedule.</t>
  </si>
  <si>
    <t>Checked supporting documents like vendors' invoices, contractor bills, and other evidences.</t>
  </si>
  <si>
    <t>Checked proper authorization and approval.</t>
  </si>
  <si>
    <t>Work performed</t>
  </si>
  <si>
    <t>Traced opening balances from fixed assets register, general ledger and last year’s working papers.</t>
  </si>
  <si>
    <t>Ensure that closing balances as per our working paper file are in match with closing balance as per general ledger.</t>
  </si>
  <si>
    <t>Audit Objectives and Conclusions</t>
  </si>
  <si>
    <t>Cost</t>
  </si>
  <si>
    <t>Closing Net Book Value</t>
  </si>
  <si>
    <t>Date</t>
  </si>
  <si>
    <t>Voucher #</t>
  </si>
  <si>
    <t>Description of Transaction</t>
  </si>
  <si>
    <t>Lead Schedule</t>
  </si>
  <si>
    <t>W.P. Ref.</t>
  </si>
  <si>
    <t>Description</t>
  </si>
  <si>
    <t>The audit has been completed in accordance with Audit program.</t>
  </si>
  <si>
    <t>The working papers demonstrate that adequate work has been undertaken.</t>
  </si>
  <si>
    <t>Objective Met</t>
  </si>
  <si>
    <t>Satisfactory</t>
  </si>
  <si>
    <t>Conclusion</t>
  </si>
  <si>
    <t>Yes/No</t>
  </si>
  <si>
    <t>Initials</t>
  </si>
  <si>
    <t>Compared current year balances with last year balances and ensured that any significant variation has been properly and logically reasoned.</t>
  </si>
  <si>
    <t>Rupees</t>
  </si>
  <si>
    <t>Sub Head:</t>
  </si>
  <si>
    <t>Document logical commercial reasons for major additions and disposal made during the year and check whether the additions are in accordance with the objects of the company.</t>
  </si>
  <si>
    <t>Supplier Name</t>
  </si>
  <si>
    <t>Qty</t>
  </si>
  <si>
    <t>Cheque #</t>
  </si>
  <si>
    <t>Cheque Amount</t>
  </si>
  <si>
    <t>Cheque Date</t>
  </si>
  <si>
    <t>Supplier's
Invoice #</t>
  </si>
  <si>
    <t>Purchase Order #</t>
  </si>
  <si>
    <t>Goods Received Note #</t>
  </si>
  <si>
    <t>Income Tax Withholding %</t>
  </si>
  <si>
    <t>Income Tax Withholding Amount</t>
  </si>
  <si>
    <t>Net Payment</t>
  </si>
  <si>
    <t>Traced in Bank</t>
  </si>
  <si>
    <t>Performed the above mentioned procedures to ensure various assertions</t>
  </si>
  <si>
    <t>Sales Tax Withholding %</t>
  </si>
  <si>
    <t>Sales Tax Withholding Amount</t>
  </si>
  <si>
    <t>Sales Tax %</t>
  </si>
  <si>
    <t>Sales Tax Amount</t>
  </si>
  <si>
    <t>VOUCHING FOR ADDITIONS</t>
  </si>
  <si>
    <t>VOUCHING FOR DELETIONS</t>
  </si>
  <si>
    <t>Name of Buyer</t>
  </si>
  <si>
    <t>Date of Acquisition</t>
  </si>
  <si>
    <t>Opening Written Down Value</t>
  </si>
  <si>
    <t>Disposal date</t>
  </si>
  <si>
    <t>No of Months in use</t>
  </si>
  <si>
    <t>WDV as per our calculation</t>
  </si>
  <si>
    <t>WDV as per client</t>
  </si>
  <si>
    <t>Difference</t>
  </si>
  <si>
    <t>Sales Proceeds</t>
  </si>
  <si>
    <t>Gain / (loss) on disposal as per our calculation</t>
  </si>
  <si>
    <t>Gain / (loss) on disposal as per General Ledger</t>
  </si>
  <si>
    <t>Opening Acc. Dep.</t>
  </si>
  <si>
    <t>Cost of Asset</t>
  </si>
  <si>
    <t xml:space="preserve">---------------------------------------- Rupees ---------------------------------------- </t>
  </si>
  <si>
    <t>Opening balance</t>
  </si>
  <si>
    <t>Additions during the period</t>
  </si>
  <si>
    <t>Disposals during the period</t>
  </si>
  <si>
    <t>Closing balance</t>
  </si>
  <si>
    <t>Opening Net Book Value</t>
  </si>
  <si>
    <t>Opening cost</t>
  </si>
  <si>
    <t>Compare current year expenses with last year expenses and ensure that any significant variation should be properly and logically reasoned</t>
  </si>
  <si>
    <t>Analytical Procedures</t>
  </si>
  <si>
    <t xml:space="preserve">Ensured that none of the assets has been impaired or the recoverable amount of an asset is not less than its carrying amount. </t>
  </si>
  <si>
    <t>Checked proper posting in general ledger.</t>
  </si>
  <si>
    <t>Ensured payments made and are reflected in the bank statements.</t>
  </si>
  <si>
    <t>Checked supporting documents like transfer deeds and other evidences.</t>
  </si>
  <si>
    <t>Ensured receipts are reflected in the bank statements.</t>
  </si>
  <si>
    <t>Sub-Lead Schedule</t>
  </si>
  <si>
    <t>Vouching for Additions</t>
  </si>
  <si>
    <t>Vouching for Disposals</t>
  </si>
  <si>
    <t>Intangibles assets are completely and accurately recorded.</t>
  </si>
  <si>
    <t>All recorded intangibles assets actually exist.</t>
  </si>
  <si>
    <t>Intangibles assets are recorded at appropriate values.</t>
  </si>
  <si>
    <t>Intangibles assets recorded are owned by the client and title is also in the name of client.</t>
  </si>
  <si>
    <t>Goodwill</t>
  </si>
  <si>
    <t>Acc. Amrt. till disposal as per General Ledger</t>
  </si>
  <si>
    <t>Acc. Amrt. till disposal as per our calculation</t>
  </si>
  <si>
    <t>Ascertain the nature of each significant intangible asset by inquiry or reviewing information contained in prior-year’s working papers.</t>
  </si>
  <si>
    <t>Ensured that all intangible assets fully comply with the definition (identifiable, control and flow of economic benefits) and recognition criteria of the IAS 38 i.e.</t>
  </si>
  <si>
    <t>(a) Flow of economic benefits to enterprise is expected in future, and</t>
  </si>
  <si>
    <t>(b) Cost of the asset may be determined.</t>
  </si>
  <si>
    <t>The working papers contain sufficient information, details of significant features and notes of unusual matters to enable us to form an opinion on financial statements.</t>
  </si>
  <si>
    <t>In my opinion above amounts are fairly stated and on a consistent basis with the previous period.</t>
  </si>
  <si>
    <t>Total</t>
  </si>
  <si>
    <t>Patents</t>
  </si>
  <si>
    <t>Copyrights</t>
  </si>
  <si>
    <t>Trademarks</t>
  </si>
  <si>
    <t>Financial Software</t>
  </si>
  <si>
    <t>AMORTIZATION - ANALYTICAL PROCEDURE</t>
  </si>
  <si>
    <t>Amortization - Analytical procedures</t>
  </si>
  <si>
    <t>Amortization on opening balance for the whole year</t>
  </si>
  <si>
    <t>Amortization the additions of assets during the year</t>
  </si>
  <si>
    <t>Amortization as per General Ledger</t>
  </si>
  <si>
    <t>Assessed the appropriateness of amortization method and rate in view of the flow of economic benefits and useful life of the assets</t>
  </si>
  <si>
    <t>Determined the reasonableness of accounting policy and amortization method, rates and their consistency with prior years.</t>
  </si>
  <si>
    <t>Checked calculation of amortization of selected assets.</t>
  </si>
  <si>
    <t>Ensured that any subsequent addition has been amortized over remaining useful life and not simply depreciated by applying the amortization rate.</t>
  </si>
  <si>
    <t>Opening accumulated amortization</t>
  </si>
  <si>
    <t>Amortization rate</t>
  </si>
  <si>
    <t>Amortization not charged on the assets disposed-off during the year</t>
  </si>
  <si>
    <t xml:space="preserve">Expected amortization charge for the year </t>
  </si>
  <si>
    <t>Checked the reasonableness of amortization expense by applying amortization rate to closing cost/ carrying value as per the method adopted</t>
  </si>
  <si>
    <t>Amortization Rate</t>
  </si>
  <si>
    <t>Amortization expense till disposal date</t>
  </si>
  <si>
    <t>Posted in Intangible Register</t>
  </si>
  <si>
    <t>Amortization</t>
  </si>
  <si>
    <t>Related information</t>
  </si>
  <si>
    <t>Obtained movement schedule of Intangibles for cost, accumulated amortization and impairment.</t>
  </si>
  <si>
    <t>(a)  Examine supporting documents (e.g. cash receipts).</t>
  </si>
  <si>
    <t>(b)  Calculate gain or loss on sale of assets</t>
  </si>
  <si>
    <t>ADJUSTING ENTRIES</t>
  </si>
  <si>
    <t>Amount</t>
  </si>
  <si>
    <t>Debit</t>
  </si>
  <si>
    <t>Credit</t>
  </si>
  <si>
    <t>Entry Proposed</t>
  </si>
  <si>
    <t>Adjusting Entries</t>
  </si>
  <si>
    <t>B.S.02</t>
  </si>
  <si>
    <t>Amortization/impairment expense and gain/ loss on disposal has been accurately calculated and appropriately disclosed.</t>
  </si>
  <si>
    <t>Intangible</t>
  </si>
  <si>
    <t>Analytical Procedures:</t>
  </si>
  <si>
    <t>Intangibles assets are presented and all disclosures have been given in accordance with the Fifth Schedules of the Companies Act, 2017 and relevant IASs/IFRSs.</t>
  </si>
  <si>
    <t>Determined and ensured that disclosures have been made in accordance with the requirements of Fifth Schedule to the Companies Act, 2017 and the applicable IASs / IFRSs.</t>
  </si>
  <si>
    <r>
      <t>2.</t>
    </r>
    <r>
      <rPr>
        <sz val="7"/>
        <color rgb="FFFF0000"/>
        <rFont val="Book Antiqua"/>
        <family val="1"/>
      </rPr>
      <t xml:space="preserve">    </t>
    </r>
    <r>
      <rPr>
        <sz val="11"/>
        <color rgb="FFFF0000"/>
        <rFont val="Book Antiqua"/>
        <family val="1"/>
      </rPr>
      <t>Ensure that all intangible assets fully comply with the definition (identifiable, control and flow of economic benefits) and recognition criteria of the IAS 38 i.e.</t>
    </r>
  </si>
  <si>
    <t>Date prepared:</t>
  </si>
  <si>
    <t>Date reviewed:</t>
  </si>
  <si>
    <t>ABC &amp; Co.</t>
  </si>
  <si>
    <t>(Chartered Accountants)</t>
  </si>
  <si>
    <t>ABC Limited</t>
  </si>
  <si>
    <t>Year ended June 30, 2023</t>
  </si>
  <si>
    <t>Intangible Assets</t>
  </si>
  <si>
    <t>Observations</t>
  </si>
  <si>
    <t>None.</t>
  </si>
  <si>
    <t xml:space="preserve"> For selected intangible assets disposed-off during the year: -</t>
  </si>
  <si>
    <t>Charge for the period</t>
  </si>
  <si>
    <t>For selected intangibles additions during the year: -</t>
  </si>
  <si>
    <t>(a) Approval in Board meeting</t>
  </si>
  <si>
    <t>(b) Trace the recorded value to supporting documents e.g. independent valuation for purchases in current year.</t>
  </si>
  <si>
    <t>(c) Obtain authorization or board minutes.</t>
  </si>
  <si>
    <t>Total Verified</t>
  </si>
  <si>
    <t>Total Population</t>
  </si>
  <si>
    <t>Closing cost</t>
  </si>
  <si>
    <t>Closing accumulated amortization</t>
  </si>
  <si>
    <t>Closing Written Down Value</t>
  </si>
  <si>
    <t>Evaluated whether the intangible assets with indefinite life are subject to impairment review.</t>
  </si>
  <si>
    <t>Determined that client's accounting policies for amortization are appropriate and applied consistently.</t>
  </si>
  <si>
    <t>Sampling Method</t>
  </si>
  <si>
    <t>Sample size (Planned)</t>
  </si>
  <si>
    <t>Random Table</t>
  </si>
  <si>
    <t>Invoice Amount</t>
  </si>
  <si>
    <t>Quotation Reference</t>
  </si>
  <si>
    <t>Purchase Requisition #</t>
  </si>
  <si>
    <t>Mathematical Accuracy (Yes/No)</t>
  </si>
  <si>
    <t>Proper Classification (Yes/No)</t>
  </si>
  <si>
    <t>Payment
Approval by</t>
  </si>
  <si>
    <t>Population Covered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</si>
</sst>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&quot;Rs.&quot;#,##0"/>
    <numFmt numFmtId="167" formatCode="&quot;£&quot;#,##0_);\(&quot;£&quot;#,##0\)"/>
    <numFmt numFmtId="168" formatCode="[$-409]d/mmm/yy;@"/>
    <numFmt numFmtId="169" formatCode="[$]dd\-mmm\-yyyy;@" x16r2:formatCode16="[$-en-PK,1]dd\-mmm\-yyyy;@"/>
    <numFmt numFmtId="170" formatCode="[$-409]dd/mmm/yy;@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8"/>
      <color theme="1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color indexed="8"/>
      <name val="MS Sans Serif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name val="SWISS"/>
    </font>
    <font>
      <sz val="12"/>
      <name val="Book Antiqua"/>
      <family val="1"/>
    </font>
    <font>
      <sz val="11"/>
      <name val="Book Antiqua"/>
      <family val="1"/>
    </font>
    <font>
      <sz val="11"/>
      <color theme="1"/>
      <name val="Book Antiqua"/>
      <family val="1"/>
    </font>
    <font>
      <b/>
      <sz val="11"/>
      <name val="Book Antiqua"/>
      <family val="1"/>
    </font>
    <font>
      <b/>
      <sz val="11"/>
      <color theme="1"/>
      <name val="Book Antiqua"/>
      <family val="1"/>
    </font>
    <font>
      <sz val="12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rgb="FF000000"/>
      <name val="Book Antiqua"/>
      <family val="1"/>
    </font>
    <font>
      <sz val="11"/>
      <color rgb="FFFF0000"/>
      <name val="Book Antiqua"/>
      <family val="1"/>
    </font>
    <font>
      <sz val="7"/>
      <color rgb="FFFF0000"/>
      <name val="Book Antiqua"/>
      <family val="1"/>
    </font>
    <font>
      <b/>
      <sz val="10"/>
      <color indexed="8"/>
      <name val="Book Antiqua"/>
      <family val="1"/>
    </font>
    <font>
      <sz val="10"/>
      <name val="Book Antiqua"/>
      <family val="1"/>
    </font>
    <font>
      <b/>
      <sz val="10"/>
      <name val="Book Antiqua"/>
      <family val="1"/>
    </font>
    <font>
      <b/>
      <sz val="10"/>
      <color theme="1"/>
      <name val="Book Antiqua"/>
      <family val="1"/>
    </font>
    <font>
      <sz val="10"/>
      <color theme="1"/>
      <name val="Book Antiqua"/>
      <family val="1"/>
    </font>
    <font>
      <sz val="10"/>
      <color rgb="FF000000"/>
      <name val="Book Antiqua"/>
      <family val="1"/>
    </font>
    <font>
      <sz val="10"/>
      <color indexed="8"/>
      <name val="Book Antiqua"/>
      <family val="1"/>
    </font>
    <font>
      <b/>
      <u/>
      <sz val="10"/>
      <name val="Book Antiqua"/>
      <family val="1"/>
    </font>
    <font>
      <b/>
      <sz val="10"/>
      <color theme="0"/>
      <name val="Book Antiqua"/>
      <family val="1"/>
    </font>
    <font>
      <b/>
      <u/>
      <sz val="10"/>
      <color theme="1"/>
      <name val="Book Antiqua"/>
      <family val="1"/>
    </font>
  </fonts>
  <fills count="2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dotted">
        <color rgb="FFC00000"/>
      </left>
      <right style="dotted">
        <color rgb="FFC00000"/>
      </right>
      <top style="dotted">
        <color rgb="FFC00000"/>
      </top>
      <bottom style="dotted">
        <color rgb="FFC00000"/>
      </bottom>
      <diagonal/>
    </border>
    <border>
      <left style="dotted">
        <color rgb="FFC00000"/>
      </left>
      <right style="dotted">
        <color rgb="FFC00000"/>
      </right>
      <top/>
      <bottom style="dotted">
        <color rgb="FFC0000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double">
        <color theme="0"/>
      </left>
      <right/>
      <top/>
      <bottom/>
      <diagonal/>
    </border>
    <border>
      <left/>
      <right/>
      <top style="thin">
        <color rgb="FFC00000"/>
      </top>
      <bottom style="double">
        <color rgb="FFC0000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C0000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/>
      <diagonal/>
    </border>
    <border>
      <left style="thin">
        <color rgb="FFC00000"/>
      </left>
      <right style="thin">
        <color rgb="FFC00000"/>
      </right>
      <top/>
      <bottom style="thin">
        <color rgb="FFC00000"/>
      </bottom>
      <diagonal/>
    </border>
    <border>
      <left style="thin">
        <color rgb="FFC00000"/>
      </left>
      <right style="thin">
        <color rgb="FFC00000"/>
      </right>
      <top/>
      <bottom/>
      <diagonal/>
    </border>
    <border>
      <left style="thin">
        <color rgb="FFC00000"/>
      </left>
      <right/>
      <top style="thin">
        <color rgb="FFC00000"/>
      </top>
      <bottom style="thin">
        <color rgb="FFC00000"/>
      </bottom>
      <diagonal/>
    </border>
    <border>
      <left/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dotted">
        <color rgb="FFC00000"/>
      </left>
      <right/>
      <top style="dotted">
        <color rgb="FFC00000"/>
      </top>
      <bottom style="dotted">
        <color rgb="FFC00000"/>
      </bottom>
      <diagonal/>
    </border>
    <border>
      <left/>
      <right style="dotted">
        <color rgb="FFC00000"/>
      </right>
      <top style="dotted">
        <color rgb="FFC00000"/>
      </top>
      <bottom style="dotted">
        <color rgb="FFC00000"/>
      </bottom>
      <diagonal/>
    </border>
  </borders>
  <cellStyleXfs count="75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4" fillId="0" borderId="0"/>
    <xf numFmtId="0" fontId="3" fillId="0" borderId="0"/>
    <xf numFmtId="0" fontId="3" fillId="0" borderId="0"/>
    <xf numFmtId="0" fontId="5" fillId="0" borderId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6" borderId="0" applyNumberFormat="0" applyBorder="0" applyAlignment="0" applyProtection="0"/>
    <xf numFmtId="0" fontId="4" fillId="9" borderId="0" applyNumberFormat="0" applyBorder="0" applyAlignment="0" applyProtection="0"/>
    <xf numFmtId="0" fontId="4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7" fillId="4" borderId="0" applyNumberFormat="0" applyBorder="0" applyAlignment="0" applyProtection="0"/>
    <xf numFmtId="0" fontId="8" fillId="21" borderId="2" applyNumberFormat="0" applyAlignment="0" applyProtection="0"/>
    <xf numFmtId="0" fontId="9" fillId="22" borderId="3" applyNumberFormat="0" applyAlignment="0" applyProtection="0"/>
    <xf numFmtId="164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7" fontId="10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2" fillId="5" borderId="0" applyNumberFormat="0" applyBorder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0" fontId="16" fillId="8" borderId="2" applyNumberFormat="0" applyAlignment="0" applyProtection="0"/>
    <xf numFmtId="0" fontId="17" fillId="0" borderId="7" applyNumberFormat="0" applyFill="0" applyAlignment="0" applyProtection="0"/>
    <xf numFmtId="0" fontId="18" fillId="23" borderId="0" applyNumberFormat="0" applyBorder="0" applyAlignment="0" applyProtection="0"/>
    <xf numFmtId="0" fontId="19" fillId="0" borderId="0"/>
    <xf numFmtId="0" fontId="2" fillId="0" borderId="0"/>
    <xf numFmtId="0" fontId="2" fillId="0" borderId="0"/>
    <xf numFmtId="0" fontId="19" fillId="0" borderId="0"/>
    <xf numFmtId="0" fontId="1" fillId="0" borderId="0"/>
    <xf numFmtId="0" fontId="4" fillId="24" borderId="8" applyNumberFormat="0" applyFont="0" applyAlignment="0" applyProtection="0"/>
    <xf numFmtId="0" fontId="20" fillId="21" borderId="9" applyNumberFormat="0" applyAlignment="0" applyProtection="0"/>
    <xf numFmtId="9" fontId="4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10" applyNumberFormat="0" applyFill="0" applyAlignment="0" applyProtection="0"/>
    <xf numFmtId="0" fontId="23" fillId="0" borderId="0" applyNumberFormat="0" applyFill="0" applyBorder="0" applyAlignment="0" applyProtection="0"/>
    <xf numFmtId="164" fontId="3" fillId="0" borderId="0" applyFont="0" applyFill="0" applyBorder="0" applyAlignment="0" applyProtection="0"/>
    <xf numFmtId="166" fontId="2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3" fillId="0" borderId="0"/>
    <xf numFmtId="168" fontId="3" fillId="0" borderId="0"/>
    <xf numFmtId="37" fontId="24" fillId="0" borderId="0"/>
    <xf numFmtId="168" fontId="3" fillId="0" borderId="0"/>
  </cellStyleXfs>
  <cellXfs count="271">
    <xf numFmtId="0" fontId="0" fillId="0" borderId="0" xfId="0"/>
    <xf numFmtId="0" fontId="25" fillId="0" borderId="0" xfId="4" applyFont="1" applyAlignment="1">
      <alignment vertical="center"/>
    </xf>
    <xf numFmtId="0" fontId="26" fillId="0" borderId="0" xfId="4" applyFont="1"/>
    <xf numFmtId="0" fontId="27" fillId="0" borderId="0" xfId="0" applyFont="1" applyAlignment="1">
      <alignment vertical="center"/>
    </xf>
    <xf numFmtId="0" fontId="26" fillId="0" borderId="0" xfId="4" applyFont="1" applyAlignment="1">
      <alignment vertical="center"/>
    </xf>
    <xf numFmtId="0" fontId="26" fillId="0" borderId="0" xfId="4" applyFont="1" applyAlignment="1">
      <alignment horizontal="center" vertical="center"/>
    </xf>
    <xf numFmtId="0" fontId="28" fillId="0" borderId="0" xfId="4" applyFont="1" applyAlignment="1">
      <alignment vertical="center"/>
    </xf>
    <xf numFmtId="0" fontId="29" fillId="0" borderId="0" xfId="0" applyFont="1" applyAlignment="1">
      <alignment horizontal="center" vertical="top"/>
    </xf>
    <xf numFmtId="0" fontId="27" fillId="0" borderId="0" xfId="0" applyFont="1" applyAlignment="1">
      <alignment vertical="top"/>
    </xf>
    <xf numFmtId="0" fontId="29" fillId="0" borderId="0" xfId="0" applyFont="1" applyAlignment="1">
      <alignment horizontal="center" vertical="center"/>
    </xf>
    <xf numFmtId="0" fontId="27" fillId="0" borderId="0" xfId="0" applyFont="1" applyAlignment="1">
      <alignment vertical="center"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top" wrapText="1"/>
    </xf>
    <xf numFmtId="0" fontId="26" fillId="2" borderId="0" xfId="2" applyFont="1" applyFill="1" applyAlignment="1">
      <alignment vertical="center"/>
    </xf>
    <xf numFmtId="0" fontId="28" fillId="2" borderId="0" xfId="2" applyFont="1" applyFill="1" applyAlignment="1">
      <alignment vertical="center"/>
    </xf>
    <xf numFmtId="0" fontId="30" fillId="0" borderId="0" xfId="2" applyFont="1" applyAlignment="1">
      <alignment vertical="center"/>
    </xf>
    <xf numFmtId="0" fontId="27" fillId="0" borderId="0" xfId="2" applyFont="1" applyAlignment="1">
      <alignment vertical="center"/>
    </xf>
    <xf numFmtId="0" fontId="27" fillId="0" borderId="0" xfId="4" applyFont="1"/>
    <xf numFmtId="0" fontId="27" fillId="0" borderId="0" xfId="0" applyFont="1"/>
    <xf numFmtId="0" fontId="30" fillId="0" borderId="0" xfId="0" applyFont="1"/>
    <xf numFmtId="0" fontId="29" fillId="0" borderId="0" xfId="0" applyFont="1"/>
    <xf numFmtId="0" fontId="29" fillId="0" borderId="0" xfId="10" applyFont="1" applyAlignment="1">
      <alignment horizontal="left" vertical="center"/>
    </xf>
    <xf numFmtId="0" fontId="32" fillId="0" borderId="0" xfId="0" applyFont="1" applyAlignment="1">
      <alignment horizontal="left" vertical="center" indent="2"/>
    </xf>
    <xf numFmtId="0" fontId="27" fillId="0" borderId="0" xfId="0" applyFont="1" applyAlignment="1">
      <alignment horizontal="center" vertical="center" wrapText="1"/>
    </xf>
    <xf numFmtId="165" fontId="27" fillId="0" borderId="0" xfId="1" applyNumberFormat="1" applyFont="1"/>
    <xf numFmtId="0" fontId="29" fillId="0" borderId="0" xfId="2" applyFont="1" applyAlignment="1">
      <alignment vertical="center"/>
    </xf>
    <xf numFmtId="0" fontId="27" fillId="0" borderId="0" xfId="2" applyFont="1" applyAlignment="1">
      <alignment horizontal="left" vertical="center" wrapText="1" indent="1"/>
    </xf>
    <xf numFmtId="0" fontId="25" fillId="0" borderId="0" xfId="2" applyFont="1" applyAlignment="1">
      <alignment vertical="center"/>
    </xf>
    <xf numFmtId="0" fontId="26" fillId="0" borderId="0" xfId="2" applyFont="1" applyAlignment="1">
      <alignment horizontal="left" vertical="center"/>
    </xf>
    <xf numFmtId="0" fontId="26" fillId="0" borderId="0" xfId="2" applyFont="1" applyAlignment="1">
      <alignment horizontal="center" vertical="center" wrapText="1"/>
    </xf>
    <xf numFmtId="0" fontId="26" fillId="0" borderId="0" xfId="2" applyFont="1" applyAlignment="1">
      <alignment vertical="center"/>
    </xf>
    <xf numFmtId="0" fontId="28" fillId="25" borderId="0" xfId="10" applyFont="1" applyFill="1" applyAlignment="1">
      <alignment horizontal="left" vertical="center"/>
    </xf>
    <xf numFmtId="0" fontId="28" fillId="0" borderId="0" xfId="10" applyFont="1" applyAlignment="1">
      <alignment horizontal="left" vertical="center"/>
    </xf>
    <xf numFmtId="165" fontId="26" fillId="0" borderId="0" xfId="69" applyNumberFormat="1" applyFont="1" applyFill="1" applyBorder="1" applyAlignment="1">
      <alignment horizontal="center" vertical="center" wrapText="1"/>
    </xf>
    <xf numFmtId="165" fontId="28" fillId="0" borderId="0" xfId="69" applyNumberFormat="1" applyFont="1" applyFill="1" applyBorder="1" applyAlignment="1">
      <alignment horizontal="center" vertical="center" wrapText="1"/>
    </xf>
    <xf numFmtId="0" fontId="26" fillId="0" borderId="0" xfId="10" applyFont="1" applyAlignment="1">
      <alignment vertical="center"/>
    </xf>
    <xf numFmtId="0" fontId="25" fillId="2" borderId="0" xfId="2" applyFont="1" applyFill="1" applyAlignment="1">
      <alignment vertical="center"/>
    </xf>
    <xf numFmtId="0" fontId="26" fillId="2" borderId="0" xfId="2" applyFont="1" applyFill="1" applyAlignment="1">
      <alignment horizontal="left" vertical="top" wrapText="1"/>
    </xf>
    <xf numFmtId="0" fontId="26" fillId="0" borderId="0" xfId="0" applyFont="1" applyAlignment="1">
      <alignment horizontal="left" vertical="top" wrapText="1" indent="2"/>
    </xf>
    <xf numFmtId="0" fontId="31" fillId="0" borderId="0" xfId="0" applyFont="1" applyAlignment="1">
      <alignment horizontal="left" vertical="top" wrapText="1" indent="2"/>
    </xf>
    <xf numFmtId="0" fontId="33" fillId="0" borderId="0" xfId="0" applyFont="1" applyAlignment="1">
      <alignment horizontal="left" vertical="center" indent="5"/>
    </xf>
    <xf numFmtId="0" fontId="33" fillId="0" borderId="0" xfId="0" applyFont="1" applyAlignment="1">
      <alignment horizontal="left" vertical="center" indent="10"/>
    </xf>
    <xf numFmtId="0" fontId="26" fillId="2" borderId="0" xfId="2" applyFont="1" applyFill="1" applyAlignment="1">
      <alignment vertical="center" wrapText="1"/>
    </xf>
    <xf numFmtId="0" fontId="26" fillId="2" borderId="0" xfId="2" quotePrefix="1" applyFont="1" applyFill="1" applyAlignment="1">
      <alignment horizontal="center" vertical="center"/>
    </xf>
    <xf numFmtId="0" fontId="26" fillId="2" borderId="0" xfId="2" applyFont="1" applyFill="1" applyAlignment="1">
      <alignment vertical="justify"/>
    </xf>
    <xf numFmtId="0" fontId="35" fillId="0" borderId="0" xfId="4" applyFont="1" applyAlignment="1">
      <alignment horizontal="left" vertical="center"/>
    </xf>
    <xf numFmtId="0" fontId="36" fillId="0" borderId="0" xfId="4" applyFont="1" applyAlignment="1">
      <alignment horizontal="center" vertical="center"/>
    </xf>
    <xf numFmtId="169" fontId="36" fillId="0" borderId="1" xfId="4" applyNumberFormat="1" applyFont="1" applyBorder="1" applyAlignment="1">
      <alignment horizontal="center" vertical="center"/>
    </xf>
    <xf numFmtId="0" fontId="36" fillId="0" borderId="1" xfId="4" applyFont="1" applyBorder="1" applyAlignment="1">
      <alignment horizontal="center" vertical="center"/>
    </xf>
    <xf numFmtId="0" fontId="37" fillId="0" borderId="0" xfId="4" applyFont="1"/>
    <xf numFmtId="0" fontId="35" fillId="0" borderId="0" xfId="3" applyNumberFormat="1" applyFont="1" applyFill="1" applyBorder="1" applyAlignment="1" applyProtection="1">
      <alignment vertical="center"/>
    </xf>
    <xf numFmtId="0" fontId="35" fillId="0" borderId="0" xfId="3" applyNumberFormat="1" applyFont="1" applyFill="1" applyAlignment="1">
      <alignment vertical="center"/>
    </xf>
    <xf numFmtId="0" fontId="37" fillId="0" borderId="0" xfId="0" applyFont="1" applyAlignment="1">
      <alignment vertical="center"/>
    </xf>
    <xf numFmtId="0" fontId="36" fillId="0" borderId="11" xfId="4" applyFont="1" applyBorder="1" applyAlignment="1">
      <alignment horizontal="center" vertical="center"/>
    </xf>
    <xf numFmtId="169" fontId="36" fillId="0" borderId="11" xfId="4" applyNumberFormat="1" applyFont="1" applyBorder="1" applyAlignment="1">
      <alignment horizontal="center" vertical="center"/>
    </xf>
    <xf numFmtId="0" fontId="38" fillId="0" borderId="0" xfId="0" applyFont="1" applyAlignment="1">
      <alignment horizontal="left"/>
    </xf>
    <xf numFmtId="0" fontId="39" fillId="0" borderId="0" xfId="0" applyFont="1" applyAlignment="1">
      <alignment horizontal="left"/>
    </xf>
    <xf numFmtId="0" fontId="36" fillId="2" borderId="0" xfId="2" applyFont="1" applyFill="1" applyAlignment="1">
      <alignment horizontal="left" vertical="top" wrapText="1" indent="2"/>
    </xf>
    <xf numFmtId="0" fontId="36" fillId="2" borderId="0" xfId="2" applyFont="1" applyFill="1" applyAlignment="1">
      <alignment horizontal="left" vertical="center" indent="2"/>
    </xf>
    <xf numFmtId="0" fontId="39" fillId="0" borderId="0" xfId="0" applyFont="1" applyAlignment="1">
      <alignment horizontal="left" vertical="center" indent="2"/>
    </xf>
    <xf numFmtId="0" fontId="36" fillId="0" borderId="0" xfId="0" applyFont="1" applyAlignment="1">
      <alignment horizontal="left" vertical="center" indent="2"/>
    </xf>
    <xf numFmtId="0" fontId="36" fillId="0" borderId="0" xfId="0" applyFont="1" applyAlignment="1">
      <alignment horizontal="left" vertical="top" wrapText="1" indent="2"/>
    </xf>
    <xf numFmtId="0" fontId="36" fillId="0" borderId="0" xfId="0" applyFont="1" applyAlignment="1">
      <alignment horizontal="left" vertical="center" indent="3"/>
    </xf>
    <xf numFmtId="0" fontId="36" fillId="2" borderId="0" xfId="2" applyFont="1" applyFill="1" applyAlignment="1">
      <alignment vertical="center"/>
    </xf>
    <xf numFmtId="0" fontId="36" fillId="0" borderId="0" xfId="0" applyFont="1" applyAlignment="1">
      <alignment vertical="center"/>
    </xf>
    <xf numFmtId="0" fontId="36" fillId="2" borderId="12" xfId="2" applyFont="1" applyFill="1" applyBorder="1" applyAlignment="1">
      <alignment vertical="center"/>
    </xf>
    <xf numFmtId="165" fontId="36" fillId="2" borderId="12" xfId="1" applyNumberFormat="1" applyFont="1" applyFill="1" applyBorder="1" applyAlignment="1">
      <alignment horizontal="right" vertical="center"/>
    </xf>
    <xf numFmtId="9" fontId="36" fillId="2" borderId="12" xfId="70" applyFont="1" applyFill="1" applyBorder="1" applyAlignment="1">
      <alignment horizontal="center" vertical="center"/>
    </xf>
    <xf numFmtId="165" fontId="36" fillId="2" borderId="12" xfId="1" applyNumberFormat="1" applyFont="1" applyFill="1" applyBorder="1" applyAlignment="1">
      <alignment horizontal="center" vertical="center"/>
    </xf>
    <xf numFmtId="169" fontId="36" fillId="0" borderId="17" xfId="4" applyNumberFormat="1" applyFont="1" applyBorder="1" applyAlignment="1">
      <alignment horizontal="center" vertical="center"/>
    </xf>
    <xf numFmtId="0" fontId="39" fillId="0" borderId="12" xfId="0" quotePrefix="1" applyFont="1" applyBorder="1" applyAlignment="1">
      <alignment horizontal="center" vertical="center" wrapText="1"/>
    </xf>
    <xf numFmtId="0" fontId="39" fillId="0" borderId="12" xfId="0" applyFont="1" applyBorder="1" applyAlignment="1">
      <alignment vertical="center"/>
    </xf>
    <xf numFmtId="0" fontId="39" fillId="0" borderId="12" xfId="0" applyFont="1" applyBorder="1" applyAlignment="1">
      <alignment vertical="center" wrapText="1"/>
    </xf>
    <xf numFmtId="0" fontId="39" fillId="0" borderId="12" xfId="0" applyFont="1" applyBorder="1" applyAlignment="1">
      <alignment horizontal="center" vertical="center"/>
    </xf>
    <xf numFmtId="0" fontId="39" fillId="0" borderId="12" xfId="0" applyFont="1" applyBorder="1" applyAlignment="1">
      <alignment horizontal="center" vertical="center" wrapText="1"/>
    </xf>
    <xf numFmtId="0" fontId="39" fillId="0" borderId="0" xfId="0" quotePrefix="1" applyFont="1" applyAlignment="1">
      <alignment horizontal="center" vertical="top" wrapText="1"/>
    </xf>
    <xf numFmtId="0" fontId="39" fillId="0" borderId="0" xfId="0" applyFont="1" applyAlignment="1">
      <alignment wrapText="1"/>
    </xf>
    <xf numFmtId="0" fontId="39" fillId="0" borderId="0" xfId="0" applyFont="1" applyAlignment="1">
      <alignment vertical="justify" wrapText="1"/>
    </xf>
    <xf numFmtId="0" fontId="39" fillId="0" borderId="0" xfId="0" applyFont="1" applyAlignment="1">
      <alignment vertical="top" wrapText="1"/>
    </xf>
    <xf numFmtId="0" fontId="36" fillId="0" borderId="0" xfId="4" applyFont="1"/>
    <xf numFmtId="0" fontId="36" fillId="0" borderId="0" xfId="4" applyFont="1" applyAlignment="1">
      <alignment horizontal="center"/>
    </xf>
    <xf numFmtId="0" fontId="37" fillId="0" borderId="0" xfId="4" quotePrefix="1" applyFont="1" applyAlignment="1">
      <alignment horizontal="right" vertical="center"/>
    </xf>
    <xf numFmtId="0" fontId="36" fillId="0" borderId="0" xfId="4" applyFont="1" applyAlignment="1">
      <alignment vertical="center"/>
    </xf>
    <xf numFmtId="0" fontId="39" fillId="0" borderId="0" xfId="0" applyFont="1" applyAlignment="1">
      <alignment vertical="center"/>
    </xf>
    <xf numFmtId="0" fontId="35" fillId="0" borderId="0" xfId="3" applyNumberFormat="1" applyFont="1" applyAlignment="1">
      <alignment horizontal="center" vertical="center"/>
    </xf>
    <xf numFmtId="0" fontId="37" fillId="0" borderId="0" xfId="3" applyNumberFormat="1" applyFont="1" applyAlignment="1">
      <alignment horizontal="center" vertical="center"/>
    </xf>
    <xf numFmtId="0" fontId="37" fillId="0" borderId="0" xfId="4" applyFont="1" applyAlignment="1">
      <alignment horizontal="center"/>
    </xf>
    <xf numFmtId="0" fontId="36" fillId="0" borderId="12" xfId="4" applyFont="1" applyBorder="1" applyAlignment="1">
      <alignment horizontal="center" vertical="center"/>
    </xf>
    <xf numFmtId="0" fontId="36" fillId="0" borderId="12" xfId="4" applyFont="1" applyBorder="1" applyAlignment="1">
      <alignment vertical="center"/>
    </xf>
    <xf numFmtId="0" fontId="36" fillId="0" borderId="12" xfId="4" applyFont="1" applyBorder="1"/>
    <xf numFmtId="0" fontId="37" fillId="2" borderId="0" xfId="2" applyFont="1" applyFill="1" applyAlignment="1">
      <alignment horizontal="left" vertical="center"/>
    </xf>
    <xf numFmtId="0" fontId="37" fillId="0" borderId="0" xfId="4" applyFont="1" applyAlignment="1">
      <alignment horizontal="right" vertical="center"/>
    </xf>
    <xf numFmtId="0" fontId="37" fillId="2" borderId="0" xfId="2" applyFont="1" applyFill="1" applyAlignment="1">
      <alignment vertical="center"/>
    </xf>
    <xf numFmtId="0" fontId="37" fillId="2" borderId="0" xfId="2" applyFont="1" applyFill="1" applyAlignment="1">
      <alignment horizontal="right" vertical="center"/>
    </xf>
    <xf numFmtId="0" fontId="36" fillId="2" borderId="0" xfId="2" applyFont="1" applyFill="1" applyAlignment="1">
      <alignment horizontal="center" vertical="center"/>
    </xf>
    <xf numFmtId="0" fontId="41" fillId="0" borderId="0" xfId="3" applyNumberFormat="1" applyFont="1" applyFill="1" applyBorder="1" applyAlignment="1" applyProtection="1">
      <alignment vertical="center"/>
    </xf>
    <xf numFmtId="0" fontId="35" fillId="0" borderId="0" xfId="3" applyNumberFormat="1" applyFont="1" applyAlignment="1">
      <alignment vertical="center"/>
    </xf>
    <xf numFmtId="0" fontId="35" fillId="0" borderId="0" xfId="4" applyFont="1" applyAlignment="1">
      <alignment horizontal="left"/>
    </xf>
    <xf numFmtId="0" fontId="36" fillId="2" borderId="0" xfId="2" applyFont="1" applyFill="1" applyAlignment="1">
      <alignment horizontal="left" vertical="top" wrapText="1"/>
    </xf>
    <xf numFmtId="0" fontId="39" fillId="0" borderId="0" xfId="0" applyFont="1" applyAlignment="1">
      <alignment vertical="top"/>
    </xf>
    <xf numFmtId="0" fontId="36" fillId="0" borderId="0" xfId="2" applyFont="1" applyAlignment="1">
      <alignment horizontal="left" vertical="center"/>
    </xf>
    <xf numFmtId="0" fontId="36" fillId="0" borderId="0" xfId="2" applyFont="1" applyAlignment="1">
      <alignment horizontal="center" vertical="center" wrapText="1"/>
    </xf>
    <xf numFmtId="0" fontId="37" fillId="0" borderId="0" xfId="2" applyFont="1" applyAlignment="1">
      <alignment horizontal="center" vertical="center" wrapText="1"/>
    </xf>
    <xf numFmtId="0" fontId="37" fillId="0" borderId="0" xfId="2" applyFont="1" applyAlignment="1">
      <alignment horizontal="right" vertical="center" wrapText="1"/>
    </xf>
    <xf numFmtId="0" fontId="36" fillId="0" borderId="0" xfId="0" applyFont="1" applyAlignment="1">
      <alignment horizontal="center" vertical="center" wrapText="1"/>
    </xf>
    <xf numFmtId="0" fontId="37" fillId="0" borderId="0" xfId="3" applyNumberFormat="1" applyFont="1" applyFill="1" applyAlignment="1">
      <alignment horizontal="left" vertical="center"/>
    </xf>
    <xf numFmtId="164" fontId="37" fillId="0" borderId="0" xfId="3" applyFont="1" applyFill="1" applyAlignment="1">
      <alignment horizontal="center" vertical="center" wrapText="1"/>
    </xf>
    <xf numFmtId="0" fontId="36" fillId="0" borderId="0" xfId="4" applyFont="1" applyAlignment="1">
      <alignment horizontal="center" wrapText="1"/>
    </xf>
    <xf numFmtId="164" fontId="37" fillId="0" borderId="0" xfId="3" applyFont="1" applyFill="1" applyAlignment="1">
      <alignment horizontal="center" wrapText="1"/>
    </xf>
    <xf numFmtId="0" fontId="42" fillId="0" borderId="0" xfId="0" applyFont="1" applyAlignment="1">
      <alignment horizontal="center" vertical="center" wrapText="1"/>
    </xf>
    <xf numFmtId="0" fontId="37" fillId="0" borderId="0" xfId="3" applyNumberFormat="1" applyFont="1" applyFill="1" applyBorder="1" applyAlignment="1" applyProtection="1">
      <alignment vertical="center"/>
    </xf>
    <xf numFmtId="0" fontId="37" fillId="0" borderId="0" xfId="2" applyFont="1" applyAlignment="1">
      <alignment vertical="center"/>
    </xf>
    <xf numFmtId="0" fontId="37" fillId="0" borderId="0" xfId="2" applyFont="1" applyAlignment="1">
      <alignment horizontal="left" vertical="center"/>
    </xf>
    <xf numFmtId="0" fontId="37" fillId="0" borderId="0" xfId="2" applyFont="1" applyAlignment="1">
      <alignment horizontal="left" vertical="center" indent="1"/>
    </xf>
    <xf numFmtId="0" fontId="36" fillId="0" borderId="0" xfId="0" applyFont="1" applyAlignment="1">
      <alignment horizontal="left" vertical="top" indent="2"/>
    </xf>
    <xf numFmtId="0" fontId="36" fillId="0" borderId="0" xfId="2" applyFont="1" applyAlignment="1">
      <alignment vertical="center"/>
    </xf>
    <xf numFmtId="9" fontId="36" fillId="0" borderId="0" xfId="70" applyFont="1" applyFill="1" applyAlignment="1">
      <alignment horizontal="center" vertical="center" wrapText="1"/>
    </xf>
    <xf numFmtId="0" fontId="37" fillId="25" borderId="0" xfId="10" applyFont="1" applyFill="1" applyAlignment="1">
      <alignment horizontal="center" vertical="center" wrapText="1"/>
    </xf>
    <xf numFmtId="0" fontId="37" fillId="0" borderId="0" xfId="10" applyFont="1" applyAlignment="1">
      <alignment horizontal="center" vertical="center" wrapText="1"/>
    </xf>
    <xf numFmtId="37" fontId="43" fillId="0" borderId="0" xfId="73" applyFont="1" applyAlignment="1">
      <alignment horizontal="center" vertical="center" wrapText="1"/>
    </xf>
    <xf numFmtId="0" fontId="36" fillId="0" borderId="13" xfId="10" applyFont="1" applyBorder="1" applyAlignment="1">
      <alignment horizontal="center" vertical="center" wrapText="1"/>
    </xf>
    <xf numFmtId="165" fontId="36" fillId="0" borderId="12" xfId="69" applyNumberFormat="1" applyFont="1" applyFill="1" applyBorder="1" applyAlignment="1">
      <alignment horizontal="center" vertical="center" wrapText="1"/>
    </xf>
    <xf numFmtId="165" fontId="37" fillId="0" borderId="12" xfId="69" applyNumberFormat="1" applyFont="1" applyFill="1" applyBorder="1" applyAlignment="1">
      <alignment horizontal="center" vertical="center" wrapText="1"/>
    </xf>
    <xf numFmtId="0" fontId="36" fillId="0" borderId="12" xfId="10" applyFont="1" applyBorder="1" applyAlignment="1">
      <alignment horizontal="center" vertical="center" wrapText="1"/>
    </xf>
    <xf numFmtId="168" fontId="43" fillId="0" borderId="15" xfId="72" applyFont="1" applyBorder="1" applyAlignment="1">
      <alignment horizontal="center" vertical="center"/>
    </xf>
    <xf numFmtId="165" fontId="36" fillId="0" borderId="0" xfId="69" applyNumberFormat="1" applyFont="1" applyFill="1" applyBorder="1" applyAlignment="1">
      <alignment horizontal="center" vertical="center" wrapText="1"/>
    </xf>
    <xf numFmtId="165" fontId="37" fillId="0" borderId="0" xfId="69" applyNumberFormat="1" applyFont="1" applyFill="1" applyBorder="1" applyAlignment="1">
      <alignment horizontal="center" vertical="center" wrapText="1"/>
    </xf>
    <xf numFmtId="165" fontId="36" fillId="0" borderId="16" xfId="69" applyNumberFormat="1" applyFont="1" applyFill="1" applyBorder="1" applyAlignment="1">
      <alignment horizontal="center" vertical="center" wrapText="1"/>
    </xf>
    <xf numFmtId="165" fontId="37" fillId="0" borderId="16" xfId="69" applyNumberFormat="1" applyFont="1" applyFill="1" applyBorder="1" applyAlignment="1">
      <alignment horizontal="center" vertical="center" wrapText="1"/>
    </xf>
    <xf numFmtId="0" fontId="36" fillId="0" borderId="0" xfId="10" applyFont="1" applyAlignment="1">
      <alignment vertical="center"/>
    </xf>
    <xf numFmtId="0" fontId="39" fillId="0" borderId="0" xfId="0" applyFont="1"/>
    <xf numFmtId="0" fontId="39" fillId="0" borderId="0" xfId="0" applyFont="1" applyAlignment="1">
      <alignment horizontal="center" vertical="center" wrapText="1"/>
    </xf>
    <xf numFmtId="165" fontId="39" fillId="0" borderId="0" xfId="1" applyNumberFormat="1" applyFont="1"/>
    <xf numFmtId="0" fontId="38" fillId="0" borderId="0" xfId="0" applyFont="1" applyAlignment="1">
      <alignment horizontal="right"/>
    </xf>
    <xf numFmtId="0" fontId="38" fillId="0" borderId="0" xfId="0" applyFont="1"/>
    <xf numFmtId="0" fontId="38" fillId="0" borderId="0" xfId="2" applyFont="1" applyAlignment="1">
      <alignment vertical="center"/>
    </xf>
    <xf numFmtId="0" fontId="39" fillId="0" borderId="0" xfId="2" applyFont="1" applyAlignment="1">
      <alignment horizontal="left" vertical="center" indent="1"/>
    </xf>
    <xf numFmtId="0" fontId="39" fillId="0" borderId="0" xfId="2" applyFont="1" applyAlignment="1">
      <alignment horizontal="left" vertical="center" wrapText="1" indent="1"/>
    </xf>
    <xf numFmtId="0" fontId="39" fillId="0" borderId="12" xfId="0" applyFont="1" applyBorder="1"/>
    <xf numFmtId="165" fontId="39" fillId="0" borderId="12" xfId="1" applyNumberFormat="1" applyFont="1" applyBorder="1"/>
    <xf numFmtId="0" fontId="36" fillId="0" borderId="0" xfId="0" applyFont="1" applyAlignment="1">
      <alignment horizontal="left" vertical="center" indent="1"/>
    </xf>
    <xf numFmtId="0" fontId="39" fillId="0" borderId="0" xfId="2" applyFont="1" applyAlignment="1">
      <alignment vertical="center"/>
    </xf>
    <xf numFmtId="0" fontId="38" fillId="0" borderId="0" xfId="2" applyFont="1" applyAlignment="1">
      <alignment horizontal="right" vertical="center"/>
    </xf>
    <xf numFmtId="0" fontId="39" fillId="0" borderId="0" xfId="2" applyFont="1" applyAlignment="1">
      <alignment horizontal="center" vertical="center"/>
    </xf>
    <xf numFmtId="9" fontId="39" fillId="0" borderId="0" xfId="70" applyFont="1" applyFill="1" applyBorder="1" applyAlignment="1">
      <alignment vertical="center"/>
    </xf>
    <xf numFmtId="0" fontId="39" fillId="0" borderId="0" xfId="4" applyFont="1"/>
    <xf numFmtId="164" fontId="38" fillId="0" borderId="0" xfId="3" applyFont="1" applyFill="1" applyAlignment="1">
      <alignment vertical="center"/>
    </xf>
    <xf numFmtId="164" fontId="38" fillId="0" borderId="0" xfId="3" applyFont="1" applyFill="1" applyAlignment="1"/>
    <xf numFmtId="0" fontId="44" fillId="0" borderId="0" xfId="0" applyFont="1" applyAlignment="1">
      <alignment vertical="center"/>
    </xf>
    <xf numFmtId="0" fontId="38" fillId="0" borderId="0" xfId="3" applyNumberFormat="1" applyFont="1" applyFill="1" applyBorder="1" applyAlignment="1" applyProtection="1">
      <alignment vertical="center"/>
    </xf>
    <xf numFmtId="0" fontId="38" fillId="0" borderId="0" xfId="3" applyNumberFormat="1" applyFont="1" applyFill="1" applyAlignment="1">
      <alignment horizontal="left" vertical="center"/>
    </xf>
    <xf numFmtId="9" fontId="39" fillId="0" borderId="0" xfId="70" applyFont="1" applyFill="1"/>
    <xf numFmtId="0" fontId="38" fillId="0" borderId="0" xfId="0" applyFont="1" applyAlignment="1">
      <alignment horizontal="left" indent="1"/>
    </xf>
    <xf numFmtId="0" fontId="38" fillId="0" borderId="0" xfId="2" applyFont="1" applyAlignment="1">
      <alignment horizontal="left" vertical="center" indent="1"/>
    </xf>
    <xf numFmtId="0" fontId="40" fillId="0" borderId="0" xfId="0" applyFont="1" applyAlignment="1">
      <alignment horizontal="left" vertical="center" indent="2"/>
    </xf>
    <xf numFmtId="0" fontId="39" fillId="0" borderId="0" xfId="0" applyFont="1" applyAlignment="1">
      <alignment vertical="center" wrapText="1"/>
    </xf>
    <xf numFmtId="0" fontId="38" fillId="0" borderId="0" xfId="10" applyFont="1" applyAlignment="1">
      <alignment horizontal="left" vertical="center"/>
    </xf>
    <xf numFmtId="169" fontId="36" fillId="0" borderId="0" xfId="4" applyNumberFormat="1" applyFont="1" applyAlignment="1">
      <alignment horizontal="center" vertical="center"/>
    </xf>
    <xf numFmtId="0" fontId="39" fillId="0" borderId="18" xfId="2" applyFont="1" applyBorder="1" applyAlignment="1">
      <alignment horizontal="left" vertical="center" wrapText="1" indent="1"/>
    </xf>
    <xf numFmtId="9" fontId="36" fillId="0" borderId="12" xfId="70" applyFont="1" applyFill="1" applyBorder="1" applyAlignment="1">
      <alignment horizontal="center" vertical="center"/>
    </xf>
    <xf numFmtId="0" fontId="37" fillId="0" borderId="0" xfId="2" applyFont="1" applyAlignment="1">
      <alignment horizontal="left" vertical="center" wrapText="1"/>
    </xf>
    <xf numFmtId="0" fontId="36" fillId="0" borderId="0" xfId="0" applyFont="1" applyAlignment="1">
      <alignment horizontal="left" vertical="center" wrapText="1"/>
    </xf>
    <xf numFmtId="165" fontId="39" fillId="0" borderId="0" xfId="1" applyNumberFormat="1" applyFont="1" applyBorder="1"/>
    <xf numFmtId="0" fontId="37" fillId="0" borderId="0" xfId="4" applyFont="1" applyAlignment="1">
      <alignment vertical="center"/>
    </xf>
    <xf numFmtId="0" fontId="38" fillId="0" borderId="14" xfId="4" applyFont="1" applyBorder="1" applyAlignment="1">
      <alignment horizontal="center" vertical="center"/>
    </xf>
    <xf numFmtId="0" fontId="38" fillId="0" borderId="14" xfId="4" applyFont="1" applyBorder="1" applyAlignment="1">
      <alignment horizontal="center" vertical="center" wrapText="1"/>
    </xf>
    <xf numFmtId="0" fontId="38" fillId="0" borderId="14" xfId="0" applyFont="1" applyBorder="1" applyAlignment="1">
      <alignment horizontal="center" vertical="center"/>
    </xf>
    <xf numFmtId="0" fontId="38" fillId="0" borderId="14" xfId="0" applyFont="1" applyBorder="1" applyAlignment="1">
      <alignment horizontal="center" vertical="center" wrapText="1"/>
    </xf>
    <xf numFmtId="0" fontId="38" fillId="0" borderId="0" xfId="0" quotePrefix="1" applyFont="1" applyAlignment="1">
      <alignment horizontal="center" vertical="center" wrapText="1"/>
    </xf>
    <xf numFmtId="0" fontId="38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 wrapText="1"/>
    </xf>
    <xf numFmtId="0" fontId="39" fillId="0" borderId="12" xfId="0" applyFont="1" applyBorder="1" applyAlignment="1">
      <alignment vertical="justify" wrapText="1"/>
    </xf>
    <xf numFmtId="0" fontId="39" fillId="0" borderId="12" xfId="0" applyFont="1" applyBorder="1" applyAlignment="1">
      <alignment vertical="top" wrapText="1"/>
    </xf>
    <xf numFmtId="0" fontId="36" fillId="0" borderId="12" xfId="2" applyFont="1" applyBorder="1" applyAlignment="1">
      <alignment vertical="justify"/>
    </xf>
    <xf numFmtId="0" fontId="36" fillId="0" borderId="12" xfId="2" applyFont="1" applyBorder="1" applyAlignment="1">
      <alignment vertical="center"/>
    </xf>
    <xf numFmtId="0" fontId="39" fillId="0" borderId="0" xfId="0" quotePrefix="1" applyFont="1" applyAlignment="1">
      <alignment horizontal="center" vertical="center" wrapText="1"/>
    </xf>
    <xf numFmtId="37" fontId="38" fillId="0" borderId="14" xfId="73" applyFont="1" applyBorder="1" applyAlignment="1">
      <alignment horizontal="center" vertical="center" wrapText="1"/>
    </xf>
    <xf numFmtId="0" fontId="38" fillId="0" borderId="14" xfId="10" applyFont="1" applyBorder="1" applyAlignment="1">
      <alignment horizontal="center" vertical="center" wrapText="1"/>
    </xf>
    <xf numFmtId="165" fontId="38" fillId="0" borderId="14" xfId="1" applyNumberFormat="1" applyFont="1" applyFill="1" applyBorder="1" applyAlignment="1">
      <alignment horizontal="center" vertical="center" wrapText="1"/>
    </xf>
    <xf numFmtId="0" fontId="38" fillId="0" borderId="14" xfId="2" applyFont="1" applyBorder="1" applyAlignment="1">
      <alignment horizontal="center" vertical="center"/>
    </xf>
    <xf numFmtId="0" fontId="38" fillId="0" borderId="0" xfId="10" quotePrefix="1" applyFont="1" applyAlignment="1">
      <alignment horizontal="center" vertical="center" wrapText="1"/>
    </xf>
    <xf numFmtId="0" fontId="38" fillId="0" borderId="0" xfId="10" applyFont="1" applyAlignment="1">
      <alignment horizontal="center" vertical="center" wrapText="1"/>
    </xf>
    <xf numFmtId="0" fontId="37" fillId="2" borderId="24" xfId="2" applyFont="1" applyFill="1" applyBorder="1" applyAlignment="1">
      <alignment vertical="center"/>
    </xf>
    <xf numFmtId="0" fontId="37" fillId="2" borderId="25" xfId="2" applyFont="1" applyFill="1" applyBorder="1" applyAlignment="1">
      <alignment vertical="center"/>
    </xf>
    <xf numFmtId="0" fontId="36" fillId="0" borderId="25" xfId="3" applyNumberFormat="1" applyFont="1" applyFill="1" applyBorder="1" applyAlignment="1">
      <alignment vertical="center"/>
    </xf>
    <xf numFmtId="0" fontId="36" fillId="2" borderId="24" xfId="2" applyFont="1" applyFill="1" applyBorder="1" applyAlignment="1">
      <alignment vertical="center"/>
    </xf>
    <xf numFmtId="0" fontId="36" fillId="2" borderId="25" xfId="2" applyFont="1" applyFill="1" applyBorder="1" applyAlignment="1">
      <alignment vertical="center"/>
    </xf>
    <xf numFmtId="0" fontId="36" fillId="0" borderId="24" xfId="3" applyNumberFormat="1" applyFont="1" applyFill="1" applyBorder="1" applyAlignment="1">
      <alignment horizontal="left" vertical="center" indent="1"/>
    </xf>
    <xf numFmtId="0" fontId="36" fillId="2" borderId="24" xfId="2" applyFont="1" applyFill="1" applyBorder="1" applyAlignment="1">
      <alignment horizontal="left" vertical="center" indent="1"/>
    </xf>
    <xf numFmtId="0" fontId="37" fillId="2" borderId="24" xfId="2" applyFont="1" applyFill="1" applyBorder="1" applyAlignment="1">
      <alignment horizontal="left" vertical="center" indent="1"/>
    </xf>
    <xf numFmtId="0" fontId="36" fillId="2" borderId="12" xfId="2" applyFont="1" applyFill="1" applyBorder="1" applyAlignment="1">
      <alignment horizontal="center" vertical="center"/>
    </xf>
    <xf numFmtId="37" fontId="37" fillId="0" borderId="0" xfId="73" applyFont="1" applyAlignment="1">
      <alignment horizontal="center" vertical="center" wrapText="1"/>
    </xf>
    <xf numFmtId="0" fontId="37" fillId="0" borderId="14" xfId="10" applyFont="1" applyBorder="1" applyAlignment="1">
      <alignment horizontal="center" vertical="center" wrapText="1"/>
    </xf>
    <xf numFmtId="0" fontId="37" fillId="0" borderId="12" xfId="10" applyFont="1" applyBorder="1" applyAlignment="1">
      <alignment horizontal="center" vertical="center" wrapText="1"/>
    </xf>
    <xf numFmtId="168" fontId="43" fillId="0" borderId="0" xfId="72" applyFont="1" applyAlignment="1">
      <alignment horizontal="center" vertical="center"/>
    </xf>
    <xf numFmtId="0" fontId="29" fillId="0" borderId="0" xfId="0" applyFont="1" applyAlignment="1">
      <alignment horizontal="center" vertical="center" wrapText="1"/>
    </xf>
    <xf numFmtId="0" fontId="39" fillId="0" borderId="0" xfId="2" applyFont="1" applyAlignment="1">
      <alignment horizontal="left" vertical="top" indent="1"/>
    </xf>
    <xf numFmtId="165" fontId="38" fillId="0" borderId="0" xfId="1" applyNumberFormat="1" applyFont="1" applyAlignment="1"/>
    <xf numFmtId="165" fontId="38" fillId="0" borderId="0" xfId="1" applyNumberFormat="1" applyFont="1" applyAlignment="1">
      <alignment horizontal="left"/>
    </xf>
    <xf numFmtId="165" fontId="39" fillId="0" borderId="0" xfId="1" applyNumberFormat="1" applyFont="1" applyAlignment="1">
      <alignment horizontal="left" vertical="top" indent="1"/>
    </xf>
    <xf numFmtId="165" fontId="39" fillId="0" borderId="0" xfId="1" applyNumberFormat="1" applyFont="1" applyBorder="1" applyAlignment="1">
      <alignment horizontal="left" vertical="center" wrapText="1" indent="1"/>
    </xf>
    <xf numFmtId="165" fontId="39" fillId="0" borderId="18" xfId="1" applyNumberFormat="1" applyFont="1" applyBorder="1" applyAlignment="1">
      <alignment horizontal="left" vertical="center" wrapText="1" indent="1"/>
    </xf>
    <xf numFmtId="165" fontId="38" fillId="0" borderId="14" xfId="1" applyNumberFormat="1" applyFont="1" applyBorder="1" applyAlignment="1">
      <alignment horizontal="center" vertical="center" wrapText="1"/>
    </xf>
    <xf numFmtId="165" fontId="27" fillId="0" borderId="0" xfId="1" applyNumberFormat="1" applyFont="1" applyAlignment="1">
      <alignment horizontal="left" vertical="center" wrapText="1" indent="1"/>
    </xf>
    <xf numFmtId="165" fontId="39" fillId="0" borderId="0" xfId="1" applyNumberFormat="1" applyFont="1" applyAlignment="1">
      <alignment horizontal="center" vertical="center" wrapText="1"/>
    </xf>
    <xf numFmtId="165" fontId="27" fillId="0" borderId="0" xfId="1" applyNumberFormat="1" applyFont="1" applyAlignment="1">
      <alignment horizontal="center" vertical="center" wrapText="1"/>
    </xf>
    <xf numFmtId="9" fontId="39" fillId="0" borderId="0" xfId="70" applyFont="1" applyAlignment="1">
      <alignment horizontal="center" vertical="center" wrapText="1"/>
    </xf>
    <xf numFmtId="9" fontId="38" fillId="0" borderId="0" xfId="70" applyFont="1" applyAlignment="1"/>
    <xf numFmtId="9" fontId="38" fillId="0" borderId="14" xfId="70" applyFont="1" applyFill="1" applyBorder="1" applyAlignment="1">
      <alignment horizontal="center" vertical="center" wrapText="1"/>
    </xf>
    <xf numFmtId="9" fontId="27" fillId="0" borderId="0" xfId="70" applyFont="1" applyAlignment="1">
      <alignment horizontal="center" vertical="center" wrapText="1"/>
    </xf>
    <xf numFmtId="170" fontId="39" fillId="0" borderId="0" xfId="0" applyNumberFormat="1" applyFont="1" applyAlignment="1">
      <alignment horizontal="center" vertical="center" wrapText="1"/>
    </xf>
    <xf numFmtId="170" fontId="38" fillId="0" borderId="0" xfId="0" applyNumberFormat="1" applyFont="1"/>
    <xf numFmtId="170" fontId="38" fillId="0" borderId="14" xfId="0" applyNumberFormat="1" applyFont="1" applyBorder="1" applyAlignment="1">
      <alignment horizontal="center" vertical="center" wrapText="1"/>
    </xf>
    <xf numFmtId="170" fontId="27" fillId="0" borderId="0" xfId="0" applyNumberFormat="1" applyFont="1" applyAlignment="1">
      <alignment horizontal="center" vertical="center" wrapText="1"/>
    </xf>
    <xf numFmtId="0" fontId="39" fillId="0" borderId="0" xfId="1" applyNumberFormat="1" applyFont="1" applyAlignment="1">
      <alignment horizontal="center" vertical="center" wrapText="1"/>
    </xf>
    <xf numFmtId="0" fontId="38" fillId="0" borderId="0" xfId="1" applyNumberFormat="1" applyFont="1" applyAlignment="1">
      <alignment horizontal="right"/>
    </xf>
    <xf numFmtId="0" fontId="39" fillId="0" borderId="0" xfId="1" applyNumberFormat="1" applyFont="1"/>
    <xf numFmtId="0" fontId="35" fillId="0" borderId="0" xfId="1" applyNumberFormat="1" applyFont="1" applyAlignment="1">
      <alignment horizontal="left" vertical="center"/>
    </xf>
    <xf numFmtId="0" fontId="36" fillId="0" borderId="11" xfId="1" applyNumberFormat="1" applyFont="1" applyBorder="1" applyAlignment="1">
      <alignment horizontal="center" vertical="center"/>
    </xf>
    <xf numFmtId="0" fontId="38" fillId="0" borderId="0" xfId="1" applyNumberFormat="1" applyFont="1" applyAlignment="1"/>
    <xf numFmtId="0" fontId="39" fillId="0" borderId="0" xfId="0" applyFont="1" applyAlignment="1">
      <alignment horizontal="center" vertical="center"/>
    </xf>
    <xf numFmtId="165" fontId="39" fillId="0" borderId="0" xfId="1" applyNumberFormat="1" applyFont="1" applyBorder="1" applyAlignment="1">
      <alignment horizontal="center" vertical="center"/>
    </xf>
    <xf numFmtId="165" fontId="39" fillId="0" borderId="0" xfId="1" applyNumberFormat="1" applyFont="1" applyBorder="1" applyAlignment="1"/>
    <xf numFmtId="170" fontId="39" fillId="0" borderId="0" xfId="0" applyNumberFormat="1" applyFont="1" applyAlignment="1">
      <alignment horizontal="center" vertical="center"/>
    </xf>
    <xf numFmtId="9" fontId="39" fillId="0" borderId="0" xfId="70" applyFont="1" applyBorder="1" applyAlignment="1">
      <alignment horizontal="center" vertical="center"/>
    </xf>
    <xf numFmtId="165" fontId="39" fillId="0" borderId="12" xfId="1" applyNumberFormat="1" applyFont="1" applyBorder="1" applyAlignment="1">
      <alignment horizontal="center" vertical="center"/>
    </xf>
    <xf numFmtId="165" fontId="39" fillId="0" borderId="12" xfId="1" applyNumberFormat="1" applyFont="1" applyBorder="1" applyAlignment="1"/>
    <xf numFmtId="170" fontId="39" fillId="0" borderId="12" xfId="0" applyNumberFormat="1" applyFont="1" applyBorder="1" applyAlignment="1">
      <alignment horizontal="center" vertical="center"/>
    </xf>
    <xf numFmtId="9" fontId="39" fillId="0" borderId="12" xfId="7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165" fontId="27" fillId="0" borderId="0" xfId="1" applyNumberFormat="1" applyFont="1" applyAlignment="1">
      <alignment horizontal="center" vertical="center"/>
    </xf>
    <xf numFmtId="165" fontId="27" fillId="0" borderId="0" xfId="1" applyNumberFormat="1" applyFont="1" applyAlignment="1"/>
    <xf numFmtId="170" fontId="27" fillId="0" borderId="0" xfId="0" applyNumberFormat="1" applyFont="1" applyAlignment="1">
      <alignment horizontal="center" vertical="center"/>
    </xf>
    <xf numFmtId="9" fontId="27" fillId="0" borderId="0" xfId="70" applyFont="1" applyAlignment="1">
      <alignment horizontal="center" vertical="center"/>
    </xf>
    <xf numFmtId="0" fontId="27" fillId="0" borderId="0" xfId="2" applyFont="1" applyAlignment="1">
      <alignment horizontal="left" vertical="center"/>
    </xf>
    <xf numFmtId="165" fontId="38" fillId="0" borderId="12" xfId="1" applyNumberFormat="1" applyFont="1" applyBorder="1"/>
    <xf numFmtId="165" fontId="38" fillId="0" borderId="0" xfId="1" applyNumberFormat="1" applyFont="1"/>
    <xf numFmtId="165" fontId="38" fillId="0" borderId="16" xfId="1" applyNumberFormat="1" applyFont="1" applyBorder="1"/>
    <xf numFmtId="9" fontId="39" fillId="0" borderId="0" xfId="70" applyFont="1"/>
    <xf numFmtId="9" fontId="38" fillId="0" borderId="18" xfId="70" applyFont="1" applyBorder="1"/>
    <xf numFmtId="165" fontId="38" fillId="0" borderId="0" xfId="1" applyNumberFormat="1" applyFont="1" applyBorder="1"/>
    <xf numFmtId="0" fontId="38" fillId="0" borderId="0" xfId="2" applyFont="1" applyAlignment="1">
      <alignment horizontal="center" vertical="center"/>
    </xf>
    <xf numFmtId="0" fontId="39" fillId="0" borderId="0" xfId="4" applyFont="1" applyAlignment="1">
      <alignment horizontal="center"/>
    </xf>
    <xf numFmtId="0" fontId="39" fillId="0" borderId="0" xfId="0" applyFont="1" applyAlignment="1">
      <alignment horizontal="center"/>
    </xf>
    <xf numFmtId="165" fontId="38" fillId="0" borderId="0" xfId="1" applyNumberFormat="1" applyFont="1" applyBorder="1" applyAlignment="1">
      <alignment horizontal="center"/>
    </xf>
    <xf numFmtId="165" fontId="38" fillId="0" borderId="0" xfId="1" applyNumberFormat="1" applyFont="1" applyAlignment="1">
      <alignment horizontal="center"/>
    </xf>
    <xf numFmtId="9" fontId="38" fillId="0" borderId="0" xfId="70" applyFont="1" applyBorder="1" applyAlignment="1">
      <alignment horizontal="center"/>
    </xf>
    <xf numFmtId="0" fontId="30" fillId="0" borderId="0" xfId="0" applyFont="1" applyAlignment="1">
      <alignment horizontal="center"/>
    </xf>
    <xf numFmtId="0" fontId="26" fillId="2" borderId="0" xfId="2" applyFont="1" applyFill="1" applyAlignment="1">
      <alignment horizontal="center" vertical="center"/>
    </xf>
    <xf numFmtId="0" fontId="27" fillId="0" borderId="0" xfId="0" applyFont="1" applyAlignment="1">
      <alignment horizontal="center"/>
    </xf>
    <xf numFmtId="165" fontId="39" fillId="0" borderId="12" xfId="1" applyNumberFormat="1" applyFont="1" applyBorder="1" applyAlignment="1">
      <alignment horizontal="center"/>
    </xf>
    <xf numFmtId="165" fontId="39" fillId="0" borderId="12" xfId="0" applyNumberFormat="1" applyFont="1" applyBorder="1" applyAlignment="1">
      <alignment horizontal="center" vertical="center" wrapText="1"/>
    </xf>
    <xf numFmtId="0" fontId="38" fillId="0" borderId="0" xfId="0" applyFont="1" applyAlignment="1">
      <alignment horizontal="center" vertical="top"/>
    </xf>
    <xf numFmtId="0" fontId="38" fillId="0" borderId="14" xfId="0" applyFont="1" applyBorder="1" applyAlignment="1">
      <alignment horizontal="center" vertical="top"/>
    </xf>
    <xf numFmtId="0" fontId="38" fillId="0" borderId="14" xfId="0" applyFont="1" applyBorder="1" applyAlignment="1">
      <alignment horizontal="center" vertical="top" wrapText="1"/>
    </xf>
    <xf numFmtId="0" fontId="38" fillId="0" borderId="19" xfId="0" quotePrefix="1" applyFont="1" applyBorder="1" applyAlignment="1">
      <alignment horizontal="center" vertical="center" wrapText="1"/>
    </xf>
    <xf numFmtId="0" fontId="38" fillId="0" borderId="20" xfId="0" quotePrefix="1" applyFont="1" applyBorder="1" applyAlignment="1">
      <alignment horizontal="center" vertical="center" wrapText="1"/>
    </xf>
    <xf numFmtId="0" fontId="38" fillId="0" borderId="14" xfId="0" quotePrefix="1" applyFont="1" applyBorder="1" applyAlignment="1">
      <alignment horizontal="center" vertical="center" wrapText="1"/>
    </xf>
    <xf numFmtId="0" fontId="38" fillId="0" borderId="14" xfId="2" applyFont="1" applyBorder="1" applyAlignment="1">
      <alignment horizontal="center" vertical="center" wrapText="1"/>
    </xf>
    <xf numFmtId="0" fontId="36" fillId="2" borderId="0" xfId="2" applyFont="1" applyFill="1" applyAlignment="1">
      <alignment horizontal="left" vertical="top" wrapText="1" indent="2"/>
    </xf>
    <xf numFmtId="0" fontId="36" fillId="0" borderId="0" xfId="0" applyFont="1" applyAlignment="1">
      <alignment horizontal="left" vertical="center" wrapText="1" indent="2"/>
    </xf>
    <xf numFmtId="0" fontId="40" fillId="0" borderId="0" xfId="0" applyFont="1" applyAlignment="1">
      <alignment horizontal="left" vertical="top" wrapText="1" indent="2"/>
    </xf>
    <xf numFmtId="37" fontId="38" fillId="0" borderId="22" xfId="73" applyFont="1" applyBorder="1" applyAlignment="1">
      <alignment horizontal="center" vertical="center" wrapText="1"/>
    </xf>
    <xf numFmtId="37" fontId="38" fillId="0" borderId="23" xfId="73" applyFont="1" applyBorder="1" applyAlignment="1">
      <alignment horizontal="center" vertical="center" wrapText="1"/>
    </xf>
    <xf numFmtId="0" fontId="26" fillId="0" borderId="0" xfId="10" applyFont="1" applyAlignment="1">
      <alignment vertical="center"/>
    </xf>
    <xf numFmtId="0" fontId="37" fillId="25" borderId="0" xfId="10" applyFont="1" applyFill="1" applyAlignment="1">
      <alignment horizontal="center" vertical="center" wrapText="1"/>
    </xf>
    <xf numFmtId="168" fontId="38" fillId="0" borderId="19" xfId="72" applyFont="1" applyBorder="1" applyAlignment="1">
      <alignment horizontal="center" vertical="center" textRotation="90"/>
    </xf>
    <xf numFmtId="168" fontId="38" fillId="0" borderId="21" xfId="72" applyFont="1" applyBorder="1" applyAlignment="1">
      <alignment horizontal="center" vertical="center" textRotation="90"/>
    </xf>
    <xf numFmtId="168" fontId="38" fillId="0" borderId="20" xfId="72" applyFont="1" applyBorder="1" applyAlignment="1">
      <alignment horizontal="center" vertical="center" textRotation="90"/>
    </xf>
    <xf numFmtId="0" fontId="38" fillId="0" borderId="14" xfId="10" quotePrefix="1" applyFont="1" applyBorder="1" applyAlignment="1">
      <alignment horizontal="center" vertical="center" wrapText="1"/>
    </xf>
    <xf numFmtId="0" fontId="38" fillId="0" borderId="14" xfId="10" applyFont="1" applyBorder="1" applyAlignment="1">
      <alignment horizontal="center" vertical="center" wrapText="1"/>
    </xf>
  </cellXfs>
  <cellStyles count="75">
    <cellStyle name="20% - Accent1 2" xfId="15" xr:uid="{00000000-0005-0000-0000-000000000000}"/>
    <cellStyle name="20% - Accent2 2" xfId="16" xr:uid="{00000000-0005-0000-0000-000001000000}"/>
    <cellStyle name="20% - Accent3 2" xfId="17" xr:uid="{00000000-0005-0000-0000-000002000000}"/>
    <cellStyle name="20% - Accent4 2" xfId="18" xr:uid="{00000000-0005-0000-0000-000003000000}"/>
    <cellStyle name="20% - Accent5 2" xfId="19" xr:uid="{00000000-0005-0000-0000-000004000000}"/>
    <cellStyle name="20% - Accent6 2" xfId="20" xr:uid="{00000000-0005-0000-0000-000005000000}"/>
    <cellStyle name="40% - Accent1 2" xfId="21" xr:uid="{00000000-0005-0000-0000-000006000000}"/>
    <cellStyle name="40% - Accent2 2" xfId="22" xr:uid="{00000000-0005-0000-0000-000007000000}"/>
    <cellStyle name="40% - Accent3 2" xfId="23" xr:uid="{00000000-0005-0000-0000-000008000000}"/>
    <cellStyle name="40% - Accent4 2" xfId="24" xr:uid="{00000000-0005-0000-0000-000009000000}"/>
    <cellStyle name="40% - Accent5 2" xfId="25" xr:uid="{00000000-0005-0000-0000-00000A000000}"/>
    <cellStyle name="40% - Accent6 2" xfId="26" xr:uid="{00000000-0005-0000-0000-00000B000000}"/>
    <cellStyle name="60% - Accent1 2" xfId="27" xr:uid="{00000000-0005-0000-0000-00000C000000}"/>
    <cellStyle name="60% - Accent2 2" xfId="28" xr:uid="{00000000-0005-0000-0000-00000D000000}"/>
    <cellStyle name="60% - Accent3 2" xfId="29" xr:uid="{00000000-0005-0000-0000-00000E000000}"/>
    <cellStyle name="60% - Accent4 2" xfId="30" xr:uid="{00000000-0005-0000-0000-00000F000000}"/>
    <cellStyle name="60% - Accent5 2" xfId="31" xr:uid="{00000000-0005-0000-0000-000010000000}"/>
    <cellStyle name="60% - Accent6 2" xfId="32" xr:uid="{00000000-0005-0000-0000-000011000000}"/>
    <cellStyle name="Accent1 2" xfId="33" xr:uid="{00000000-0005-0000-0000-000012000000}"/>
    <cellStyle name="Accent2 2" xfId="34" xr:uid="{00000000-0005-0000-0000-000013000000}"/>
    <cellStyle name="Accent3 2" xfId="35" xr:uid="{00000000-0005-0000-0000-000014000000}"/>
    <cellStyle name="Accent4 2" xfId="36" xr:uid="{00000000-0005-0000-0000-000015000000}"/>
    <cellStyle name="Accent5 2" xfId="37" xr:uid="{00000000-0005-0000-0000-000016000000}"/>
    <cellStyle name="Accent6 2" xfId="38" xr:uid="{00000000-0005-0000-0000-000017000000}"/>
    <cellStyle name="Bad 2" xfId="39" xr:uid="{00000000-0005-0000-0000-000018000000}"/>
    <cellStyle name="Calculation 2" xfId="40" xr:uid="{00000000-0005-0000-0000-000019000000}"/>
    <cellStyle name="Check Cell 2" xfId="41" xr:uid="{00000000-0005-0000-0000-00001A000000}"/>
    <cellStyle name="Comma" xfId="1" builtinId="3"/>
    <cellStyle name="Comma 19" xfId="69" xr:uid="{00000000-0005-0000-0000-00001C000000}"/>
    <cellStyle name="Comma 2" xfId="5" xr:uid="{00000000-0005-0000-0000-00001D000000}"/>
    <cellStyle name="Comma 2 2" xfId="42" xr:uid="{00000000-0005-0000-0000-00001E000000}"/>
    <cellStyle name="Comma 2 2 4" xfId="68" xr:uid="{00000000-0005-0000-0000-00001F000000}"/>
    <cellStyle name="Comma 3" xfId="3" xr:uid="{00000000-0005-0000-0000-000020000000}"/>
    <cellStyle name="Comma 3 2" xfId="43" xr:uid="{00000000-0005-0000-0000-000021000000}"/>
    <cellStyle name="Comma 3 2 2" xfId="6" xr:uid="{00000000-0005-0000-0000-000022000000}"/>
    <cellStyle name="Comma 3 4" xfId="67" xr:uid="{00000000-0005-0000-0000-000023000000}"/>
    <cellStyle name="Comma 4" xfId="7" xr:uid="{00000000-0005-0000-0000-000024000000}"/>
    <cellStyle name="Comma 4 2" xfId="8" xr:uid="{00000000-0005-0000-0000-000025000000}"/>
    <cellStyle name="Comma 5" xfId="9" xr:uid="{00000000-0005-0000-0000-000026000000}"/>
    <cellStyle name="Comma 6" xfId="44" xr:uid="{00000000-0005-0000-0000-000027000000}"/>
    <cellStyle name="Comma 7" xfId="45" xr:uid="{00000000-0005-0000-0000-000028000000}"/>
    <cellStyle name="Comma 8" xfId="66" xr:uid="{00000000-0005-0000-0000-000029000000}"/>
    <cellStyle name="Explanatory Text 2" xfId="46" xr:uid="{00000000-0005-0000-0000-00002A000000}"/>
    <cellStyle name="Good 2" xfId="47" xr:uid="{00000000-0005-0000-0000-00002B000000}"/>
    <cellStyle name="Heading 1 2" xfId="48" xr:uid="{00000000-0005-0000-0000-00002C000000}"/>
    <cellStyle name="Heading 2 2" xfId="49" xr:uid="{00000000-0005-0000-0000-00002D000000}"/>
    <cellStyle name="Heading 3 2" xfId="50" xr:uid="{00000000-0005-0000-0000-00002E000000}"/>
    <cellStyle name="Heading 4 2" xfId="51" xr:uid="{00000000-0005-0000-0000-00002F000000}"/>
    <cellStyle name="Input 2" xfId="52" xr:uid="{00000000-0005-0000-0000-000030000000}"/>
    <cellStyle name="Linked Cell 2" xfId="53" xr:uid="{00000000-0005-0000-0000-000031000000}"/>
    <cellStyle name="Neutral 2" xfId="54" xr:uid="{00000000-0005-0000-0000-000032000000}"/>
    <cellStyle name="Normal" xfId="0" builtinId="0"/>
    <cellStyle name="Normal - Style1 2 2" xfId="71" xr:uid="{00000000-0005-0000-0000-000034000000}"/>
    <cellStyle name="Normal 2" xfId="10" xr:uid="{00000000-0005-0000-0000-000035000000}"/>
    <cellStyle name="Normal 2 2" xfId="55" xr:uid="{00000000-0005-0000-0000-000036000000}"/>
    <cellStyle name="Normal 29" xfId="74" xr:uid="{00000000-0005-0000-0000-000037000000}"/>
    <cellStyle name="Normal 3" xfId="2" xr:uid="{00000000-0005-0000-0000-000038000000}"/>
    <cellStyle name="Normal 3 2" xfId="56" xr:uid="{00000000-0005-0000-0000-000039000000}"/>
    <cellStyle name="Normal 3 2 2" xfId="72" xr:uid="{00000000-0005-0000-0000-00003A000000}"/>
    <cellStyle name="Normal 3 3" xfId="11" xr:uid="{00000000-0005-0000-0000-00003B000000}"/>
    <cellStyle name="Normal 4" xfId="4" xr:uid="{00000000-0005-0000-0000-00003C000000}"/>
    <cellStyle name="Normal 4 2" xfId="12" xr:uid="{00000000-0005-0000-0000-00003D000000}"/>
    <cellStyle name="Normal 4 3" xfId="57" xr:uid="{00000000-0005-0000-0000-00003E000000}"/>
    <cellStyle name="Normal 5" xfId="13" xr:uid="{00000000-0005-0000-0000-00003F000000}"/>
    <cellStyle name="Normal 5 2" xfId="58" xr:uid="{00000000-0005-0000-0000-000040000000}"/>
    <cellStyle name="Normal 7" xfId="59" xr:uid="{00000000-0005-0000-0000-000041000000}"/>
    <cellStyle name="Normal 9" xfId="14" xr:uid="{00000000-0005-0000-0000-000042000000}"/>
    <cellStyle name="Normal_depnote" xfId="73" xr:uid="{00000000-0005-0000-0000-000043000000}"/>
    <cellStyle name="Note 2" xfId="60" xr:uid="{00000000-0005-0000-0000-000044000000}"/>
    <cellStyle name="Output 2" xfId="61" xr:uid="{00000000-0005-0000-0000-000045000000}"/>
    <cellStyle name="Percent" xfId="70" builtinId="5"/>
    <cellStyle name="Percent 2" xfId="62" xr:uid="{00000000-0005-0000-0000-000047000000}"/>
    <cellStyle name="Title 2" xfId="63" xr:uid="{00000000-0005-0000-0000-000048000000}"/>
    <cellStyle name="Total 2" xfId="64" xr:uid="{00000000-0005-0000-0000-000049000000}"/>
    <cellStyle name="Warning Text 2" xfId="65" xr:uid="{00000000-0005-0000-0000-00004A000000}"/>
  </cellStyles>
  <dxfs count="0"/>
  <tableStyles count="0" defaultTableStyle="TableStyleMedium2" defaultPivotStyle="PivotStyleLight16"/>
  <colors>
    <mruColors>
      <color rgb="FFD0C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VR39"/>
  <sheetViews>
    <sheetView showGridLines="0" zoomScale="90" zoomScaleNormal="90" zoomScaleSheetLayoutView="100" workbookViewId="0">
      <selection activeCell="D11" sqref="D11"/>
    </sheetView>
  </sheetViews>
  <sheetFormatPr defaultColWidth="0" defaultRowHeight="16.5" zeroHeight="1"/>
  <cols>
    <col min="1" max="1" width="1.28515625" style="4" customWidth="1"/>
    <col min="2" max="2" width="8.42578125" style="4" customWidth="1"/>
    <col min="3" max="3" width="1.28515625" style="4" customWidth="1"/>
    <col min="4" max="4" width="44" style="4" customWidth="1"/>
    <col min="5" max="5" width="1.28515625" style="4" customWidth="1"/>
    <col min="6" max="6" width="12.140625" style="5" customWidth="1"/>
    <col min="7" max="7" width="1.28515625" style="4" customWidth="1"/>
    <col min="8" max="8" width="14.5703125" style="4" bestFit="1" customWidth="1"/>
    <col min="9" max="9" width="1.28515625" style="4" customWidth="1"/>
    <col min="10" max="10" width="18.85546875" style="4" customWidth="1"/>
    <col min="11" max="11" width="1.42578125" style="4" customWidth="1"/>
    <col min="12" max="257" width="10.42578125" style="4" hidden="1"/>
    <col min="258" max="258" width="8.42578125" style="4" hidden="1"/>
    <col min="259" max="260" width="12.85546875" style="4" hidden="1"/>
    <col min="261" max="261" width="9.7109375" style="4" hidden="1"/>
    <col min="262" max="262" width="7.28515625" style="4" hidden="1"/>
    <col min="263" max="263" width="8.140625" style="4" hidden="1"/>
    <col min="264" max="264" width="12.85546875" style="4" hidden="1"/>
    <col min="265" max="266" width="13.28515625" style="4" hidden="1"/>
    <col min="267" max="513" width="10.42578125" style="4" hidden="1"/>
    <col min="514" max="514" width="8.42578125" style="4" hidden="1"/>
    <col min="515" max="516" width="12.85546875" style="4" hidden="1"/>
    <col min="517" max="517" width="9.7109375" style="4" hidden="1"/>
    <col min="518" max="518" width="7.28515625" style="4" hidden="1"/>
    <col min="519" max="519" width="8.140625" style="4" hidden="1"/>
    <col min="520" max="520" width="12.85546875" style="4" hidden="1"/>
    <col min="521" max="522" width="13.28515625" style="4" hidden="1"/>
    <col min="523" max="769" width="10.42578125" style="4" hidden="1"/>
    <col min="770" max="770" width="8.42578125" style="4" hidden="1"/>
    <col min="771" max="772" width="12.85546875" style="4" hidden="1"/>
    <col min="773" max="773" width="9.7109375" style="4" hidden="1"/>
    <col min="774" max="774" width="7.28515625" style="4" hidden="1"/>
    <col min="775" max="775" width="8.140625" style="4" hidden="1"/>
    <col min="776" max="776" width="12.85546875" style="4" hidden="1"/>
    <col min="777" max="778" width="13.28515625" style="4" hidden="1"/>
    <col min="779" max="1025" width="10.42578125" style="4" hidden="1"/>
    <col min="1026" max="1026" width="8.42578125" style="4" hidden="1"/>
    <col min="1027" max="1028" width="12.85546875" style="4" hidden="1"/>
    <col min="1029" max="1029" width="9.7109375" style="4" hidden="1"/>
    <col min="1030" max="1030" width="7.28515625" style="4" hidden="1"/>
    <col min="1031" max="1031" width="8.140625" style="4" hidden="1"/>
    <col min="1032" max="1032" width="12.85546875" style="4" hidden="1"/>
    <col min="1033" max="1034" width="13.28515625" style="4" hidden="1"/>
    <col min="1035" max="1281" width="10.42578125" style="4" hidden="1"/>
    <col min="1282" max="1282" width="8.42578125" style="4" hidden="1"/>
    <col min="1283" max="1284" width="12.85546875" style="4" hidden="1"/>
    <col min="1285" max="1285" width="9.7109375" style="4" hidden="1"/>
    <col min="1286" max="1286" width="7.28515625" style="4" hidden="1"/>
    <col min="1287" max="1287" width="8.140625" style="4" hidden="1"/>
    <col min="1288" max="1288" width="12.85546875" style="4" hidden="1"/>
    <col min="1289" max="1290" width="13.28515625" style="4" hidden="1"/>
    <col min="1291" max="1537" width="10.42578125" style="4" hidden="1"/>
    <col min="1538" max="1538" width="8.42578125" style="4" hidden="1"/>
    <col min="1539" max="1540" width="12.85546875" style="4" hidden="1"/>
    <col min="1541" max="1541" width="9.7109375" style="4" hidden="1"/>
    <col min="1542" max="1542" width="7.28515625" style="4" hidden="1"/>
    <col min="1543" max="1543" width="8.140625" style="4" hidden="1"/>
    <col min="1544" max="1544" width="12.85546875" style="4" hidden="1"/>
    <col min="1545" max="1546" width="13.28515625" style="4" hidden="1"/>
    <col min="1547" max="1793" width="10.42578125" style="4" hidden="1"/>
    <col min="1794" max="1794" width="8.42578125" style="4" hidden="1"/>
    <col min="1795" max="1796" width="12.85546875" style="4" hidden="1"/>
    <col min="1797" max="1797" width="9.7109375" style="4" hidden="1"/>
    <col min="1798" max="1798" width="7.28515625" style="4" hidden="1"/>
    <col min="1799" max="1799" width="8.140625" style="4" hidden="1"/>
    <col min="1800" max="1800" width="12.85546875" style="4" hidden="1"/>
    <col min="1801" max="1802" width="13.28515625" style="4" hidden="1"/>
    <col min="1803" max="2049" width="10.42578125" style="4" hidden="1"/>
    <col min="2050" max="2050" width="8.42578125" style="4" hidden="1"/>
    <col min="2051" max="2052" width="12.85546875" style="4" hidden="1"/>
    <col min="2053" max="2053" width="9.7109375" style="4" hidden="1"/>
    <col min="2054" max="2054" width="7.28515625" style="4" hidden="1"/>
    <col min="2055" max="2055" width="8.140625" style="4" hidden="1"/>
    <col min="2056" max="2056" width="12.85546875" style="4" hidden="1"/>
    <col min="2057" max="2058" width="13.28515625" style="4" hidden="1"/>
    <col min="2059" max="2305" width="10.42578125" style="4" hidden="1"/>
    <col min="2306" max="2306" width="8.42578125" style="4" hidden="1"/>
    <col min="2307" max="2308" width="12.85546875" style="4" hidden="1"/>
    <col min="2309" max="2309" width="9.7109375" style="4" hidden="1"/>
    <col min="2310" max="2310" width="7.28515625" style="4" hidden="1"/>
    <col min="2311" max="2311" width="8.140625" style="4" hidden="1"/>
    <col min="2312" max="2312" width="12.85546875" style="4" hidden="1"/>
    <col min="2313" max="2314" width="13.28515625" style="4" hidden="1"/>
    <col min="2315" max="2561" width="10.42578125" style="4" hidden="1"/>
    <col min="2562" max="2562" width="8.42578125" style="4" hidden="1"/>
    <col min="2563" max="2564" width="12.85546875" style="4" hidden="1"/>
    <col min="2565" max="2565" width="9.7109375" style="4" hidden="1"/>
    <col min="2566" max="2566" width="7.28515625" style="4" hidden="1"/>
    <col min="2567" max="2567" width="8.140625" style="4" hidden="1"/>
    <col min="2568" max="2568" width="12.85546875" style="4" hidden="1"/>
    <col min="2569" max="2570" width="13.28515625" style="4" hidden="1"/>
    <col min="2571" max="2817" width="10.42578125" style="4" hidden="1"/>
    <col min="2818" max="2818" width="8.42578125" style="4" hidden="1"/>
    <col min="2819" max="2820" width="12.85546875" style="4" hidden="1"/>
    <col min="2821" max="2821" width="9.7109375" style="4" hidden="1"/>
    <col min="2822" max="2822" width="7.28515625" style="4" hidden="1"/>
    <col min="2823" max="2823" width="8.140625" style="4" hidden="1"/>
    <col min="2824" max="2824" width="12.85546875" style="4" hidden="1"/>
    <col min="2825" max="2826" width="13.28515625" style="4" hidden="1"/>
    <col min="2827" max="3073" width="10.42578125" style="4" hidden="1"/>
    <col min="3074" max="3074" width="8.42578125" style="4" hidden="1"/>
    <col min="3075" max="3076" width="12.85546875" style="4" hidden="1"/>
    <col min="3077" max="3077" width="9.7109375" style="4" hidden="1"/>
    <col min="3078" max="3078" width="7.28515625" style="4" hidden="1"/>
    <col min="3079" max="3079" width="8.140625" style="4" hidden="1"/>
    <col min="3080" max="3080" width="12.85546875" style="4" hidden="1"/>
    <col min="3081" max="3082" width="13.28515625" style="4" hidden="1"/>
    <col min="3083" max="3329" width="10.42578125" style="4" hidden="1"/>
    <col min="3330" max="3330" width="8.42578125" style="4" hidden="1"/>
    <col min="3331" max="3332" width="12.85546875" style="4" hidden="1"/>
    <col min="3333" max="3333" width="9.7109375" style="4" hidden="1"/>
    <col min="3334" max="3334" width="7.28515625" style="4" hidden="1"/>
    <col min="3335" max="3335" width="8.140625" style="4" hidden="1"/>
    <col min="3336" max="3336" width="12.85546875" style="4" hidden="1"/>
    <col min="3337" max="3338" width="13.28515625" style="4" hidden="1"/>
    <col min="3339" max="3585" width="10.42578125" style="4" hidden="1"/>
    <col min="3586" max="3586" width="8.42578125" style="4" hidden="1"/>
    <col min="3587" max="3588" width="12.85546875" style="4" hidden="1"/>
    <col min="3589" max="3589" width="9.7109375" style="4" hidden="1"/>
    <col min="3590" max="3590" width="7.28515625" style="4" hidden="1"/>
    <col min="3591" max="3591" width="8.140625" style="4" hidden="1"/>
    <col min="3592" max="3592" width="12.85546875" style="4" hidden="1"/>
    <col min="3593" max="3594" width="13.28515625" style="4" hidden="1"/>
    <col min="3595" max="3841" width="10.42578125" style="4" hidden="1"/>
    <col min="3842" max="3842" width="8.42578125" style="4" hidden="1"/>
    <col min="3843" max="3844" width="12.85546875" style="4" hidden="1"/>
    <col min="3845" max="3845" width="9.7109375" style="4" hidden="1"/>
    <col min="3846" max="3846" width="7.28515625" style="4" hidden="1"/>
    <col min="3847" max="3847" width="8.140625" style="4" hidden="1"/>
    <col min="3848" max="3848" width="12.85546875" style="4" hidden="1"/>
    <col min="3849" max="3850" width="13.28515625" style="4" hidden="1"/>
    <col min="3851" max="4097" width="10.42578125" style="4" hidden="1"/>
    <col min="4098" max="4098" width="8.42578125" style="4" hidden="1"/>
    <col min="4099" max="4100" width="12.85546875" style="4" hidden="1"/>
    <col min="4101" max="4101" width="9.7109375" style="4" hidden="1"/>
    <col min="4102" max="4102" width="7.28515625" style="4" hidden="1"/>
    <col min="4103" max="4103" width="8.140625" style="4" hidden="1"/>
    <col min="4104" max="4104" width="12.85546875" style="4" hidden="1"/>
    <col min="4105" max="4106" width="13.28515625" style="4" hidden="1"/>
    <col min="4107" max="4353" width="10.42578125" style="4" hidden="1"/>
    <col min="4354" max="4354" width="8.42578125" style="4" hidden="1"/>
    <col min="4355" max="4356" width="12.85546875" style="4" hidden="1"/>
    <col min="4357" max="4357" width="9.7109375" style="4" hidden="1"/>
    <col min="4358" max="4358" width="7.28515625" style="4" hidden="1"/>
    <col min="4359" max="4359" width="8.140625" style="4" hidden="1"/>
    <col min="4360" max="4360" width="12.85546875" style="4" hidden="1"/>
    <col min="4361" max="4362" width="13.28515625" style="4" hidden="1"/>
    <col min="4363" max="4609" width="10.42578125" style="4" hidden="1"/>
    <col min="4610" max="4610" width="8.42578125" style="4" hidden="1"/>
    <col min="4611" max="4612" width="12.85546875" style="4" hidden="1"/>
    <col min="4613" max="4613" width="9.7109375" style="4" hidden="1"/>
    <col min="4614" max="4614" width="7.28515625" style="4" hidden="1"/>
    <col min="4615" max="4615" width="8.140625" style="4" hidden="1"/>
    <col min="4616" max="4616" width="12.85546875" style="4" hidden="1"/>
    <col min="4617" max="4618" width="13.28515625" style="4" hidden="1"/>
    <col min="4619" max="4865" width="10.42578125" style="4" hidden="1"/>
    <col min="4866" max="4866" width="8.42578125" style="4" hidden="1"/>
    <col min="4867" max="4868" width="12.85546875" style="4" hidden="1"/>
    <col min="4869" max="4869" width="9.7109375" style="4" hidden="1"/>
    <col min="4870" max="4870" width="7.28515625" style="4" hidden="1"/>
    <col min="4871" max="4871" width="8.140625" style="4" hidden="1"/>
    <col min="4872" max="4872" width="12.85546875" style="4" hidden="1"/>
    <col min="4873" max="4874" width="13.28515625" style="4" hidden="1"/>
    <col min="4875" max="5121" width="10.42578125" style="4" hidden="1"/>
    <col min="5122" max="5122" width="8.42578125" style="4" hidden="1"/>
    <col min="5123" max="5124" width="12.85546875" style="4" hidden="1"/>
    <col min="5125" max="5125" width="9.7109375" style="4" hidden="1"/>
    <col min="5126" max="5126" width="7.28515625" style="4" hidden="1"/>
    <col min="5127" max="5127" width="8.140625" style="4" hidden="1"/>
    <col min="5128" max="5128" width="12.85546875" style="4" hidden="1"/>
    <col min="5129" max="5130" width="13.28515625" style="4" hidden="1"/>
    <col min="5131" max="5377" width="10.42578125" style="4" hidden="1"/>
    <col min="5378" max="5378" width="8.42578125" style="4" hidden="1"/>
    <col min="5379" max="5380" width="12.85546875" style="4" hidden="1"/>
    <col min="5381" max="5381" width="9.7109375" style="4" hidden="1"/>
    <col min="5382" max="5382" width="7.28515625" style="4" hidden="1"/>
    <col min="5383" max="5383" width="8.140625" style="4" hidden="1"/>
    <col min="5384" max="5384" width="12.85546875" style="4" hidden="1"/>
    <col min="5385" max="5386" width="13.28515625" style="4" hidden="1"/>
    <col min="5387" max="5633" width="10.42578125" style="4" hidden="1"/>
    <col min="5634" max="5634" width="8.42578125" style="4" hidden="1"/>
    <col min="5635" max="5636" width="12.85546875" style="4" hidden="1"/>
    <col min="5637" max="5637" width="9.7109375" style="4" hidden="1"/>
    <col min="5638" max="5638" width="7.28515625" style="4" hidden="1"/>
    <col min="5639" max="5639" width="8.140625" style="4" hidden="1"/>
    <col min="5640" max="5640" width="12.85546875" style="4" hidden="1"/>
    <col min="5641" max="5642" width="13.28515625" style="4" hidden="1"/>
    <col min="5643" max="5889" width="10.42578125" style="4" hidden="1"/>
    <col min="5890" max="5890" width="8.42578125" style="4" hidden="1"/>
    <col min="5891" max="5892" width="12.85546875" style="4" hidden="1"/>
    <col min="5893" max="5893" width="9.7109375" style="4" hidden="1"/>
    <col min="5894" max="5894" width="7.28515625" style="4" hidden="1"/>
    <col min="5895" max="5895" width="8.140625" style="4" hidden="1"/>
    <col min="5896" max="5896" width="12.85546875" style="4" hidden="1"/>
    <col min="5897" max="5898" width="13.28515625" style="4" hidden="1"/>
    <col min="5899" max="6145" width="10.42578125" style="4" hidden="1"/>
    <col min="6146" max="6146" width="8.42578125" style="4" hidden="1"/>
    <col min="6147" max="6148" width="12.85546875" style="4" hidden="1"/>
    <col min="6149" max="6149" width="9.7109375" style="4" hidden="1"/>
    <col min="6150" max="6150" width="7.28515625" style="4" hidden="1"/>
    <col min="6151" max="6151" width="8.140625" style="4" hidden="1"/>
    <col min="6152" max="6152" width="12.85546875" style="4" hidden="1"/>
    <col min="6153" max="6154" width="13.28515625" style="4" hidden="1"/>
    <col min="6155" max="6401" width="10.42578125" style="4" hidden="1"/>
    <col min="6402" max="6402" width="8.42578125" style="4" hidden="1"/>
    <col min="6403" max="6404" width="12.85546875" style="4" hidden="1"/>
    <col min="6405" max="6405" width="9.7109375" style="4" hidden="1"/>
    <col min="6406" max="6406" width="7.28515625" style="4" hidden="1"/>
    <col min="6407" max="6407" width="8.140625" style="4" hidden="1"/>
    <col min="6408" max="6408" width="12.85546875" style="4" hidden="1"/>
    <col min="6409" max="6410" width="13.28515625" style="4" hidden="1"/>
    <col min="6411" max="6657" width="10.42578125" style="4" hidden="1"/>
    <col min="6658" max="6658" width="8.42578125" style="4" hidden="1"/>
    <col min="6659" max="6660" width="12.85546875" style="4" hidden="1"/>
    <col min="6661" max="6661" width="9.7109375" style="4" hidden="1"/>
    <col min="6662" max="6662" width="7.28515625" style="4" hidden="1"/>
    <col min="6663" max="6663" width="8.140625" style="4" hidden="1"/>
    <col min="6664" max="6664" width="12.85546875" style="4" hidden="1"/>
    <col min="6665" max="6666" width="13.28515625" style="4" hidden="1"/>
    <col min="6667" max="6913" width="10.42578125" style="4" hidden="1"/>
    <col min="6914" max="6914" width="8.42578125" style="4" hidden="1"/>
    <col min="6915" max="6916" width="12.85546875" style="4" hidden="1"/>
    <col min="6917" max="6917" width="9.7109375" style="4" hidden="1"/>
    <col min="6918" max="6918" width="7.28515625" style="4" hidden="1"/>
    <col min="6919" max="6919" width="8.140625" style="4" hidden="1"/>
    <col min="6920" max="6920" width="12.85546875" style="4" hidden="1"/>
    <col min="6921" max="6922" width="13.28515625" style="4" hidden="1"/>
    <col min="6923" max="7169" width="10.42578125" style="4" hidden="1"/>
    <col min="7170" max="7170" width="8.42578125" style="4" hidden="1"/>
    <col min="7171" max="7172" width="12.85546875" style="4" hidden="1"/>
    <col min="7173" max="7173" width="9.7109375" style="4" hidden="1"/>
    <col min="7174" max="7174" width="7.28515625" style="4" hidden="1"/>
    <col min="7175" max="7175" width="8.140625" style="4" hidden="1"/>
    <col min="7176" max="7176" width="12.85546875" style="4" hidden="1"/>
    <col min="7177" max="7178" width="13.28515625" style="4" hidden="1"/>
    <col min="7179" max="7425" width="10.42578125" style="4" hidden="1"/>
    <col min="7426" max="7426" width="8.42578125" style="4" hidden="1"/>
    <col min="7427" max="7428" width="12.85546875" style="4" hidden="1"/>
    <col min="7429" max="7429" width="9.7109375" style="4" hidden="1"/>
    <col min="7430" max="7430" width="7.28515625" style="4" hidden="1"/>
    <col min="7431" max="7431" width="8.140625" style="4" hidden="1"/>
    <col min="7432" max="7432" width="12.85546875" style="4" hidden="1"/>
    <col min="7433" max="7434" width="13.28515625" style="4" hidden="1"/>
    <col min="7435" max="7681" width="10.42578125" style="4" hidden="1"/>
    <col min="7682" max="7682" width="8.42578125" style="4" hidden="1"/>
    <col min="7683" max="7684" width="12.85546875" style="4" hidden="1"/>
    <col min="7685" max="7685" width="9.7109375" style="4" hidden="1"/>
    <col min="7686" max="7686" width="7.28515625" style="4" hidden="1"/>
    <col min="7687" max="7687" width="8.140625" style="4" hidden="1"/>
    <col min="7688" max="7688" width="12.85546875" style="4" hidden="1"/>
    <col min="7689" max="7690" width="13.28515625" style="4" hidden="1"/>
    <col min="7691" max="7937" width="10.42578125" style="4" hidden="1"/>
    <col min="7938" max="7938" width="8.42578125" style="4" hidden="1"/>
    <col min="7939" max="7940" width="12.85546875" style="4" hidden="1"/>
    <col min="7941" max="7941" width="9.7109375" style="4" hidden="1"/>
    <col min="7942" max="7942" width="7.28515625" style="4" hidden="1"/>
    <col min="7943" max="7943" width="8.140625" style="4" hidden="1"/>
    <col min="7944" max="7944" width="12.85546875" style="4" hidden="1"/>
    <col min="7945" max="7946" width="13.28515625" style="4" hidden="1"/>
    <col min="7947" max="8193" width="10.42578125" style="4" hidden="1"/>
    <col min="8194" max="8194" width="8.42578125" style="4" hidden="1"/>
    <col min="8195" max="8196" width="12.85546875" style="4" hidden="1"/>
    <col min="8197" max="8197" width="9.7109375" style="4" hidden="1"/>
    <col min="8198" max="8198" width="7.28515625" style="4" hidden="1"/>
    <col min="8199" max="8199" width="8.140625" style="4" hidden="1"/>
    <col min="8200" max="8200" width="12.85546875" style="4" hidden="1"/>
    <col min="8201" max="8202" width="13.28515625" style="4" hidden="1"/>
    <col min="8203" max="8449" width="10.42578125" style="4" hidden="1"/>
    <col min="8450" max="8450" width="8.42578125" style="4" hidden="1"/>
    <col min="8451" max="8452" width="12.85546875" style="4" hidden="1"/>
    <col min="8453" max="8453" width="9.7109375" style="4" hidden="1"/>
    <col min="8454" max="8454" width="7.28515625" style="4" hidden="1"/>
    <col min="8455" max="8455" width="8.140625" style="4" hidden="1"/>
    <col min="8456" max="8456" width="12.85546875" style="4" hidden="1"/>
    <col min="8457" max="8458" width="13.28515625" style="4" hidden="1"/>
    <col min="8459" max="8705" width="10.42578125" style="4" hidden="1"/>
    <col min="8706" max="8706" width="8.42578125" style="4" hidden="1"/>
    <col min="8707" max="8708" width="12.85546875" style="4" hidden="1"/>
    <col min="8709" max="8709" width="9.7109375" style="4" hidden="1"/>
    <col min="8710" max="8710" width="7.28515625" style="4" hidden="1"/>
    <col min="8711" max="8711" width="8.140625" style="4" hidden="1"/>
    <col min="8712" max="8712" width="12.85546875" style="4" hidden="1"/>
    <col min="8713" max="8714" width="13.28515625" style="4" hidden="1"/>
    <col min="8715" max="8961" width="10.42578125" style="4" hidden="1"/>
    <col min="8962" max="8962" width="8.42578125" style="4" hidden="1"/>
    <col min="8963" max="8964" width="12.85546875" style="4" hidden="1"/>
    <col min="8965" max="8965" width="9.7109375" style="4" hidden="1"/>
    <col min="8966" max="8966" width="7.28515625" style="4" hidden="1"/>
    <col min="8967" max="8967" width="8.140625" style="4" hidden="1"/>
    <col min="8968" max="8968" width="12.85546875" style="4" hidden="1"/>
    <col min="8969" max="8970" width="13.28515625" style="4" hidden="1"/>
    <col min="8971" max="9217" width="10.42578125" style="4" hidden="1"/>
    <col min="9218" max="9218" width="8.42578125" style="4" hidden="1"/>
    <col min="9219" max="9220" width="12.85546875" style="4" hidden="1"/>
    <col min="9221" max="9221" width="9.7109375" style="4" hidden="1"/>
    <col min="9222" max="9222" width="7.28515625" style="4" hidden="1"/>
    <col min="9223" max="9223" width="8.140625" style="4" hidden="1"/>
    <col min="9224" max="9224" width="12.85546875" style="4" hidden="1"/>
    <col min="9225" max="9226" width="13.28515625" style="4" hidden="1"/>
    <col min="9227" max="9473" width="10.42578125" style="4" hidden="1"/>
    <col min="9474" max="9474" width="8.42578125" style="4" hidden="1"/>
    <col min="9475" max="9476" width="12.85546875" style="4" hidden="1"/>
    <col min="9477" max="9477" width="9.7109375" style="4" hidden="1"/>
    <col min="9478" max="9478" width="7.28515625" style="4" hidden="1"/>
    <col min="9479" max="9479" width="8.140625" style="4" hidden="1"/>
    <col min="9480" max="9480" width="12.85546875" style="4" hidden="1"/>
    <col min="9481" max="9482" width="13.28515625" style="4" hidden="1"/>
    <col min="9483" max="9729" width="10.42578125" style="4" hidden="1"/>
    <col min="9730" max="9730" width="8.42578125" style="4" hidden="1"/>
    <col min="9731" max="9732" width="12.85546875" style="4" hidden="1"/>
    <col min="9733" max="9733" width="9.7109375" style="4" hidden="1"/>
    <col min="9734" max="9734" width="7.28515625" style="4" hidden="1"/>
    <col min="9735" max="9735" width="8.140625" style="4" hidden="1"/>
    <col min="9736" max="9736" width="12.85546875" style="4" hidden="1"/>
    <col min="9737" max="9738" width="13.28515625" style="4" hidden="1"/>
    <col min="9739" max="9985" width="10.42578125" style="4" hidden="1"/>
    <col min="9986" max="9986" width="8.42578125" style="4" hidden="1"/>
    <col min="9987" max="9988" width="12.85546875" style="4" hidden="1"/>
    <col min="9989" max="9989" width="9.7109375" style="4" hidden="1"/>
    <col min="9990" max="9990" width="7.28515625" style="4" hidden="1"/>
    <col min="9991" max="9991" width="8.140625" style="4" hidden="1"/>
    <col min="9992" max="9992" width="12.85546875" style="4" hidden="1"/>
    <col min="9993" max="9994" width="13.28515625" style="4" hidden="1"/>
    <col min="9995" max="10241" width="10.42578125" style="4" hidden="1"/>
    <col min="10242" max="10242" width="8.42578125" style="4" hidden="1"/>
    <col min="10243" max="10244" width="12.85546875" style="4" hidden="1"/>
    <col min="10245" max="10245" width="9.7109375" style="4" hidden="1"/>
    <col min="10246" max="10246" width="7.28515625" style="4" hidden="1"/>
    <col min="10247" max="10247" width="8.140625" style="4" hidden="1"/>
    <col min="10248" max="10248" width="12.85546875" style="4" hidden="1"/>
    <col min="10249" max="10250" width="13.28515625" style="4" hidden="1"/>
    <col min="10251" max="10497" width="10.42578125" style="4" hidden="1"/>
    <col min="10498" max="10498" width="8.42578125" style="4" hidden="1"/>
    <col min="10499" max="10500" width="12.85546875" style="4" hidden="1"/>
    <col min="10501" max="10501" width="9.7109375" style="4" hidden="1"/>
    <col min="10502" max="10502" width="7.28515625" style="4" hidden="1"/>
    <col min="10503" max="10503" width="8.140625" style="4" hidden="1"/>
    <col min="10504" max="10504" width="12.85546875" style="4" hidden="1"/>
    <col min="10505" max="10506" width="13.28515625" style="4" hidden="1"/>
    <col min="10507" max="10753" width="10.42578125" style="4" hidden="1"/>
    <col min="10754" max="10754" width="8.42578125" style="4" hidden="1"/>
    <col min="10755" max="10756" width="12.85546875" style="4" hidden="1"/>
    <col min="10757" max="10757" width="9.7109375" style="4" hidden="1"/>
    <col min="10758" max="10758" width="7.28515625" style="4" hidden="1"/>
    <col min="10759" max="10759" width="8.140625" style="4" hidden="1"/>
    <col min="10760" max="10760" width="12.85546875" style="4" hidden="1"/>
    <col min="10761" max="10762" width="13.28515625" style="4" hidden="1"/>
    <col min="10763" max="11009" width="10.42578125" style="4" hidden="1"/>
    <col min="11010" max="11010" width="8.42578125" style="4" hidden="1"/>
    <col min="11011" max="11012" width="12.85546875" style="4" hidden="1"/>
    <col min="11013" max="11013" width="9.7109375" style="4" hidden="1"/>
    <col min="11014" max="11014" width="7.28515625" style="4" hidden="1"/>
    <col min="11015" max="11015" width="8.140625" style="4" hidden="1"/>
    <col min="11016" max="11016" width="12.85546875" style="4" hidden="1"/>
    <col min="11017" max="11018" width="13.28515625" style="4" hidden="1"/>
    <col min="11019" max="11265" width="10.42578125" style="4" hidden="1"/>
    <col min="11266" max="11266" width="8.42578125" style="4" hidden="1"/>
    <col min="11267" max="11268" width="12.85546875" style="4" hidden="1"/>
    <col min="11269" max="11269" width="9.7109375" style="4" hidden="1"/>
    <col min="11270" max="11270" width="7.28515625" style="4" hidden="1"/>
    <col min="11271" max="11271" width="8.140625" style="4" hidden="1"/>
    <col min="11272" max="11272" width="12.85546875" style="4" hidden="1"/>
    <col min="11273" max="11274" width="13.28515625" style="4" hidden="1"/>
    <col min="11275" max="11521" width="10.42578125" style="4" hidden="1"/>
    <col min="11522" max="11522" width="8.42578125" style="4" hidden="1"/>
    <col min="11523" max="11524" width="12.85546875" style="4" hidden="1"/>
    <col min="11525" max="11525" width="9.7109375" style="4" hidden="1"/>
    <col min="11526" max="11526" width="7.28515625" style="4" hidden="1"/>
    <col min="11527" max="11527" width="8.140625" style="4" hidden="1"/>
    <col min="11528" max="11528" width="12.85546875" style="4" hidden="1"/>
    <col min="11529" max="11530" width="13.28515625" style="4" hidden="1"/>
    <col min="11531" max="11777" width="10.42578125" style="4" hidden="1"/>
    <col min="11778" max="11778" width="8.42578125" style="4" hidden="1"/>
    <col min="11779" max="11780" width="12.85546875" style="4" hidden="1"/>
    <col min="11781" max="11781" width="9.7109375" style="4" hidden="1"/>
    <col min="11782" max="11782" width="7.28515625" style="4" hidden="1"/>
    <col min="11783" max="11783" width="8.140625" style="4" hidden="1"/>
    <col min="11784" max="11784" width="12.85546875" style="4" hidden="1"/>
    <col min="11785" max="11786" width="13.28515625" style="4" hidden="1"/>
    <col min="11787" max="12033" width="10.42578125" style="4" hidden="1"/>
    <col min="12034" max="12034" width="8.42578125" style="4" hidden="1"/>
    <col min="12035" max="12036" width="12.85546875" style="4" hidden="1"/>
    <col min="12037" max="12037" width="9.7109375" style="4" hidden="1"/>
    <col min="12038" max="12038" width="7.28515625" style="4" hidden="1"/>
    <col min="12039" max="12039" width="8.140625" style="4" hidden="1"/>
    <col min="12040" max="12040" width="12.85546875" style="4" hidden="1"/>
    <col min="12041" max="12042" width="13.28515625" style="4" hidden="1"/>
    <col min="12043" max="12289" width="10.42578125" style="4" hidden="1"/>
    <col min="12290" max="12290" width="8.42578125" style="4" hidden="1"/>
    <col min="12291" max="12292" width="12.85546875" style="4" hidden="1"/>
    <col min="12293" max="12293" width="9.7109375" style="4" hidden="1"/>
    <col min="12294" max="12294" width="7.28515625" style="4" hidden="1"/>
    <col min="12295" max="12295" width="8.140625" style="4" hidden="1"/>
    <col min="12296" max="12296" width="12.85546875" style="4" hidden="1"/>
    <col min="12297" max="12298" width="13.28515625" style="4" hidden="1"/>
    <col min="12299" max="12545" width="10.42578125" style="4" hidden="1"/>
    <col min="12546" max="12546" width="8.42578125" style="4" hidden="1"/>
    <col min="12547" max="12548" width="12.85546875" style="4" hidden="1"/>
    <col min="12549" max="12549" width="9.7109375" style="4" hidden="1"/>
    <col min="12550" max="12550" width="7.28515625" style="4" hidden="1"/>
    <col min="12551" max="12551" width="8.140625" style="4" hidden="1"/>
    <col min="12552" max="12552" width="12.85546875" style="4" hidden="1"/>
    <col min="12553" max="12554" width="13.28515625" style="4" hidden="1"/>
    <col min="12555" max="12801" width="10.42578125" style="4" hidden="1"/>
    <col min="12802" max="12802" width="8.42578125" style="4" hidden="1"/>
    <col min="12803" max="12804" width="12.85546875" style="4" hidden="1"/>
    <col min="12805" max="12805" width="9.7109375" style="4" hidden="1"/>
    <col min="12806" max="12806" width="7.28515625" style="4" hidden="1"/>
    <col min="12807" max="12807" width="8.140625" style="4" hidden="1"/>
    <col min="12808" max="12808" width="12.85546875" style="4" hidden="1"/>
    <col min="12809" max="12810" width="13.28515625" style="4" hidden="1"/>
    <col min="12811" max="13057" width="10.42578125" style="4" hidden="1"/>
    <col min="13058" max="13058" width="8.42578125" style="4" hidden="1"/>
    <col min="13059" max="13060" width="12.85546875" style="4" hidden="1"/>
    <col min="13061" max="13061" width="9.7109375" style="4" hidden="1"/>
    <col min="13062" max="13062" width="7.28515625" style="4" hidden="1"/>
    <col min="13063" max="13063" width="8.140625" style="4" hidden="1"/>
    <col min="13064" max="13064" width="12.85546875" style="4" hidden="1"/>
    <col min="13065" max="13066" width="13.28515625" style="4" hidden="1"/>
    <col min="13067" max="13313" width="10.42578125" style="4" hidden="1"/>
    <col min="13314" max="13314" width="8.42578125" style="4" hidden="1"/>
    <col min="13315" max="13316" width="12.85546875" style="4" hidden="1"/>
    <col min="13317" max="13317" width="9.7109375" style="4" hidden="1"/>
    <col min="13318" max="13318" width="7.28515625" style="4" hidden="1"/>
    <col min="13319" max="13319" width="8.140625" style="4" hidden="1"/>
    <col min="13320" max="13320" width="12.85546875" style="4" hidden="1"/>
    <col min="13321" max="13322" width="13.28515625" style="4" hidden="1"/>
    <col min="13323" max="13569" width="10.42578125" style="4" hidden="1"/>
    <col min="13570" max="13570" width="8.42578125" style="4" hidden="1"/>
    <col min="13571" max="13572" width="12.85546875" style="4" hidden="1"/>
    <col min="13573" max="13573" width="9.7109375" style="4" hidden="1"/>
    <col min="13574" max="13574" width="7.28515625" style="4" hidden="1"/>
    <col min="13575" max="13575" width="8.140625" style="4" hidden="1"/>
    <col min="13576" max="13576" width="12.85546875" style="4" hidden="1"/>
    <col min="13577" max="13578" width="13.28515625" style="4" hidden="1"/>
    <col min="13579" max="13825" width="10.42578125" style="4" hidden="1"/>
    <col min="13826" max="13826" width="8.42578125" style="4" hidden="1"/>
    <col min="13827" max="13828" width="12.85546875" style="4" hidden="1"/>
    <col min="13829" max="13829" width="9.7109375" style="4" hidden="1"/>
    <col min="13830" max="13830" width="7.28515625" style="4" hidden="1"/>
    <col min="13831" max="13831" width="8.140625" style="4" hidden="1"/>
    <col min="13832" max="13832" width="12.85546875" style="4" hidden="1"/>
    <col min="13833" max="13834" width="13.28515625" style="4" hidden="1"/>
    <col min="13835" max="14081" width="10.42578125" style="4" hidden="1"/>
    <col min="14082" max="14082" width="8.42578125" style="4" hidden="1"/>
    <col min="14083" max="14084" width="12.85546875" style="4" hidden="1"/>
    <col min="14085" max="14085" width="9.7109375" style="4" hidden="1"/>
    <col min="14086" max="14086" width="7.28515625" style="4" hidden="1"/>
    <col min="14087" max="14087" width="8.140625" style="4" hidden="1"/>
    <col min="14088" max="14088" width="12.85546875" style="4" hidden="1"/>
    <col min="14089" max="14090" width="13.28515625" style="4" hidden="1"/>
    <col min="14091" max="14337" width="10.42578125" style="4" hidden="1"/>
    <col min="14338" max="14338" width="8.42578125" style="4" hidden="1"/>
    <col min="14339" max="14340" width="12.85546875" style="4" hidden="1"/>
    <col min="14341" max="14341" width="9.7109375" style="4" hidden="1"/>
    <col min="14342" max="14342" width="7.28515625" style="4" hidden="1"/>
    <col min="14343" max="14343" width="8.140625" style="4" hidden="1"/>
    <col min="14344" max="14344" width="12.85546875" style="4" hidden="1"/>
    <col min="14345" max="14346" width="13.28515625" style="4" hidden="1"/>
    <col min="14347" max="14593" width="10.42578125" style="4" hidden="1"/>
    <col min="14594" max="14594" width="8.42578125" style="4" hidden="1"/>
    <col min="14595" max="14596" width="12.85546875" style="4" hidden="1"/>
    <col min="14597" max="14597" width="9.7109375" style="4" hidden="1"/>
    <col min="14598" max="14598" width="7.28515625" style="4" hidden="1"/>
    <col min="14599" max="14599" width="8.140625" style="4" hidden="1"/>
    <col min="14600" max="14600" width="12.85546875" style="4" hidden="1"/>
    <col min="14601" max="14602" width="13.28515625" style="4" hidden="1"/>
    <col min="14603" max="14849" width="10.42578125" style="4" hidden="1"/>
    <col min="14850" max="14850" width="8.42578125" style="4" hidden="1"/>
    <col min="14851" max="14852" width="12.85546875" style="4" hidden="1"/>
    <col min="14853" max="14853" width="9.7109375" style="4" hidden="1"/>
    <col min="14854" max="14854" width="7.28515625" style="4" hidden="1"/>
    <col min="14855" max="14855" width="8.140625" style="4" hidden="1"/>
    <col min="14856" max="14856" width="12.85546875" style="4" hidden="1"/>
    <col min="14857" max="14858" width="13.28515625" style="4" hidden="1"/>
    <col min="14859" max="15105" width="10.42578125" style="4" hidden="1"/>
    <col min="15106" max="15106" width="8.42578125" style="4" hidden="1"/>
    <col min="15107" max="15108" width="12.85546875" style="4" hidden="1"/>
    <col min="15109" max="15109" width="9.7109375" style="4" hidden="1"/>
    <col min="15110" max="15110" width="7.28515625" style="4" hidden="1"/>
    <col min="15111" max="15111" width="8.140625" style="4" hidden="1"/>
    <col min="15112" max="15112" width="12.85546875" style="4" hidden="1"/>
    <col min="15113" max="15114" width="13.28515625" style="4" hidden="1"/>
    <col min="15115" max="15361" width="10.42578125" style="4" hidden="1"/>
    <col min="15362" max="15362" width="8.42578125" style="4" hidden="1"/>
    <col min="15363" max="15364" width="12.85546875" style="4" hidden="1"/>
    <col min="15365" max="15365" width="9.7109375" style="4" hidden="1"/>
    <col min="15366" max="15366" width="7.28515625" style="4" hidden="1"/>
    <col min="15367" max="15367" width="8.140625" style="4" hidden="1"/>
    <col min="15368" max="15368" width="12.85546875" style="4" hidden="1"/>
    <col min="15369" max="15370" width="13.28515625" style="4" hidden="1"/>
    <col min="15371" max="15617" width="10.42578125" style="4" hidden="1"/>
    <col min="15618" max="15618" width="8.42578125" style="4" hidden="1"/>
    <col min="15619" max="15620" width="12.85546875" style="4" hidden="1"/>
    <col min="15621" max="15621" width="9.7109375" style="4" hidden="1"/>
    <col min="15622" max="15622" width="7.28515625" style="4" hidden="1"/>
    <col min="15623" max="15623" width="8.140625" style="4" hidden="1"/>
    <col min="15624" max="15624" width="12.85546875" style="4" hidden="1"/>
    <col min="15625" max="15626" width="13.28515625" style="4" hidden="1"/>
    <col min="15627" max="15873" width="10.42578125" style="4" hidden="1"/>
    <col min="15874" max="15874" width="8.42578125" style="4" hidden="1"/>
    <col min="15875" max="15876" width="12.85546875" style="4" hidden="1"/>
    <col min="15877" max="15877" width="9.7109375" style="4" hidden="1"/>
    <col min="15878" max="15878" width="7.28515625" style="4" hidden="1"/>
    <col min="15879" max="15879" width="8.140625" style="4" hidden="1"/>
    <col min="15880" max="15880" width="12.85546875" style="4" hidden="1"/>
    <col min="15881" max="15882" width="13.28515625" style="4" hidden="1"/>
    <col min="15883" max="16129" width="10.42578125" style="4" hidden="1"/>
    <col min="16130" max="16130" width="8.42578125" style="4" hidden="1"/>
    <col min="16131" max="16132" width="12.85546875" style="4" hidden="1"/>
    <col min="16133" max="16133" width="9.7109375" style="4" hidden="1"/>
    <col min="16134" max="16134" width="7.28515625" style="4" hidden="1"/>
    <col min="16135" max="16135" width="8.140625" style="4" hidden="1"/>
    <col min="16136" max="16136" width="12.85546875" style="4" hidden="1"/>
    <col min="16137" max="16138" width="13.28515625" style="4" hidden="1"/>
    <col min="16139" max="16384" width="10.42578125" style="4" hidden="1"/>
  </cols>
  <sheetData>
    <row r="1" spans="2:10" s="1" customFormat="1" ht="15.75">
      <c r="B1" s="49" t="s">
        <v>148</v>
      </c>
      <c r="D1" s="79"/>
      <c r="F1" s="80"/>
      <c r="H1" s="79"/>
      <c r="J1" s="81" t="s">
        <v>139</v>
      </c>
    </row>
    <row r="2" spans="2:10" s="1" customFormat="1" ht="15.75">
      <c r="B2" s="49" t="s">
        <v>149</v>
      </c>
      <c r="D2" s="79"/>
      <c r="F2" s="80"/>
      <c r="H2" s="79"/>
      <c r="J2" s="82"/>
    </row>
    <row r="3" spans="2:10">
      <c r="B3" s="79"/>
      <c r="D3" s="79"/>
      <c r="F3" s="80"/>
      <c r="H3" s="79"/>
      <c r="J3" s="83"/>
    </row>
    <row r="4" spans="2:10">
      <c r="B4" s="50" t="s">
        <v>0</v>
      </c>
      <c r="D4" s="51" t="s">
        <v>150</v>
      </c>
      <c r="F4" s="84"/>
      <c r="H4" s="45" t="s">
        <v>9</v>
      </c>
      <c r="J4" s="46"/>
    </row>
    <row r="5" spans="2:10">
      <c r="B5" s="50" t="s">
        <v>1</v>
      </c>
      <c r="D5" s="51" t="s">
        <v>151</v>
      </c>
      <c r="F5" s="85"/>
      <c r="H5" s="45" t="s">
        <v>146</v>
      </c>
      <c r="J5" s="47"/>
    </row>
    <row r="6" spans="2:10">
      <c r="B6" s="50" t="s">
        <v>2</v>
      </c>
      <c r="D6" s="52" t="s">
        <v>152</v>
      </c>
      <c r="F6" s="85"/>
      <c r="H6" s="45" t="s">
        <v>10</v>
      </c>
      <c r="J6" s="48"/>
    </row>
    <row r="7" spans="2:10">
      <c r="B7" s="82"/>
      <c r="D7" s="82"/>
      <c r="F7" s="46"/>
      <c r="H7" s="45" t="s">
        <v>147</v>
      </c>
      <c r="J7" s="47"/>
    </row>
    <row r="8" spans="2:10">
      <c r="B8" s="82"/>
      <c r="D8" s="82"/>
      <c r="F8" s="46"/>
      <c r="H8" s="45"/>
      <c r="J8" s="157"/>
    </row>
    <row r="9" spans="2:10">
      <c r="B9" s="49" t="s">
        <v>4</v>
      </c>
      <c r="D9" s="49"/>
      <c r="F9" s="49"/>
      <c r="H9" s="49"/>
      <c r="J9" s="49"/>
    </row>
    <row r="10" spans="2:10">
      <c r="B10" s="86"/>
      <c r="D10" s="86"/>
      <c r="F10" s="86"/>
      <c r="H10" s="86"/>
      <c r="J10" s="86"/>
    </row>
    <row r="11" spans="2:10" ht="30">
      <c r="B11" s="164" t="s">
        <v>5</v>
      </c>
      <c r="D11" s="164" t="s">
        <v>32</v>
      </c>
      <c r="F11" s="165" t="s">
        <v>31</v>
      </c>
      <c r="H11" s="165" t="s">
        <v>6</v>
      </c>
      <c r="J11" s="165" t="s">
        <v>7</v>
      </c>
    </row>
    <row r="12" spans="2:10">
      <c r="B12" s="46"/>
      <c r="D12" s="82"/>
      <c r="F12" s="46"/>
      <c r="H12" s="82"/>
      <c r="J12" s="79"/>
    </row>
    <row r="13" spans="2:10">
      <c r="B13" s="87">
        <v>1</v>
      </c>
      <c r="D13" s="88" t="s">
        <v>24</v>
      </c>
      <c r="F13" s="87" t="str">
        <f>$J$1&amp;" - "&amp;B13</f>
        <v>B.S.02 - 1</v>
      </c>
      <c r="H13" s="88"/>
      <c r="J13" s="89"/>
    </row>
    <row r="14" spans="2:10">
      <c r="B14" s="87"/>
      <c r="D14" s="88"/>
      <c r="F14" s="87"/>
      <c r="H14" s="88"/>
      <c r="J14" s="89"/>
    </row>
    <row r="15" spans="2:10">
      <c r="B15" s="87">
        <f>B13+1</f>
        <v>2</v>
      </c>
      <c r="D15" s="88" t="s">
        <v>30</v>
      </c>
      <c r="F15" s="87" t="str">
        <f>$J$1&amp;" - "&amp;B15</f>
        <v>B.S.02 - 2</v>
      </c>
      <c r="H15" s="88"/>
      <c r="J15" s="89"/>
    </row>
    <row r="16" spans="2:10">
      <c r="B16" s="87"/>
      <c r="D16" s="88"/>
      <c r="F16" s="87"/>
      <c r="H16" s="88"/>
      <c r="J16" s="89"/>
    </row>
    <row r="17" spans="2:10">
      <c r="B17" s="87">
        <f>B15+1</f>
        <v>3</v>
      </c>
      <c r="D17" s="88" t="s">
        <v>90</v>
      </c>
      <c r="F17" s="87" t="str">
        <f>$J$1&amp;" - "&amp;B17</f>
        <v>B.S.02 - 3</v>
      </c>
      <c r="H17" s="88"/>
      <c r="J17" s="89"/>
    </row>
    <row r="18" spans="2:10">
      <c r="B18" s="87"/>
      <c r="D18" s="88"/>
      <c r="F18" s="87"/>
      <c r="H18" s="88"/>
      <c r="J18" s="89"/>
    </row>
    <row r="19" spans="2:10">
      <c r="B19" s="87">
        <f>B17+1</f>
        <v>4</v>
      </c>
      <c r="D19" s="88" t="s">
        <v>129</v>
      </c>
      <c r="F19" s="87" t="str">
        <f>$J$1&amp;" - "&amp;B19</f>
        <v>B.S.02 - 4</v>
      </c>
      <c r="H19" s="88"/>
      <c r="J19" s="89"/>
    </row>
    <row r="20" spans="2:10">
      <c r="B20" s="87"/>
      <c r="D20" s="88"/>
      <c r="F20" s="87"/>
      <c r="H20" s="88"/>
      <c r="J20" s="89"/>
    </row>
    <row r="21" spans="2:10">
      <c r="B21" s="87">
        <f>B19+1</f>
        <v>5</v>
      </c>
      <c r="D21" s="88" t="s">
        <v>91</v>
      </c>
      <c r="F21" s="87" t="str">
        <f>$J$1&amp;" - "&amp;B21</f>
        <v>B.S.02 - 5</v>
      </c>
      <c r="H21" s="88"/>
      <c r="J21" s="89"/>
    </row>
    <row r="22" spans="2:10">
      <c r="B22" s="87"/>
      <c r="D22" s="88"/>
      <c r="F22" s="87"/>
      <c r="H22" s="88"/>
      <c r="J22" s="89"/>
    </row>
    <row r="23" spans="2:10">
      <c r="B23" s="87">
        <f>B21+1</f>
        <v>6</v>
      </c>
      <c r="D23" s="88" t="s">
        <v>92</v>
      </c>
      <c r="F23" s="87" t="str">
        <f>$J$1&amp;" - "&amp;B23</f>
        <v>B.S.02 - 6</v>
      </c>
      <c r="H23" s="88"/>
      <c r="J23" s="89"/>
    </row>
    <row r="24" spans="2:10">
      <c r="B24" s="87"/>
      <c r="D24" s="88"/>
      <c r="F24" s="87"/>
      <c r="H24" s="88"/>
      <c r="J24" s="89"/>
    </row>
    <row r="25" spans="2:10">
      <c r="B25" s="87">
        <f>B23+1</f>
        <v>7</v>
      </c>
      <c r="D25" s="88" t="s">
        <v>112</v>
      </c>
      <c r="F25" s="87" t="str">
        <f>$J$1&amp;" - "&amp;B25</f>
        <v>B.S.02 - 7</v>
      </c>
      <c r="H25" s="88"/>
      <c r="J25" s="89"/>
    </row>
    <row r="26" spans="2:10">
      <c r="B26" s="87"/>
      <c r="D26" s="88"/>
      <c r="F26" s="87"/>
      <c r="H26" s="88"/>
      <c r="J26" s="89"/>
    </row>
    <row r="27" spans="2:10">
      <c r="B27" s="87">
        <f>B25+1</f>
        <v>8</v>
      </c>
      <c r="D27" s="88" t="s">
        <v>138</v>
      </c>
      <c r="F27" s="87" t="str">
        <f>$J$1&amp;" - "&amp;B27</f>
        <v>B.S.02 - 8</v>
      </c>
      <c r="H27" s="88"/>
      <c r="J27" s="89"/>
    </row>
    <row r="28" spans="2:10">
      <c r="B28" s="87"/>
      <c r="D28" s="88"/>
      <c r="F28" s="87"/>
      <c r="H28" s="88"/>
      <c r="J28" s="89"/>
    </row>
    <row r="29" spans="2:10">
      <c r="B29" s="87"/>
      <c r="D29" s="88"/>
      <c r="F29" s="87"/>
      <c r="H29" s="88"/>
      <c r="J29" s="89"/>
    </row>
    <row r="30" spans="2:10">
      <c r="B30" s="87"/>
      <c r="D30" s="88"/>
      <c r="F30" s="87"/>
      <c r="H30" s="88"/>
      <c r="J30" s="89"/>
    </row>
    <row r="31" spans="2:10">
      <c r="B31" s="87"/>
      <c r="D31" s="88"/>
      <c r="F31" s="87"/>
      <c r="H31" s="88"/>
      <c r="J31" s="89"/>
    </row>
    <row r="32" spans="2:10">
      <c r="B32" s="87"/>
      <c r="D32" s="88"/>
      <c r="F32" s="87"/>
      <c r="H32" s="88"/>
      <c r="J32" s="89"/>
    </row>
    <row r="33" spans="2:10">
      <c r="B33" s="87"/>
      <c r="D33" s="88"/>
      <c r="F33" s="87"/>
      <c r="H33" s="88"/>
      <c r="J33" s="89"/>
    </row>
    <row r="34" spans="2:10">
      <c r="B34" s="87"/>
      <c r="D34" s="88"/>
      <c r="F34" s="87"/>
      <c r="H34" s="88"/>
      <c r="J34" s="89"/>
    </row>
    <row r="35" spans="2:10"/>
    <row r="36" spans="2:10"/>
    <row r="37" spans="2:10"/>
    <row r="38" spans="2:10"/>
    <row r="39" spans="2:10"/>
  </sheetData>
  <printOptions horizontalCentered="1"/>
  <pageMargins left="0.25" right="0.25" top="0.75" bottom="0.75" header="0.3" footer="0.3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:M32"/>
  <sheetViews>
    <sheetView showGridLines="0" zoomScaleSheetLayoutView="100" workbookViewId="0">
      <selection activeCell="F6" sqref="F6"/>
    </sheetView>
  </sheetViews>
  <sheetFormatPr defaultColWidth="0" defaultRowHeight="16.5" zeroHeight="1"/>
  <cols>
    <col min="1" max="1" width="1" style="3" customWidth="1"/>
    <col min="2" max="2" width="10" style="3" customWidth="1"/>
    <col min="3" max="3" width="1" style="3" customWidth="1"/>
    <col min="4" max="4" width="61" style="3" customWidth="1"/>
    <col min="5" max="5" width="1" style="3" customWidth="1"/>
    <col min="6" max="6" width="13.5703125" style="3" customWidth="1"/>
    <col min="7" max="7" width="14.42578125" style="3" customWidth="1"/>
    <col min="8" max="8" width="1" style="3" customWidth="1"/>
    <col min="9" max="9" width="9.140625" style="3" hidden="1" customWidth="1"/>
    <col min="10" max="11" width="0" style="3" hidden="1" customWidth="1"/>
    <col min="12" max="12" width="9.140625" style="3" hidden="1" customWidth="1"/>
    <col min="13" max="13" width="9.140625" style="3" hidden="1"/>
    <col min="14" max="16384" width="0" style="3" hidden="1"/>
  </cols>
  <sheetData>
    <row r="1" spans="2:12" s="1" customFormat="1" ht="15.75">
      <c r="B1" s="49" t="str">
        <f>Index!$B$1</f>
        <v>ABC &amp; Co.</v>
      </c>
      <c r="D1" s="79"/>
      <c r="F1" s="90"/>
      <c r="G1" s="91" t="str">
        <f>Index!F13</f>
        <v>B.S.02 - 1</v>
      </c>
    </row>
    <row r="2" spans="2:12" s="1" customFormat="1" ht="15.75">
      <c r="B2" s="49" t="str">
        <f>Index!$B$2</f>
        <v>(Chartered Accountants)</v>
      </c>
      <c r="D2" s="79"/>
      <c r="F2" s="90"/>
      <c r="G2" s="82"/>
    </row>
    <row r="3" spans="2:12" s="4" customFormat="1">
      <c r="B3" s="79"/>
      <c r="D3" s="79"/>
      <c r="F3" s="45" t="str">
        <f>Index!$H$4</f>
        <v>Prepared by:</v>
      </c>
      <c r="G3" s="53" t="str">
        <f>IF(Index!$J$4="","",Index!$J$4)</f>
        <v/>
      </c>
      <c r="H3" s="3"/>
    </row>
    <row r="4" spans="2:12" s="4" customFormat="1">
      <c r="B4" s="50" t="str">
        <f>Index!B4</f>
        <v xml:space="preserve">Client: </v>
      </c>
      <c r="D4" s="51" t="str">
        <f>Index!$D$4</f>
        <v>ABC Limited</v>
      </c>
      <c r="F4" s="45" t="str">
        <f>Index!$H$5</f>
        <v>Date prepared:</v>
      </c>
      <c r="G4" s="54" t="str">
        <f>IF(Index!$J$5="","",Index!$J$5)</f>
        <v/>
      </c>
    </row>
    <row r="5" spans="2:12" s="4" customFormat="1">
      <c r="B5" s="50" t="str">
        <f>Index!B5</f>
        <v>Period:</v>
      </c>
      <c r="D5" s="51" t="str">
        <f>Index!$D$5</f>
        <v>Year ended June 30, 2023</v>
      </c>
      <c r="F5" s="45" t="str">
        <f>Index!$H$6</f>
        <v>Reviewed by:</v>
      </c>
      <c r="G5" s="53" t="str">
        <f>IF(Index!$J$6="","",Index!$J$6)</f>
        <v/>
      </c>
    </row>
    <row r="6" spans="2:12" s="4" customFormat="1">
      <c r="B6" s="50" t="str">
        <f>Index!B6</f>
        <v>Head:</v>
      </c>
      <c r="D6" s="52" t="str">
        <f>Index!$D$6</f>
        <v>Intangible Assets</v>
      </c>
      <c r="F6" s="45" t="str">
        <f>Index!$H$7</f>
        <v>Date reviewed:</v>
      </c>
      <c r="G6" s="54" t="str">
        <f>IF(Index!$J$7="","",Index!$J$7)</f>
        <v/>
      </c>
    </row>
    <row r="7" spans="2:12">
      <c r="B7" s="82"/>
      <c r="D7" s="82"/>
      <c r="F7" s="45"/>
      <c r="G7" s="69"/>
      <c r="H7" s="4"/>
    </row>
    <row r="8" spans="2:12" s="4" customFormat="1">
      <c r="B8" s="163" t="str">
        <f>UPPER("Audit Objectives and Conclusions")</f>
        <v>AUDIT OBJECTIVES AND CONCLUSIONS</v>
      </c>
      <c r="D8" s="163"/>
      <c r="F8" s="163"/>
      <c r="G8" s="163"/>
      <c r="H8" s="6"/>
    </row>
    <row r="9" spans="2:12">
      <c r="B9" s="83"/>
      <c r="D9" s="83"/>
      <c r="F9" s="83"/>
      <c r="G9" s="83"/>
    </row>
    <row r="10" spans="2:12" s="8" customFormat="1">
      <c r="B10" s="255" t="s">
        <v>5</v>
      </c>
      <c r="D10" s="255" t="s">
        <v>13</v>
      </c>
      <c r="F10" s="253" t="s">
        <v>35</v>
      </c>
      <c r="G10" s="253"/>
      <c r="H10" s="7"/>
    </row>
    <row r="11" spans="2:12">
      <c r="B11" s="256"/>
      <c r="D11" s="256"/>
      <c r="F11" s="166" t="s">
        <v>38</v>
      </c>
      <c r="G11" s="167" t="s">
        <v>39</v>
      </c>
      <c r="H11" s="9"/>
    </row>
    <row r="12" spans="2:12">
      <c r="B12" s="168"/>
      <c r="D12" s="168"/>
      <c r="F12" s="169"/>
      <c r="G12" s="170"/>
      <c r="H12" s="9"/>
    </row>
    <row r="13" spans="2:12">
      <c r="B13" s="70">
        <f>B12+1</f>
        <v>1</v>
      </c>
      <c r="D13" s="171" t="s">
        <v>93</v>
      </c>
      <c r="F13" s="172"/>
      <c r="G13" s="172"/>
    </row>
    <row r="14" spans="2:12" s="10" customFormat="1">
      <c r="B14" s="70">
        <f t="shared" ref="B14:B18" si="0">B13+1</f>
        <v>2</v>
      </c>
      <c r="D14" s="171" t="s">
        <v>94</v>
      </c>
      <c r="F14" s="172"/>
      <c r="G14" s="172"/>
      <c r="H14" s="3"/>
      <c r="I14" s="3"/>
      <c r="J14" s="3"/>
      <c r="K14" s="3"/>
      <c r="L14" s="3"/>
    </row>
    <row r="15" spans="2:12" s="10" customFormat="1">
      <c r="B15" s="70">
        <f t="shared" si="0"/>
        <v>3</v>
      </c>
      <c r="D15" s="171" t="s">
        <v>95</v>
      </c>
      <c r="F15" s="172"/>
      <c r="G15" s="172"/>
      <c r="H15" s="3"/>
      <c r="I15" s="3"/>
      <c r="J15" s="3"/>
      <c r="K15" s="3"/>
      <c r="L15" s="3"/>
    </row>
    <row r="16" spans="2:12" s="10" customFormat="1" ht="27">
      <c r="B16" s="70">
        <f t="shared" si="0"/>
        <v>4</v>
      </c>
      <c r="D16" s="171" t="s">
        <v>96</v>
      </c>
      <c r="F16" s="172"/>
      <c r="G16" s="172"/>
      <c r="H16" s="3"/>
      <c r="I16" s="3"/>
      <c r="J16" s="3"/>
      <c r="K16" s="3"/>
      <c r="L16" s="3"/>
    </row>
    <row r="17" spans="2:12" s="10" customFormat="1" ht="27">
      <c r="B17" s="70">
        <f t="shared" si="0"/>
        <v>5</v>
      </c>
      <c r="D17" s="171" t="s">
        <v>140</v>
      </c>
      <c r="F17" s="172"/>
      <c r="G17" s="172"/>
    </row>
    <row r="18" spans="2:12" s="10" customFormat="1" ht="40.5">
      <c r="B18" s="70">
        <f t="shared" si="0"/>
        <v>6</v>
      </c>
      <c r="D18" s="171" t="s">
        <v>143</v>
      </c>
      <c r="F18" s="172"/>
      <c r="G18" s="172"/>
    </row>
    <row r="19" spans="2:12" s="12" customFormat="1">
      <c r="B19" s="70"/>
      <c r="D19" s="171"/>
      <c r="F19" s="172"/>
      <c r="G19" s="172"/>
      <c r="H19" s="11"/>
      <c r="I19" s="11"/>
      <c r="J19" s="11"/>
      <c r="K19" s="11"/>
      <c r="L19" s="11"/>
    </row>
    <row r="20" spans="2:12" s="12" customFormat="1">
      <c r="B20" s="175"/>
      <c r="D20" s="77"/>
      <c r="F20" s="78"/>
      <c r="G20" s="78"/>
    </row>
    <row r="21" spans="2:12" s="12" customFormat="1">
      <c r="B21" s="257" t="s">
        <v>5</v>
      </c>
      <c r="D21" s="257" t="s">
        <v>37</v>
      </c>
      <c r="F21" s="254" t="s">
        <v>36</v>
      </c>
      <c r="G21" s="254"/>
    </row>
    <row r="22" spans="2:12" s="13" customFormat="1">
      <c r="B22" s="257"/>
      <c r="D22" s="257"/>
      <c r="F22" s="166" t="s">
        <v>38</v>
      </c>
      <c r="G22" s="167" t="s">
        <v>39</v>
      </c>
    </row>
    <row r="23" spans="2:12" s="13" customFormat="1">
      <c r="B23" s="168"/>
      <c r="D23" s="168"/>
      <c r="F23" s="169"/>
      <c r="G23" s="170"/>
    </row>
    <row r="24" spans="2:12" s="42" customFormat="1">
      <c r="B24" s="70">
        <f>B23+1</f>
        <v>1</v>
      </c>
      <c r="D24" s="173" t="s">
        <v>33</v>
      </c>
      <c r="F24" s="174"/>
      <c r="G24" s="174"/>
    </row>
    <row r="25" spans="2:12" s="42" customFormat="1" ht="27">
      <c r="B25" s="70">
        <f t="shared" ref="B25:B27" si="1">B24+1</f>
        <v>2</v>
      </c>
      <c r="D25" s="173" t="s">
        <v>34</v>
      </c>
      <c r="F25" s="174"/>
      <c r="G25" s="174"/>
    </row>
    <row r="26" spans="2:12" s="42" customFormat="1" ht="40.5">
      <c r="B26" s="70">
        <f t="shared" si="1"/>
        <v>3</v>
      </c>
      <c r="D26" s="173" t="s">
        <v>104</v>
      </c>
      <c r="F26" s="174"/>
      <c r="G26" s="174"/>
    </row>
    <row r="27" spans="2:12" s="42" customFormat="1" ht="27">
      <c r="B27" s="70">
        <f t="shared" si="1"/>
        <v>4</v>
      </c>
      <c r="D27" s="173" t="s">
        <v>105</v>
      </c>
      <c r="F27" s="174"/>
      <c r="G27" s="174"/>
    </row>
    <row r="28" spans="2:12" s="10" customFormat="1">
      <c r="B28" s="73"/>
      <c r="D28" s="171"/>
      <c r="F28" s="72"/>
      <c r="G28" s="72"/>
    </row>
    <row r="29" spans="2:12" s="13" customFormat="1">
      <c r="B29" s="43"/>
      <c r="D29" s="44"/>
    </row>
    <row r="30" spans="2:12" s="13" customFormat="1"/>
    <row r="31" spans="2:12" s="13" customFormat="1">
      <c r="F31" s="14"/>
      <c r="G31" s="14"/>
      <c r="H31" s="14"/>
      <c r="I31" s="14"/>
      <c r="J31" s="14"/>
      <c r="K31" s="14"/>
    </row>
    <row r="32" spans="2:12" s="13" customFormat="1"/>
  </sheetData>
  <mergeCells count="6">
    <mergeCell ref="F10:G10"/>
    <mergeCell ref="F21:G21"/>
    <mergeCell ref="D10:D11"/>
    <mergeCell ref="B10:B11"/>
    <mergeCell ref="B21:B22"/>
    <mergeCell ref="D21:D22"/>
  </mergeCells>
  <printOptions horizontalCentered="1"/>
  <pageMargins left="0.25" right="0.25" top="0.75" bottom="0.75" header="0.3" footer="0.3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N66"/>
  <sheetViews>
    <sheetView showGridLines="0" topLeftCell="A20" zoomScaleSheetLayoutView="100" workbookViewId="0">
      <selection activeCell="K36" sqref="K36"/>
    </sheetView>
  </sheetViews>
  <sheetFormatPr defaultColWidth="0" defaultRowHeight="16.5" zeroHeight="1"/>
  <cols>
    <col min="1" max="1" width="1" style="3" customWidth="1"/>
    <col min="2" max="2" width="7.7109375" style="13" customWidth="1"/>
    <col min="3" max="3" width="33" style="13" customWidth="1"/>
    <col min="4" max="4" width="1" style="3" customWidth="1"/>
    <col min="5" max="5" width="11.7109375" style="13" bestFit="1" customWidth="1"/>
    <col min="6" max="6" width="1" style="3" customWidth="1"/>
    <col min="7" max="8" width="14.42578125" style="13" customWidth="1"/>
    <col min="9" max="9" width="1" style="3" customWidth="1"/>
    <col min="10" max="11" width="14.42578125" style="13" customWidth="1"/>
    <col min="12" max="12" width="1" style="3" customWidth="1"/>
    <col min="13" max="13" width="21.7109375" style="13" bestFit="1" customWidth="1"/>
    <col min="14" max="14" width="1" style="3" customWidth="1"/>
    <col min="15" max="16384" width="0" style="13" hidden="1"/>
  </cols>
  <sheetData>
    <row r="1" spans="1:14" s="36" customFormat="1" ht="15.75">
      <c r="A1" s="1"/>
      <c r="B1" s="49" t="str">
        <f>Index!$B$1</f>
        <v>ABC &amp; Co.</v>
      </c>
      <c r="C1" s="79"/>
      <c r="D1" s="1"/>
      <c r="E1" s="63"/>
      <c r="F1" s="1"/>
      <c r="G1" s="92"/>
      <c r="H1" s="63"/>
      <c r="I1" s="1"/>
      <c r="J1" s="63"/>
      <c r="K1" s="82"/>
      <c r="L1" s="1"/>
      <c r="M1" s="93" t="str">
        <f>Index!F15</f>
        <v>B.S.02 - 2</v>
      </c>
      <c r="N1" s="63"/>
    </row>
    <row r="2" spans="1:14" s="36" customFormat="1" ht="15.75">
      <c r="A2" s="1"/>
      <c r="B2" s="49" t="str">
        <f>Index!$B$2</f>
        <v>(Chartered Accountants)</v>
      </c>
      <c r="C2" s="79"/>
      <c r="D2" s="1"/>
      <c r="E2" s="94"/>
      <c r="F2" s="1"/>
      <c r="G2" s="83"/>
      <c r="H2" s="63"/>
      <c r="I2" s="1"/>
      <c r="J2" s="63"/>
      <c r="K2" s="82"/>
      <c r="L2" s="1"/>
      <c r="M2" s="63"/>
      <c r="N2" s="63"/>
    </row>
    <row r="3" spans="1:14">
      <c r="A3" s="4"/>
      <c r="B3" s="79"/>
      <c r="C3" s="79"/>
      <c r="D3" s="4"/>
      <c r="E3" s="63"/>
      <c r="F3" s="4"/>
      <c r="G3" s="63"/>
      <c r="H3" s="63"/>
      <c r="I3" s="4"/>
      <c r="J3" s="63"/>
      <c r="K3" s="45" t="str">
        <f>Index!$H$4</f>
        <v>Prepared by:</v>
      </c>
      <c r="L3" s="4"/>
      <c r="M3" s="53" t="str">
        <f>IF(Index!$J$4="","",Index!$J$4)</f>
        <v/>
      </c>
      <c r="N3" s="82"/>
    </row>
    <row r="4" spans="1:14" s="2" customFormat="1">
      <c r="A4" s="3"/>
      <c r="B4" s="50" t="str">
        <f>Index!B4</f>
        <v xml:space="preserve">Client: </v>
      </c>
      <c r="C4" s="51" t="str">
        <f>Index!$D$4</f>
        <v>ABC Limited</v>
      </c>
      <c r="D4" s="3"/>
      <c r="E4" s="79"/>
      <c r="F4" s="3"/>
      <c r="G4" s="79"/>
      <c r="H4" s="79"/>
      <c r="I4" s="3"/>
      <c r="J4" s="79"/>
      <c r="K4" s="45" t="str">
        <f>Index!$H$5</f>
        <v>Date prepared:</v>
      </c>
      <c r="L4" s="3"/>
      <c r="M4" s="54" t="str">
        <f>IF(Index!$J$5="","",Index!$J$5)</f>
        <v/>
      </c>
      <c r="N4" s="83"/>
    </row>
    <row r="5" spans="1:14" s="2" customFormat="1">
      <c r="A5" s="4"/>
      <c r="B5" s="50" t="str">
        <f>Index!B5</f>
        <v>Period:</v>
      </c>
      <c r="C5" s="51" t="str">
        <f>Index!$D$5</f>
        <v>Year ended June 30, 2023</v>
      </c>
      <c r="D5" s="4"/>
      <c r="E5" s="79"/>
      <c r="F5" s="4"/>
      <c r="G5" s="79"/>
      <c r="H5" s="79"/>
      <c r="I5" s="4"/>
      <c r="J5" s="79"/>
      <c r="K5" s="45" t="str">
        <f>Index!$H$6</f>
        <v>Reviewed by:</v>
      </c>
      <c r="L5" s="4"/>
      <c r="M5" s="53" t="str">
        <f>IF(Index!$J$6="","",Index!$J$6)</f>
        <v/>
      </c>
      <c r="N5" s="82"/>
    </row>
    <row r="6" spans="1:14" s="2" customFormat="1">
      <c r="A6" s="4"/>
      <c r="B6" s="50" t="str">
        <f>Index!B6</f>
        <v>Head:</v>
      </c>
      <c r="C6" s="52" t="str">
        <f>Index!$D$6</f>
        <v>Intangible Assets</v>
      </c>
      <c r="D6" s="4"/>
      <c r="E6" s="79"/>
      <c r="F6" s="4"/>
      <c r="G6" s="79"/>
      <c r="H6" s="79"/>
      <c r="I6" s="4"/>
      <c r="J6" s="79"/>
      <c r="K6" s="45" t="str">
        <f>Index!$H$7</f>
        <v>Date reviewed:</v>
      </c>
      <c r="L6" s="4"/>
      <c r="M6" s="54" t="str">
        <f>IF(Index!$J$7="","",Index!$J$7)</f>
        <v/>
      </c>
      <c r="N6" s="82"/>
    </row>
    <row r="7" spans="1:14" s="2" customFormat="1">
      <c r="A7" s="4"/>
      <c r="B7" s="95"/>
      <c r="C7" s="96"/>
      <c r="D7" s="4"/>
      <c r="E7" s="79"/>
      <c r="F7" s="4"/>
      <c r="G7" s="79"/>
      <c r="H7" s="79"/>
      <c r="I7" s="4"/>
      <c r="J7" s="79"/>
      <c r="K7" s="97"/>
      <c r="L7" s="4"/>
      <c r="M7" s="79"/>
      <c r="N7" s="82"/>
    </row>
    <row r="8" spans="1:14">
      <c r="B8" s="90" t="s">
        <v>8</v>
      </c>
      <c r="C8" s="90"/>
      <c r="E8" s="90"/>
      <c r="G8" s="90"/>
      <c r="H8" s="90"/>
      <c r="J8" s="90"/>
      <c r="K8" s="90"/>
      <c r="M8" s="90"/>
      <c r="N8" s="83"/>
    </row>
    <row r="9" spans="1:14">
      <c r="B9" s="90"/>
      <c r="C9" s="90"/>
      <c r="E9" s="90"/>
      <c r="G9" s="90"/>
      <c r="H9" s="90"/>
      <c r="J9" s="90"/>
      <c r="K9" s="90"/>
      <c r="M9" s="90"/>
      <c r="N9" s="83"/>
    </row>
    <row r="10" spans="1:14">
      <c r="A10" s="13"/>
      <c r="B10" s="52" t="s">
        <v>21</v>
      </c>
      <c r="C10" s="63"/>
      <c r="D10" s="13"/>
      <c r="E10" s="63"/>
      <c r="F10" s="13"/>
      <c r="G10" s="63"/>
      <c r="H10" s="63"/>
      <c r="I10" s="13"/>
      <c r="J10" s="63"/>
      <c r="K10" s="63"/>
      <c r="L10" s="13"/>
      <c r="M10" s="63"/>
      <c r="N10" s="63"/>
    </row>
    <row r="11" spans="1:14">
      <c r="A11" s="13"/>
      <c r="B11" s="52" t="s">
        <v>142</v>
      </c>
      <c r="C11" s="63"/>
      <c r="D11" s="13"/>
      <c r="E11" s="63"/>
      <c r="F11" s="13"/>
      <c r="G11" s="63"/>
      <c r="H11" s="63"/>
      <c r="I11" s="13"/>
      <c r="J11" s="63"/>
      <c r="K11" s="63"/>
      <c r="L11" s="13"/>
      <c r="M11" s="63"/>
      <c r="N11" s="63"/>
    </row>
    <row r="12" spans="1:14" ht="14.25" customHeight="1">
      <c r="B12" s="259" t="s">
        <v>40</v>
      </c>
      <c r="C12" s="259"/>
      <c r="D12" s="259"/>
      <c r="E12" s="259"/>
      <c r="F12" s="259"/>
      <c r="G12" s="259"/>
      <c r="H12" s="259"/>
      <c r="I12" s="259"/>
      <c r="J12" s="259"/>
      <c r="K12" s="259"/>
      <c r="L12" s="259"/>
      <c r="M12" s="259"/>
      <c r="N12" s="83"/>
    </row>
    <row r="13" spans="1:14">
      <c r="A13" s="13"/>
      <c r="B13" s="52" t="s">
        <v>16</v>
      </c>
      <c r="C13" s="98"/>
      <c r="D13" s="13"/>
      <c r="E13" s="98"/>
      <c r="F13" s="13"/>
      <c r="G13" s="98"/>
      <c r="H13" s="98"/>
      <c r="I13" s="13"/>
      <c r="J13" s="98"/>
      <c r="K13" s="98"/>
      <c r="L13" s="13"/>
      <c r="M13" s="98"/>
      <c r="N13" s="63"/>
    </row>
    <row r="14" spans="1:14" ht="14.25" customHeight="1">
      <c r="A14" s="13"/>
      <c r="B14" s="259" t="s">
        <v>22</v>
      </c>
      <c r="C14" s="259"/>
      <c r="D14" s="259"/>
      <c r="E14" s="259"/>
      <c r="F14" s="259"/>
      <c r="G14" s="259"/>
      <c r="H14" s="259"/>
      <c r="I14" s="259"/>
      <c r="J14" s="259"/>
      <c r="K14" s="259"/>
      <c r="L14" s="259"/>
      <c r="M14" s="259"/>
      <c r="N14" s="58"/>
    </row>
    <row r="15" spans="1:14" ht="16.5" customHeight="1">
      <c r="A15" s="13"/>
      <c r="B15" s="259" t="s">
        <v>23</v>
      </c>
      <c r="C15" s="259"/>
      <c r="D15" s="259"/>
      <c r="E15" s="259"/>
      <c r="F15" s="259"/>
      <c r="G15" s="259"/>
      <c r="H15" s="259"/>
      <c r="I15" s="259"/>
      <c r="J15" s="259"/>
      <c r="K15" s="259"/>
      <c r="L15" s="259"/>
      <c r="M15" s="259"/>
      <c r="N15" s="58"/>
    </row>
    <row r="16" spans="1:14" ht="14.25" customHeight="1">
      <c r="A16" s="13"/>
      <c r="B16" s="261" t="s">
        <v>144</v>
      </c>
      <c r="C16" s="261"/>
      <c r="D16" s="261"/>
      <c r="E16" s="261"/>
      <c r="F16" s="261"/>
      <c r="G16" s="261"/>
      <c r="H16" s="261"/>
      <c r="I16" s="261"/>
      <c r="J16" s="261"/>
      <c r="K16" s="261"/>
      <c r="L16" s="261"/>
      <c r="M16" s="261"/>
      <c r="N16" s="58"/>
    </row>
    <row r="17" spans="1:14">
      <c r="B17" s="261"/>
      <c r="C17" s="261"/>
      <c r="D17" s="261"/>
      <c r="E17" s="261"/>
      <c r="F17" s="261"/>
      <c r="G17" s="261"/>
      <c r="H17" s="261"/>
      <c r="I17" s="261"/>
      <c r="J17" s="261"/>
      <c r="K17" s="261"/>
      <c r="L17" s="261"/>
      <c r="M17" s="261"/>
      <c r="N17" s="59"/>
    </row>
    <row r="18" spans="1:14">
      <c r="B18" s="60" t="s">
        <v>100</v>
      </c>
      <c r="C18" s="61"/>
      <c r="E18" s="61"/>
      <c r="G18" s="61"/>
      <c r="H18" s="61"/>
      <c r="J18" s="61"/>
      <c r="K18" s="61"/>
      <c r="M18" s="61"/>
      <c r="N18" s="60"/>
    </row>
    <row r="19" spans="1:14" ht="16.5" customHeight="1">
      <c r="B19" s="260" t="s">
        <v>101</v>
      </c>
      <c r="C19" s="260"/>
      <c r="D19" s="260"/>
      <c r="E19" s="260"/>
      <c r="F19" s="260"/>
      <c r="G19" s="260"/>
      <c r="H19" s="260"/>
      <c r="I19" s="260"/>
      <c r="J19" s="260"/>
      <c r="K19" s="260"/>
      <c r="L19" s="260"/>
      <c r="M19" s="260"/>
      <c r="N19" s="260"/>
    </row>
    <row r="20" spans="1:14">
      <c r="B20" s="260"/>
      <c r="C20" s="260"/>
      <c r="D20" s="260"/>
      <c r="E20" s="260"/>
      <c r="F20" s="260"/>
      <c r="G20" s="260"/>
      <c r="H20" s="260"/>
      <c r="I20" s="260"/>
      <c r="J20" s="260"/>
      <c r="K20" s="260"/>
      <c r="L20" s="260"/>
      <c r="M20" s="260"/>
      <c r="N20" s="260"/>
    </row>
    <row r="21" spans="1:14">
      <c r="B21" s="62" t="s">
        <v>102</v>
      </c>
      <c r="C21" s="63"/>
      <c r="E21" s="63"/>
      <c r="G21" s="63"/>
      <c r="H21" s="63"/>
      <c r="J21" s="63"/>
      <c r="K21" s="61"/>
      <c r="M21" s="61"/>
      <c r="N21" s="64"/>
    </row>
    <row r="22" spans="1:14">
      <c r="B22" s="62" t="s">
        <v>103</v>
      </c>
      <c r="C22" s="63"/>
      <c r="E22" s="63"/>
      <c r="G22" s="63"/>
      <c r="H22" s="63"/>
      <c r="J22" s="63"/>
      <c r="K22" s="61"/>
      <c r="M22" s="61"/>
      <c r="N22" s="64"/>
    </row>
    <row r="23" spans="1:14">
      <c r="B23" s="62"/>
      <c r="C23" s="63"/>
      <c r="E23" s="63"/>
      <c r="G23" s="63"/>
      <c r="H23" s="63"/>
      <c r="J23" s="63"/>
      <c r="K23" s="61"/>
      <c r="M23" s="61"/>
      <c r="N23" s="64"/>
    </row>
    <row r="24" spans="1:14">
      <c r="B24" s="55" t="s">
        <v>153</v>
      </c>
      <c r="C24" s="63"/>
      <c r="E24" s="63"/>
      <c r="G24" s="63"/>
      <c r="H24" s="63"/>
      <c r="J24" s="63"/>
      <c r="K24" s="61"/>
      <c r="M24" s="61"/>
      <c r="N24" s="64"/>
    </row>
    <row r="25" spans="1:14">
      <c r="B25" s="56" t="s">
        <v>154</v>
      </c>
      <c r="C25" s="63"/>
      <c r="E25" s="63"/>
      <c r="G25" s="63"/>
      <c r="H25" s="63"/>
      <c r="J25" s="63"/>
      <c r="K25" s="61"/>
      <c r="M25" s="61"/>
      <c r="N25" s="64"/>
    </row>
    <row r="26" spans="1:14">
      <c r="B26" s="62"/>
      <c r="C26" s="63"/>
      <c r="E26" s="63"/>
      <c r="G26" s="63"/>
      <c r="H26" s="63"/>
      <c r="J26" s="63"/>
      <c r="K26" s="61"/>
      <c r="M26" s="61"/>
      <c r="N26" s="64"/>
    </row>
    <row r="27" spans="1:14">
      <c r="B27" s="55" t="s">
        <v>37</v>
      </c>
      <c r="C27" s="63"/>
      <c r="E27" s="63"/>
      <c r="G27" s="63"/>
      <c r="H27" s="63"/>
      <c r="J27" s="63"/>
      <c r="K27" s="61"/>
      <c r="M27" s="61"/>
      <c r="N27" s="64"/>
    </row>
    <row r="28" spans="1:14">
      <c r="B28" s="56" t="s">
        <v>36</v>
      </c>
      <c r="C28" s="63"/>
      <c r="E28" s="63"/>
      <c r="G28" s="63"/>
      <c r="H28" s="63"/>
      <c r="J28" s="63"/>
      <c r="K28" s="61"/>
      <c r="M28" s="61"/>
      <c r="N28" s="64"/>
    </row>
    <row r="29" spans="1:14">
      <c r="A29" s="4"/>
      <c r="B29" s="63" t="s">
        <v>3</v>
      </c>
      <c r="C29" s="63"/>
      <c r="D29" s="4"/>
      <c r="E29" s="63"/>
      <c r="F29" s="4"/>
      <c r="G29" s="63"/>
      <c r="H29" s="63"/>
      <c r="I29" s="4"/>
      <c r="J29" s="63"/>
      <c r="K29" s="63"/>
      <c r="L29" s="4"/>
      <c r="M29" s="115"/>
      <c r="N29" s="82"/>
    </row>
    <row r="30" spans="1:14" ht="15" customHeight="1">
      <c r="B30" s="258" t="s">
        <v>32</v>
      </c>
      <c r="C30" s="258"/>
      <c r="E30" s="258" t="s">
        <v>31</v>
      </c>
      <c r="G30" s="179">
        <v>2023</v>
      </c>
      <c r="H30" s="179">
        <v>2022</v>
      </c>
      <c r="J30" s="179" t="s">
        <v>11</v>
      </c>
      <c r="K30" s="179" t="s">
        <v>11</v>
      </c>
      <c r="M30" s="258" t="s">
        <v>12</v>
      </c>
      <c r="N30" s="83"/>
    </row>
    <row r="31" spans="1:14">
      <c r="A31" s="8"/>
      <c r="B31" s="258"/>
      <c r="C31" s="258"/>
      <c r="D31" s="8"/>
      <c r="E31" s="258"/>
      <c r="F31" s="8"/>
      <c r="G31" s="179" t="s">
        <v>41</v>
      </c>
      <c r="H31" s="179" t="s">
        <v>41</v>
      </c>
      <c r="I31" s="8"/>
      <c r="J31" s="179" t="s">
        <v>41</v>
      </c>
      <c r="K31" s="179" t="s">
        <v>14</v>
      </c>
      <c r="L31" s="8"/>
      <c r="M31" s="258"/>
      <c r="N31" s="99"/>
    </row>
    <row r="32" spans="1:14">
      <c r="B32" s="168"/>
      <c r="C32" s="168"/>
      <c r="E32" s="168"/>
      <c r="G32" s="168"/>
      <c r="H32" s="168"/>
      <c r="J32" s="168"/>
      <c r="K32" s="168"/>
      <c r="M32" s="168"/>
      <c r="N32" s="83"/>
    </row>
    <row r="33" spans="1:14">
      <c r="A33" s="8"/>
      <c r="B33" s="182" t="s">
        <v>141</v>
      </c>
      <c r="C33" s="183"/>
      <c r="D33" s="8"/>
      <c r="E33" s="65"/>
      <c r="F33" s="8"/>
      <c r="G33" s="66"/>
      <c r="H33" s="66"/>
      <c r="I33" s="8"/>
      <c r="J33" s="66"/>
      <c r="K33" s="67"/>
      <c r="L33" s="8"/>
      <c r="M33" s="66"/>
      <c r="N33" s="99"/>
    </row>
    <row r="34" spans="1:14">
      <c r="A34" s="12"/>
      <c r="B34" s="187" t="s">
        <v>97</v>
      </c>
      <c r="C34" s="184"/>
      <c r="D34" s="12"/>
      <c r="E34" s="190" t="str">
        <f>SubLead!$M$1</f>
        <v>B.S.02 - 3</v>
      </c>
      <c r="F34" s="12"/>
      <c r="G34" s="68"/>
      <c r="H34" s="66"/>
      <c r="I34" s="12"/>
      <c r="J34" s="66">
        <f>G34-H34</f>
        <v>0</v>
      </c>
      <c r="K34" s="159" t="str">
        <f>IFERROR(J34/H34,"")</f>
        <v/>
      </c>
      <c r="L34" s="12"/>
      <c r="M34" s="66"/>
      <c r="N34" s="78"/>
    </row>
    <row r="35" spans="1:14">
      <c r="A35" s="12"/>
      <c r="B35" s="188" t="s">
        <v>107</v>
      </c>
      <c r="C35" s="186"/>
      <c r="D35" s="12"/>
      <c r="E35" s="190" t="str">
        <f>SubLead!$M$1</f>
        <v>B.S.02 - 3</v>
      </c>
      <c r="F35" s="12"/>
      <c r="G35" s="66"/>
      <c r="H35" s="66"/>
      <c r="I35" s="12"/>
      <c r="J35" s="66">
        <f t="shared" ref="J35:J38" si="0">G35-H35</f>
        <v>0</v>
      </c>
      <c r="K35" s="159" t="str">
        <f t="shared" ref="K35:K38" si="1">IFERROR(J35/H35,"")</f>
        <v/>
      </c>
      <c r="L35" s="12"/>
      <c r="M35" s="66"/>
      <c r="N35" s="78"/>
    </row>
    <row r="36" spans="1:14">
      <c r="A36" s="12"/>
      <c r="B36" s="188" t="s">
        <v>109</v>
      </c>
      <c r="C36" s="186"/>
      <c r="D36" s="12"/>
      <c r="E36" s="190" t="str">
        <f>SubLead!$M$1</f>
        <v>B.S.02 - 3</v>
      </c>
      <c r="F36" s="12"/>
      <c r="G36" s="66"/>
      <c r="H36" s="66"/>
      <c r="I36" s="12"/>
      <c r="J36" s="66">
        <f t="shared" si="0"/>
        <v>0</v>
      </c>
      <c r="K36" s="159" t="str">
        <f t="shared" si="1"/>
        <v/>
      </c>
      <c r="L36" s="12"/>
      <c r="M36" s="66"/>
      <c r="N36" s="78"/>
    </row>
    <row r="37" spans="1:14">
      <c r="A37" s="12"/>
      <c r="B37" s="188" t="s">
        <v>108</v>
      </c>
      <c r="C37" s="186"/>
      <c r="D37" s="12"/>
      <c r="E37" s="190" t="str">
        <f>SubLead!$M$1</f>
        <v>B.S.02 - 3</v>
      </c>
      <c r="F37" s="12"/>
      <c r="G37" s="66"/>
      <c r="H37" s="66"/>
      <c r="I37" s="12"/>
      <c r="J37" s="66">
        <f t="shared" si="0"/>
        <v>0</v>
      </c>
      <c r="K37" s="159" t="str">
        <f t="shared" si="1"/>
        <v/>
      </c>
      <c r="L37" s="12"/>
      <c r="M37" s="66"/>
      <c r="N37" s="78"/>
    </row>
    <row r="38" spans="1:14">
      <c r="A38" s="12"/>
      <c r="B38" s="188" t="s">
        <v>110</v>
      </c>
      <c r="C38" s="186"/>
      <c r="D38" s="12"/>
      <c r="E38" s="190" t="str">
        <f>SubLead!$M$1</f>
        <v>B.S.02 - 3</v>
      </c>
      <c r="F38" s="12"/>
      <c r="G38" s="66"/>
      <c r="H38" s="66"/>
      <c r="I38" s="12"/>
      <c r="J38" s="66">
        <f t="shared" si="0"/>
        <v>0</v>
      </c>
      <c r="K38" s="159" t="str">
        <f t="shared" si="1"/>
        <v/>
      </c>
      <c r="L38" s="12"/>
      <c r="M38" s="66"/>
      <c r="N38" s="78"/>
    </row>
    <row r="39" spans="1:14">
      <c r="A39" s="13"/>
      <c r="B39" s="185"/>
      <c r="C39" s="186"/>
      <c r="D39" s="13"/>
      <c r="E39" s="65"/>
      <c r="F39" s="13"/>
      <c r="G39" s="66"/>
      <c r="H39" s="66"/>
      <c r="I39" s="13"/>
      <c r="J39" s="66"/>
      <c r="K39" s="67"/>
      <c r="L39" s="13"/>
      <c r="M39" s="66"/>
      <c r="N39" s="63"/>
    </row>
    <row r="40" spans="1:14">
      <c r="A40" s="13"/>
      <c r="B40" s="185"/>
      <c r="C40" s="186"/>
      <c r="D40" s="13"/>
      <c r="E40" s="65"/>
      <c r="F40" s="13"/>
      <c r="G40" s="66"/>
      <c r="H40" s="66"/>
      <c r="I40" s="13"/>
      <c r="J40" s="66"/>
      <c r="K40" s="67"/>
      <c r="L40" s="13"/>
      <c r="M40" s="66"/>
      <c r="N40" s="63"/>
    </row>
    <row r="41" spans="1:14">
      <c r="A41" s="13"/>
      <c r="B41" s="189" t="s">
        <v>106</v>
      </c>
      <c r="C41" s="183"/>
      <c r="D41" s="13"/>
      <c r="E41" s="65"/>
      <c r="F41" s="13"/>
      <c r="G41" s="66">
        <f>SUM(G32:G40)</f>
        <v>0</v>
      </c>
      <c r="H41" s="66">
        <f>SUM(H32:H39)</f>
        <v>0</v>
      </c>
      <c r="I41" s="13"/>
      <c r="J41" s="66">
        <f>SUM(J32:J39)</f>
        <v>0</v>
      </c>
      <c r="K41" s="67"/>
      <c r="L41" s="13"/>
      <c r="M41" s="66"/>
      <c r="N41" s="63"/>
    </row>
    <row r="42" spans="1:14">
      <c r="A42" s="13"/>
      <c r="D42" s="13"/>
      <c r="F42" s="13"/>
      <c r="I42" s="13"/>
      <c r="L42" s="13"/>
      <c r="N42" s="13"/>
    </row>
    <row r="43" spans="1:14">
      <c r="B43" s="39"/>
      <c r="C43" s="39"/>
      <c r="E43" s="39"/>
      <c r="G43" s="39"/>
      <c r="H43" s="39"/>
      <c r="J43" s="39"/>
      <c r="K43" s="39"/>
      <c r="M43" s="39"/>
    </row>
    <row r="44" spans="1:14" hidden="1">
      <c r="B44" s="39"/>
      <c r="C44" s="39"/>
      <c r="E44" s="39"/>
      <c r="G44" s="39"/>
      <c r="H44" s="39"/>
      <c r="J44" s="39"/>
      <c r="K44" s="39"/>
      <c r="M44" s="39"/>
    </row>
    <row r="45" spans="1:14" hidden="1">
      <c r="B45" s="39"/>
      <c r="J45" s="38"/>
      <c r="K45" s="39"/>
      <c r="M45" s="39"/>
    </row>
    <row r="46" spans="1:14" hidden="1">
      <c r="J46" s="38"/>
      <c r="K46" s="37"/>
      <c r="M46" s="37"/>
    </row>
    <row r="47" spans="1:14" ht="14.25" hidden="1" customHeight="1">
      <c r="B47" s="40" t="s">
        <v>145</v>
      </c>
    </row>
    <row r="48" spans="1:14" ht="14.25" hidden="1" customHeight="1">
      <c r="B48" s="41" t="s">
        <v>102</v>
      </c>
    </row>
    <row r="49" spans="2:2" ht="14.25" hidden="1" customHeight="1">
      <c r="B49" s="41" t="s">
        <v>103</v>
      </c>
    </row>
    <row r="50" spans="2:2"/>
    <row r="51" spans="2:2"/>
    <row r="52" spans="2:2"/>
    <row r="53" spans="2:2"/>
    <row r="54" spans="2:2"/>
    <row r="56" spans="2:2"/>
    <row r="58" spans="2:2"/>
    <row r="60" spans="2:2"/>
    <row r="62" spans="2:2"/>
    <row r="63" spans="2:2"/>
    <row r="64" spans="2:2"/>
    <row r="65"/>
    <row r="66"/>
  </sheetData>
  <mergeCells count="8">
    <mergeCell ref="B12:M12"/>
    <mergeCell ref="M30:M31"/>
    <mergeCell ref="B30:C31"/>
    <mergeCell ref="E30:E31"/>
    <mergeCell ref="B15:M15"/>
    <mergeCell ref="B14:M14"/>
    <mergeCell ref="B19:N20"/>
    <mergeCell ref="B16:M17"/>
  </mergeCells>
  <printOptions horizontalCentered="1"/>
  <pageMargins left="0.25" right="0.25" top="0.75" bottom="0.75" header="0.3" footer="0.3"/>
  <pageSetup scale="90" orientation="landscape" r:id="rId1"/>
  <headerFooter alignWithMargins="0"/>
  <rowBreaks count="1" manualBreakCount="1">
    <brk id="43" max="9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B1:M53"/>
  <sheetViews>
    <sheetView showGridLines="0" topLeftCell="A32" zoomScaleNormal="100" zoomScaleSheetLayoutView="80" workbookViewId="0">
      <selection activeCell="G40" sqref="G40"/>
    </sheetView>
  </sheetViews>
  <sheetFormatPr defaultColWidth="10.28515625" defaultRowHeight="16.5" zeroHeight="1"/>
  <cols>
    <col min="1" max="1" width="1" style="30" customWidth="1"/>
    <col min="2" max="2" width="11.28515625" style="30" customWidth="1"/>
    <col min="3" max="3" width="26.7109375" style="28" customWidth="1"/>
    <col min="4" max="4" width="1.42578125" style="28" customWidth="1"/>
    <col min="5" max="5" width="9.85546875" style="28" customWidth="1"/>
    <col min="6" max="6" width="1.42578125" style="28" customWidth="1"/>
    <col min="7" max="7" width="14.7109375" style="29" bestFit="1" customWidth="1"/>
    <col min="8" max="10" width="14.5703125" style="29" customWidth="1"/>
    <col min="11" max="11" width="17.5703125" style="29" customWidth="1"/>
    <col min="12" max="12" width="1" style="29" customWidth="1"/>
    <col min="13" max="13" width="17.5703125" style="29" customWidth="1"/>
    <col min="14" max="14" width="1" style="30" customWidth="1"/>
    <col min="15" max="16384" width="10.28515625" style="30"/>
  </cols>
  <sheetData>
    <row r="1" spans="2:13" s="27" customFormat="1" ht="15.75">
      <c r="B1" s="49" t="str">
        <f>Index!$B$1</f>
        <v>ABC &amp; Co.</v>
      </c>
      <c r="C1" s="79"/>
      <c r="D1" s="100"/>
      <c r="E1" s="100"/>
      <c r="F1" s="100"/>
      <c r="G1" s="101"/>
      <c r="H1" s="101"/>
      <c r="I1" s="102"/>
      <c r="J1" s="101"/>
      <c r="K1" s="101"/>
      <c r="L1" s="101"/>
      <c r="M1" s="103" t="str">
        <f>Index!F17</f>
        <v>B.S.02 - 3</v>
      </c>
    </row>
    <row r="2" spans="2:13" s="27" customFormat="1" ht="15.75">
      <c r="B2" s="49" t="str">
        <f>Index!$B$2</f>
        <v>(Chartered Accountants)</v>
      </c>
      <c r="C2" s="79"/>
      <c r="D2" s="100"/>
      <c r="E2" s="100"/>
      <c r="F2" s="100"/>
      <c r="G2" s="101"/>
      <c r="H2" s="101"/>
      <c r="I2" s="104"/>
      <c r="J2" s="101"/>
      <c r="K2" s="101"/>
      <c r="L2" s="101"/>
      <c r="M2" s="101"/>
    </row>
    <row r="3" spans="2:13">
      <c r="B3" s="79"/>
      <c r="C3" s="79"/>
      <c r="D3" s="100"/>
      <c r="E3" s="100"/>
      <c r="F3" s="100"/>
      <c r="G3" s="101"/>
      <c r="H3" s="101"/>
      <c r="I3" s="104"/>
      <c r="K3" s="45" t="str">
        <f>Index!$H$4</f>
        <v>Prepared by:</v>
      </c>
      <c r="L3" s="101"/>
      <c r="M3" s="53" t="str">
        <f>IF(Index!$J$4="","",Index!$J$4)</f>
        <v/>
      </c>
    </row>
    <row r="4" spans="2:13" s="2" customFormat="1">
      <c r="B4" s="50" t="str">
        <f>Index!B4</f>
        <v xml:space="preserve">Client: </v>
      </c>
      <c r="C4" s="51" t="str">
        <f>Index!$D$4</f>
        <v>ABC Limited</v>
      </c>
      <c r="D4" s="105"/>
      <c r="E4" s="105"/>
      <c r="F4" s="105"/>
      <c r="G4" s="106"/>
      <c r="H4" s="107"/>
      <c r="I4" s="107"/>
      <c r="K4" s="45" t="str">
        <f>Index!$H$5</f>
        <v>Date prepared:</v>
      </c>
      <c r="L4" s="97"/>
      <c r="M4" s="54" t="str">
        <f>IF(Index!$J$5="","",Index!$J$5)</f>
        <v/>
      </c>
    </row>
    <row r="5" spans="2:13" s="2" customFormat="1">
      <c r="B5" s="50" t="str">
        <f>Index!B5</f>
        <v>Period:</v>
      </c>
      <c r="C5" s="51" t="str">
        <f>Index!$D$5</f>
        <v>Year ended June 30, 2023</v>
      </c>
      <c r="D5" s="105"/>
      <c r="E5" s="105"/>
      <c r="F5" s="105"/>
      <c r="G5" s="108"/>
      <c r="H5" s="107"/>
      <c r="I5" s="107"/>
      <c r="K5" s="45" t="str">
        <f>Index!$H$6</f>
        <v>Reviewed by:</v>
      </c>
      <c r="L5" s="97"/>
      <c r="M5" s="53" t="str">
        <f>IF(Index!$J$6="","",Index!$J$6)</f>
        <v/>
      </c>
    </row>
    <row r="6" spans="2:13" s="2" customFormat="1">
      <c r="B6" s="50" t="str">
        <f>Index!B6</f>
        <v>Head:</v>
      </c>
      <c r="C6" s="52" t="str">
        <f>Index!$D$6</f>
        <v>Intangible Assets</v>
      </c>
      <c r="D6" s="105"/>
      <c r="E6" s="105"/>
      <c r="F6" s="105"/>
      <c r="G6" s="109"/>
      <c r="H6" s="107"/>
      <c r="I6" s="107"/>
      <c r="K6" s="45" t="str">
        <f>Index!$H$7</f>
        <v>Date reviewed:</v>
      </c>
      <c r="L6" s="97"/>
      <c r="M6" s="54" t="str">
        <f>IF(Index!$J$7="","",Index!$J$7)</f>
        <v/>
      </c>
    </row>
    <row r="7" spans="2:13" s="2" customFormat="1">
      <c r="B7" s="110"/>
      <c r="C7" s="105"/>
      <c r="D7" s="105"/>
      <c r="E7" s="105"/>
      <c r="F7" s="105"/>
      <c r="G7" s="108"/>
      <c r="H7" s="107"/>
      <c r="I7" s="107"/>
      <c r="J7" s="107"/>
      <c r="K7" s="107"/>
      <c r="L7" s="107"/>
      <c r="M7" s="79"/>
    </row>
    <row r="8" spans="2:13" ht="16.5" customHeight="1">
      <c r="B8" s="111" t="s">
        <v>15</v>
      </c>
      <c r="C8" s="111"/>
      <c r="D8" s="111"/>
      <c r="E8" s="111"/>
      <c r="F8" s="111"/>
      <c r="G8" s="111"/>
      <c r="H8" s="111"/>
      <c r="I8" s="111"/>
      <c r="J8" s="111"/>
      <c r="K8" s="64"/>
      <c r="L8" s="64"/>
      <c r="M8" s="64"/>
    </row>
    <row r="9" spans="2:13">
      <c r="B9" s="160"/>
      <c r="C9" s="160"/>
      <c r="D9" s="160"/>
      <c r="E9" s="160"/>
      <c r="F9" s="160"/>
      <c r="G9" s="160"/>
      <c r="H9" s="160"/>
      <c r="I9" s="160"/>
      <c r="J9" s="160"/>
      <c r="K9" s="161"/>
      <c r="L9" s="161"/>
      <c r="M9" s="161"/>
    </row>
    <row r="10" spans="2:13">
      <c r="B10" s="111" t="s">
        <v>17</v>
      </c>
      <c r="C10" s="112"/>
      <c r="D10" s="112"/>
      <c r="E10" s="112"/>
      <c r="F10" s="112"/>
      <c r="G10" s="101"/>
      <c r="H10" s="101"/>
      <c r="I10" s="101"/>
      <c r="J10" s="101"/>
      <c r="K10" s="101"/>
      <c r="L10" s="101"/>
      <c r="M10" s="101"/>
    </row>
    <row r="11" spans="2:13">
      <c r="B11" s="113" t="s">
        <v>16</v>
      </c>
      <c r="C11" s="112"/>
      <c r="D11" s="112"/>
      <c r="E11" s="112"/>
      <c r="F11" s="112"/>
      <c r="G11" s="101"/>
      <c r="H11" s="101"/>
      <c r="I11" s="101"/>
      <c r="J11" s="101"/>
      <c r="K11" s="101"/>
      <c r="L11" s="101"/>
      <c r="M11" s="101"/>
    </row>
    <row r="12" spans="2:13">
      <c r="B12" s="114" t="s">
        <v>130</v>
      </c>
      <c r="C12" s="115"/>
      <c r="D12" s="115"/>
      <c r="E12" s="115"/>
      <c r="F12" s="115"/>
      <c r="G12" s="101"/>
      <c r="H12" s="101"/>
      <c r="I12" s="101"/>
      <c r="J12" s="101"/>
      <c r="K12" s="101"/>
      <c r="L12" s="116"/>
      <c r="M12" s="116"/>
    </row>
    <row r="13" spans="2:13">
      <c r="B13" s="114" t="s">
        <v>18</v>
      </c>
      <c r="C13" s="115"/>
      <c r="D13" s="115"/>
      <c r="E13" s="115"/>
      <c r="F13" s="115"/>
      <c r="G13" s="101"/>
      <c r="H13" s="101"/>
      <c r="I13" s="101"/>
      <c r="J13" s="101"/>
      <c r="K13" s="101"/>
      <c r="L13" s="116"/>
      <c r="M13" s="116"/>
    </row>
    <row r="14" spans="2:13" s="13" customFormat="1">
      <c r="B14" s="259" t="s">
        <v>43</v>
      </c>
      <c r="C14" s="259"/>
      <c r="D14" s="259"/>
      <c r="E14" s="259"/>
      <c r="F14" s="259"/>
      <c r="G14" s="259"/>
      <c r="H14" s="259"/>
      <c r="I14" s="259"/>
      <c r="J14" s="259"/>
      <c r="K14" s="259"/>
      <c r="L14" s="259"/>
      <c r="M14" s="259"/>
    </row>
    <row r="15" spans="2:13" s="13" customFormat="1" ht="15" customHeight="1">
      <c r="B15" s="259"/>
      <c r="C15" s="259"/>
      <c r="D15" s="259"/>
      <c r="E15" s="259"/>
      <c r="F15" s="259"/>
      <c r="G15" s="259"/>
      <c r="H15" s="259"/>
      <c r="I15" s="259"/>
      <c r="J15" s="259"/>
      <c r="K15" s="259"/>
      <c r="L15" s="259"/>
      <c r="M15" s="259"/>
    </row>
    <row r="16" spans="2:13" s="13" customFormat="1" ht="15" customHeight="1"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</row>
    <row r="17" spans="2:13" s="13" customFormat="1" ht="15" customHeight="1">
      <c r="B17" s="55" t="s">
        <v>153</v>
      </c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</row>
    <row r="18" spans="2:13" s="13" customFormat="1" ht="15" customHeight="1">
      <c r="B18" s="56" t="s">
        <v>154</v>
      </c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</row>
    <row r="19" spans="2:13" s="13" customFormat="1" ht="15" customHeight="1"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</row>
    <row r="20" spans="2:13" s="13" customFormat="1" ht="15" customHeight="1">
      <c r="B20" s="55" t="s">
        <v>37</v>
      </c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</row>
    <row r="21" spans="2:13" s="13" customFormat="1" ht="15" customHeight="1">
      <c r="B21" s="56" t="s">
        <v>36</v>
      </c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</row>
    <row r="22" spans="2:13" ht="15" customHeight="1">
      <c r="B22" s="115"/>
      <c r="C22" s="100"/>
      <c r="D22" s="100"/>
      <c r="E22" s="100"/>
      <c r="F22" s="100"/>
      <c r="G22" s="101"/>
      <c r="H22" s="101"/>
      <c r="I22" s="101"/>
      <c r="J22" s="101"/>
      <c r="K22" s="101"/>
      <c r="L22" s="101"/>
      <c r="M22" s="101"/>
    </row>
    <row r="23" spans="2:13" s="31" customFormat="1" ht="36" customHeight="1">
      <c r="B23" s="265"/>
      <c r="C23" s="265"/>
      <c r="D23" s="118"/>
      <c r="E23" s="192" t="s">
        <v>31</v>
      </c>
      <c r="F23" s="118"/>
      <c r="G23" s="177" t="s">
        <v>97</v>
      </c>
      <c r="H23" s="177" t="s">
        <v>107</v>
      </c>
      <c r="I23" s="177" t="s">
        <v>108</v>
      </c>
      <c r="J23" s="177" t="s">
        <v>109</v>
      </c>
      <c r="K23" s="177" t="s">
        <v>110</v>
      </c>
      <c r="L23" s="101"/>
      <c r="M23" s="177" t="s">
        <v>106</v>
      </c>
    </row>
    <row r="24" spans="2:13" s="31" customFormat="1" ht="15">
      <c r="B24" s="117"/>
      <c r="C24" s="117"/>
      <c r="D24" s="118"/>
      <c r="E24" s="118"/>
      <c r="F24" s="118"/>
      <c r="G24" s="269" t="s">
        <v>76</v>
      </c>
      <c r="H24" s="270"/>
      <c r="I24" s="270"/>
      <c r="J24" s="270"/>
      <c r="K24" s="270"/>
      <c r="L24" s="270"/>
      <c r="M24" s="270"/>
    </row>
    <row r="25" spans="2:13" s="31" customFormat="1" ht="15">
      <c r="B25" s="117"/>
      <c r="C25" s="117"/>
      <c r="D25" s="118"/>
      <c r="E25" s="118"/>
      <c r="F25" s="118"/>
      <c r="G25" s="180"/>
      <c r="H25" s="181"/>
      <c r="I25" s="181"/>
      <c r="J25" s="181"/>
      <c r="K25" s="181"/>
      <c r="L25" s="181"/>
      <c r="M25" s="181"/>
    </row>
    <row r="26" spans="2:13" s="32" customFormat="1" ht="38.25" customHeight="1">
      <c r="B26" s="266" t="s">
        <v>25</v>
      </c>
      <c r="C26" s="176" t="s">
        <v>77</v>
      </c>
      <c r="D26" s="119"/>
      <c r="E26" s="193" t="str">
        <f>'Ammortization-AP'!I1</f>
        <v>B.S.02 - 7</v>
      </c>
      <c r="F26" s="119"/>
      <c r="G26" s="123"/>
      <c r="H26" s="123"/>
      <c r="I26" s="123"/>
      <c r="J26" s="123"/>
      <c r="K26" s="123"/>
      <c r="L26" s="120"/>
      <c r="M26" s="123"/>
    </row>
    <row r="27" spans="2:13" s="32" customFormat="1" ht="38.25" customHeight="1">
      <c r="B27" s="267"/>
      <c r="C27" s="176" t="s">
        <v>78</v>
      </c>
      <c r="D27" s="119"/>
      <c r="E27" s="122" t="str">
        <f>'Additions-Vouching'!AA1</f>
        <v>B.S.02 - 5</v>
      </c>
      <c r="F27" s="119"/>
      <c r="G27" s="121"/>
      <c r="H27" s="121"/>
      <c r="I27" s="121"/>
      <c r="J27" s="121"/>
      <c r="K27" s="121"/>
      <c r="L27" s="121"/>
      <c r="M27" s="122"/>
    </row>
    <row r="28" spans="2:13" s="32" customFormat="1" ht="38.25" customHeight="1">
      <c r="B28" s="267"/>
      <c r="C28" s="176" t="s">
        <v>79</v>
      </c>
      <c r="D28" s="119"/>
      <c r="E28" s="122" t="str">
        <f>'Disposals-Vouching'!V1</f>
        <v>B.S.02 - 6</v>
      </c>
      <c r="F28" s="119"/>
      <c r="G28" s="121"/>
      <c r="H28" s="121"/>
      <c r="I28" s="121"/>
      <c r="J28" s="121"/>
      <c r="K28" s="121"/>
      <c r="L28" s="121"/>
      <c r="M28" s="122"/>
    </row>
    <row r="29" spans="2:13" s="32" customFormat="1" ht="38.25" customHeight="1">
      <c r="B29" s="268"/>
      <c r="C29" s="176" t="s">
        <v>80</v>
      </c>
      <c r="D29" s="119"/>
      <c r="E29" s="122" t="str">
        <f>E26</f>
        <v>B.S.02 - 7</v>
      </c>
      <c r="F29" s="119"/>
      <c r="G29" s="121"/>
      <c r="H29" s="121"/>
      <c r="I29" s="121"/>
      <c r="J29" s="121"/>
      <c r="K29" s="121"/>
      <c r="L29" s="121"/>
      <c r="M29" s="122"/>
    </row>
    <row r="30" spans="2:13" s="32" customFormat="1" ht="8.25" customHeight="1">
      <c r="B30" s="194"/>
      <c r="C30" s="119"/>
      <c r="D30" s="119"/>
      <c r="E30" s="126"/>
      <c r="F30" s="119"/>
      <c r="G30" s="125"/>
      <c r="H30" s="125"/>
      <c r="I30" s="125"/>
      <c r="J30" s="125"/>
      <c r="K30" s="125"/>
      <c r="L30" s="125"/>
      <c r="M30" s="126"/>
    </row>
    <row r="31" spans="2:13" s="32" customFormat="1" ht="38.25" customHeight="1">
      <c r="B31" s="266" t="s">
        <v>128</v>
      </c>
      <c r="C31" s="176" t="s">
        <v>77</v>
      </c>
      <c r="D31" s="119"/>
      <c r="E31" s="193" t="str">
        <f>'Ammortization-AP'!I1</f>
        <v>B.S.02 - 7</v>
      </c>
      <c r="F31" s="119"/>
      <c r="G31" s="123"/>
      <c r="H31" s="123"/>
      <c r="I31" s="123"/>
      <c r="J31" s="123"/>
      <c r="K31" s="123"/>
      <c r="L31" s="123"/>
      <c r="M31" s="123"/>
    </row>
    <row r="32" spans="2:13" s="32" customFormat="1" ht="38.25" customHeight="1">
      <c r="B32" s="267"/>
      <c r="C32" s="176" t="s">
        <v>156</v>
      </c>
      <c r="D32" s="119"/>
      <c r="E32" s="122" t="str">
        <f>'Ammortization-AP'!I1</f>
        <v>B.S.02 - 7</v>
      </c>
      <c r="F32" s="119"/>
      <c r="G32" s="121"/>
      <c r="H32" s="121"/>
      <c r="I32" s="121"/>
      <c r="J32" s="121"/>
      <c r="K32" s="121"/>
      <c r="L32" s="121"/>
      <c r="M32" s="122"/>
    </row>
    <row r="33" spans="2:13" s="32" customFormat="1" ht="38.25" customHeight="1">
      <c r="B33" s="267"/>
      <c r="C33" s="176" t="s">
        <v>79</v>
      </c>
      <c r="D33" s="119"/>
      <c r="E33" s="122" t="str">
        <f>E28</f>
        <v>B.S.02 - 6</v>
      </c>
      <c r="F33" s="119"/>
      <c r="G33" s="121"/>
      <c r="H33" s="121"/>
      <c r="I33" s="121"/>
      <c r="J33" s="121"/>
      <c r="K33" s="121"/>
      <c r="L33" s="121"/>
      <c r="M33" s="122"/>
    </row>
    <row r="34" spans="2:13" s="32" customFormat="1" ht="38.25" customHeight="1">
      <c r="B34" s="268"/>
      <c r="C34" s="176" t="s">
        <v>80</v>
      </c>
      <c r="D34" s="119"/>
      <c r="E34" s="122" t="str">
        <f>E31</f>
        <v>B.S.02 - 7</v>
      </c>
      <c r="F34" s="119"/>
      <c r="G34" s="121"/>
      <c r="H34" s="121"/>
      <c r="I34" s="121"/>
      <c r="J34" s="121"/>
      <c r="K34" s="121"/>
      <c r="L34" s="121"/>
      <c r="M34" s="122"/>
    </row>
    <row r="35" spans="2:13" s="32" customFormat="1" ht="9.75" customHeight="1">
      <c r="B35" s="124"/>
      <c r="C35" s="119"/>
      <c r="D35" s="119"/>
      <c r="E35" s="191"/>
      <c r="F35" s="119"/>
      <c r="G35" s="125"/>
      <c r="H35" s="125"/>
      <c r="I35" s="125"/>
      <c r="J35" s="125"/>
      <c r="K35" s="125"/>
      <c r="L35" s="125"/>
      <c r="M35" s="126"/>
    </row>
    <row r="36" spans="2:13" s="32" customFormat="1" ht="19.5" customHeight="1" thickBot="1">
      <c r="B36" s="262" t="s">
        <v>81</v>
      </c>
      <c r="C36" s="263"/>
      <c r="D36" s="119"/>
      <c r="E36" s="122" t="str">
        <f>'Ammortization-AP'!I1</f>
        <v>B.S.02 - 7</v>
      </c>
      <c r="F36" s="119"/>
      <c r="G36" s="127"/>
      <c r="H36" s="127"/>
      <c r="I36" s="127"/>
      <c r="J36" s="127"/>
      <c r="K36" s="127"/>
      <c r="L36" s="125"/>
      <c r="M36" s="128"/>
    </row>
    <row r="37" spans="2:13" s="32" customFormat="1" ht="12" customHeight="1" thickTop="1">
      <c r="B37" s="129"/>
      <c r="C37" s="129"/>
      <c r="D37" s="129"/>
      <c r="E37" s="129"/>
      <c r="F37" s="129"/>
      <c r="G37" s="125"/>
      <c r="H37" s="125"/>
      <c r="I37" s="125"/>
      <c r="J37" s="125"/>
      <c r="K37" s="125"/>
      <c r="L37" s="125"/>
      <c r="M37" s="126"/>
    </row>
    <row r="38" spans="2:13" s="35" customFormat="1" ht="17.25" customHeight="1" thickBot="1">
      <c r="B38" s="262" t="s">
        <v>26</v>
      </c>
      <c r="C38" s="263"/>
      <c r="D38" s="119"/>
      <c r="E38" s="122" t="str">
        <f>E36</f>
        <v>B.S.02 - 7</v>
      </c>
      <c r="F38" s="119"/>
      <c r="G38" s="127"/>
      <c r="H38" s="127"/>
      <c r="I38" s="127"/>
      <c r="J38" s="127"/>
      <c r="K38" s="127"/>
      <c r="L38" s="125"/>
      <c r="M38" s="128"/>
    </row>
    <row r="39" spans="2:13" s="35" customFormat="1" ht="10.5" customHeight="1" thickTop="1">
      <c r="B39" s="264"/>
      <c r="C39" s="264"/>
      <c r="G39" s="33"/>
      <c r="H39" s="33"/>
      <c r="I39" s="33"/>
      <c r="J39" s="33"/>
      <c r="K39" s="33"/>
      <c r="L39" s="125"/>
      <c r="M39" s="34"/>
    </row>
    <row r="40" spans="2:13">
      <c r="G40" s="122" t="str">
        <f>Lead!$M$1</f>
        <v>B.S.02 - 2</v>
      </c>
      <c r="H40" s="122" t="str">
        <f>Lead!$M$1</f>
        <v>B.S.02 - 2</v>
      </c>
      <c r="I40" s="122" t="str">
        <f>Lead!$M$1</f>
        <v>B.S.02 - 2</v>
      </c>
      <c r="J40" s="122" t="str">
        <f>Lead!$M$1</f>
        <v>B.S.02 - 2</v>
      </c>
      <c r="K40" s="122" t="str">
        <f>Lead!$M$1</f>
        <v>B.S.02 - 2</v>
      </c>
      <c r="M40" s="122" t="str">
        <f>Lead!$M$1</f>
        <v>B.S.02 - 2</v>
      </c>
    </row>
    <row r="41" spans="2:13"/>
    <row r="42" spans="2:13"/>
    <row r="43" spans="2:13"/>
    <row r="44" spans="2:13"/>
    <row r="45" spans="2:13"/>
    <row r="46" spans="2:13"/>
    <row r="47" spans="2:13"/>
    <row r="48" spans="2:13"/>
    <row r="49"/>
    <row r="50"/>
    <row r="51"/>
    <row r="52"/>
    <row r="53"/>
  </sheetData>
  <mergeCells count="8">
    <mergeCell ref="B14:M15"/>
    <mergeCell ref="B38:C38"/>
    <mergeCell ref="B39:C39"/>
    <mergeCell ref="B23:C23"/>
    <mergeCell ref="B31:B34"/>
    <mergeCell ref="B36:C36"/>
    <mergeCell ref="G24:M24"/>
    <mergeCell ref="B26:B29"/>
  </mergeCells>
  <printOptions horizontalCentered="1"/>
  <pageMargins left="0.25" right="0.25" top="0.75" bottom="0.75" header="0.3" footer="0.3"/>
  <pageSetup scale="8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BH83"/>
  <sheetViews>
    <sheetView showGridLines="0" tabSelected="1" topLeftCell="A18" zoomScaleSheetLayoutView="90" workbookViewId="0">
      <selection activeCell="F22" sqref="F22"/>
    </sheetView>
  </sheetViews>
  <sheetFormatPr defaultColWidth="0" defaultRowHeight="16.5" zeroHeight="1"/>
  <cols>
    <col min="1" max="1" width="1" style="18" customWidth="1"/>
    <col min="2" max="2" width="11.28515625" style="18" customWidth="1"/>
    <col min="3" max="3" width="12.28515625" style="18" customWidth="1"/>
    <col min="4" max="5" width="34.42578125" style="18" customWidth="1"/>
    <col min="6" max="6" width="18" style="24" customWidth="1"/>
    <col min="7" max="8" width="13.5703125" style="23" customWidth="1"/>
    <col min="9" max="9" width="13.5703125" style="24" customWidth="1"/>
    <col min="10" max="12" width="13.5703125" style="23" customWidth="1"/>
    <col min="13" max="13" width="14.5703125" style="23" customWidth="1"/>
    <col min="14" max="14" width="14.42578125" style="23" customWidth="1"/>
    <col min="15" max="24" width="13.5703125" style="23" customWidth="1"/>
    <col min="25" max="25" width="14.5703125" style="23" customWidth="1"/>
    <col min="26" max="26" width="12.42578125" style="23" customWidth="1"/>
    <col min="27" max="27" width="13.5703125" style="23" customWidth="1"/>
    <col min="28" max="28" width="0.85546875" style="18" customWidth="1"/>
    <col min="29" max="38" width="9.140625" style="18" hidden="1" customWidth="1"/>
    <col min="39" max="60" width="0" style="18" hidden="1" customWidth="1"/>
    <col min="61" max="16384" width="9.140625" style="18" hidden="1"/>
  </cols>
  <sheetData>
    <row r="1" spans="2:27" s="19" customFormat="1">
      <c r="B1" s="49" t="str">
        <f>Index!$B$1</f>
        <v>ABC &amp; Co.</v>
      </c>
      <c r="C1" s="79"/>
      <c r="D1" s="130"/>
      <c r="E1" s="130"/>
      <c r="F1" s="132"/>
      <c r="G1" s="131"/>
      <c r="H1" s="131"/>
      <c r="I1" s="132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0"/>
      <c r="Z1" s="131"/>
      <c r="AA1" s="133" t="str">
        <f>Index!F21</f>
        <v>B.S.02 - 5</v>
      </c>
    </row>
    <row r="2" spans="2:27" s="19" customFormat="1">
      <c r="B2" s="49" t="str">
        <f>Index!$B$2</f>
        <v>(Chartered Accountants)</v>
      </c>
      <c r="C2" s="79"/>
      <c r="D2" s="130"/>
      <c r="E2" s="130"/>
      <c r="F2" s="132"/>
      <c r="G2" s="131"/>
      <c r="H2" s="131"/>
      <c r="I2" s="132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0"/>
      <c r="Z2" s="131"/>
      <c r="AA2" s="130"/>
    </row>
    <row r="3" spans="2:27">
      <c r="B3" s="79"/>
      <c r="C3" s="79"/>
      <c r="D3" s="130"/>
      <c r="E3" s="130"/>
      <c r="F3" s="132"/>
      <c r="G3" s="131"/>
      <c r="H3" s="131"/>
      <c r="I3" s="132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1"/>
      <c r="V3" s="131"/>
      <c r="W3" s="131"/>
      <c r="X3" s="131"/>
      <c r="Y3" s="131"/>
      <c r="Z3" s="131"/>
      <c r="AA3" s="131"/>
    </row>
    <row r="4" spans="2:27">
      <c r="B4" s="50" t="str">
        <f>Index!B4</f>
        <v xml:space="preserve">Client: </v>
      </c>
      <c r="C4" s="51" t="str">
        <f>Index!$D$4</f>
        <v>ABC Limited</v>
      </c>
      <c r="D4" s="130"/>
      <c r="E4" s="130"/>
      <c r="F4" s="132"/>
      <c r="G4" s="131"/>
      <c r="H4" s="131"/>
      <c r="I4" s="132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1"/>
      <c r="V4" s="131"/>
      <c r="W4" s="131"/>
      <c r="X4" s="131"/>
      <c r="Z4" s="45" t="str">
        <f>Index!$H$4</f>
        <v>Prepared by:</v>
      </c>
      <c r="AA4" s="53" t="str">
        <f>IF(Index!$J$4="","",Index!$J$4)</f>
        <v/>
      </c>
    </row>
    <row r="5" spans="2:27">
      <c r="B5" s="50" t="str">
        <f>Index!B5</f>
        <v>Period:</v>
      </c>
      <c r="C5" s="51" t="str">
        <f>Index!$D$5</f>
        <v>Year ended June 30, 2023</v>
      </c>
      <c r="D5" s="130"/>
      <c r="E5" s="130"/>
      <c r="F5" s="132"/>
      <c r="G5" s="131"/>
      <c r="H5" s="131"/>
      <c r="I5" s="132"/>
      <c r="J5" s="131"/>
      <c r="K5" s="131"/>
      <c r="L5" s="131"/>
      <c r="M5" s="131"/>
      <c r="N5" s="131"/>
      <c r="O5" s="131"/>
      <c r="P5" s="131"/>
      <c r="Q5" s="131"/>
      <c r="R5" s="131"/>
      <c r="S5" s="131"/>
      <c r="T5" s="131"/>
      <c r="U5" s="131"/>
      <c r="V5" s="131"/>
      <c r="W5" s="131"/>
      <c r="X5" s="131"/>
      <c r="Z5" s="45" t="str">
        <f>Index!$H$5</f>
        <v>Date prepared:</v>
      </c>
      <c r="AA5" s="54" t="str">
        <f>IF(Index!$J$5="","",Index!$J$5)</f>
        <v/>
      </c>
    </row>
    <row r="6" spans="2:27">
      <c r="B6" s="50" t="str">
        <f>Index!B6</f>
        <v>Head:</v>
      </c>
      <c r="C6" s="52" t="str">
        <f>Index!$D$6</f>
        <v>Intangible Assets</v>
      </c>
      <c r="D6" s="130"/>
      <c r="E6" s="130"/>
      <c r="F6" s="132"/>
      <c r="G6" s="131"/>
      <c r="H6" s="131"/>
      <c r="I6" s="132"/>
      <c r="J6" s="131"/>
      <c r="K6" s="131"/>
      <c r="L6" s="131"/>
      <c r="M6" s="131"/>
      <c r="N6" s="131"/>
      <c r="O6" s="131"/>
      <c r="P6" s="131"/>
      <c r="Q6" s="131"/>
      <c r="R6" s="131"/>
      <c r="S6" s="131"/>
      <c r="T6" s="131"/>
      <c r="U6" s="131"/>
      <c r="V6" s="131"/>
      <c r="W6" s="131"/>
      <c r="X6" s="131"/>
      <c r="Z6" s="45" t="str">
        <f>Index!$H$6</f>
        <v>Reviewed by:</v>
      </c>
      <c r="AA6" s="53" t="str">
        <f>IF(Index!$J$6="","",Index!$J$6)</f>
        <v/>
      </c>
    </row>
    <row r="7" spans="2:27">
      <c r="B7" s="134"/>
      <c r="C7" s="134"/>
      <c r="D7" s="130"/>
      <c r="E7" s="130"/>
      <c r="F7" s="132"/>
      <c r="G7" s="131"/>
      <c r="H7" s="131"/>
      <c r="I7" s="132"/>
      <c r="J7" s="131"/>
      <c r="K7" s="131"/>
      <c r="L7" s="131"/>
      <c r="M7" s="131"/>
      <c r="N7" s="131"/>
      <c r="O7" s="131"/>
      <c r="P7" s="131"/>
      <c r="Q7" s="131"/>
      <c r="R7" s="131"/>
      <c r="S7" s="131"/>
      <c r="T7" s="131"/>
      <c r="U7" s="131"/>
      <c r="V7" s="131"/>
      <c r="W7" s="131"/>
      <c r="X7" s="131"/>
      <c r="Z7" s="45" t="str">
        <f>Index!$H$7</f>
        <v>Date reviewed:</v>
      </c>
      <c r="AA7" s="54" t="str">
        <f>IF(Index!$J$7="","",Index!$J$7)</f>
        <v/>
      </c>
    </row>
    <row r="8" spans="2:27">
      <c r="B8" s="134" t="s">
        <v>61</v>
      </c>
      <c r="C8" s="134"/>
      <c r="D8" s="134"/>
      <c r="E8" s="134"/>
      <c r="F8" s="197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4"/>
      <c r="V8" s="134"/>
      <c r="W8" s="134"/>
      <c r="X8" s="134"/>
      <c r="Y8" s="134"/>
      <c r="Z8" s="134"/>
      <c r="AA8" s="134"/>
    </row>
    <row r="9" spans="2:27">
      <c r="B9" s="55"/>
      <c r="C9" s="55"/>
      <c r="D9" s="55"/>
      <c r="E9" s="55"/>
      <c r="F9" s="198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</row>
    <row r="10" spans="2:27">
      <c r="B10" s="135" t="s">
        <v>17</v>
      </c>
      <c r="C10" s="135"/>
      <c r="D10" s="130"/>
      <c r="E10" s="130"/>
      <c r="F10" s="162"/>
      <c r="G10" s="131"/>
      <c r="H10" s="131"/>
      <c r="I10" s="162"/>
      <c r="J10" s="131"/>
      <c r="K10" s="131"/>
      <c r="L10" s="131"/>
      <c r="M10" s="131"/>
      <c r="N10" s="131"/>
      <c r="O10" s="131"/>
      <c r="P10" s="131"/>
      <c r="Q10" s="131"/>
      <c r="R10" s="131"/>
      <c r="S10" s="131"/>
      <c r="T10" s="131"/>
      <c r="U10" s="131"/>
      <c r="V10" s="131"/>
      <c r="W10" s="131"/>
      <c r="X10" s="131"/>
      <c r="Y10" s="131"/>
      <c r="Z10" s="131"/>
      <c r="AA10" s="131"/>
    </row>
    <row r="11" spans="2:27">
      <c r="B11" s="136" t="s">
        <v>19</v>
      </c>
      <c r="C11" s="135"/>
      <c r="D11" s="130"/>
      <c r="E11" s="130"/>
      <c r="F11" s="132"/>
      <c r="G11" s="131"/>
      <c r="H11" s="131"/>
      <c r="I11" s="132"/>
      <c r="J11" s="131"/>
      <c r="K11" s="131"/>
      <c r="L11" s="131"/>
      <c r="M11" s="131"/>
      <c r="N11" s="131"/>
      <c r="O11" s="131"/>
      <c r="P11" s="131"/>
      <c r="Q11" s="131"/>
      <c r="R11" s="131"/>
      <c r="S11" s="131"/>
      <c r="T11" s="131"/>
      <c r="U11" s="131"/>
      <c r="V11" s="131"/>
      <c r="W11" s="131"/>
      <c r="X11" s="131"/>
      <c r="Y11" s="131"/>
      <c r="Z11" s="131"/>
      <c r="AA11" s="131"/>
    </row>
    <row r="12" spans="2:27">
      <c r="B12" s="136" t="s">
        <v>20</v>
      </c>
      <c r="C12" s="135"/>
      <c r="D12" s="130"/>
      <c r="E12" s="130"/>
      <c r="F12" s="132"/>
      <c r="G12" s="131"/>
      <c r="H12" s="131"/>
      <c r="I12" s="132"/>
      <c r="J12" s="131"/>
      <c r="K12" s="131"/>
      <c r="L12" s="131"/>
      <c r="M12" s="131"/>
      <c r="N12" s="131"/>
      <c r="O12" s="131"/>
      <c r="P12" s="131"/>
      <c r="Q12" s="131"/>
      <c r="R12" s="131"/>
      <c r="S12" s="131"/>
      <c r="T12" s="131"/>
      <c r="U12" s="131"/>
      <c r="V12" s="131"/>
      <c r="W12" s="131"/>
      <c r="X12" s="131"/>
      <c r="Y12" s="131"/>
      <c r="Z12" s="131"/>
      <c r="AA12" s="131"/>
    </row>
    <row r="13" spans="2:27">
      <c r="B13" s="136" t="s">
        <v>86</v>
      </c>
      <c r="C13" s="135"/>
      <c r="D13" s="130"/>
      <c r="E13" s="130"/>
      <c r="F13" s="132"/>
      <c r="G13" s="131"/>
      <c r="H13" s="131"/>
      <c r="I13" s="132"/>
      <c r="J13" s="131"/>
      <c r="K13" s="131"/>
      <c r="L13" s="131"/>
      <c r="M13" s="131"/>
      <c r="N13" s="131"/>
      <c r="O13" s="131"/>
      <c r="P13" s="131"/>
      <c r="Q13" s="131"/>
      <c r="R13" s="131"/>
      <c r="S13" s="131"/>
      <c r="T13" s="131"/>
      <c r="U13" s="131"/>
      <c r="V13" s="131"/>
      <c r="W13" s="131"/>
      <c r="X13" s="131"/>
      <c r="Y13" s="131"/>
      <c r="Z13" s="131"/>
      <c r="AA13" s="131"/>
    </row>
    <row r="14" spans="2:27">
      <c r="B14" s="136" t="s">
        <v>87</v>
      </c>
      <c r="C14" s="135"/>
      <c r="D14" s="130"/>
      <c r="E14" s="130"/>
      <c r="F14" s="132"/>
      <c r="G14" s="131"/>
      <c r="H14" s="131"/>
      <c r="I14" s="132"/>
      <c r="J14" s="131"/>
      <c r="K14" s="131"/>
      <c r="L14" s="131"/>
      <c r="M14" s="131"/>
      <c r="N14" s="131"/>
      <c r="O14" s="131"/>
      <c r="P14" s="131"/>
      <c r="Q14" s="131"/>
      <c r="R14" s="131"/>
      <c r="S14" s="131"/>
      <c r="T14" s="131"/>
      <c r="U14" s="131"/>
      <c r="V14" s="131"/>
      <c r="W14" s="131"/>
      <c r="X14" s="131"/>
      <c r="Y14" s="131"/>
      <c r="Z14" s="131"/>
      <c r="AA14" s="131"/>
    </row>
    <row r="15" spans="2:27" ht="14.25" customHeight="1">
      <c r="B15" s="196" t="s">
        <v>157</v>
      </c>
      <c r="C15" s="196"/>
      <c r="D15" s="196"/>
      <c r="E15" s="196"/>
      <c r="F15" s="199"/>
      <c r="G15" s="196"/>
      <c r="H15" s="196"/>
      <c r="I15" s="196"/>
      <c r="J15" s="196"/>
      <c r="K15" s="196"/>
      <c r="L15" s="137"/>
      <c r="M15" s="131"/>
      <c r="N15" s="131"/>
      <c r="O15" s="131"/>
      <c r="P15" s="131"/>
      <c r="Q15" s="131"/>
      <c r="R15" s="131"/>
      <c r="S15" s="131"/>
      <c r="T15" s="131"/>
      <c r="U15" s="131"/>
      <c r="V15" s="131"/>
      <c r="W15" s="131"/>
      <c r="X15" s="131"/>
      <c r="Y15" s="131"/>
      <c r="Z15" s="131"/>
      <c r="AA15" s="131"/>
    </row>
    <row r="16" spans="2:27">
      <c r="B16" s="196" t="s">
        <v>158</v>
      </c>
      <c r="C16" s="196"/>
      <c r="D16" s="196"/>
      <c r="E16" s="196"/>
      <c r="F16" s="199"/>
      <c r="G16" s="196"/>
      <c r="H16" s="196"/>
      <c r="I16" s="196"/>
      <c r="J16" s="196"/>
      <c r="K16" s="196"/>
      <c r="L16" s="137"/>
      <c r="M16" s="131"/>
      <c r="N16" s="131"/>
      <c r="O16" s="131"/>
      <c r="P16" s="131"/>
      <c r="Q16" s="131"/>
      <c r="R16" s="131"/>
      <c r="S16" s="131"/>
      <c r="T16" s="131"/>
      <c r="U16" s="131"/>
      <c r="V16" s="131"/>
      <c r="W16" s="131"/>
      <c r="X16" s="131"/>
      <c r="Y16" s="131"/>
      <c r="Z16" s="131"/>
      <c r="AA16" s="131"/>
    </row>
    <row r="17" spans="2:27">
      <c r="B17" s="196" t="s">
        <v>159</v>
      </c>
      <c r="C17" s="196"/>
      <c r="D17" s="196"/>
      <c r="E17" s="196"/>
      <c r="F17" s="199"/>
      <c r="G17" s="196"/>
      <c r="H17" s="196"/>
      <c r="I17" s="196"/>
      <c r="J17" s="196"/>
      <c r="K17" s="196"/>
      <c r="L17" s="137"/>
      <c r="M17" s="131"/>
      <c r="N17" s="131"/>
      <c r="O17" s="131"/>
      <c r="P17" s="131"/>
      <c r="Q17" s="131"/>
      <c r="R17" s="131"/>
      <c r="S17" s="131"/>
      <c r="T17" s="131"/>
      <c r="U17" s="131"/>
      <c r="V17" s="131"/>
      <c r="W17" s="131"/>
      <c r="X17" s="131"/>
      <c r="Y17" s="131"/>
      <c r="Z17" s="131"/>
      <c r="AA17" s="131"/>
    </row>
    <row r="18" spans="2:27">
      <c r="B18" s="196" t="s">
        <v>160</v>
      </c>
      <c r="C18" s="196"/>
      <c r="D18" s="196"/>
      <c r="E18" s="196"/>
      <c r="F18" s="199"/>
      <c r="G18" s="196"/>
      <c r="H18" s="196"/>
      <c r="I18" s="196"/>
      <c r="J18" s="196"/>
      <c r="K18" s="196"/>
      <c r="L18" s="137"/>
      <c r="M18" s="131"/>
      <c r="N18" s="131"/>
      <c r="O18" s="131"/>
      <c r="P18" s="131"/>
      <c r="Q18" s="131"/>
      <c r="R18" s="131"/>
      <c r="S18" s="131"/>
      <c r="T18" s="131"/>
      <c r="U18" s="131"/>
      <c r="V18" s="131"/>
      <c r="W18" s="131"/>
      <c r="X18" s="131"/>
      <c r="Y18" s="131"/>
      <c r="Z18" s="131"/>
      <c r="AA18" s="131"/>
    </row>
    <row r="19" spans="2:27">
      <c r="B19" s="137"/>
      <c r="C19" s="137"/>
      <c r="D19" s="137"/>
      <c r="E19" s="137"/>
      <c r="F19" s="200"/>
      <c r="G19" s="137"/>
      <c r="H19" s="137"/>
      <c r="I19" s="137"/>
      <c r="J19" s="137"/>
      <c r="K19" s="137"/>
      <c r="L19" s="137"/>
      <c r="M19" s="131"/>
      <c r="N19" s="131"/>
      <c r="O19" s="131"/>
      <c r="P19" s="131"/>
      <c r="Q19" s="131"/>
      <c r="R19" s="131"/>
      <c r="S19" s="131"/>
      <c r="T19" s="131"/>
      <c r="U19" s="131"/>
      <c r="V19" s="131"/>
      <c r="W19" s="131"/>
      <c r="X19" s="131"/>
      <c r="Y19" s="131"/>
      <c r="Z19" s="131"/>
      <c r="AA19" s="131"/>
    </row>
    <row r="20" spans="2:27">
      <c r="B20" s="55" t="s">
        <v>153</v>
      </c>
      <c r="C20" s="137"/>
      <c r="D20" s="137"/>
      <c r="E20" s="138" t="s">
        <v>161</v>
      </c>
      <c r="F20" s="139">
        <f>SUM(F27:F100)</f>
        <v>0</v>
      </c>
      <c r="G20" s="137"/>
      <c r="H20" s="137"/>
      <c r="I20" s="137"/>
      <c r="J20" s="137"/>
      <c r="K20" s="137"/>
      <c r="L20" s="137"/>
      <c r="M20" s="131"/>
      <c r="N20" s="131"/>
      <c r="O20" s="131"/>
      <c r="P20" s="131"/>
      <c r="Q20" s="131"/>
      <c r="R20" s="131"/>
      <c r="S20" s="131"/>
      <c r="T20" s="131"/>
      <c r="U20" s="131"/>
      <c r="V20" s="131"/>
      <c r="W20" s="131"/>
      <c r="X20" s="131"/>
      <c r="Y20" s="131"/>
      <c r="Z20" s="131"/>
      <c r="AA20" s="131"/>
    </row>
    <row r="21" spans="2:27">
      <c r="B21" s="56" t="s">
        <v>154</v>
      </c>
      <c r="C21" s="137"/>
      <c r="D21" s="137"/>
      <c r="E21" s="138" t="s">
        <v>162</v>
      </c>
      <c r="F21" s="139"/>
      <c r="G21" s="74" t="str">
        <f>SubLead!M1</f>
        <v>B.S.02 - 3</v>
      </c>
      <c r="H21" s="137"/>
      <c r="I21" s="137"/>
      <c r="J21" s="137"/>
      <c r="K21" s="137"/>
      <c r="L21" s="137"/>
      <c r="M21" s="131"/>
      <c r="N21" s="131"/>
      <c r="O21" s="131"/>
      <c r="P21" s="131"/>
      <c r="Q21" s="131"/>
      <c r="R21" s="131"/>
      <c r="S21" s="131"/>
      <c r="T21" s="131"/>
      <c r="U21" s="131"/>
      <c r="V21" s="131"/>
      <c r="W21" s="131"/>
      <c r="X21" s="131"/>
      <c r="Y21" s="131"/>
      <c r="Z21" s="131"/>
      <c r="AA21" s="131"/>
    </row>
    <row r="22" spans="2:27">
      <c r="B22" s="137"/>
      <c r="C22" s="137"/>
      <c r="D22" s="137"/>
      <c r="E22" s="138" t="s">
        <v>177</v>
      </c>
      <c r="F22" s="159" t="str">
        <f>IFERROR(F20/F21,"")</f>
        <v/>
      </c>
      <c r="G22" s="137"/>
      <c r="H22" s="137"/>
      <c r="I22" s="137"/>
      <c r="J22" s="137"/>
      <c r="K22" s="137"/>
      <c r="L22" s="137"/>
      <c r="M22" s="131"/>
      <c r="N22" s="131"/>
      <c r="O22" s="131"/>
      <c r="P22" s="131"/>
      <c r="Q22" s="131"/>
      <c r="R22" s="131"/>
      <c r="S22" s="131"/>
      <c r="T22" s="131"/>
      <c r="U22" s="131"/>
      <c r="V22" s="131"/>
      <c r="W22" s="131"/>
      <c r="X22" s="131"/>
      <c r="Y22" s="131"/>
      <c r="Z22" s="131"/>
      <c r="AA22" s="131"/>
    </row>
    <row r="23" spans="2:27">
      <c r="B23" s="55" t="s">
        <v>37</v>
      </c>
      <c r="C23" s="137"/>
      <c r="D23" s="137"/>
      <c r="E23" s="138" t="s">
        <v>168</v>
      </c>
      <c r="F23" s="250" t="s">
        <v>170</v>
      </c>
      <c r="G23" s="137"/>
      <c r="H23" s="137"/>
      <c r="I23" s="137"/>
      <c r="J23" s="137"/>
      <c r="K23" s="137"/>
      <c r="L23" s="137"/>
      <c r="M23" s="131"/>
      <c r="N23" s="131"/>
      <c r="O23" s="131"/>
      <c r="P23" s="131"/>
      <c r="Q23" s="131"/>
      <c r="R23" s="131"/>
      <c r="S23" s="131"/>
      <c r="T23" s="131"/>
      <c r="U23" s="131"/>
      <c r="V23" s="131"/>
      <c r="W23" s="131"/>
      <c r="X23" s="131"/>
      <c r="Y23" s="131"/>
      <c r="Z23" s="131"/>
      <c r="AA23" s="131"/>
    </row>
    <row r="24" spans="2:27">
      <c r="B24" s="56" t="s">
        <v>36</v>
      </c>
      <c r="C24" s="137"/>
      <c r="D24" s="137"/>
      <c r="E24" s="138" t="s">
        <v>169</v>
      </c>
      <c r="F24" s="139"/>
      <c r="G24" s="137"/>
      <c r="H24" s="137"/>
      <c r="I24" s="137"/>
      <c r="J24" s="137"/>
      <c r="K24" s="137"/>
      <c r="L24" s="137"/>
      <c r="M24" s="131"/>
      <c r="N24" s="131"/>
      <c r="O24" s="131"/>
      <c r="P24" s="131"/>
      <c r="Q24" s="131"/>
      <c r="R24" s="131"/>
      <c r="S24" s="131"/>
      <c r="T24" s="131"/>
      <c r="U24" s="131"/>
      <c r="V24" s="131"/>
      <c r="W24" s="131"/>
      <c r="X24" s="131"/>
      <c r="Y24" s="131"/>
      <c r="Z24" s="131"/>
      <c r="AA24" s="131"/>
    </row>
    <row r="25" spans="2:27">
      <c r="B25" s="158"/>
      <c r="C25" s="158"/>
      <c r="D25" s="158"/>
      <c r="E25" s="158"/>
      <c r="F25" s="201"/>
      <c r="G25" s="158"/>
      <c r="H25" s="158"/>
      <c r="I25" s="158"/>
      <c r="J25" s="158"/>
      <c r="K25" s="158"/>
      <c r="L25" s="137"/>
      <c r="M25" s="131"/>
      <c r="N25" s="131"/>
      <c r="O25" s="131"/>
      <c r="P25" s="131"/>
      <c r="Q25" s="131"/>
      <c r="R25" s="131"/>
      <c r="S25" s="131"/>
      <c r="T25" s="131"/>
      <c r="U25" s="131"/>
      <c r="V25" s="131"/>
      <c r="W25" s="131"/>
      <c r="X25" s="131"/>
      <c r="Y25" s="131"/>
      <c r="Z25" s="131"/>
      <c r="AA25" s="131"/>
    </row>
    <row r="26" spans="2:27" s="195" customFormat="1" ht="45">
      <c r="B26" s="165" t="s">
        <v>27</v>
      </c>
      <c r="C26" s="165" t="s">
        <v>28</v>
      </c>
      <c r="D26" s="165" t="s">
        <v>29</v>
      </c>
      <c r="E26" s="165" t="s">
        <v>44</v>
      </c>
      <c r="F26" s="202" t="s">
        <v>171</v>
      </c>
      <c r="G26" s="165" t="s">
        <v>173</v>
      </c>
      <c r="H26" s="165" t="s">
        <v>172</v>
      </c>
      <c r="I26" s="165" t="s">
        <v>45</v>
      </c>
      <c r="J26" s="165" t="s">
        <v>50</v>
      </c>
      <c r="K26" s="165" t="s">
        <v>51</v>
      </c>
      <c r="L26" s="165" t="s">
        <v>49</v>
      </c>
      <c r="M26" s="165" t="s">
        <v>174</v>
      </c>
      <c r="N26" s="165" t="s">
        <v>175</v>
      </c>
      <c r="O26" s="165" t="s">
        <v>176</v>
      </c>
      <c r="P26" s="165" t="s">
        <v>127</v>
      </c>
      <c r="Q26" s="165" t="s">
        <v>59</v>
      </c>
      <c r="R26" s="165" t="s">
        <v>60</v>
      </c>
      <c r="S26" s="165" t="s">
        <v>57</v>
      </c>
      <c r="T26" s="165" t="s">
        <v>58</v>
      </c>
      <c r="U26" s="165" t="s">
        <v>52</v>
      </c>
      <c r="V26" s="165" t="s">
        <v>53</v>
      </c>
      <c r="W26" s="165" t="s">
        <v>54</v>
      </c>
      <c r="X26" s="165" t="s">
        <v>55</v>
      </c>
      <c r="Y26" s="165" t="s">
        <v>48</v>
      </c>
      <c r="Z26" s="165" t="s">
        <v>46</v>
      </c>
      <c r="AA26" s="165" t="s">
        <v>47</v>
      </c>
    </row>
    <row r="27" spans="2:27">
      <c r="B27" s="130"/>
      <c r="C27" s="130"/>
      <c r="D27" s="130"/>
      <c r="E27" s="130"/>
      <c r="F27" s="162"/>
      <c r="G27" s="131"/>
      <c r="H27" s="131"/>
      <c r="I27" s="162"/>
      <c r="J27" s="131"/>
      <c r="K27" s="131"/>
      <c r="L27" s="131"/>
      <c r="M27" s="131"/>
      <c r="N27" s="131"/>
      <c r="O27" s="131"/>
      <c r="P27" s="131"/>
      <c r="Q27" s="131"/>
      <c r="R27" s="131"/>
      <c r="S27" s="131"/>
      <c r="T27" s="131"/>
      <c r="U27" s="131"/>
      <c r="V27" s="131"/>
      <c r="W27" s="131"/>
      <c r="X27" s="131"/>
      <c r="Y27" s="131"/>
      <c r="Z27" s="131"/>
      <c r="AA27" s="131"/>
    </row>
    <row r="28" spans="2:27">
      <c r="B28" s="138"/>
      <c r="C28" s="138"/>
      <c r="D28" s="138"/>
      <c r="E28" s="138"/>
      <c r="F28" s="139"/>
      <c r="G28" s="74"/>
      <c r="H28" s="74"/>
      <c r="I28" s="139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251"/>
      <c r="X28" s="74"/>
      <c r="Y28" s="74"/>
      <c r="Z28" s="74"/>
      <c r="AA28" s="74"/>
    </row>
    <row r="29" spans="2:27">
      <c r="B29" s="138"/>
      <c r="C29" s="138"/>
      <c r="D29" s="138"/>
      <c r="E29" s="138"/>
      <c r="F29" s="139"/>
      <c r="G29" s="74"/>
      <c r="H29" s="74"/>
      <c r="I29" s="139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</row>
    <row r="30" spans="2:27">
      <c r="B30" s="138"/>
      <c r="C30" s="138"/>
      <c r="D30" s="138"/>
      <c r="E30" s="138"/>
      <c r="F30" s="139"/>
      <c r="G30" s="74"/>
      <c r="H30" s="74"/>
      <c r="I30" s="139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</row>
    <row r="31" spans="2:27">
      <c r="B31" s="138"/>
      <c r="C31" s="138"/>
      <c r="D31" s="138"/>
      <c r="E31" s="138"/>
      <c r="F31" s="139"/>
      <c r="G31" s="74"/>
      <c r="H31" s="74"/>
      <c r="I31" s="139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</row>
    <row r="32" spans="2:27">
      <c r="B32" s="138"/>
      <c r="C32" s="138"/>
      <c r="D32" s="138"/>
      <c r="E32" s="138"/>
      <c r="F32" s="139"/>
      <c r="G32" s="74"/>
      <c r="H32" s="74"/>
      <c r="I32" s="139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</row>
    <row r="33" spans="2:27">
      <c r="B33" s="138"/>
      <c r="C33" s="138"/>
      <c r="D33" s="138"/>
      <c r="E33" s="138"/>
      <c r="F33" s="139"/>
      <c r="G33" s="74"/>
      <c r="H33" s="74"/>
      <c r="I33" s="139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</row>
    <row r="34" spans="2:27">
      <c r="B34" s="138"/>
      <c r="C34" s="138"/>
      <c r="D34" s="138"/>
      <c r="E34" s="138"/>
      <c r="F34" s="139"/>
      <c r="G34" s="74"/>
      <c r="H34" s="74"/>
      <c r="I34" s="139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</row>
    <row r="35" spans="2:27">
      <c r="B35" s="138"/>
      <c r="C35" s="138"/>
      <c r="D35" s="138"/>
      <c r="E35" s="138"/>
      <c r="F35" s="139"/>
      <c r="G35" s="74"/>
      <c r="H35" s="74"/>
      <c r="I35" s="139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</row>
    <row r="36" spans="2:27">
      <c r="B36" s="138"/>
      <c r="C36" s="138"/>
      <c r="D36" s="138"/>
      <c r="E36" s="138"/>
      <c r="F36" s="139"/>
      <c r="G36" s="74"/>
      <c r="H36" s="74"/>
      <c r="I36" s="139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</row>
    <row r="37" spans="2:27">
      <c r="B37" s="138"/>
      <c r="C37" s="138"/>
      <c r="D37" s="138"/>
      <c r="E37" s="138"/>
      <c r="F37" s="139"/>
      <c r="G37" s="74"/>
      <c r="H37" s="74"/>
      <c r="I37" s="139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</row>
    <row r="38" spans="2:27">
      <c r="B38" s="138"/>
      <c r="C38" s="138"/>
      <c r="D38" s="138"/>
      <c r="E38" s="138"/>
      <c r="F38" s="139"/>
      <c r="G38" s="74"/>
      <c r="H38" s="74"/>
      <c r="I38" s="139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</row>
    <row r="39" spans="2:27">
      <c r="B39" s="138"/>
      <c r="C39" s="138"/>
      <c r="D39" s="138"/>
      <c r="E39" s="138"/>
      <c r="F39" s="139"/>
      <c r="G39" s="74"/>
      <c r="H39" s="74"/>
      <c r="I39" s="139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</row>
    <row r="40" spans="2:27" hidden="1">
      <c r="B40" s="138"/>
      <c r="C40" s="138"/>
      <c r="D40" s="138"/>
      <c r="E40" s="138"/>
      <c r="F40" s="139"/>
      <c r="G40" s="74"/>
      <c r="H40" s="74"/>
      <c r="I40" s="139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</row>
    <row r="41" spans="2:27">
      <c r="B41" s="138"/>
      <c r="C41" s="138"/>
      <c r="D41" s="138"/>
      <c r="E41" s="138"/>
      <c r="F41" s="139"/>
      <c r="G41" s="74"/>
      <c r="H41" s="74"/>
      <c r="I41" s="139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</row>
    <row r="42" spans="2:27" hidden="1">
      <c r="B42" s="138"/>
      <c r="C42" s="138"/>
      <c r="D42" s="138"/>
      <c r="E42" s="138"/>
      <c r="F42" s="139"/>
      <c r="G42" s="74"/>
      <c r="H42" s="74"/>
      <c r="I42" s="139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</row>
    <row r="43" spans="2:27">
      <c r="B43" s="138"/>
      <c r="C43" s="138"/>
      <c r="D43" s="138"/>
      <c r="E43" s="138"/>
      <c r="F43" s="139"/>
      <c r="G43" s="74"/>
      <c r="H43" s="74"/>
      <c r="I43" s="139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</row>
    <row r="44" spans="2:27">
      <c r="B44" s="138"/>
      <c r="C44" s="138"/>
      <c r="D44" s="138"/>
      <c r="E44" s="138"/>
      <c r="F44" s="139"/>
      <c r="G44" s="74"/>
      <c r="H44" s="74"/>
      <c r="I44" s="139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</row>
    <row r="45" spans="2:27">
      <c r="B45" s="138"/>
      <c r="C45" s="138"/>
      <c r="D45" s="138"/>
      <c r="E45" s="138"/>
      <c r="F45" s="139"/>
      <c r="G45" s="74"/>
      <c r="H45" s="74"/>
      <c r="I45" s="139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</row>
    <row r="46" spans="2:27">
      <c r="B46" s="138"/>
      <c r="C46" s="138"/>
      <c r="D46" s="138"/>
      <c r="E46" s="138"/>
      <c r="F46" s="139"/>
      <c r="G46" s="74"/>
      <c r="H46" s="74"/>
      <c r="I46" s="139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</row>
    <row r="47" spans="2:27">
      <c r="B47" s="138"/>
      <c r="C47" s="138"/>
      <c r="D47" s="138"/>
      <c r="E47" s="138"/>
      <c r="F47" s="139"/>
      <c r="G47" s="74"/>
      <c r="H47" s="74"/>
      <c r="I47" s="139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</row>
    <row r="48" spans="2:27">
      <c r="B48" s="138"/>
      <c r="C48" s="138"/>
      <c r="D48" s="138"/>
      <c r="E48" s="138"/>
      <c r="F48" s="139"/>
      <c r="G48" s="74"/>
      <c r="H48" s="74"/>
      <c r="I48" s="139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</row>
    <row r="49" spans="2:27">
      <c r="B49" s="130"/>
      <c r="C49" s="130"/>
      <c r="D49" s="130"/>
      <c r="E49" s="130"/>
      <c r="F49" s="162"/>
      <c r="G49" s="131"/>
      <c r="H49" s="131"/>
      <c r="I49" s="162"/>
      <c r="J49" s="131"/>
      <c r="K49" s="131"/>
      <c r="L49" s="131"/>
      <c r="M49" s="131"/>
      <c r="N49" s="131"/>
      <c r="O49" s="131"/>
      <c r="P49" s="131"/>
      <c r="Q49" s="131"/>
      <c r="R49" s="131"/>
      <c r="S49" s="131"/>
      <c r="T49" s="131"/>
      <c r="U49" s="131"/>
      <c r="V49" s="131"/>
      <c r="W49" s="131"/>
      <c r="X49" s="131"/>
      <c r="Y49" s="131"/>
      <c r="Z49" s="131"/>
      <c r="AA49" s="131"/>
    </row>
    <row r="50" spans="2:27">
      <c r="B50" s="130"/>
      <c r="C50" s="130"/>
      <c r="D50" s="130"/>
      <c r="G50" s="131"/>
      <c r="H50" s="131"/>
      <c r="I50" s="162"/>
      <c r="J50" s="131"/>
      <c r="K50" s="131"/>
      <c r="L50" s="131"/>
      <c r="M50" s="131"/>
      <c r="N50" s="131"/>
      <c r="O50" s="131"/>
      <c r="P50" s="131"/>
      <c r="Q50" s="131"/>
      <c r="R50" s="131"/>
      <c r="S50" s="131"/>
      <c r="T50" s="131"/>
      <c r="U50" s="131"/>
      <c r="V50" s="131"/>
      <c r="W50" s="131"/>
      <c r="X50" s="131"/>
      <c r="Y50" s="131"/>
      <c r="Z50" s="131"/>
      <c r="AA50" s="131"/>
    </row>
    <row r="51" spans="2:27">
      <c r="D51" s="130"/>
      <c r="G51" s="131"/>
      <c r="H51" s="131"/>
      <c r="I51" s="162"/>
      <c r="J51" s="131"/>
      <c r="K51" s="131"/>
      <c r="L51" s="131"/>
      <c r="M51" s="131"/>
      <c r="N51" s="131"/>
      <c r="O51" s="131"/>
      <c r="P51" s="131"/>
      <c r="Q51" s="131"/>
      <c r="R51" s="131"/>
      <c r="S51" s="131"/>
      <c r="T51" s="131"/>
      <c r="U51" s="131"/>
      <c r="V51" s="131"/>
      <c r="W51" s="131"/>
      <c r="X51" s="131"/>
      <c r="Y51" s="131"/>
      <c r="Z51" s="131"/>
      <c r="AA51" s="131"/>
    </row>
    <row r="52" spans="2:27">
      <c r="B52" s="26"/>
      <c r="C52" s="26"/>
      <c r="D52" s="130"/>
      <c r="G52" s="131"/>
      <c r="H52" s="131"/>
      <c r="I52" s="162"/>
      <c r="J52" s="131"/>
      <c r="K52" s="131"/>
      <c r="L52" s="131"/>
      <c r="M52" s="131"/>
      <c r="N52" s="131"/>
      <c r="O52" s="131"/>
      <c r="P52" s="131"/>
      <c r="Q52" s="131"/>
      <c r="R52" s="131"/>
      <c r="S52" s="131"/>
      <c r="T52" s="131"/>
      <c r="U52" s="131"/>
      <c r="V52" s="131"/>
      <c r="W52" s="131"/>
      <c r="X52" s="131"/>
      <c r="Y52" s="131"/>
      <c r="Z52" s="131"/>
      <c r="AA52" s="131"/>
    </row>
    <row r="53" spans="2:27">
      <c r="B53" s="26"/>
      <c r="C53" s="26"/>
      <c r="D53" s="130"/>
      <c r="E53" s="130"/>
      <c r="F53" s="203"/>
      <c r="G53" s="131"/>
      <c r="H53" s="131"/>
      <c r="I53" s="162"/>
      <c r="J53" s="131"/>
      <c r="K53" s="131"/>
      <c r="L53" s="131"/>
      <c r="M53" s="131"/>
      <c r="N53" s="131"/>
      <c r="O53" s="131"/>
      <c r="P53" s="131"/>
      <c r="Q53" s="131"/>
      <c r="R53" s="131"/>
      <c r="S53" s="131"/>
      <c r="T53" s="131"/>
      <c r="U53" s="131"/>
      <c r="V53" s="131"/>
      <c r="W53" s="131"/>
      <c r="X53" s="131"/>
      <c r="Y53" s="131"/>
      <c r="Z53" s="131"/>
      <c r="AA53" s="131"/>
    </row>
    <row r="54" spans="2:27"/>
    <row r="55" spans="2:27"/>
    <row r="56" spans="2:27"/>
    <row r="57" spans="2:27"/>
    <row r="64" spans="2:27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</sheetData>
  <printOptions horizontalCentered="1"/>
  <pageMargins left="0.25" right="0.25" top="0.75" bottom="0.75" header="0.3" footer="0.3"/>
  <pageSetup scale="70" fitToWidth="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BG69"/>
  <sheetViews>
    <sheetView showGridLines="0" zoomScaleSheetLayoutView="90" workbookViewId="0"/>
  </sheetViews>
  <sheetFormatPr defaultColWidth="0" defaultRowHeight="16.5" zeroHeight="1"/>
  <cols>
    <col min="1" max="1" width="1" style="18" customWidth="1"/>
    <col min="2" max="2" width="11.28515625" style="18" customWidth="1"/>
    <col min="3" max="3" width="12.28515625" style="18" customWidth="1"/>
    <col min="4" max="5" width="34.42578125" style="18" customWidth="1"/>
    <col min="6" max="6" width="14.5703125" style="23" customWidth="1"/>
    <col min="7" max="7" width="14.5703125" style="205" customWidth="1"/>
    <col min="8" max="8" width="14.5703125" style="24" customWidth="1"/>
    <col min="9" max="9" width="14.5703125" style="205" customWidth="1"/>
    <col min="10" max="10" width="14.5703125" style="213" customWidth="1"/>
    <col min="11" max="11" width="14.5703125" style="23" customWidth="1"/>
    <col min="12" max="12" width="16" style="209" customWidth="1"/>
    <col min="13" max="22" width="14.5703125" style="205" customWidth="1"/>
    <col min="23" max="23" width="1" style="18" customWidth="1"/>
    <col min="24" max="33" width="9.140625" style="18" hidden="1" customWidth="1"/>
    <col min="34" max="59" width="0" style="18" hidden="1" customWidth="1"/>
    <col min="60" max="16384" width="9.140625" style="18" hidden="1"/>
  </cols>
  <sheetData>
    <row r="1" spans="2:26" s="19" customFormat="1">
      <c r="B1" s="49" t="str">
        <f>Index!$B$1</f>
        <v>ABC &amp; Co.</v>
      </c>
      <c r="C1" s="79"/>
      <c r="D1" s="130"/>
      <c r="E1" s="130"/>
      <c r="F1" s="131"/>
      <c r="G1" s="204"/>
      <c r="H1" s="132"/>
      <c r="I1" s="204"/>
      <c r="J1" s="210"/>
      <c r="K1" s="131"/>
      <c r="L1" s="206"/>
      <c r="M1" s="204"/>
      <c r="N1" s="204"/>
      <c r="O1" s="204"/>
      <c r="P1" s="204"/>
      <c r="Q1" s="204"/>
      <c r="R1" s="204"/>
      <c r="S1" s="204"/>
      <c r="T1" s="204"/>
      <c r="U1" s="214"/>
      <c r="V1" s="215" t="str">
        <f>Index!F23</f>
        <v>B.S.02 - 6</v>
      </c>
    </row>
    <row r="2" spans="2:26" s="19" customFormat="1">
      <c r="B2" s="49" t="str">
        <f>Index!$B$2</f>
        <v>(Chartered Accountants)</v>
      </c>
      <c r="C2" s="79"/>
      <c r="D2" s="130"/>
      <c r="E2" s="130"/>
      <c r="F2" s="131"/>
      <c r="G2" s="204"/>
      <c r="H2" s="132"/>
      <c r="I2" s="204"/>
      <c r="J2" s="210"/>
      <c r="K2" s="131"/>
      <c r="L2" s="206"/>
      <c r="M2" s="204"/>
      <c r="N2" s="204"/>
      <c r="O2" s="204"/>
      <c r="P2" s="204"/>
      <c r="Q2" s="204"/>
      <c r="R2" s="204"/>
      <c r="S2" s="204"/>
      <c r="T2" s="204"/>
      <c r="U2" s="214"/>
      <c r="V2" s="216"/>
    </row>
    <row r="3" spans="2:26">
      <c r="B3" s="79"/>
      <c r="C3" s="79"/>
      <c r="D3" s="130"/>
      <c r="E3" s="130"/>
      <c r="F3" s="131"/>
      <c r="G3" s="204"/>
      <c r="H3" s="132"/>
      <c r="I3" s="204"/>
      <c r="J3" s="210"/>
      <c r="K3" s="131"/>
      <c r="L3" s="206"/>
      <c r="M3" s="204"/>
      <c r="N3" s="204"/>
      <c r="O3" s="204"/>
      <c r="P3" s="204"/>
      <c r="Q3" s="204"/>
      <c r="R3" s="204"/>
      <c r="S3" s="204"/>
      <c r="T3" s="204"/>
      <c r="U3" s="214"/>
      <c r="V3" s="214"/>
    </row>
    <row r="4" spans="2:26">
      <c r="B4" s="50" t="str">
        <f>Index!B4</f>
        <v xml:space="preserve">Client: </v>
      </c>
      <c r="C4" s="51" t="str">
        <f>Index!$D$4</f>
        <v>ABC Limited</v>
      </c>
      <c r="D4" s="130"/>
      <c r="E4" s="130"/>
      <c r="F4" s="131"/>
      <c r="G4" s="204"/>
      <c r="H4" s="132"/>
      <c r="I4" s="204"/>
      <c r="J4" s="210"/>
      <c r="K4" s="131"/>
      <c r="L4" s="206"/>
      <c r="M4" s="204"/>
      <c r="N4" s="204"/>
      <c r="O4" s="204"/>
      <c r="P4" s="204"/>
      <c r="Q4" s="204"/>
      <c r="R4" s="204"/>
      <c r="S4" s="204"/>
      <c r="T4" s="204"/>
      <c r="U4" s="217" t="str">
        <f>Index!$H$4</f>
        <v>Prepared by:</v>
      </c>
      <c r="V4" s="218" t="str">
        <f>IF(Index!$J$4="","",Index!$J$4)</f>
        <v/>
      </c>
    </row>
    <row r="5" spans="2:26">
      <c r="B5" s="50" t="str">
        <f>Index!B5</f>
        <v>Period:</v>
      </c>
      <c r="C5" s="51" t="str">
        <f>Index!$D$5</f>
        <v>Year ended June 30, 2023</v>
      </c>
      <c r="D5" s="130"/>
      <c r="E5" s="130"/>
      <c r="F5" s="131"/>
      <c r="G5" s="204"/>
      <c r="H5" s="132"/>
      <c r="I5" s="204"/>
      <c r="J5" s="210"/>
      <c r="K5" s="131"/>
      <c r="L5" s="206"/>
      <c r="M5" s="204"/>
      <c r="N5" s="204"/>
      <c r="O5" s="204"/>
      <c r="P5" s="204"/>
      <c r="Q5" s="204"/>
      <c r="R5" s="204"/>
      <c r="S5" s="204"/>
      <c r="T5" s="204"/>
      <c r="U5" s="217" t="str">
        <f>Index!$H$5</f>
        <v>Date prepared:</v>
      </c>
      <c r="V5" s="218" t="str">
        <f>IF(Index!$J$5="","",Index!$J$5)</f>
        <v/>
      </c>
    </row>
    <row r="6" spans="2:26">
      <c r="B6" s="50" t="str">
        <f>Index!B6</f>
        <v>Head:</v>
      </c>
      <c r="C6" s="52" t="str">
        <f>Index!$D$6</f>
        <v>Intangible Assets</v>
      </c>
      <c r="D6" s="130"/>
      <c r="E6" s="130"/>
      <c r="F6" s="131"/>
      <c r="G6" s="204"/>
      <c r="H6" s="132"/>
      <c r="I6" s="204"/>
      <c r="J6" s="210"/>
      <c r="K6" s="131"/>
      <c r="L6" s="206"/>
      <c r="M6" s="204"/>
      <c r="N6" s="204"/>
      <c r="O6" s="204"/>
      <c r="P6" s="204"/>
      <c r="Q6" s="204"/>
      <c r="R6" s="204"/>
      <c r="S6" s="204"/>
      <c r="T6" s="204"/>
      <c r="U6" s="217" t="str">
        <f>Index!$H$6</f>
        <v>Reviewed by:</v>
      </c>
      <c r="V6" s="218" t="str">
        <f>IF(Index!$J$6="","",Index!$J$6)</f>
        <v/>
      </c>
    </row>
    <row r="7" spans="2:26">
      <c r="B7" s="134"/>
      <c r="C7" s="134"/>
      <c r="D7" s="130"/>
      <c r="E7" s="130"/>
      <c r="F7" s="131"/>
      <c r="G7" s="204"/>
      <c r="H7" s="132"/>
      <c r="I7" s="204"/>
      <c r="J7" s="210"/>
      <c r="K7" s="131"/>
      <c r="L7" s="206"/>
      <c r="M7" s="204"/>
      <c r="N7" s="204"/>
      <c r="O7" s="204"/>
      <c r="P7" s="204"/>
      <c r="Q7" s="204"/>
      <c r="R7" s="204"/>
      <c r="S7" s="204"/>
      <c r="T7" s="204"/>
      <c r="U7" s="217" t="str">
        <f>Index!$H$7</f>
        <v>Date reviewed:</v>
      </c>
      <c r="V7" s="218" t="str">
        <f>IF(Index!$J$7="","",Index!$J$7)</f>
        <v/>
      </c>
    </row>
    <row r="8" spans="2:26">
      <c r="B8" s="134" t="s">
        <v>62</v>
      </c>
      <c r="C8" s="134"/>
      <c r="D8" s="134"/>
      <c r="E8" s="134"/>
      <c r="F8" s="134"/>
      <c r="G8" s="197"/>
      <c r="H8" s="197"/>
      <c r="I8" s="197"/>
      <c r="J8" s="211"/>
      <c r="K8" s="134"/>
      <c r="L8" s="207"/>
      <c r="M8" s="197"/>
      <c r="N8" s="197"/>
      <c r="O8" s="197"/>
      <c r="P8" s="197"/>
      <c r="Q8" s="197"/>
      <c r="R8" s="197"/>
      <c r="S8" s="197"/>
      <c r="T8" s="197"/>
      <c r="U8" s="219"/>
      <c r="V8" s="219"/>
    </row>
    <row r="9" spans="2:26">
      <c r="B9" s="134"/>
      <c r="C9" s="134"/>
      <c r="D9" s="134"/>
      <c r="E9" s="134"/>
      <c r="F9" s="134"/>
      <c r="G9" s="197"/>
      <c r="H9" s="197"/>
      <c r="I9" s="197"/>
      <c r="J9" s="211"/>
      <c r="K9" s="134"/>
      <c r="L9" s="207"/>
      <c r="M9" s="197"/>
      <c r="N9" s="197"/>
      <c r="O9" s="197"/>
      <c r="P9" s="197"/>
      <c r="Q9" s="197"/>
      <c r="R9" s="197"/>
      <c r="S9" s="197"/>
      <c r="T9" s="197"/>
      <c r="U9" s="219"/>
      <c r="V9" s="219"/>
    </row>
    <row r="10" spans="2:26">
      <c r="B10" s="135" t="s">
        <v>17</v>
      </c>
      <c r="C10" s="135"/>
      <c r="D10" s="130"/>
      <c r="E10" s="130"/>
      <c r="F10" s="131"/>
      <c r="G10" s="204"/>
      <c r="H10" s="132"/>
      <c r="I10" s="204"/>
      <c r="J10" s="210"/>
      <c r="K10" s="131"/>
      <c r="L10" s="206"/>
      <c r="M10" s="204"/>
      <c r="N10" s="204"/>
      <c r="O10" s="204"/>
      <c r="P10" s="204"/>
      <c r="Q10" s="204"/>
      <c r="R10" s="204"/>
      <c r="S10" s="204"/>
      <c r="T10" s="204"/>
      <c r="U10" s="214"/>
      <c r="V10" s="214"/>
    </row>
    <row r="11" spans="2:26">
      <c r="B11" s="136" t="s">
        <v>88</v>
      </c>
      <c r="C11" s="135"/>
      <c r="D11" s="130"/>
      <c r="E11" s="130"/>
      <c r="F11" s="131"/>
      <c r="G11" s="204"/>
      <c r="H11" s="132"/>
      <c r="I11" s="204"/>
      <c r="J11" s="210"/>
      <c r="K11" s="131"/>
      <c r="L11" s="206"/>
      <c r="M11" s="204"/>
      <c r="N11" s="204"/>
      <c r="O11" s="204"/>
      <c r="P11" s="204"/>
      <c r="Q11" s="204"/>
      <c r="R11" s="204"/>
      <c r="S11" s="204"/>
      <c r="T11" s="204"/>
      <c r="U11" s="214"/>
      <c r="V11" s="214"/>
      <c r="W11" s="23"/>
      <c r="X11" s="23"/>
      <c r="Y11" s="23"/>
      <c r="Z11" s="23"/>
    </row>
    <row r="12" spans="2:26">
      <c r="B12" s="136" t="s">
        <v>20</v>
      </c>
      <c r="C12" s="135"/>
      <c r="D12" s="130"/>
      <c r="E12" s="130"/>
      <c r="F12" s="131"/>
      <c r="G12" s="204"/>
      <c r="H12" s="132"/>
      <c r="I12" s="204"/>
      <c r="J12" s="210"/>
      <c r="K12" s="131"/>
      <c r="L12" s="206"/>
      <c r="M12" s="204"/>
      <c r="N12" s="204"/>
      <c r="O12" s="204"/>
      <c r="P12" s="204"/>
      <c r="Q12" s="204"/>
      <c r="R12" s="204"/>
      <c r="S12" s="204"/>
      <c r="T12" s="204"/>
      <c r="U12" s="204"/>
      <c r="V12" s="204"/>
      <c r="W12" s="23"/>
      <c r="X12" s="23"/>
      <c r="Y12" s="23"/>
      <c r="Z12" s="23"/>
    </row>
    <row r="13" spans="2:26">
      <c r="B13" s="136" t="s">
        <v>86</v>
      </c>
      <c r="C13" s="135"/>
      <c r="D13" s="130"/>
      <c r="E13" s="130"/>
      <c r="F13" s="131"/>
      <c r="G13" s="204"/>
      <c r="H13" s="132"/>
      <c r="I13" s="204"/>
      <c r="J13" s="210"/>
      <c r="K13" s="131"/>
      <c r="L13" s="206"/>
      <c r="M13" s="204"/>
      <c r="N13" s="204"/>
      <c r="O13" s="204"/>
      <c r="P13" s="204"/>
      <c r="Q13" s="204"/>
      <c r="R13" s="204"/>
      <c r="S13" s="204"/>
      <c r="T13" s="204"/>
      <c r="U13" s="204"/>
      <c r="V13" s="204"/>
      <c r="W13" s="23"/>
      <c r="X13" s="23"/>
      <c r="Y13" s="23"/>
      <c r="Z13" s="23"/>
    </row>
    <row r="14" spans="2:26">
      <c r="B14" s="136" t="s">
        <v>89</v>
      </c>
      <c r="C14" s="135"/>
      <c r="D14" s="130"/>
      <c r="E14" s="130"/>
      <c r="F14" s="131"/>
      <c r="G14" s="204"/>
      <c r="H14" s="132"/>
      <c r="I14" s="204"/>
      <c r="J14" s="210"/>
      <c r="K14" s="131"/>
      <c r="L14" s="206"/>
      <c r="M14" s="204"/>
      <c r="N14" s="204"/>
      <c r="O14" s="204"/>
      <c r="P14" s="204"/>
      <c r="Q14" s="204"/>
      <c r="R14" s="204"/>
      <c r="S14" s="204"/>
      <c r="T14" s="204"/>
      <c r="U14" s="204"/>
      <c r="V14" s="204"/>
      <c r="W14" s="23"/>
      <c r="X14" s="23"/>
      <c r="Y14" s="23"/>
      <c r="Z14" s="23"/>
    </row>
    <row r="15" spans="2:26">
      <c r="B15" s="136" t="s">
        <v>56</v>
      </c>
      <c r="C15" s="135"/>
      <c r="D15" s="130"/>
      <c r="E15" s="130"/>
      <c r="F15" s="131"/>
      <c r="G15" s="204"/>
      <c r="H15" s="132"/>
      <c r="I15" s="204"/>
      <c r="J15" s="210"/>
      <c r="K15" s="131"/>
      <c r="L15" s="206"/>
      <c r="M15" s="204"/>
      <c r="N15" s="204"/>
      <c r="O15" s="204"/>
      <c r="P15" s="204"/>
      <c r="Q15" s="204"/>
      <c r="R15" s="204"/>
      <c r="S15" s="204"/>
      <c r="T15" s="204"/>
      <c r="U15" s="204"/>
      <c r="V15" s="204"/>
    </row>
    <row r="16" spans="2:26">
      <c r="B16" s="140" t="s">
        <v>155</v>
      </c>
      <c r="C16" s="135"/>
      <c r="D16" s="130"/>
      <c r="E16" s="130"/>
      <c r="F16" s="131"/>
      <c r="G16" s="204"/>
      <c r="H16" s="132"/>
      <c r="I16" s="204"/>
      <c r="J16" s="210"/>
      <c r="K16" s="131"/>
      <c r="L16" s="206"/>
      <c r="M16" s="204"/>
      <c r="N16" s="204"/>
      <c r="O16" s="204"/>
      <c r="P16" s="204"/>
      <c r="Q16" s="204"/>
      <c r="R16" s="204"/>
      <c r="S16" s="204"/>
      <c r="T16" s="204"/>
      <c r="U16" s="204"/>
      <c r="V16" s="204"/>
    </row>
    <row r="17" spans="2:22">
      <c r="B17" s="60" t="s">
        <v>131</v>
      </c>
      <c r="C17" s="135"/>
      <c r="D17" s="130"/>
      <c r="E17" s="130"/>
      <c r="F17" s="131"/>
      <c r="G17" s="204"/>
      <c r="H17" s="132"/>
      <c r="I17" s="204"/>
      <c r="J17" s="210"/>
      <c r="K17" s="131"/>
      <c r="L17" s="206"/>
      <c r="M17" s="204"/>
      <c r="N17" s="204"/>
      <c r="O17" s="204"/>
      <c r="P17" s="204"/>
      <c r="Q17" s="204"/>
      <c r="R17" s="204"/>
      <c r="S17" s="204"/>
      <c r="T17" s="204"/>
      <c r="U17" s="204"/>
      <c r="V17" s="204"/>
    </row>
    <row r="18" spans="2:22">
      <c r="B18" s="60" t="s">
        <v>132</v>
      </c>
      <c r="C18" s="135"/>
      <c r="D18" s="130"/>
      <c r="E18" s="130"/>
      <c r="F18" s="131"/>
      <c r="G18" s="204"/>
      <c r="H18" s="132"/>
      <c r="I18" s="204"/>
      <c r="J18" s="210"/>
      <c r="K18" s="131"/>
      <c r="L18" s="206"/>
      <c r="M18" s="204"/>
      <c r="N18" s="204"/>
      <c r="O18" s="204"/>
      <c r="P18" s="204"/>
      <c r="Q18" s="204"/>
      <c r="R18" s="204"/>
      <c r="S18" s="204"/>
      <c r="T18" s="204"/>
      <c r="U18" s="204"/>
      <c r="V18" s="204"/>
    </row>
    <row r="19" spans="2:22">
      <c r="B19" s="60"/>
      <c r="C19" s="135"/>
      <c r="D19" s="130"/>
      <c r="E19" s="130"/>
      <c r="F19" s="131"/>
      <c r="G19" s="204"/>
      <c r="H19" s="132"/>
      <c r="I19" s="204"/>
      <c r="J19" s="210"/>
      <c r="K19" s="131"/>
      <c r="L19" s="206"/>
      <c r="M19" s="204"/>
      <c r="N19" s="204"/>
      <c r="O19" s="204"/>
      <c r="P19" s="204"/>
      <c r="Q19" s="204"/>
      <c r="R19" s="204"/>
      <c r="S19" s="204"/>
      <c r="T19" s="204"/>
      <c r="U19" s="204"/>
      <c r="V19" s="204"/>
    </row>
    <row r="20" spans="2:22">
      <c r="B20" s="55" t="s">
        <v>153</v>
      </c>
      <c r="C20" s="135"/>
      <c r="D20" s="130"/>
      <c r="E20" s="130"/>
      <c r="F20" s="131"/>
      <c r="G20" s="204"/>
      <c r="H20" s="132"/>
      <c r="I20" s="204"/>
      <c r="J20" s="210"/>
      <c r="K20" s="131"/>
      <c r="L20" s="206"/>
      <c r="M20" s="204"/>
      <c r="N20" s="204"/>
      <c r="O20" s="204"/>
      <c r="P20" s="204"/>
      <c r="Q20" s="204"/>
      <c r="R20" s="204"/>
      <c r="S20" s="204"/>
      <c r="T20" s="204"/>
      <c r="U20" s="204"/>
      <c r="V20" s="204"/>
    </row>
    <row r="21" spans="2:22">
      <c r="B21" s="56" t="s">
        <v>154</v>
      </c>
      <c r="C21" s="135"/>
      <c r="D21" s="130"/>
      <c r="E21" s="130"/>
      <c r="F21" s="131"/>
      <c r="G21" s="204"/>
      <c r="H21" s="132"/>
      <c r="I21" s="204"/>
      <c r="J21" s="210"/>
      <c r="K21" s="131"/>
      <c r="L21" s="206"/>
      <c r="M21" s="204"/>
      <c r="N21" s="204"/>
      <c r="O21" s="204"/>
      <c r="P21" s="204"/>
      <c r="Q21" s="204"/>
      <c r="R21" s="204"/>
      <c r="S21" s="204"/>
      <c r="T21" s="204"/>
      <c r="U21" s="204"/>
      <c r="V21" s="204"/>
    </row>
    <row r="22" spans="2:22">
      <c r="B22" s="60"/>
      <c r="C22" s="135"/>
      <c r="D22" s="130"/>
      <c r="E22" s="130"/>
      <c r="F22" s="131"/>
      <c r="G22" s="204"/>
      <c r="H22" s="132"/>
      <c r="I22" s="204"/>
      <c r="J22" s="210"/>
      <c r="K22" s="131"/>
      <c r="L22" s="206"/>
      <c r="M22" s="204"/>
      <c r="N22" s="204"/>
      <c r="O22" s="204"/>
      <c r="P22" s="204"/>
      <c r="Q22" s="204"/>
      <c r="R22" s="204"/>
      <c r="S22" s="204"/>
      <c r="T22" s="204"/>
      <c r="U22" s="204"/>
      <c r="V22" s="204"/>
    </row>
    <row r="23" spans="2:22">
      <c r="B23" s="55" t="s">
        <v>37</v>
      </c>
      <c r="C23" s="135"/>
      <c r="D23" s="130"/>
      <c r="E23" s="130"/>
      <c r="F23" s="131"/>
      <c r="G23" s="204"/>
      <c r="H23" s="132"/>
      <c r="I23" s="204"/>
      <c r="J23" s="210"/>
      <c r="K23" s="131"/>
      <c r="L23" s="206"/>
      <c r="M23" s="204"/>
      <c r="N23" s="204"/>
      <c r="O23" s="204"/>
      <c r="P23" s="204"/>
      <c r="Q23" s="204"/>
      <c r="R23" s="204"/>
      <c r="S23" s="204"/>
      <c r="T23" s="204"/>
      <c r="U23" s="204"/>
      <c r="V23" s="204"/>
    </row>
    <row r="24" spans="2:22">
      <c r="B24" s="56" t="s">
        <v>36</v>
      </c>
      <c r="C24" s="135"/>
      <c r="D24" s="130"/>
      <c r="E24" s="130"/>
      <c r="F24" s="131"/>
      <c r="G24" s="204"/>
      <c r="H24" s="132"/>
      <c r="I24" s="204"/>
      <c r="J24" s="210"/>
      <c r="K24" s="131"/>
      <c r="L24" s="206"/>
      <c r="M24" s="204"/>
      <c r="N24" s="204"/>
      <c r="O24" s="204"/>
      <c r="P24" s="204"/>
      <c r="Q24" s="204"/>
      <c r="R24" s="204"/>
      <c r="S24" s="204"/>
      <c r="T24" s="204"/>
      <c r="U24" s="204"/>
      <c r="V24" s="204"/>
    </row>
    <row r="25" spans="2:22">
      <c r="B25" s="130"/>
      <c r="C25" s="130"/>
      <c r="D25" s="130"/>
      <c r="E25" s="130"/>
      <c r="F25" s="131"/>
      <c r="G25" s="204"/>
      <c r="H25" s="132"/>
      <c r="I25" s="204"/>
      <c r="J25" s="210"/>
      <c r="K25" s="131"/>
      <c r="L25" s="206"/>
      <c r="M25" s="204"/>
      <c r="N25" s="204"/>
      <c r="O25" s="204"/>
      <c r="P25" s="204"/>
      <c r="Q25" s="204"/>
      <c r="R25" s="204"/>
      <c r="S25" s="204"/>
      <c r="T25" s="204"/>
      <c r="U25" s="204"/>
      <c r="V25" s="204"/>
    </row>
    <row r="26" spans="2:22" s="9" customFormat="1" ht="45">
      <c r="B26" s="166" t="s">
        <v>27</v>
      </c>
      <c r="C26" s="166" t="s">
        <v>28</v>
      </c>
      <c r="D26" s="166" t="s">
        <v>29</v>
      </c>
      <c r="E26" s="166" t="s">
        <v>63</v>
      </c>
      <c r="F26" s="167" t="s">
        <v>64</v>
      </c>
      <c r="G26" s="178" t="s">
        <v>75</v>
      </c>
      <c r="H26" s="178" t="s">
        <v>74</v>
      </c>
      <c r="I26" s="178" t="s">
        <v>65</v>
      </c>
      <c r="J26" s="212" t="s">
        <v>66</v>
      </c>
      <c r="K26" s="167" t="s">
        <v>67</v>
      </c>
      <c r="L26" s="208" t="s">
        <v>125</v>
      </c>
      <c r="M26" s="178" t="s">
        <v>126</v>
      </c>
      <c r="N26" s="178" t="s">
        <v>99</v>
      </c>
      <c r="O26" s="178" t="s">
        <v>98</v>
      </c>
      <c r="P26" s="178" t="s">
        <v>68</v>
      </c>
      <c r="Q26" s="178" t="s">
        <v>69</v>
      </c>
      <c r="R26" s="178" t="s">
        <v>70</v>
      </c>
      <c r="S26" s="178" t="s">
        <v>71</v>
      </c>
      <c r="T26" s="178" t="s">
        <v>72</v>
      </c>
      <c r="U26" s="178" t="s">
        <v>73</v>
      </c>
      <c r="V26" s="178" t="s">
        <v>70</v>
      </c>
    </row>
    <row r="27" spans="2:22">
      <c r="B27" s="130"/>
      <c r="C27" s="130"/>
      <c r="D27" s="130"/>
      <c r="E27" s="130"/>
      <c r="F27" s="220"/>
      <c r="G27" s="221"/>
      <c r="H27" s="222"/>
      <c r="I27" s="221"/>
      <c r="J27" s="223"/>
      <c r="K27" s="220"/>
      <c r="L27" s="224"/>
      <c r="M27" s="221"/>
      <c r="N27" s="221"/>
      <c r="O27" s="221"/>
      <c r="P27" s="221"/>
      <c r="Q27" s="221"/>
      <c r="R27" s="221"/>
      <c r="S27" s="221"/>
      <c r="T27" s="221"/>
      <c r="U27" s="221"/>
      <c r="V27" s="221"/>
    </row>
    <row r="28" spans="2:22">
      <c r="B28" s="138"/>
      <c r="C28" s="138"/>
      <c r="D28" s="138"/>
      <c r="E28" s="138"/>
      <c r="F28" s="73"/>
      <c r="G28" s="225"/>
      <c r="H28" s="226"/>
      <c r="I28" s="225"/>
      <c r="J28" s="227"/>
      <c r="K28" s="73"/>
      <c r="L28" s="228"/>
      <c r="M28" s="225"/>
      <c r="N28" s="225"/>
      <c r="O28" s="225"/>
      <c r="P28" s="225"/>
      <c r="Q28" s="225"/>
      <c r="R28" s="225"/>
      <c r="S28" s="225"/>
      <c r="T28" s="225"/>
      <c r="U28" s="225"/>
      <c r="V28" s="225"/>
    </row>
    <row r="29" spans="2:22">
      <c r="B29" s="138"/>
      <c r="C29" s="138"/>
      <c r="D29" s="138"/>
      <c r="E29" s="138"/>
      <c r="F29" s="73"/>
      <c r="G29" s="225"/>
      <c r="H29" s="226"/>
      <c r="I29" s="225"/>
      <c r="J29" s="227"/>
      <c r="K29" s="73"/>
      <c r="L29" s="228"/>
      <c r="M29" s="225"/>
      <c r="N29" s="225"/>
      <c r="O29" s="225"/>
      <c r="P29" s="225"/>
      <c r="Q29" s="225"/>
      <c r="R29" s="225"/>
      <c r="S29" s="225"/>
      <c r="T29" s="225"/>
      <c r="U29" s="225"/>
      <c r="V29" s="225"/>
    </row>
    <row r="30" spans="2:22">
      <c r="B30" s="138"/>
      <c r="C30" s="138"/>
      <c r="D30" s="138"/>
      <c r="E30" s="138"/>
      <c r="F30" s="73"/>
      <c r="G30" s="225"/>
      <c r="H30" s="226"/>
      <c r="I30" s="225"/>
      <c r="J30" s="227"/>
      <c r="K30" s="73"/>
      <c r="L30" s="228"/>
      <c r="M30" s="225"/>
      <c r="N30" s="225"/>
      <c r="O30" s="225"/>
      <c r="P30" s="225"/>
      <c r="Q30" s="225"/>
      <c r="R30" s="225"/>
      <c r="S30" s="225"/>
      <c r="T30" s="225"/>
      <c r="U30" s="225"/>
      <c r="V30" s="225"/>
    </row>
    <row r="31" spans="2:22">
      <c r="B31" s="138"/>
      <c r="C31" s="138"/>
      <c r="D31" s="138"/>
      <c r="E31" s="138"/>
      <c r="F31" s="73"/>
      <c r="G31" s="225"/>
      <c r="H31" s="226"/>
      <c r="I31" s="225"/>
      <c r="J31" s="227"/>
      <c r="K31" s="73"/>
      <c r="L31" s="228"/>
      <c r="M31" s="225"/>
      <c r="N31" s="225"/>
      <c r="O31" s="225"/>
      <c r="P31" s="225"/>
      <c r="Q31" s="225"/>
      <c r="R31" s="225"/>
      <c r="S31" s="225"/>
      <c r="T31" s="225"/>
      <c r="U31" s="225"/>
      <c r="V31" s="225"/>
    </row>
    <row r="32" spans="2:22">
      <c r="B32" s="138"/>
      <c r="C32" s="138"/>
      <c r="D32" s="138"/>
      <c r="E32" s="138"/>
      <c r="F32" s="73"/>
      <c r="G32" s="225"/>
      <c r="H32" s="226"/>
      <c r="I32" s="225"/>
      <c r="J32" s="227"/>
      <c r="K32" s="73"/>
      <c r="L32" s="228"/>
      <c r="M32" s="225"/>
      <c r="N32" s="225"/>
      <c r="O32" s="225"/>
      <c r="P32" s="225"/>
      <c r="Q32" s="225"/>
      <c r="R32" s="225"/>
      <c r="S32" s="225"/>
      <c r="T32" s="225"/>
      <c r="U32" s="225"/>
      <c r="V32" s="225"/>
    </row>
    <row r="33" spans="2:22">
      <c r="B33" s="138"/>
      <c r="C33" s="138"/>
      <c r="D33" s="138"/>
      <c r="E33" s="138"/>
      <c r="F33" s="73"/>
      <c r="G33" s="225"/>
      <c r="H33" s="226"/>
      <c r="I33" s="225"/>
      <c r="J33" s="227"/>
      <c r="K33" s="73"/>
      <c r="L33" s="228"/>
      <c r="M33" s="225"/>
      <c r="N33" s="225"/>
      <c r="O33" s="225"/>
      <c r="P33" s="225"/>
      <c r="Q33" s="225"/>
      <c r="R33" s="225"/>
      <c r="S33" s="225"/>
      <c r="T33" s="225"/>
      <c r="U33" s="225"/>
      <c r="V33" s="225"/>
    </row>
    <row r="34" spans="2:22">
      <c r="B34" s="138"/>
      <c r="C34" s="138"/>
      <c r="D34" s="138"/>
      <c r="E34" s="138"/>
      <c r="F34" s="73"/>
      <c r="G34" s="225"/>
      <c r="H34" s="226"/>
      <c r="I34" s="225"/>
      <c r="J34" s="227"/>
      <c r="K34" s="73"/>
      <c r="L34" s="228"/>
      <c r="M34" s="225"/>
      <c r="N34" s="225"/>
      <c r="O34" s="225"/>
      <c r="P34" s="225"/>
      <c r="Q34" s="225"/>
      <c r="R34" s="225"/>
      <c r="S34" s="225"/>
      <c r="T34" s="225"/>
      <c r="U34" s="225"/>
      <c r="V34" s="225"/>
    </row>
    <row r="35" spans="2:22">
      <c r="B35" s="138"/>
      <c r="C35" s="138"/>
      <c r="D35" s="138"/>
      <c r="E35" s="138"/>
      <c r="F35" s="73"/>
      <c r="G35" s="225"/>
      <c r="H35" s="226"/>
      <c r="I35" s="225"/>
      <c r="J35" s="227"/>
      <c r="K35" s="73"/>
      <c r="L35" s="228"/>
      <c r="M35" s="225"/>
      <c r="N35" s="225"/>
      <c r="O35" s="225"/>
      <c r="P35" s="225"/>
      <c r="Q35" s="225"/>
      <c r="R35" s="225"/>
      <c r="S35" s="225"/>
      <c r="T35" s="225"/>
      <c r="U35" s="225"/>
      <c r="V35" s="225"/>
    </row>
    <row r="36" spans="2:22">
      <c r="B36" s="138"/>
      <c r="C36" s="138"/>
      <c r="D36" s="138"/>
      <c r="E36" s="138"/>
      <c r="F36" s="73"/>
      <c r="G36" s="225"/>
      <c r="H36" s="226"/>
      <c r="I36" s="225"/>
      <c r="J36" s="227"/>
      <c r="K36" s="73"/>
      <c r="L36" s="228"/>
      <c r="M36" s="225"/>
      <c r="N36" s="225"/>
      <c r="O36" s="225"/>
      <c r="P36" s="225"/>
      <c r="Q36" s="225"/>
      <c r="R36" s="225"/>
      <c r="S36" s="225"/>
      <c r="T36" s="225"/>
      <c r="U36" s="225"/>
      <c r="V36" s="225"/>
    </row>
    <row r="37" spans="2:22">
      <c r="B37" s="138"/>
      <c r="C37" s="138"/>
      <c r="D37" s="138"/>
      <c r="E37" s="138"/>
      <c r="F37" s="73"/>
      <c r="G37" s="225"/>
      <c r="H37" s="226"/>
      <c r="I37" s="225"/>
      <c r="J37" s="227"/>
      <c r="K37" s="73"/>
      <c r="L37" s="228"/>
      <c r="M37" s="225"/>
      <c r="N37" s="225"/>
      <c r="O37" s="225"/>
      <c r="P37" s="225"/>
      <c r="Q37" s="225"/>
      <c r="R37" s="225"/>
      <c r="S37" s="225"/>
      <c r="T37" s="225"/>
      <c r="U37" s="225"/>
      <c r="V37" s="225"/>
    </row>
    <row r="38" spans="2:22">
      <c r="B38" s="138"/>
      <c r="C38" s="138"/>
      <c r="D38" s="138"/>
      <c r="E38" s="138"/>
      <c r="F38" s="73"/>
      <c r="G38" s="225"/>
      <c r="H38" s="226"/>
      <c r="I38" s="225"/>
      <c r="J38" s="227"/>
      <c r="K38" s="73"/>
      <c r="L38" s="228"/>
      <c r="M38" s="225"/>
      <c r="N38" s="225"/>
      <c r="O38" s="225"/>
      <c r="P38" s="225"/>
      <c r="Q38" s="225"/>
      <c r="R38" s="225"/>
      <c r="S38" s="225"/>
      <c r="T38" s="225"/>
      <c r="U38" s="225"/>
      <c r="V38" s="225"/>
    </row>
    <row r="39" spans="2:22">
      <c r="B39" s="138"/>
      <c r="C39" s="138"/>
      <c r="D39" s="138"/>
      <c r="E39" s="138"/>
      <c r="F39" s="73"/>
      <c r="G39" s="225"/>
      <c r="H39" s="226"/>
      <c r="I39" s="225"/>
      <c r="J39" s="227"/>
      <c r="K39" s="73"/>
      <c r="L39" s="228"/>
      <c r="M39" s="225"/>
      <c r="N39" s="225"/>
      <c r="O39" s="225"/>
      <c r="P39" s="225"/>
      <c r="Q39" s="225"/>
      <c r="R39" s="225"/>
      <c r="S39" s="225"/>
      <c r="T39" s="225"/>
      <c r="U39" s="225"/>
      <c r="V39" s="225"/>
    </row>
    <row r="40" spans="2:22">
      <c r="B40" s="138"/>
      <c r="C40" s="138"/>
      <c r="D40" s="138"/>
      <c r="E40" s="138"/>
      <c r="F40" s="73"/>
      <c r="G40" s="225"/>
      <c r="H40" s="226"/>
      <c r="I40" s="225"/>
      <c r="J40" s="227"/>
      <c r="K40" s="73"/>
      <c r="L40" s="228"/>
      <c r="M40" s="225"/>
      <c r="N40" s="225"/>
      <c r="O40" s="225"/>
      <c r="P40" s="225"/>
      <c r="Q40" s="225"/>
      <c r="R40" s="225"/>
      <c r="S40" s="225"/>
      <c r="T40" s="225"/>
      <c r="U40" s="225"/>
      <c r="V40" s="225"/>
    </row>
    <row r="41" spans="2:22">
      <c r="B41" s="138"/>
      <c r="C41" s="138"/>
      <c r="D41" s="138"/>
      <c r="E41" s="138"/>
      <c r="F41" s="73"/>
      <c r="G41" s="225"/>
      <c r="H41" s="226"/>
      <c r="I41" s="225"/>
      <c r="J41" s="227"/>
      <c r="K41" s="73"/>
      <c r="L41" s="228"/>
      <c r="M41" s="225"/>
      <c r="N41" s="225"/>
      <c r="O41" s="225"/>
      <c r="P41" s="225"/>
      <c r="Q41" s="225"/>
      <c r="R41" s="225"/>
      <c r="S41" s="225"/>
      <c r="T41" s="225"/>
      <c r="U41" s="225"/>
      <c r="V41" s="225"/>
    </row>
    <row r="42" spans="2:22">
      <c r="B42" s="138"/>
      <c r="C42" s="138"/>
      <c r="D42" s="138"/>
      <c r="E42" s="138"/>
      <c r="F42" s="73"/>
      <c r="G42" s="225"/>
      <c r="H42" s="226"/>
      <c r="I42" s="225"/>
      <c r="J42" s="227"/>
      <c r="K42" s="73"/>
      <c r="L42" s="228"/>
      <c r="M42" s="225"/>
      <c r="N42" s="225"/>
      <c r="O42" s="225"/>
      <c r="P42" s="225"/>
      <c r="Q42" s="225"/>
      <c r="R42" s="225"/>
      <c r="S42" s="225"/>
      <c r="T42" s="225"/>
      <c r="U42" s="225"/>
      <c r="V42" s="225"/>
    </row>
    <row r="43" spans="2:22">
      <c r="B43" s="138"/>
      <c r="C43" s="138"/>
      <c r="D43" s="138"/>
      <c r="E43" s="138"/>
      <c r="F43" s="73"/>
      <c r="G43" s="225"/>
      <c r="H43" s="226"/>
      <c r="I43" s="225"/>
      <c r="J43" s="227"/>
      <c r="K43" s="73"/>
      <c r="L43" s="228"/>
      <c r="M43" s="225"/>
      <c r="N43" s="225"/>
      <c r="O43" s="225"/>
      <c r="P43" s="225"/>
      <c r="Q43" s="225"/>
      <c r="R43" s="225"/>
      <c r="S43" s="225"/>
      <c r="T43" s="225"/>
      <c r="U43" s="225"/>
      <c r="V43" s="225"/>
    </row>
    <row r="44" spans="2:22">
      <c r="B44" s="138"/>
      <c r="C44" s="138"/>
      <c r="D44" s="138"/>
      <c r="E44" s="138"/>
      <c r="F44" s="73"/>
      <c r="G44" s="225"/>
      <c r="H44" s="226"/>
      <c r="I44" s="225"/>
      <c r="J44" s="227"/>
      <c r="K44" s="73"/>
      <c r="L44" s="228"/>
      <c r="M44" s="225"/>
      <c r="N44" s="225"/>
      <c r="O44" s="225"/>
      <c r="P44" s="225"/>
      <c r="Q44" s="225"/>
      <c r="R44" s="225"/>
      <c r="S44" s="225"/>
      <c r="T44" s="225"/>
      <c r="U44" s="225"/>
      <c r="V44" s="225"/>
    </row>
    <row r="45" spans="2:22">
      <c r="B45" s="138"/>
      <c r="C45" s="138"/>
      <c r="D45" s="138"/>
      <c r="E45" s="138"/>
      <c r="F45" s="73"/>
      <c r="G45" s="225"/>
      <c r="H45" s="226"/>
      <c r="I45" s="225"/>
      <c r="J45" s="227"/>
      <c r="K45" s="73"/>
      <c r="L45" s="228"/>
      <c r="M45" s="225"/>
      <c r="N45" s="225"/>
      <c r="O45" s="225"/>
      <c r="P45" s="225"/>
      <c r="Q45" s="225"/>
      <c r="R45" s="225"/>
      <c r="S45" s="225"/>
      <c r="T45" s="225"/>
      <c r="U45" s="225"/>
      <c r="V45" s="225"/>
    </row>
    <row r="46" spans="2:22">
      <c r="B46" s="138"/>
      <c r="C46" s="138"/>
      <c r="D46" s="138"/>
      <c r="E46" s="138"/>
      <c r="F46" s="73"/>
      <c r="G46" s="226">
        <f>SUM(G26:G45)</f>
        <v>0</v>
      </c>
      <c r="H46" s="226">
        <f>SUM(H26:H45)</f>
        <v>0</v>
      </c>
      <c r="I46" s="226">
        <f>SUM(I26:I45)</f>
        <v>0</v>
      </c>
      <c r="J46" s="227"/>
      <c r="K46" s="73"/>
      <c r="L46" s="228"/>
      <c r="M46" s="226">
        <f t="shared" ref="M46:V46" si="0">SUM(M26:M45)</f>
        <v>0</v>
      </c>
      <c r="N46" s="226">
        <f t="shared" si="0"/>
        <v>0</v>
      </c>
      <c r="O46" s="226">
        <f t="shared" si="0"/>
        <v>0</v>
      </c>
      <c r="P46" s="226">
        <f t="shared" si="0"/>
        <v>0</v>
      </c>
      <c r="Q46" s="226">
        <f t="shared" si="0"/>
        <v>0</v>
      </c>
      <c r="R46" s="226">
        <f t="shared" si="0"/>
        <v>0</v>
      </c>
      <c r="S46" s="226">
        <f t="shared" si="0"/>
        <v>0</v>
      </c>
      <c r="T46" s="226">
        <f t="shared" si="0"/>
        <v>0</v>
      </c>
      <c r="U46" s="226">
        <f t="shared" si="0"/>
        <v>0</v>
      </c>
      <c r="V46" s="226">
        <f t="shared" si="0"/>
        <v>0</v>
      </c>
    </row>
    <row r="47" spans="2:22">
      <c r="F47" s="229"/>
      <c r="G47" s="230"/>
      <c r="H47" s="231"/>
      <c r="I47" s="230"/>
      <c r="J47" s="232"/>
      <c r="K47" s="229"/>
      <c r="L47" s="233"/>
      <c r="M47" s="230"/>
      <c r="N47" s="230"/>
      <c r="O47" s="230"/>
      <c r="P47" s="230"/>
      <c r="Q47" s="230"/>
      <c r="R47" s="230"/>
      <c r="S47" s="230"/>
      <c r="T47" s="230"/>
      <c r="U47" s="230"/>
      <c r="V47" s="230"/>
    </row>
    <row r="48" spans="2:22">
      <c r="B48" s="234"/>
      <c r="C48" s="25"/>
      <c r="F48" s="229"/>
      <c r="G48" s="230"/>
      <c r="H48" s="231"/>
      <c r="I48" s="230"/>
      <c r="J48" s="232"/>
      <c r="K48" s="229"/>
      <c r="L48" s="233"/>
      <c r="M48" s="230"/>
      <c r="N48" s="230"/>
      <c r="O48" s="230"/>
      <c r="P48" s="230"/>
      <c r="Q48" s="230"/>
      <c r="R48" s="230"/>
      <c r="S48" s="230"/>
      <c r="T48" s="230"/>
      <c r="U48" s="230"/>
      <c r="V48" s="230"/>
    </row>
    <row r="49"/>
    <row r="50"/>
    <row r="51"/>
    <row r="52"/>
    <row r="53"/>
    <row r="58"/>
    <row r="59"/>
    <row r="60"/>
    <row r="61"/>
    <row r="62"/>
    <row r="63"/>
    <row r="64"/>
    <row r="65"/>
    <row r="66"/>
    <row r="67"/>
    <row r="68"/>
    <row r="69"/>
  </sheetData>
  <printOptions horizontalCentered="1"/>
  <pageMargins left="0.25" right="0.25" top="0.75" bottom="0.75" header="0.3" footer="0.3"/>
  <pageSetup scale="7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>
    <pageSetUpPr fitToPage="1"/>
  </sheetPr>
  <dimension ref="A1:T66"/>
  <sheetViews>
    <sheetView showGridLines="0" topLeftCell="A39" zoomScaleSheetLayoutView="100" workbookViewId="0">
      <selection activeCell="G49" sqref="G49"/>
    </sheetView>
  </sheetViews>
  <sheetFormatPr defaultColWidth="0" defaultRowHeight="16.5" zeroHeight="1"/>
  <cols>
    <col min="1" max="1" width="1" style="18" customWidth="1"/>
    <col min="2" max="2" width="11.85546875" style="18" customWidth="1"/>
    <col min="3" max="3" width="50.5703125" style="18" customWidth="1"/>
    <col min="4" max="5" width="12.85546875" style="18" customWidth="1"/>
    <col min="6" max="6" width="13.5703125" style="18" customWidth="1"/>
    <col min="7" max="7" width="12.85546875" style="18" customWidth="1"/>
    <col min="8" max="8" width="0.7109375" style="18" customWidth="1"/>
    <col min="9" max="9" width="15.7109375" style="18" customWidth="1"/>
    <col min="10" max="10" width="1.28515625" style="18" customWidth="1"/>
    <col min="11" max="11" width="9.140625" style="249" bestFit="1" customWidth="1"/>
    <col min="12" max="12" width="0.85546875" style="18" customWidth="1"/>
    <col min="13" max="20" width="0" style="18" hidden="1" customWidth="1"/>
    <col min="21" max="16384" width="9.140625" style="18" hidden="1"/>
  </cols>
  <sheetData>
    <row r="1" spans="1:11" s="15" customFormat="1" ht="15.75">
      <c r="B1" s="49" t="str">
        <f>Index!$B$1</f>
        <v>ABC &amp; Co.</v>
      </c>
      <c r="C1" s="79"/>
      <c r="D1" s="130"/>
      <c r="E1" s="141"/>
      <c r="F1" s="141"/>
      <c r="G1" s="141"/>
      <c r="H1" s="141"/>
      <c r="I1" s="142" t="str">
        <f>Index!F25</f>
        <v>B.S.02 - 7</v>
      </c>
      <c r="J1" s="142"/>
      <c r="K1" s="241"/>
    </row>
    <row r="2" spans="1:11" s="15" customFormat="1" ht="15.75">
      <c r="B2" s="49" t="str">
        <f>Index!$B$2</f>
        <v>(Chartered Accountants)</v>
      </c>
      <c r="C2" s="79"/>
      <c r="D2" s="141"/>
      <c r="E2" s="141"/>
      <c r="F2" s="143"/>
      <c r="G2" s="141"/>
      <c r="H2" s="141"/>
      <c r="I2" s="141"/>
      <c r="J2" s="141"/>
      <c r="K2" s="143"/>
    </row>
    <row r="3" spans="1:11" s="16" customFormat="1">
      <c r="B3" s="79"/>
      <c r="C3" s="79"/>
      <c r="D3" s="141"/>
      <c r="E3" s="141"/>
      <c r="F3" s="143"/>
      <c r="G3" s="141"/>
      <c r="H3" s="144"/>
      <c r="I3" s="141"/>
      <c r="J3" s="141"/>
      <c r="K3" s="143"/>
    </row>
    <row r="4" spans="1:11" s="17" customFormat="1">
      <c r="B4" s="50" t="str">
        <f>Index!B4</f>
        <v xml:space="preserve">Client: </v>
      </c>
      <c r="C4" s="51" t="str">
        <f>Index!$D$4</f>
        <v>ABC Limited</v>
      </c>
      <c r="D4" s="145"/>
      <c r="E4" s="146"/>
      <c r="F4" s="145"/>
      <c r="G4" s="45" t="str">
        <f>Index!$H$4</f>
        <v>Prepared by:</v>
      </c>
      <c r="I4" s="53" t="str">
        <f>IF(Index!$J$4="","",Index!$J$4)</f>
        <v/>
      </c>
      <c r="J4" s="46"/>
      <c r="K4" s="46"/>
    </row>
    <row r="5" spans="1:11" s="17" customFormat="1">
      <c r="B5" s="50" t="str">
        <f>Index!B5</f>
        <v>Period:</v>
      </c>
      <c r="C5" s="51" t="str">
        <f>Index!$D$5</f>
        <v>Year ended June 30, 2023</v>
      </c>
      <c r="D5" s="145"/>
      <c r="E5" s="147"/>
      <c r="F5" s="145"/>
      <c r="G5" s="45" t="str">
        <f>Index!$H$5</f>
        <v>Date prepared:</v>
      </c>
      <c r="I5" s="54" t="str">
        <f>IF(Index!$J$5="","",Index!$J$5)</f>
        <v/>
      </c>
      <c r="J5" s="157"/>
      <c r="K5" s="157"/>
    </row>
    <row r="6" spans="1:11" s="17" customFormat="1">
      <c r="B6" s="50" t="str">
        <f>Index!B6</f>
        <v>Head:</v>
      </c>
      <c r="C6" s="52" t="str">
        <f>Index!$D$6</f>
        <v>Intangible Assets</v>
      </c>
      <c r="D6" s="148"/>
      <c r="E6" s="148"/>
      <c r="F6" s="145"/>
      <c r="G6" s="45" t="str">
        <f>Index!$H$6</f>
        <v>Reviewed by:</v>
      </c>
      <c r="I6" s="53" t="str">
        <f>IF(Index!$J$6="","",Index!$J$6)</f>
        <v/>
      </c>
      <c r="J6" s="46"/>
      <c r="K6" s="46"/>
    </row>
    <row r="7" spans="1:11" s="17" customFormat="1">
      <c r="B7" s="149" t="s">
        <v>42</v>
      </c>
      <c r="C7" s="150" t="str">
        <f>Lead!B38</f>
        <v>Financial Software</v>
      </c>
      <c r="D7" s="145"/>
      <c r="E7" s="147"/>
      <c r="F7" s="145"/>
      <c r="G7" s="45" t="str">
        <f>Index!$H$7</f>
        <v>Date reviewed:</v>
      </c>
      <c r="I7" s="54" t="str">
        <f>IF(Index!$J$7="","",Index!$J$7)</f>
        <v/>
      </c>
      <c r="J7" s="157"/>
      <c r="K7" s="157"/>
    </row>
    <row r="8" spans="1:11" s="17" customFormat="1">
      <c r="B8" s="130"/>
      <c r="C8" s="130"/>
      <c r="D8" s="145"/>
      <c r="E8" s="147"/>
      <c r="F8" s="145"/>
      <c r="G8" s="145"/>
      <c r="H8" s="151"/>
      <c r="I8" s="145"/>
      <c r="J8" s="145"/>
      <c r="K8" s="242"/>
    </row>
    <row r="9" spans="1:11" s="16" customFormat="1" ht="14.25" customHeight="1">
      <c r="B9" s="135" t="s">
        <v>111</v>
      </c>
      <c r="C9" s="135"/>
      <c r="D9" s="135"/>
      <c r="E9" s="135"/>
      <c r="F9" s="135"/>
      <c r="G9" s="135"/>
      <c r="H9" s="135"/>
      <c r="I9" s="135"/>
      <c r="J9" s="135"/>
      <c r="K9" s="241"/>
    </row>
    <row r="10" spans="1:11" s="16" customFormat="1" ht="14.25" customHeight="1">
      <c r="B10" s="135"/>
      <c r="C10" s="135"/>
      <c r="D10" s="135"/>
      <c r="E10" s="135"/>
      <c r="F10" s="135"/>
      <c r="G10" s="135"/>
      <c r="H10" s="135"/>
      <c r="I10" s="135"/>
      <c r="J10" s="135"/>
      <c r="K10" s="241"/>
    </row>
    <row r="11" spans="1:11" s="19" customFormat="1">
      <c r="B11" s="134" t="s">
        <v>17</v>
      </c>
      <c r="C11" s="134"/>
      <c r="D11" s="130"/>
      <c r="E11" s="130"/>
      <c r="F11" s="130"/>
      <c r="G11" s="130"/>
      <c r="H11" s="130"/>
      <c r="I11" s="130"/>
      <c r="J11" s="130"/>
      <c r="K11" s="243"/>
    </row>
    <row r="12" spans="1:11" s="19" customFormat="1">
      <c r="B12" s="152" t="s">
        <v>84</v>
      </c>
      <c r="C12" s="134"/>
      <c r="D12" s="130"/>
      <c r="E12" s="130"/>
      <c r="F12" s="130"/>
      <c r="G12" s="130"/>
      <c r="H12" s="130"/>
      <c r="I12" s="130"/>
      <c r="J12" s="130"/>
      <c r="K12" s="243"/>
    </row>
    <row r="13" spans="1:11" s="15" customFormat="1" ht="15.75">
      <c r="B13" s="58" t="s">
        <v>116</v>
      </c>
      <c r="C13" s="141"/>
      <c r="D13" s="141"/>
      <c r="E13" s="141"/>
      <c r="F13" s="141"/>
      <c r="G13" s="141"/>
      <c r="H13" s="141"/>
      <c r="I13" s="141"/>
      <c r="J13" s="130"/>
      <c r="K13" s="143"/>
    </row>
    <row r="14" spans="1:11" s="13" customFormat="1">
      <c r="B14" s="58" t="s">
        <v>124</v>
      </c>
      <c r="C14" s="63"/>
      <c r="D14" s="63"/>
      <c r="E14" s="63"/>
      <c r="F14" s="63"/>
      <c r="G14" s="63"/>
      <c r="H14" s="63"/>
      <c r="I14" s="63"/>
      <c r="J14" s="130"/>
      <c r="K14" s="94"/>
    </row>
    <row r="15" spans="1:11" s="13" customFormat="1">
      <c r="B15" s="58" t="s">
        <v>83</v>
      </c>
      <c r="C15" s="63"/>
      <c r="D15" s="63"/>
      <c r="E15" s="63"/>
      <c r="F15" s="63"/>
      <c r="G15" s="63"/>
      <c r="H15" s="63"/>
      <c r="I15" s="63"/>
      <c r="J15" s="130"/>
      <c r="K15" s="94"/>
    </row>
    <row r="16" spans="1:11" s="16" customFormat="1" ht="9.9499999999999993" customHeight="1">
      <c r="A16" s="13"/>
      <c r="B16" s="141"/>
      <c r="C16" s="141"/>
      <c r="D16" s="141"/>
      <c r="E16" s="141"/>
      <c r="F16" s="141"/>
      <c r="G16" s="141"/>
      <c r="H16" s="141"/>
      <c r="I16" s="141"/>
      <c r="J16" s="130"/>
      <c r="K16" s="143"/>
    </row>
    <row r="17" spans="2:11" s="16" customFormat="1">
      <c r="B17" s="153" t="s">
        <v>16</v>
      </c>
      <c r="C17" s="141"/>
      <c r="D17" s="141"/>
      <c r="E17" s="141"/>
      <c r="F17" s="141"/>
      <c r="G17" s="141"/>
      <c r="H17" s="141"/>
      <c r="I17" s="141"/>
      <c r="J17" s="130"/>
      <c r="K17" s="143"/>
    </row>
    <row r="18" spans="2:11" s="16" customFormat="1">
      <c r="B18" s="154" t="s">
        <v>117</v>
      </c>
      <c r="C18" s="141"/>
      <c r="D18" s="141"/>
      <c r="E18" s="141"/>
      <c r="F18" s="141"/>
      <c r="G18" s="141"/>
      <c r="H18" s="141"/>
      <c r="I18" s="141"/>
      <c r="J18" s="130"/>
      <c r="K18" s="143"/>
    </row>
    <row r="19" spans="2:11">
      <c r="B19" s="154" t="s">
        <v>118</v>
      </c>
      <c r="C19" s="130"/>
      <c r="D19" s="130"/>
      <c r="E19" s="130"/>
      <c r="F19" s="130"/>
      <c r="G19" s="130"/>
      <c r="H19" s="130"/>
      <c r="I19" s="130"/>
      <c r="J19" s="130"/>
      <c r="K19" s="243"/>
    </row>
    <row r="20" spans="2:11" s="13" customFormat="1">
      <c r="B20" s="154" t="s">
        <v>85</v>
      </c>
      <c r="C20" s="63"/>
      <c r="D20" s="63"/>
      <c r="E20" s="63"/>
      <c r="F20" s="63"/>
      <c r="G20" s="63"/>
      <c r="H20" s="63"/>
      <c r="I20" s="63"/>
      <c r="J20" s="130"/>
      <c r="K20" s="94"/>
    </row>
    <row r="21" spans="2:11" s="13" customFormat="1">
      <c r="B21" s="154" t="s">
        <v>119</v>
      </c>
      <c r="C21" s="63"/>
      <c r="D21" s="63"/>
      <c r="E21" s="63"/>
      <c r="F21" s="63"/>
      <c r="G21" s="63"/>
      <c r="H21" s="63"/>
      <c r="I21" s="63"/>
      <c r="J21" s="130"/>
      <c r="K21" s="94"/>
    </row>
    <row r="22" spans="2:11" s="13" customFormat="1">
      <c r="B22" s="154" t="s">
        <v>167</v>
      </c>
      <c r="C22" s="63"/>
      <c r="D22" s="63"/>
      <c r="E22" s="63"/>
      <c r="F22" s="63"/>
      <c r="G22" s="63"/>
      <c r="H22" s="63"/>
      <c r="I22" s="63"/>
      <c r="J22" s="130"/>
      <c r="K22" s="94"/>
    </row>
    <row r="23" spans="2:11" s="13" customFormat="1">
      <c r="B23" s="154" t="s">
        <v>166</v>
      </c>
      <c r="C23" s="63"/>
      <c r="D23" s="63"/>
      <c r="E23" s="63"/>
      <c r="F23" s="63"/>
      <c r="G23" s="63"/>
      <c r="H23" s="63"/>
      <c r="I23" s="63"/>
      <c r="J23" s="130"/>
      <c r="K23" s="94"/>
    </row>
    <row r="24" spans="2:11" s="13" customFormat="1">
      <c r="B24" s="154"/>
      <c r="C24" s="63"/>
      <c r="D24" s="63"/>
      <c r="E24" s="63"/>
      <c r="F24" s="63"/>
      <c r="G24" s="63"/>
      <c r="H24" s="63"/>
      <c r="I24" s="63"/>
      <c r="J24" s="130"/>
      <c r="K24" s="94"/>
    </row>
    <row r="25" spans="2:11" s="13" customFormat="1">
      <c r="B25" s="55" t="s">
        <v>153</v>
      </c>
      <c r="C25" s="63"/>
      <c r="D25" s="63"/>
      <c r="E25" s="63"/>
      <c r="F25" s="63"/>
      <c r="G25" s="63"/>
      <c r="H25" s="63"/>
      <c r="I25" s="63"/>
      <c r="J25" s="130"/>
      <c r="K25" s="94"/>
    </row>
    <row r="26" spans="2:11" s="13" customFormat="1">
      <c r="B26" s="56" t="s">
        <v>154</v>
      </c>
      <c r="C26" s="63"/>
      <c r="D26" s="63"/>
      <c r="E26" s="63"/>
      <c r="F26" s="63"/>
      <c r="G26" s="63"/>
      <c r="H26" s="63"/>
      <c r="I26" s="63"/>
      <c r="J26" s="130"/>
      <c r="K26" s="94"/>
    </row>
    <row r="27" spans="2:11" s="13" customFormat="1">
      <c r="B27" s="154"/>
      <c r="C27" s="63"/>
      <c r="D27" s="63"/>
      <c r="E27" s="63"/>
      <c r="F27" s="63"/>
      <c r="G27" s="63"/>
      <c r="H27" s="63"/>
      <c r="I27" s="63"/>
      <c r="J27" s="130"/>
      <c r="K27" s="94"/>
    </row>
    <row r="28" spans="2:11" s="13" customFormat="1">
      <c r="B28" s="55" t="s">
        <v>37</v>
      </c>
      <c r="C28" s="63"/>
      <c r="D28" s="63"/>
      <c r="E28" s="63"/>
      <c r="F28" s="63"/>
      <c r="G28" s="63"/>
      <c r="H28" s="63"/>
      <c r="I28" s="63"/>
      <c r="J28" s="130"/>
      <c r="K28" s="94"/>
    </row>
    <row r="29" spans="2:11" s="13" customFormat="1">
      <c r="B29" s="56" t="s">
        <v>36</v>
      </c>
      <c r="C29" s="63"/>
      <c r="D29" s="63"/>
      <c r="E29" s="63"/>
      <c r="F29" s="63"/>
      <c r="G29" s="63"/>
      <c r="H29" s="63"/>
      <c r="I29" s="63"/>
      <c r="J29" s="130"/>
      <c r="K29" s="94"/>
    </row>
    <row r="30" spans="2:11" s="13" customFormat="1">
      <c r="B30" s="154"/>
      <c r="C30" s="63"/>
      <c r="D30" s="63"/>
      <c r="E30" s="63"/>
      <c r="F30" s="63"/>
      <c r="G30" s="63"/>
      <c r="H30" s="63"/>
      <c r="I30" s="63"/>
      <c r="J30" s="130"/>
      <c r="K30" s="94"/>
    </row>
    <row r="31" spans="2:11" s="21" customFormat="1" ht="35.25" customHeight="1">
      <c r="B31" s="156"/>
      <c r="C31" s="156"/>
      <c r="D31" s="177" t="str">
        <f>SubLead!H23</f>
        <v>Patents</v>
      </c>
      <c r="E31" s="177" t="str">
        <f>SubLead!I23</f>
        <v>Copyrights</v>
      </c>
      <c r="F31" s="177" t="str">
        <f>SubLead!J23</f>
        <v>Trademarks</v>
      </c>
      <c r="G31" s="177" t="str">
        <f>SubLead!K23</f>
        <v>Financial Software</v>
      </c>
      <c r="H31" s="115"/>
      <c r="I31" s="177" t="s">
        <v>106</v>
      </c>
      <c r="J31" s="130"/>
      <c r="K31" s="181"/>
    </row>
    <row r="32" spans="2:11" s="19" customFormat="1">
      <c r="B32" s="134"/>
      <c r="C32" s="134"/>
      <c r="D32" s="130"/>
      <c r="E32" s="130"/>
      <c r="F32" s="130"/>
      <c r="G32" s="130"/>
      <c r="H32" s="130"/>
      <c r="I32" s="130"/>
      <c r="J32" s="130"/>
      <c r="K32" s="243"/>
    </row>
    <row r="33" spans="2:11" s="19" customFormat="1">
      <c r="B33" s="134" t="s">
        <v>82</v>
      </c>
      <c r="C33" s="134"/>
      <c r="D33" s="235"/>
      <c r="E33" s="235"/>
      <c r="F33" s="235"/>
      <c r="G33" s="235"/>
      <c r="H33" s="132"/>
      <c r="I33" s="235"/>
      <c r="J33" s="130"/>
      <c r="K33" s="122" t="str">
        <f>SubLead!E26</f>
        <v>B.S.02 - 7</v>
      </c>
    </row>
    <row r="34" spans="2:11" s="19" customFormat="1">
      <c r="B34" s="134" t="s">
        <v>120</v>
      </c>
      <c r="C34" s="134"/>
      <c r="D34" s="235"/>
      <c r="E34" s="235"/>
      <c r="F34" s="235"/>
      <c r="G34" s="235"/>
      <c r="H34" s="132"/>
      <c r="I34" s="235"/>
      <c r="J34" s="130"/>
      <c r="K34" s="122" t="str">
        <f>K33</f>
        <v>B.S.02 - 7</v>
      </c>
    </row>
    <row r="35" spans="2:11" s="19" customFormat="1">
      <c r="B35" s="134" t="s">
        <v>65</v>
      </c>
      <c r="C35" s="134"/>
      <c r="D35" s="236">
        <f>SUM(D33:D34)</f>
        <v>0</v>
      </c>
      <c r="E35" s="236">
        <f>SUM(E33:E34)</f>
        <v>0</v>
      </c>
      <c r="F35" s="236">
        <f>SUM(F33:F34)</f>
        <v>0</v>
      </c>
      <c r="G35" s="236">
        <f>SUM(G33:G34)</f>
        <v>0</v>
      </c>
      <c r="H35" s="132"/>
      <c r="I35" s="236">
        <f>SUM(I33:I34)</f>
        <v>0</v>
      </c>
      <c r="J35" s="130"/>
      <c r="K35" s="122" t="str">
        <f>K34</f>
        <v>B.S.02 - 7</v>
      </c>
    </row>
    <row r="36" spans="2:11" s="19" customFormat="1">
      <c r="B36" s="134"/>
      <c r="C36" s="134"/>
      <c r="D36" s="240"/>
      <c r="E36" s="240"/>
      <c r="F36" s="240"/>
      <c r="G36" s="240"/>
      <c r="H36" s="162"/>
      <c r="I36" s="240"/>
      <c r="J36" s="130"/>
      <c r="K36" s="244"/>
    </row>
    <row r="37" spans="2:11" s="19" customFormat="1">
      <c r="B37" s="134" t="s">
        <v>121</v>
      </c>
      <c r="C37" s="134"/>
      <c r="D37" s="239"/>
      <c r="E37" s="239"/>
      <c r="F37" s="239"/>
      <c r="G37" s="239"/>
      <c r="H37" s="238"/>
      <c r="I37" s="239"/>
      <c r="J37" s="130"/>
      <c r="K37" s="246"/>
    </row>
    <row r="38" spans="2:11" s="19" customFormat="1">
      <c r="B38" s="134"/>
      <c r="C38" s="134"/>
      <c r="D38" s="236"/>
      <c r="E38" s="236"/>
      <c r="F38" s="236"/>
      <c r="G38" s="236"/>
      <c r="H38" s="132"/>
      <c r="I38" s="236"/>
      <c r="J38" s="130"/>
      <c r="K38" s="245"/>
    </row>
    <row r="39" spans="2:11" s="19" customFormat="1">
      <c r="B39" s="130" t="s">
        <v>113</v>
      </c>
      <c r="C39" s="134"/>
      <c r="D39" s="235"/>
      <c r="E39" s="235"/>
      <c r="F39" s="235"/>
      <c r="G39" s="235"/>
      <c r="H39" s="132"/>
      <c r="I39" s="235"/>
      <c r="J39" s="130"/>
      <c r="K39" s="244"/>
    </row>
    <row r="40" spans="2:11" s="19" customFormat="1">
      <c r="B40" s="130" t="s">
        <v>114</v>
      </c>
      <c r="C40" s="134"/>
      <c r="D40" s="235"/>
      <c r="E40" s="235"/>
      <c r="F40" s="235"/>
      <c r="G40" s="235"/>
      <c r="H40" s="132"/>
      <c r="I40" s="235"/>
      <c r="J40" s="130"/>
      <c r="K40" s="244"/>
    </row>
    <row r="41" spans="2:11" s="19" customFormat="1">
      <c r="B41" s="130" t="s">
        <v>122</v>
      </c>
      <c r="C41" s="134"/>
      <c r="D41" s="235"/>
      <c r="E41" s="235"/>
      <c r="F41" s="235"/>
      <c r="G41" s="235"/>
      <c r="H41" s="132"/>
      <c r="I41" s="235"/>
      <c r="J41" s="130"/>
      <c r="K41" s="244"/>
    </row>
    <row r="42" spans="2:11" s="19" customFormat="1">
      <c r="B42" s="130" t="s">
        <v>123</v>
      </c>
      <c r="C42" s="134"/>
      <c r="D42" s="236"/>
      <c r="E42" s="236"/>
      <c r="F42" s="236"/>
      <c r="G42" s="236"/>
      <c r="H42" s="132"/>
      <c r="I42" s="236"/>
      <c r="J42" s="130"/>
      <c r="K42" s="245"/>
    </row>
    <row r="43" spans="2:11" s="19" customFormat="1">
      <c r="B43" s="130" t="s">
        <v>115</v>
      </c>
      <c r="C43" s="134"/>
      <c r="D43" s="236"/>
      <c r="E43" s="236"/>
      <c r="F43" s="236"/>
      <c r="G43" s="236"/>
      <c r="H43" s="132"/>
      <c r="I43" s="236"/>
      <c r="J43" s="130"/>
      <c r="K43" s="122" t="str">
        <f>SubLead!E32</f>
        <v>B.S.02 - 7</v>
      </c>
    </row>
    <row r="44" spans="2:11" s="19" customFormat="1" ht="17.25" thickBot="1">
      <c r="B44" s="130" t="s">
        <v>70</v>
      </c>
      <c r="C44" s="134"/>
      <c r="D44" s="237">
        <f>D42-D43</f>
        <v>0</v>
      </c>
      <c r="E44" s="237">
        <f t="shared" ref="E44:G44" si="0">E42-E43</f>
        <v>0</v>
      </c>
      <c r="F44" s="237">
        <f t="shared" si="0"/>
        <v>0</v>
      </c>
      <c r="G44" s="237">
        <f t="shared" si="0"/>
        <v>0</v>
      </c>
      <c r="H44" s="132"/>
      <c r="I44" s="237">
        <f>I42-I43</f>
        <v>0</v>
      </c>
      <c r="J44" s="130"/>
      <c r="K44" s="244"/>
    </row>
    <row r="45" spans="2:11" s="19" customFormat="1" thickTop="1">
      <c r="B45" s="20"/>
      <c r="C45" s="20"/>
      <c r="J45" s="130"/>
      <c r="K45" s="247"/>
    </row>
    <row r="46" spans="2:11" s="13" customFormat="1">
      <c r="B46" s="22"/>
      <c r="J46" s="130"/>
      <c r="K46" s="248"/>
    </row>
    <row r="47" spans="2:11" hidden="1">
      <c r="J47" s="130"/>
    </row>
    <row r="48" spans="2:11" hidden="1">
      <c r="J48" s="130"/>
    </row>
    <row r="49" spans="2:11">
      <c r="J49" s="130"/>
    </row>
    <row r="50" spans="2:11" s="19" customFormat="1">
      <c r="B50" s="134" t="s">
        <v>163</v>
      </c>
      <c r="C50" s="134"/>
      <c r="D50" s="235"/>
      <c r="E50" s="235"/>
      <c r="F50" s="235"/>
      <c r="G50" s="235"/>
      <c r="H50" s="132"/>
      <c r="I50" s="235"/>
      <c r="J50" s="130"/>
      <c r="K50" s="122" t="str">
        <f>SubLead!E29</f>
        <v>B.S.02 - 7</v>
      </c>
    </row>
    <row r="51" spans="2:11" s="19" customFormat="1">
      <c r="B51" s="134" t="s">
        <v>164</v>
      </c>
      <c r="C51" s="134"/>
      <c r="D51" s="235"/>
      <c r="E51" s="235"/>
      <c r="F51" s="235"/>
      <c r="G51" s="235"/>
      <c r="H51" s="132"/>
      <c r="I51" s="235"/>
      <c r="J51" s="130"/>
      <c r="K51" s="122" t="str">
        <f>K50</f>
        <v>B.S.02 - 7</v>
      </c>
    </row>
    <row r="52" spans="2:11" s="19" customFormat="1" ht="17.25" thickBot="1">
      <c r="B52" s="134" t="s">
        <v>165</v>
      </c>
      <c r="C52" s="134"/>
      <c r="D52" s="237">
        <f>D50-D51</f>
        <v>0</v>
      </c>
      <c r="E52" s="237">
        <f t="shared" ref="E52" si="1">E50-E51</f>
        <v>0</v>
      </c>
      <c r="F52" s="237">
        <f t="shared" ref="F52" si="2">F50-F51</f>
        <v>0</v>
      </c>
      <c r="G52" s="237">
        <f t="shared" ref="G52" si="3">G50-G51</f>
        <v>0</v>
      </c>
      <c r="H52" s="132"/>
      <c r="I52" s="237">
        <f>I50-I51</f>
        <v>0</v>
      </c>
      <c r="J52" s="130"/>
      <c r="K52" s="122" t="str">
        <f>K51</f>
        <v>B.S.02 - 7</v>
      </c>
    </row>
    <row r="53" spans="2:11" ht="17.25" thickTop="1">
      <c r="J53" s="130"/>
    </row>
    <row r="54" spans="2:11">
      <c r="J54" s="130"/>
    </row>
    <row r="55" spans="2:11">
      <c r="J55" s="130"/>
    </row>
    <row r="56" spans="2:11">
      <c r="J56" s="130"/>
    </row>
    <row r="57" spans="2:11">
      <c r="J57" s="130"/>
    </row>
    <row r="58" spans="2:11">
      <c r="J58" s="130"/>
    </row>
    <row r="59" spans="2:11">
      <c r="J59" s="130"/>
    </row>
    <row r="60" spans="2:11">
      <c r="J60" s="130"/>
    </row>
    <row r="61" spans="2:11">
      <c r="J61" s="130"/>
    </row>
    <row r="62" spans="2:11">
      <c r="J62" s="130"/>
    </row>
    <row r="63" spans="2:11">
      <c r="J63" s="130"/>
    </row>
    <row r="64" spans="2:11">
      <c r="J64" s="130"/>
    </row>
    <row r="65" spans="10:10">
      <c r="J65" s="130"/>
    </row>
    <row r="66" spans="10:10">
      <c r="J66" s="130"/>
    </row>
  </sheetData>
  <printOptions horizontalCentered="1"/>
  <pageMargins left="0.25" right="0.25" top="0.75" bottom="0.75" header="0.3" footer="0.3"/>
  <pageSetup scale="89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42"/>
  <sheetViews>
    <sheetView showGridLines="0" zoomScaleSheetLayoutView="100" workbookViewId="0">
      <selection sqref="A1:A1048576"/>
    </sheetView>
  </sheetViews>
  <sheetFormatPr defaultColWidth="0" defaultRowHeight="13.5" zeroHeight="1"/>
  <cols>
    <col min="1" max="1" width="1" style="83" customWidth="1"/>
    <col min="2" max="2" width="10" style="83" customWidth="1"/>
    <col min="3" max="3" width="61.42578125" style="83" customWidth="1"/>
    <col min="4" max="4" width="14.140625" style="83" bestFit="1" customWidth="1"/>
    <col min="5" max="5" width="16" style="83" bestFit="1" customWidth="1"/>
    <col min="6" max="6" width="1" style="83" customWidth="1"/>
    <col min="7" max="7" width="9.140625" style="83" hidden="1" customWidth="1"/>
    <col min="8" max="9" width="0" style="83" hidden="1" customWidth="1"/>
    <col min="10" max="16384" width="9.140625" style="83" hidden="1"/>
  </cols>
  <sheetData>
    <row r="1" spans="2:10" s="82" customFormat="1" ht="15">
      <c r="B1" s="49" t="str">
        <f>Index!$B$1</f>
        <v>ABC &amp; Co.</v>
      </c>
      <c r="C1" s="79"/>
      <c r="D1" s="130"/>
      <c r="E1" s="91" t="str">
        <f>Index!F27</f>
        <v>B.S.02 - 8</v>
      </c>
    </row>
    <row r="2" spans="2:10" s="82" customFormat="1" ht="15">
      <c r="B2" s="49" t="str">
        <f>Index!$B$2</f>
        <v>(Chartered Accountants)</v>
      </c>
      <c r="C2" s="79"/>
      <c r="D2" s="90"/>
    </row>
    <row r="3" spans="2:10" s="82" customFormat="1" ht="15">
      <c r="B3" s="79"/>
      <c r="C3" s="79"/>
      <c r="D3" s="45" t="str">
        <f>Index!$H$4</f>
        <v>Prepared by:</v>
      </c>
      <c r="E3" s="53" t="str">
        <f>IF(Index!$J$4="","",Index!$J$4)</f>
        <v/>
      </c>
      <c r="F3" s="83"/>
    </row>
    <row r="4" spans="2:10" s="82" customFormat="1" ht="15">
      <c r="B4" s="50" t="str">
        <f>Index!B4</f>
        <v xml:space="preserve">Client: </v>
      </c>
      <c r="C4" s="51" t="str">
        <f>Index!$D$4</f>
        <v>ABC Limited</v>
      </c>
      <c r="D4" s="45" t="str">
        <f>Index!$H$5</f>
        <v>Date prepared:</v>
      </c>
      <c r="E4" s="54" t="str">
        <f>IF(Index!$J$5="","",Index!$J$5)</f>
        <v/>
      </c>
    </row>
    <row r="5" spans="2:10" s="82" customFormat="1" ht="15">
      <c r="B5" s="50" t="str">
        <f>Index!B5</f>
        <v>Period:</v>
      </c>
      <c r="C5" s="51" t="str">
        <f>Index!$D$5</f>
        <v>Year ended June 30, 2023</v>
      </c>
      <c r="D5" s="45" t="str">
        <f>Index!$H$6</f>
        <v>Reviewed by:</v>
      </c>
      <c r="E5" s="53" t="str">
        <f>IF(Index!$J$6="","",Index!$J$6)</f>
        <v/>
      </c>
    </row>
    <row r="6" spans="2:10" s="82" customFormat="1" ht="15">
      <c r="B6" s="50" t="str">
        <f>Index!B6</f>
        <v>Head:</v>
      </c>
      <c r="C6" s="52" t="str">
        <f>Index!$D$6</f>
        <v>Intangible Assets</v>
      </c>
      <c r="D6" s="45" t="str">
        <f>Index!$H$7</f>
        <v>Date reviewed:</v>
      </c>
      <c r="E6" s="54" t="str">
        <f>IF(Index!$J$7="","",Index!$J$7)</f>
        <v/>
      </c>
    </row>
    <row r="7" spans="2:10">
      <c r="B7" s="82"/>
      <c r="C7" s="82"/>
      <c r="D7" s="82"/>
      <c r="E7" s="82"/>
      <c r="F7" s="82"/>
    </row>
    <row r="8" spans="2:10" s="82" customFormat="1" ht="15">
      <c r="B8" s="163" t="s">
        <v>133</v>
      </c>
      <c r="C8" s="163"/>
      <c r="D8" s="163"/>
      <c r="E8" s="163"/>
      <c r="F8" s="163"/>
    </row>
    <row r="9" spans="2:10"/>
    <row r="10" spans="2:10" s="99" customFormat="1" ht="14.25" customHeight="1">
      <c r="B10" s="257" t="s">
        <v>5</v>
      </c>
      <c r="C10" s="257" t="s">
        <v>137</v>
      </c>
      <c r="D10" s="253" t="s">
        <v>134</v>
      </c>
      <c r="E10" s="253"/>
      <c r="F10" s="252"/>
    </row>
    <row r="11" spans="2:10" ht="15">
      <c r="B11" s="257"/>
      <c r="C11" s="257"/>
      <c r="D11" s="166" t="s">
        <v>135</v>
      </c>
      <c r="E11" s="167" t="s">
        <v>136</v>
      </c>
      <c r="F11" s="169"/>
    </row>
    <row r="12" spans="2:10" s="155" customFormat="1">
      <c r="B12" s="175"/>
      <c r="C12" s="83"/>
      <c r="D12" s="83"/>
      <c r="E12" s="83"/>
      <c r="F12" s="83"/>
      <c r="G12" s="83"/>
      <c r="H12" s="83"/>
      <c r="I12" s="83"/>
      <c r="J12" s="83"/>
    </row>
    <row r="13" spans="2:10" s="155" customFormat="1">
      <c r="B13" s="70"/>
      <c r="C13" s="71"/>
      <c r="D13" s="71"/>
      <c r="E13" s="71"/>
      <c r="F13" s="83"/>
      <c r="G13" s="83"/>
      <c r="H13" s="83"/>
      <c r="I13" s="83"/>
      <c r="J13" s="83"/>
    </row>
    <row r="14" spans="2:10" s="155" customFormat="1">
      <c r="B14" s="70"/>
      <c r="C14" s="71"/>
      <c r="D14" s="71"/>
      <c r="E14" s="71"/>
      <c r="F14" s="83"/>
      <c r="G14" s="83"/>
      <c r="H14" s="83"/>
      <c r="I14" s="83"/>
      <c r="J14" s="83"/>
    </row>
    <row r="15" spans="2:10" s="155" customFormat="1">
      <c r="B15" s="70"/>
      <c r="C15" s="71"/>
      <c r="D15" s="71"/>
      <c r="E15" s="71"/>
      <c r="F15" s="83"/>
      <c r="G15" s="83"/>
      <c r="H15" s="83"/>
      <c r="I15" s="83"/>
      <c r="J15" s="83"/>
    </row>
    <row r="16" spans="2:10" s="155" customFormat="1">
      <c r="B16" s="70"/>
      <c r="C16" s="71"/>
      <c r="D16" s="71"/>
      <c r="E16" s="71"/>
      <c r="F16" s="83"/>
      <c r="G16" s="83"/>
      <c r="H16" s="83"/>
      <c r="I16" s="83"/>
      <c r="J16" s="83"/>
    </row>
    <row r="17" spans="2:10" s="155" customFormat="1">
      <c r="B17" s="70"/>
      <c r="C17" s="71"/>
      <c r="D17" s="71"/>
      <c r="E17" s="71"/>
      <c r="F17" s="83"/>
      <c r="G17" s="83"/>
      <c r="H17" s="83"/>
      <c r="I17" s="83"/>
      <c r="J17" s="83"/>
    </row>
    <row r="18" spans="2:10" s="155" customFormat="1">
      <c r="B18" s="70"/>
      <c r="C18" s="71"/>
      <c r="D18" s="71"/>
      <c r="E18" s="71"/>
      <c r="F18" s="83"/>
      <c r="G18" s="83"/>
      <c r="H18" s="83"/>
      <c r="I18" s="83"/>
      <c r="J18" s="83"/>
    </row>
    <row r="19" spans="2:10" s="155" customFormat="1">
      <c r="B19" s="70"/>
      <c r="C19" s="71"/>
      <c r="D19" s="71"/>
      <c r="E19" s="71"/>
      <c r="F19" s="83"/>
      <c r="G19" s="83"/>
      <c r="H19" s="83"/>
      <c r="I19" s="83"/>
      <c r="J19" s="83"/>
    </row>
    <row r="20" spans="2:10" s="155" customFormat="1">
      <c r="B20" s="70"/>
      <c r="C20" s="71"/>
      <c r="D20" s="71"/>
      <c r="E20" s="71"/>
      <c r="F20" s="83"/>
      <c r="G20" s="83"/>
      <c r="H20" s="83"/>
      <c r="I20" s="83"/>
      <c r="J20" s="83"/>
    </row>
    <row r="21" spans="2:10" s="155" customFormat="1">
      <c r="B21" s="70"/>
      <c r="C21" s="71"/>
      <c r="D21" s="71"/>
      <c r="E21" s="71"/>
      <c r="F21" s="83"/>
      <c r="G21" s="83"/>
      <c r="H21" s="83"/>
      <c r="I21" s="83"/>
      <c r="J21" s="83"/>
    </row>
    <row r="22" spans="2:10" s="155" customFormat="1">
      <c r="B22" s="70"/>
      <c r="C22" s="71"/>
      <c r="D22" s="71"/>
      <c r="E22" s="71"/>
      <c r="F22" s="83"/>
      <c r="G22" s="83"/>
      <c r="H22" s="83"/>
      <c r="I22" s="83"/>
      <c r="J22" s="83"/>
    </row>
    <row r="23" spans="2:10" s="155" customFormat="1">
      <c r="B23" s="70"/>
      <c r="C23" s="71"/>
      <c r="D23" s="71"/>
      <c r="E23" s="71"/>
      <c r="F23" s="83"/>
      <c r="G23" s="83"/>
      <c r="H23" s="83"/>
      <c r="I23" s="83"/>
      <c r="J23" s="83"/>
    </row>
    <row r="24" spans="2:10" s="155" customFormat="1">
      <c r="B24" s="70"/>
      <c r="C24" s="71"/>
      <c r="D24" s="71"/>
      <c r="E24" s="71"/>
      <c r="F24" s="83"/>
      <c r="G24" s="83"/>
      <c r="H24" s="83"/>
      <c r="I24" s="83"/>
      <c r="J24" s="83"/>
    </row>
    <row r="25" spans="2:10" s="155" customFormat="1">
      <c r="B25" s="70"/>
      <c r="C25" s="71"/>
      <c r="D25" s="71"/>
      <c r="E25" s="71"/>
      <c r="F25" s="83"/>
      <c r="G25" s="83"/>
      <c r="H25" s="83"/>
      <c r="I25" s="83"/>
      <c r="J25" s="83"/>
    </row>
    <row r="26" spans="2:10" s="155" customFormat="1">
      <c r="B26" s="70"/>
      <c r="C26" s="71"/>
      <c r="D26" s="71"/>
      <c r="E26" s="71"/>
      <c r="F26" s="83"/>
      <c r="G26" s="83"/>
      <c r="H26" s="83"/>
      <c r="I26" s="83"/>
      <c r="J26" s="83"/>
    </row>
    <row r="27" spans="2:10" s="155" customFormat="1">
      <c r="B27" s="70"/>
      <c r="C27" s="71"/>
      <c r="D27" s="71"/>
      <c r="E27" s="71"/>
      <c r="F27" s="83"/>
      <c r="G27" s="83"/>
      <c r="H27" s="83"/>
      <c r="I27" s="83"/>
      <c r="J27" s="83"/>
    </row>
    <row r="28" spans="2:10" s="155" customFormat="1">
      <c r="B28" s="70"/>
      <c r="C28" s="71"/>
      <c r="D28" s="71"/>
      <c r="E28" s="71"/>
      <c r="F28" s="83"/>
      <c r="G28" s="83"/>
      <c r="H28" s="83"/>
      <c r="I28" s="83"/>
      <c r="J28" s="83"/>
    </row>
    <row r="29" spans="2:10" s="155" customFormat="1">
      <c r="B29" s="70"/>
      <c r="C29" s="71"/>
      <c r="D29" s="71"/>
      <c r="E29" s="71"/>
      <c r="F29" s="83"/>
      <c r="G29" s="83"/>
      <c r="H29" s="83"/>
      <c r="I29" s="83"/>
      <c r="J29" s="83"/>
    </row>
    <row r="30" spans="2:10" s="155" customFormat="1">
      <c r="B30" s="70"/>
      <c r="C30" s="71"/>
      <c r="D30" s="71"/>
      <c r="E30" s="71"/>
      <c r="F30" s="83"/>
      <c r="G30" s="83"/>
      <c r="H30" s="83"/>
      <c r="I30" s="83"/>
      <c r="J30" s="83"/>
    </row>
    <row r="31" spans="2:10" s="155" customFormat="1">
      <c r="B31" s="70"/>
      <c r="C31" s="71"/>
      <c r="D31" s="71"/>
      <c r="E31" s="71"/>
      <c r="F31" s="83"/>
      <c r="G31" s="83"/>
      <c r="H31" s="83"/>
      <c r="I31" s="83"/>
      <c r="J31" s="83"/>
    </row>
    <row r="32" spans="2:10" s="155" customFormat="1">
      <c r="B32" s="70"/>
      <c r="C32" s="71"/>
      <c r="D32" s="71"/>
      <c r="E32" s="71"/>
      <c r="F32" s="83"/>
      <c r="G32" s="83"/>
      <c r="H32" s="83"/>
      <c r="I32" s="83"/>
      <c r="J32" s="83"/>
    </row>
    <row r="33" spans="2:10" s="155" customFormat="1">
      <c r="B33" s="70"/>
      <c r="C33" s="71"/>
      <c r="D33" s="71"/>
      <c r="E33" s="71"/>
      <c r="F33" s="83"/>
      <c r="G33" s="83"/>
      <c r="H33" s="83"/>
      <c r="I33" s="83"/>
      <c r="J33" s="83"/>
    </row>
    <row r="34" spans="2:10" s="155" customFormat="1">
      <c r="B34" s="70"/>
      <c r="C34" s="72"/>
      <c r="D34" s="73"/>
      <c r="E34" s="73"/>
      <c r="F34" s="83"/>
      <c r="G34" s="83"/>
      <c r="H34" s="83"/>
      <c r="I34" s="83"/>
      <c r="J34" s="83"/>
    </row>
    <row r="35" spans="2:10" s="155" customFormat="1">
      <c r="B35" s="70"/>
      <c r="C35" s="72"/>
      <c r="D35" s="74"/>
      <c r="E35" s="74"/>
    </row>
    <row r="36" spans="2:10" s="155" customFormat="1">
      <c r="B36" s="70"/>
      <c r="C36" s="72"/>
      <c r="D36" s="72"/>
      <c r="E36" s="72"/>
    </row>
    <row r="37" spans="2:10" s="78" customFormat="1" ht="14.25" customHeight="1">
      <c r="B37" s="75"/>
      <c r="C37" s="76"/>
      <c r="D37" s="76"/>
      <c r="E37" s="76"/>
      <c r="F37" s="76"/>
      <c r="G37" s="76"/>
      <c r="H37" s="76"/>
      <c r="I37" s="76"/>
      <c r="J37" s="76"/>
    </row>
    <row r="38" spans="2:10" s="63" customFormat="1" hidden="1"/>
    <row r="39" spans="2:10" s="63" customFormat="1" ht="15" hidden="1">
      <c r="D39" s="92"/>
      <c r="E39" s="92"/>
      <c r="F39" s="92"/>
      <c r="G39" s="92"/>
      <c r="H39" s="92"/>
      <c r="I39" s="92"/>
    </row>
    <row r="40" spans="2:10" s="63" customFormat="1" hidden="1"/>
    <row r="41" spans="2:10"/>
    <row r="42" spans="2:10"/>
  </sheetData>
  <mergeCells count="3">
    <mergeCell ref="B10:B11"/>
    <mergeCell ref="C10:C11"/>
    <mergeCell ref="D10:E10"/>
  </mergeCells>
  <printOptions horizontalCentered="1"/>
  <pageMargins left="0.25" right="0.25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Index</vt:lpstr>
      <vt:lpstr>AOC</vt:lpstr>
      <vt:lpstr>Lead</vt:lpstr>
      <vt:lpstr>SubLead</vt:lpstr>
      <vt:lpstr>Additions-Vouching</vt:lpstr>
      <vt:lpstr>Disposals-Vouching</vt:lpstr>
      <vt:lpstr>Ammortization-AP</vt:lpstr>
      <vt:lpstr>Adjusting Entries</vt:lpstr>
      <vt:lpstr>'Additions-Vouching'!Print_Area</vt:lpstr>
      <vt:lpstr>'Adjusting Entries'!Print_Area</vt:lpstr>
      <vt:lpstr>'Ammortization-AP'!Print_Area</vt:lpstr>
      <vt:lpstr>AOC!Print_Area</vt:lpstr>
      <vt:lpstr>'Disposals-Vouching'!Print_Area</vt:lpstr>
      <vt:lpstr>Index!Print_Area</vt:lpstr>
      <vt:lpstr>Lead!Print_Area</vt:lpstr>
      <vt:lpstr>SubLead!Print_Area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Audit Manager</dc:creator>
  <cp:lastModifiedBy>Zahid</cp:lastModifiedBy>
  <cp:lastPrinted>2017-05-30T06:03:23Z</cp:lastPrinted>
  <dcterms:created xsi:type="dcterms:W3CDTF">2013-09-04T12:17:25Z</dcterms:created>
  <dcterms:modified xsi:type="dcterms:W3CDTF">2023-06-26T10:41:40Z</dcterms:modified>
</cp:coreProperties>
</file>