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10" documentId="11_5F97072CA456ADB2D10F66193388AD51B853718E" xr6:coauthVersionLast="47" xr6:coauthVersionMax="47" xr10:uidLastSave="{7B8F1C45-70B9-4AD3-8DE5-66175AA794DE}"/>
  <bookViews>
    <workbookView xWindow="-120" yWindow="-120" windowWidth="20730" windowHeight="11760" tabRatio="857" xr2:uid="{00000000-000D-0000-FFFF-FFFF00000000}"/>
  </bookViews>
  <sheets>
    <sheet name="Index" sheetId="6" r:id="rId1"/>
    <sheet name="AOC" sheetId="7" r:id="rId2"/>
    <sheet name="Lead" sheetId="3" r:id="rId3"/>
    <sheet name="SubLead-Loans" sheetId="20" r:id="rId4"/>
    <sheet name="SubLead-Advances" sheetId="25" r:id="rId5"/>
    <sheet name="Vouching-Additions" sheetId="23" r:id="rId6"/>
    <sheet name="Impairnment" sheetId="22" r:id="rId7"/>
    <sheet name="Adjusting Entries" sheetId="24" r:id="rId8"/>
  </sheets>
  <definedNames>
    <definedName name="_Fill" localSheetId="7" hidden="1">#REF!</definedName>
    <definedName name="_Fill" localSheetId="4" hidden="1">#REF!</definedName>
    <definedName name="_Fill" localSheetId="5" hidden="1">#REF!</definedName>
    <definedName name="_Fill" hidden="1">#REF!</definedName>
    <definedName name="_Key1" localSheetId="7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7" hidden="1">#REF!</definedName>
    <definedName name="_Key2" localSheetId="4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localSheetId="7" hidden="1">#REF!</definedName>
    <definedName name="_Sort" localSheetId="4" hidden="1">#REF!</definedName>
    <definedName name="_Sort" localSheetId="5" hidden="1">#REF!</definedName>
    <definedName name="_Sort" hidden="1">#REF!</definedName>
    <definedName name="_xlnm.Print_Area" localSheetId="7">'Adjusting Entries'!$A$1:$F$25</definedName>
    <definedName name="_xlnm.Print_Area" localSheetId="1">AOC!$A$1:$F$29</definedName>
    <definedName name="_xlnm.Print_Area" localSheetId="6">Impairnment!$A$1:$J$35</definedName>
    <definedName name="_xlnm.Print_Area" localSheetId="0">Index!$A$1:$G$38</definedName>
    <definedName name="_xlnm.Print_Area" localSheetId="2">Lead!$A$1:$J$48</definedName>
    <definedName name="_xlnm.Print_Area" localSheetId="4">'SubLead-Advances'!$A$1:$J$59</definedName>
    <definedName name="_xlnm.Print_Area" localSheetId="3">'SubLead-Loans'!$A$1:$J$57</definedName>
    <definedName name="_xlnm.Print_Area" localSheetId="5">'Vouching-Additions'!$A$1:$J$37</definedName>
  </definedNames>
  <calcPr calcId="181029"/>
</workbook>
</file>

<file path=xl/calcChain.xml><?xml version="1.0" encoding="utf-8"?>
<calcChain xmlns="http://schemas.openxmlformats.org/spreadsheetml/2006/main">
  <c r="H40" i="3" l="1"/>
  <c r="H43" i="3"/>
  <c r="H42" i="3"/>
  <c r="H41" i="3"/>
  <c r="H37" i="3"/>
  <c r="H36" i="3"/>
  <c r="H35" i="3"/>
  <c r="E7" i="24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I7" i="25"/>
  <c r="H7" i="25"/>
  <c r="I6" i="25"/>
  <c r="H6" i="25"/>
  <c r="I5" i="25"/>
  <c r="H5" i="25"/>
  <c r="I4" i="25"/>
  <c r="H4" i="25"/>
  <c r="I7" i="20"/>
  <c r="H7" i="20"/>
  <c r="I6" i="20"/>
  <c r="H6" i="20"/>
  <c r="I5" i="20"/>
  <c r="H5" i="20"/>
  <c r="I4" i="20"/>
  <c r="H4" i="20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5"/>
  <c r="B6" i="25"/>
  <c r="C5" i="25"/>
  <c r="B5" i="25"/>
  <c r="C4" i="25"/>
  <c r="B4" i="25"/>
  <c r="B2" i="25"/>
  <c r="B1" i="25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C6" i="7"/>
  <c r="C5" i="7"/>
  <c r="C4" i="7"/>
  <c r="B6" i="7"/>
  <c r="B5" i="7"/>
  <c r="B4" i="7"/>
  <c r="B2" i="7"/>
  <c r="B1" i="7"/>
  <c r="E7" i="7"/>
  <c r="E6" i="7"/>
  <c r="E5" i="7"/>
  <c r="E4" i="7"/>
  <c r="D7" i="7"/>
  <c r="D6" i="7"/>
  <c r="D5" i="7"/>
  <c r="D4" i="7"/>
  <c r="B25" i="7"/>
  <c r="B26" i="7" s="1"/>
  <c r="B27" i="7" s="1"/>
  <c r="B18" i="7"/>
  <c r="B17" i="7"/>
  <c r="B16" i="7"/>
  <c r="B15" i="7"/>
  <c r="B14" i="7"/>
  <c r="D12" i="6" l="1"/>
  <c r="B14" i="6"/>
  <c r="D14" i="6" s="1"/>
  <c r="E32" i="25"/>
  <c r="E32" i="20"/>
  <c r="F30" i="3"/>
  <c r="F32" i="20" s="1"/>
  <c r="F32" i="25" l="1"/>
  <c r="B16" i="6"/>
  <c r="D16" i="6" s="1"/>
  <c r="G53" i="25"/>
  <c r="H53" i="25" s="1"/>
  <c r="G52" i="25"/>
  <c r="H52" i="25" s="1"/>
  <c r="G51" i="25"/>
  <c r="H51" i="25" s="1"/>
  <c r="G48" i="25"/>
  <c r="H48" i="25" s="1"/>
  <c r="G47" i="25"/>
  <c r="H47" i="25" s="1"/>
  <c r="G46" i="25"/>
  <c r="H46" i="25" s="1"/>
  <c r="G43" i="25"/>
  <c r="H43" i="25" s="1"/>
  <c r="G42" i="25"/>
  <c r="H42" i="25" s="1"/>
  <c r="G41" i="25"/>
  <c r="H41" i="25" s="1"/>
  <c r="G38" i="25"/>
  <c r="H38" i="25" s="1"/>
  <c r="G37" i="25"/>
  <c r="H37" i="25" s="1"/>
  <c r="G36" i="25"/>
  <c r="H36" i="25" s="1"/>
  <c r="G37" i="20"/>
  <c r="H37" i="20" s="1"/>
  <c r="G38" i="20"/>
  <c r="H38" i="20" s="1"/>
  <c r="G41" i="20"/>
  <c r="H41" i="20" s="1"/>
  <c r="G42" i="20"/>
  <c r="H42" i="20" s="1"/>
  <c r="G43" i="20"/>
  <c r="H43" i="20" s="1"/>
  <c r="G46" i="20"/>
  <c r="H46" i="20" s="1"/>
  <c r="G47" i="20"/>
  <c r="H47" i="20" s="1"/>
  <c r="G48" i="20"/>
  <c r="H48" i="20" s="1"/>
  <c r="G36" i="20"/>
  <c r="H36" i="20" s="1"/>
  <c r="G36" i="3"/>
  <c r="G37" i="3"/>
  <c r="G40" i="3"/>
  <c r="G41" i="3"/>
  <c r="G42" i="3"/>
  <c r="G43" i="3"/>
  <c r="G35" i="3"/>
  <c r="B18" i="6" l="1"/>
  <c r="B20" i="6"/>
  <c r="D18" i="6"/>
  <c r="B50" i="25"/>
  <c r="B45" i="25"/>
  <c r="B40" i="25"/>
  <c r="B35" i="25"/>
  <c r="C7" i="25"/>
  <c r="G56" i="25"/>
  <c r="F56" i="25"/>
  <c r="E56" i="25"/>
  <c r="B45" i="20"/>
  <c r="B40" i="20"/>
  <c r="C7" i="20"/>
  <c r="B22" i="6" l="1"/>
  <c r="D20" i="6"/>
  <c r="G54" i="20"/>
  <c r="F54" i="20"/>
  <c r="E54" i="20"/>
  <c r="B35" i="20"/>
  <c r="D22" i="6" l="1"/>
  <c r="B24" i="6"/>
  <c r="I1" i="3"/>
  <c r="E1" i="7"/>
  <c r="D24" i="6" l="1"/>
  <c r="I1" i="22" s="1"/>
  <c r="B26" i="6"/>
  <c r="D26" i="6" s="1"/>
  <c r="E1" i="24" s="1"/>
  <c r="I1" i="20"/>
  <c r="I1" i="25"/>
  <c r="I1" i="23"/>
  <c r="B8" i="7" l="1"/>
  <c r="G46" i="3" l="1"/>
  <c r="B33" i="3" l="1"/>
  <c r="E46" i="3" l="1"/>
  <c r="F46" i="3" l="1"/>
</calcChain>
</file>

<file path=xl/sharedStrings.xml><?xml version="1.0" encoding="utf-8"?>
<sst xmlns="http://schemas.openxmlformats.org/spreadsheetml/2006/main" count="207" uniqueCount="128">
  <si>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</si>
  <si>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</si>
  <si>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</si>
  <si>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</si>
  <si>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</si>
  <si>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</si>
  <si>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</si>
  <si>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</si>
  <si>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</si>
  <si>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</si>
  <si>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</si>
  <si>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</si>
  <si>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</si>
  <si>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</si>
  <si>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</si>
  <si>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</si>
  <si>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</si>
  <si>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</si>
  <si>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</si>
  <si>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</si>
  <si>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</si>
  <si>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</si>
  <si>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</si>
  <si>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</si>
  <si>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</si>
  <si>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</si>
  <si>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</si>
  <si>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</si>
  <si>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</si>
  <si>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</si>
  <si>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</si>
  <si>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</si>
  <si>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Sub-Lead Schedule</t>
  </si>
  <si>
    <t>Confirmation summary, reconciliation</t>
  </si>
  <si>
    <t>Copies of Documents/Summary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</si>
  <si>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</si>
  <si>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</si>
  <si>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</si>
  <si>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Impairment Testing</t>
  </si>
  <si>
    <t>IMPAIRNMENT TESTING</t>
  </si>
  <si>
    <t>(b) Current maturity had been appropriately identified and separately disclosed</t>
  </si>
  <si>
    <t>Total closing balance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</si>
  <si>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</si>
  <si>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</si>
  <si>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</si>
  <si>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</si>
  <si>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</si>
  <si>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</si>
  <si>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</si>
  <si>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</si>
  <si>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</si>
  <si>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</si>
  <si>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</si>
  <si>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</si>
  <si>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</si>
  <si>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</si>
  <si>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</si>
  <si>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</si>
  <si>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</si>
  <si>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</si>
  <si>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</si>
  <si>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</si>
  <si>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</si>
  <si>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Opening balance</t>
  </si>
  <si>
    <t>For a sample of repayments made during the year:</t>
  </si>
  <si>
    <t>(a) Ensured that amount and date of repayment was accordance with repayment schedule or agreement.</t>
  </si>
  <si>
    <t>(b) Checked receipt of funds with receipt records and bank statement.</t>
  </si>
  <si>
    <t>(a) Verified that loans have been classified in correct categories.</t>
  </si>
  <si>
    <t>(b) Current maturity has been appropriately calculated and separately disclosed.</t>
  </si>
  <si>
    <t>(c) Considered the value of securities available against each loan for the purpose of calculation of provision for doubtful loans and advances</t>
  </si>
  <si>
    <t>Checked subsequent recovery of loans etc.</t>
  </si>
  <si>
    <t>Ensured that all loans and advances to associated undertakings are granted after due compliance with legal requirements.</t>
  </si>
  <si>
    <t xml:space="preserve">For items stucked-up for considerable period of time, inquired about its status from the management. </t>
  </si>
  <si>
    <t>Obtained age-analysis of long-term loans and advances and performed the following:</t>
  </si>
  <si>
    <t>(a) Verified that loans and advances had been classified in correct categories.</t>
  </si>
  <si>
    <t>All short term loans and advances are completely and accurately recorded</t>
  </si>
  <si>
    <t>All recorded short term loans and advances actually exist</t>
  </si>
  <si>
    <t>Short term loans and advances are recorded at appropriate values and all bad and doubtful balances have been provided for/ written off</t>
  </si>
  <si>
    <t>Short term loans and advances recorded are the right of the company</t>
  </si>
  <si>
    <t>Short term loans and advances to associated undertaking were in accordance with legal requirements</t>
  </si>
  <si>
    <t>Short term loans and advances</t>
  </si>
  <si>
    <t>Loan to Employees</t>
  </si>
  <si>
    <t>Advances to employees against salary</t>
  </si>
  <si>
    <t>Advances to employees against expenses</t>
  </si>
  <si>
    <t>Loan to Executives</t>
  </si>
  <si>
    <t>Advances to suppliers</t>
  </si>
  <si>
    <t>Short term loans</t>
  </si>
  <si>
    <t>Advances</t>
  </si>
  <si>
    <t>Advances to statutory authorities</t>
  </si>
  <si>
    <t>Loan to Associated undertakings</t>
  </si>
  <si>
    <t>Add: Loans advanced during the year</t>
  </si>
  <si>
    <t>Less: Loan returned during the year</t>
  </si>
  <si>
    <t>(c) Checked the recovery of interest is in accordance with the policy (i.e. along with principal or after recovery of full principal, as the case may be).</t>
  </si>
  <si>
    <t>For disbursements made during the year checked disbursements of funds with disbursement register and bank statement.</t>
  </si>
  <si>
    <t>Circularized confirmations to selected parties. Matched replies with the amounts outstanding against each party.</t>
  </si>
  <si>
    <t>Obtained age-analysis of short-term loans and advances and perform the following:</t>
  </si>
  <si>
    <t>Computed provisions (if required) and asked for management representations</t>
  </si>
  <si>
    <t xml:space="preserve">For loans to staff, reviewed company’s policies for disbursement and recoveries thereof, and ensured the same with supporting documents. </t>
  </si>
  <si>
    <t>Verified on a test basis deductions from advances to staff from their respective payroll register</t>
  </si>
  <si>
    <t>Verified on a test basis deductions from loan to staff from their respective payroll register</t>
  </si>
  <si>
    <t>Checked loan agreement and legal documents to verify the terms and conditions of the advances.</t>
  </si>
  <si>
    <t>Add: Advances made during the year</t>
  </si>
  <si>
    <t>Less: Advances returned during the year</t>
  </si>
  <si>
    <t xml:space="preserve">For disbursements made during the year checked disbursements of funds with advances register and bank statement. </t>
  </si>
  <si>
    <t>Obtained age-analysis of advances and performed the following:</t>
  </si>
  <si>
    <t>(a) Verified that advances have been classified in correct categories.</t>
  </si>
  <si>
    <t>Checked subsequent recovery of advances / expenses incurred etc.</t>
  </si>
  <si>
    <t>Less: Expenses made during the year</t>
  </si>
  <si>
    <t xml:space="preserve">For advances to staff, reviewed company’s policies for disbursement and recoveries thereof, and ensured the same with supporting documents. </t>
  </si>
  <si>
    <t>BS.10</t>
  </si>
  <si>
    <t>Analytical Procedures:</t>
  </si>
  <si>
    <t>Ensured that loans and advances should be measured at amortized cost using the effective interest rate method</t>
  </si>
  <si>
    <t>Subhead:</t>
  </si>
  <si>
    <t>Short term loans and advances are presented and all disclosures have been given in accordance with the Fifth Schedule of the Companies Act, 2017 and relevant IASs/IFRSs.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</si>
  <si>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</si>
  <si>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</si>
  <si>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</si>
  <si>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</si>
  <si>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</si>
  <si>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</si>
  <si>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</si>
  <si>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Ensured that none of the loans and advances are impaired or the recoverable amount of a loan or advance is not less than its carrying amount.</t>
  </si>
  <si>
    <t>If the carrying amount of a loan/ advance is the reduction as impairment loss.</t>
  </si>
  <si>
    <t xml:space="preserve">Ensured that none of the  loans and advances are impaired or the recoverable amount of same is not less than its carrying amount. </t>
  </si>
  <si>
    <t>If the carrying amount of  loans and advances is more than its recoverable amount, then same should be reduced to recoverable amount.</t>
  </si>
  <si>
    <t>The reduction is recogised as impairment loss.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</si>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</sst>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Book Antiqua"/>
      <family val="1"/>
    </font>
    <font>
      <sz val="10"/>
      <name val="Book Antiqua"/>
      <family val="1"/>
    </font>
    <font>
      <sz val="10"/>
      <color theme="1"/>
      <name val="Book Antiqua"/>
      <family val="1"/>
    </font>
    <font>
      <b/>
      <sz val="10"/>
      <color indexed="8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4" fillId="0" borderId="0" xfId="4" applyFont="1"/>
    <xf numFmtId="0" fontId="25" fillId="0" borderId="0" xfId="4" applyFont="1"/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3" applyNumberFormat="1" applyFont="1" applyFill="1" applyBorder="1" applyAlignment="1" applyProtection="1">
      <alignment vertical="center"/>
    </xf>
    <xf numFmtId="0" fontId="27" fillId="0" borderId="0" xfId="3" applyNumberFormat="1" applyFont="1" applyAlignment="1">
      <alignment vertical="center"/>
    </xf>
    <xf numFmtId="0" fontId="27" fillId="0" borderId="0" xfId="3" applyNumberFormat="1" applyFont="1" applyAlignment="1">
      <alignment horizontal="center" vertical="center"/>
    </xf>
    <xf numFmtId="0" fontId="27" fillId="0" borderId="0" xfId="4" applyFont="1" applyAlignment="1">
      <alignment horizontal="left" vertical="center"/>
    </xf>
    <xf numFmtId="0" fontId="24" fillId="0" borderId="0" xfId="3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4" applyFont="1" applyAlignment="1">
      <alignment horizontal="center" vertical="center"/>
    </xf>
    <xf numFmtId="0" fontId="24" fillId="0" borderId="0" xfId="4" applyFont="1" applyAlignment="1"/>
    <xf numFmtId="0" fontId="24" fillId="0" borderId="0" xfId="4" applyFont="1" applyAlignment="1">
      <alignment horizontal="center"/>
    </xf>
    <xf numFmtId="0" fontId="28" fillId="0" borderId="12" xfId="4" applyFont="1" applyFill="1" applyBorder="1" applyAlignment="1">
      <alignment horizontal="center" vertical="center"/>
    </xf>
    <xf numFmtId="0" fontId="28" fillId="0" borderId="12" xfId="4" applyFont="1" applyFill="1" applyBorder="1" applyAlignment="1">
      <alignment horizontal="center" vertical="center" wrapText="1"/>
    </xf>
    <xf numFmtId="0" fontId="25" fillId="0" borderId="17" xfId="4" applyFont="1" applyBorder="1" applyAlignment="1">
      <alignment horizontal="center" vertical="center"/>
    </xf>
    <xf numFmtId="0" fontId="25" fillId="0" borderId="17" xfId="4" applyFont="1" applyBorder="1" applyAlignment="1">
      <alignment vertical="center"/>
    </xf>
    <xf numFmtId="0" fontId="25" fillId="0" borderId="17" xfId="4" applyFont="1" applyBorder="1"/>
    <xf numFmtId="0" fontId="25" fillId="0" borderId="11" xfId="4" applyFont="1" applyBorder="1" applyAlignment="1">
      <alignment horizontal="center" vertical="center"/>
    </xf>
    <xf numFmtId="0" fontId="25" fillId="0" borderId="11" xfId="4" applyFont="1" applyBorder="1" applyAlignment="1">
      <alignment vertical="center"/>
    </xf>
    <xf numFmtId="0" fontId="25" fillId="0" borderId="11" xfId="4" applyFont="1" applyBorder="1"/>
    <xf numFmtId="0" fontId="25" fillId="0" borderId="11" xfId="4" applyFont="1" applyBorder="1" applyAlignment="1">
      <alignment horizontal="left" vertical="center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8" fillId="0" borderId="12" xfId="0" quotePrefix="1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11" xfId="0" quotePrefix="1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11" xfId="0" quotePrefix="1" applyFont="1" applyBorder="1" applyAlignment="1">
      <alignment horizontal="center" vertical="top" wrapText="1"/>
    </xf>
    <xf numFmtId="0" fontId="26" fillId="0" borderId="11" xfId="0" applyFont="1" applyBorder="1" applyAlignment="1">
      <alignment vertical="justify" wrapText="1"/>
    </xf>
    <xf numFmtId="0" fontId="26" fillId="0" borderId="11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0" borderId="0" xfId="0" quotePrefix="1" applyFont="1" applyAlignment="1">
      <alignment horizontal="center" vertical="top" wrapText="1"/>
    </xf>
    <xf numFmtId="0" fontId="26" fillId="0" borderId="0" xfId="0" applyFont="1" applyAlignment="1">
      <alignment vertical="justify" wrapText="1"/>
    </xf>
    <xf numFmtId="0" fontId="28" fillId="0" borderId="13" xfId="0" quotePrefix="1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28" fillId="0" borderId="14" xfId="0" quotePrefix="1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 wrapText="1"/>
    </xf>
    <xf numFmtId="0" fontId="25" fillId="2" borderId="0" xfId="2" applyFont="1" applyFill="1" applyAlignment="1">
      <alignment vertical="center"/>
    </xf>
    <xf numFmtId="0" fontId="24" fillId="2" borderId="17" xfId="2" applyFont="1" applyFill="1" applyBorder="1" applyAlignment="1">
      <alignment vertical="center"/>
    </xf>
    <xf numFmtId="0" fontId="25" fillId="2" borderId="17" xfId="2" applyFont="1" applyFill="1" applyBorder="1" applyAlignment="1">
      <alignment vertical="center"/>
    </xf>
    <xf numFmtId="0" fontId="24" fillId="2" borderId="17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vertical="center" wrapText="1"/>
    </xf>
    <xf numFmtId="0" fontId="25" fillId="2" borderId="0" xfId="2" applyFont="1" applyFill="1" applyAlignment="1">
      <alignment vertical="center" wrapText="1"/>
    </xf>
    <xf numFmtId="0" fontId="26" fillId="0" borderId="11" xfId="0" applyFont="1" applyBorder="1" applyAlignment="1">
      <alignment horizontal="center" vertical="center" wrapText="1"/>
    </xf>
    <xf numFmtId="0" fontId="25" fillId="2" borderId="0" xfId="2" quotePrefix="1" applyFont="1" applyFill="1" applyAlignment="1">
      <alignment horizontal="center" vertical="center"/>
    </xf>
    <xf numFmtId="0" fontId="25" fillId="2" borderId="0" xfId="2" applyFont="1" applyFill="1" applyAlignment="1">
      <alignment vertical="justify"/>
    </xf>
    <xf numFmtId="0" fontId="24" fillId="2" borderId="0" xfId="2" applyFont="1" applyFill="1" applyAlignment="1">
      <alignment vertical="center"/>
    </xf>
    <xf numFmtId="0" fontId="24" fillId="2" borderId="0" xfId="2" applyFont="1" applyFill="1" applyAlignment="1">
      <alignment horizontal="right" vertical="center"/>
    </xf>
    <xf numFmtId="0" fontId="25" fillId="2" borderId="0" xfId="2" applyFont="1" applyFill="1" applyAlignment="1">
      <alignment horizontal="center" vertical="center"/>
    </xf>
    <xf numFmtId="0" fontId="29" fillId="0" borderId="0" xfId="3" applyNumberFormat="1" applyFont="1" applyFill="1" applyBorder="1" applyAlignment="1" applyProtection="1">
      <alignment vertical="center"/>
    </xf>
    <xf numFmtId="0" fontId="24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indent="2"/>
    </xf>
    <xf numFmtId="0" fontId="25" fillId="2" borderId="0" xfId="2" applyFont="1" applyFill="1" applyAlignment="1">
      <alignment horizontal="left" vertical="center" wrapText="1" indent="2"/>
    </xf>
    <xf numFmtId="0" fontId="28" fillId="0" borderId="12" xfId="2" applyFont="1" applyFill="1" applyBorder="1" applyAlignment="1">
      <alignment horizontal="center" vertical="center" wrapText="1"/>
    </xf>
    <xf numFmtId="0" fontId="28" fillId="0" borderId="12" xfId="2" applyFont="1" applyFill="1" applyBorder="1" applyAlignment="1">
      <alignment horizontal="center" vertical="center"/>
    </xf>
    <xf numFmtId="0" fontId="25" fillId="2" borderId="17" xfId="2" applyFont="1" applyFill="1" applyBorder="1" applyAlignment="1">
      <alignment horizontal="left" vertical="center" indent="1"/>
    </xf>
    <xf numFmtId="165" fontId="24" fillId="2" borderId="17" xfId="1" applyNumberFormat="1" applyFont="1" applyFill="1" applyBorder="1" applyAlignment="1">
      <alignment horizontal="right" vertical="center"/>
    </xf>
    <xf numFmtId="165" fontId="25" fillId="2" borderId="17" xfId="1" applyNumberFormat="1" applyFont="1" applyFill="1" applyBorder="1" applyAlignment="1">
      <alignment horizontal="right" vertical="center"/>
    </xf>
    <xf numFmtId="0" fontId="24" fillId="2" borderId="11" xfId="2" applyFont="1" applyFill="1" applyBorder="1" applyAlignment="1">
      <alignment horizontal="left" vertical="center" indent="1"/>
    </xf>
    <xf numFmtId="0" fontId="25" fillId="2" borderId="11" xfId="2" applyFont="1" applyFill="1" applyBorder="1" applyAlignment="1">
      <alignment vertical="center"/>
    </xf>
    <xf numFmtId="165" fontId="25" fillId="2" borderId="11" xfId="1" applyNumberFormat="1" applyFont="1" applyFill="1" applyBorder="1" applyAlignment="1">
      <alignment horizontal="right" vertical="center"/>
    </xf>
    <xf numFmtId="0" fontId="25" fillId="2" borderId="11" xfId="2" applyFont="1" applyFill="1" applyBorder="1" applyAlignment="1">
      <alignment horizontal="left" vertical="center" indent="2"/>
    </xf>
    <xf numFmtId="0" fontId="24" fillId="2" borderId="11" xfId="2" applyFont="1" applyFill="1" applyBorder="1" applyAlignment="1">
      <alignment horizontal="left" vertical="center" indent="1"/>
    </xf>
    <xf numFmtId="0" fontId="25" fillId="0" borderId="11" xfId="3" applyNumberFormat="1" applyFont="1" applyFill="1" applyBorder="1" applyAlignment="1">
      <alignment horizontal="left" vertical="center" indent="3"/>
    </xf>
    <xf numFmtId="165" fontId="25" fillId="2" borderId="11" xfId="1" applyNumberFormat="1" applyFont="1" applyFill="1" applyBorder="1" applyAlignment="1">
      <alignment horizontal="center" vertical="center"/>
    </xf>
    <xf numFmtId="9" fontId="25" fillId="2" borderId="11" xfId="74" applyFont="1" applyFill="1" applyBorder="1" applyAlignment="1">
      <alignment horizontal="center" vertical="center"/>
    </xf>
    <xf numFmtId="0" fontId="25" fillId="0" borderId="11" xfId="3" applyNumberFormat="1" applyFont="1" applyFill="1" applyBorder="1" applyAlignment="1">
      <alignment horizontal="left" vertical="center" indent="2"/>
    </xf>
    <xf numFmtId="0" fontId="25" fillId="2" borderId="11" xfId="2" applyFont="1" applyFill="1" applyBorder="1" applyAlignment="1">
      <alignment horizontal="left" vertical="center" indent="3"/>
    </xf>
    <xf numFmtId="0" fontId="25" fillId="2" borderId="11" xfId="2" applyFont="1" applyFill="1" applyBorder="1" applyAlignment="1">
      <alignment horizontal="left" vertical="center" indent="1"/>
    </xf>
    <xf numFmtId="0" fontId="24" fillId="2" borderId="11" xfId="2" applyFont="1" applyFill="1" applyBorder="1" applyAlignment="1">
      <alignment horizontal="center" vertical="center"/>
    </xf>
    <xf numFmtId="0" fontId="26" fillId="25" borderId="0" xfId="0" applyFont="1" applyFill="1" applyAlignment="1">
      <alignment horizontal="left" vertical="top" indent="2"/>
    </xf>
    <xf numFmtId="0" fontId="25" fillId="2" borderId="17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left" vertical="center" indent="1"/>
    </xf>
    <xf numFmtId="0" fontId="25" fillId="2" borderId="11" xfId="2" applyFont="1" applyFill="1" applyBorder="1" applyAlignment="1">
      <alignment horizontal="left" vertical="center" indent="2"/>
    </xf>
    <xf numFmtId="0" fontId="28" fillId="0" borderId="12" xfId="2" applyFont="1" applyFill="1" applyBorder="1" applyAlignment="1">
      <alignment horizontal="center" vertical="center" wrapText="1"/>
    </xf>
    <xf numFmtId="0" fontId="24" fillId="2" borderId="11" xfId="2" applyFont="1" applyFill="1" applyBorder="1" applyAlignment="1">
      <alignment horizontal="center" vertical="center"/>
    </xf>
    <xf numFmtId="0" fontId="26" fillId="0" borderId="0" xfId="0" applyFont="1"/>
    <xf numFmtId="0" fontId="24" fillId="2" borderId="0" xfId="2" applyFont="1" applyFill="1" applyAlignment="1">
      <alignment horizontal="center" vertical="center"/>
    </xf>
    <xf numFmtId="0" fontId="26" fillId="25" borderId="0" xfId="0" applyFont="1" applyFill="1" applyAlignment="1">
      <alignment horizontal="left" vertical="top" wrapText="1" indent="3"/>
    </xf>
    <xf numFmtId="0" fontId="28" fillId="0" borderId="12" xfId="2" applyFont="1" applyFill="1" applyBorder="1" applyAlignment="1">
      <alignment horizontal="center" vertical="center"/>
    </xf>
    <xf numFmtId="0" fontId="25" fillId="2" borderId="15" xfId="2" applyFont="1" applyFill="1" applyBorder="1" applyAlignment="1">
      <alignment horizontal="center" vertical="center"/>
    </xf>
    <xf numFmtId="0" fontId="25" fillId="2" borderId="16" xfId="2" applyFont="1" applyFill="1" applyBorder="1" applyAlignment="1">
      <alignment horizontal="center" vertical="center"/>
    </xf>
    <xf numFmtId="0" fontId="24" fillId="0" borderId="0" xfId="4" applyFont="1" applyAlignment="1">
      <alignment horizontal="left" vertical="center"/>
    </xf>
    <xf numFmtId="0" fontId="28" fillId="0" borderId="12" xfId="0" applyFont="1" applyFill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6" fillId="0" borderId="17" xfId="0" quotePrefix="1" applyFont="1" applyBorder="1" applyAlignment="1">
      <alignment horizontal="center" vertical="center" wrapText="1"/>
    </xf>
    <xf numFmtId="0" fontId="26" fillId="0" borderId="1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7" fillId="0" borderId="0" xfId="3" applyNumberFormat="1" applyFont="1" applyFill="1" applyAlignment="1">
      <alignment vertical="center"/>
    </xf>
    <xf numFmtId="169" fontId="25" fillId="0" borderId="1" xfId="4" applyNumberFormat="1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4" fillId="0" borderId="11" xfId="0" applyFont="1" applyBorder="1" applyAlignment="1">
      <alignment vertical="center"/>
    </xf>
    <xf numFmtId="0" fontId="25" fillId="2" borderId="0" xfId="2" applyFont="1" applyFill="1" applyAlignment="1">
      <alignment vertical="top"/>
    </xf>
    <xf numFmtId="0" fontId="26" fillId="25" borderId="0" xfId="0" applyFont="1" applyFill="1" applyAlignment="1">
      <alignment vertical="top"/>
    </xf>
    <xf numFmtId="0" fontId="26" fillId="25" borderId="0" xfId="0" quotePrefix="1" applyFont="1" applyFill="1" applyAlignment="1">
      <alignment vertical="top"/>
    </xf>
    <xf numFmtId="169" fontId="25" fillId="0" borderId="0" xfId="4" applyNumberFormat="1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5" fillId="2" borderId="11" xfId="74" applyNumberFormat="1" applyFont="1" applyFill="1" applyBorder="1" applyAlignment="1">
      <alignment horizontal="center"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8"/>
  <sheetViews>
    <sheetView showGridLines="0" tabSelected="1" zoomScaleNormal="100" zoomScaleSheetLayoutView="100" workbookViewId="0">
      <selection activeCell="F8" sqref="F8"/>
    </sheetView>
  </sheetViews>
  <sheetFormatPr defaultColWidth="0" defaultRowHeight="13.5" zeroHeight="1" x14ac:dyDescent="0.25"/>
  <cols>
    <col min="1" max="1" width="1.28515625" style="5" customWidth="1"/>
    <col min="2" max="2" width="8.42578125" style="5" customWidth="1"/>
    <col min="3" max="3" width="44" style="5" customWidth="1"/>
    <col min="4" max="4" width="12.140625" style="13" customWidth="1"/>
    <col min="5" max="5" width="14.5703125" style="5" bestFit="1" customWidth="1"/>
    <col min="6" max="6" width="18.85546875" style="5" customWidth="1"/>
    <col min="7" max="7" width="1.42578125" style="5" customWidth="1"/>
    <col min="8" max="253" width="10.42578125" style="5" hidden="1"/>
    <col min="254" max="254" width="8.42578125" style="5" hidden="1"/>
    <col min="255" max="256" width="12.85546875" style="5" hidden="1"/>
    <col min="257" max="257" width="9.7109375" style="5" hidden="1"/>
    <col min="258" max="258" width="7.28515625" style="5" hidden="1"/>
    <col min="259" max="259" width="8.140625" style="5" hidden="1"/>
    <col min="260" max="260" width="12.85546875" style="5" hidden="1"/>
    <col min="261" max="262" width="13.28515625" style="5" hidden="1"/>
    <col min="263" max="509" width="10.42578125" style="5" hidden="1"/>
    <col min="510" max="510" width="8.42578125" style="5" hidden="1"/>
    <col min="511" max="512" width="12.85546875" style="5" hidden="1"/>
    <col min="513" max="513" width="9.7109375" style="5" hidden="1"/>
    <col min="514" max="514" width="7.28515625" style="5" hidden="1"/>
    <col min="515" max="515" width="8.140625" style="5" hidden="1"/>
    <col min="516" max="516" width="12.85546875" style="5" hidden="1"/>
    <col min="517" max="518" width="13.28515625" style="5" hidden="1"/>
    <col min="519" max="765" width="10.42578125" style="5" hidden="1"/>
    <col min="766" max="766" width="8.42578125" style="5" hidden="1"/>
    <col min="767" max="768" width="12.85546875" style="5" hidden="1"/>
    <col min="769" max="769" width="9.7109375" style="5" hidden="1"/>
    <col min="770" max="770" width="7.28515625" style="5" hidden="1"/>
    <col min="771" max="771" width="8.140625" style="5" hidden="1"/>
    <col min="772" max="772" width="12.85546875" style="5" hidden="1"/>
    <col min="773" max="774" width="13.28515625" style="5" hidden="1"/>
    <col min="775" max="1021" width="10.42578125" style="5" hidden="1"/>
    <col min="1022" max="1022" width="8.42578125" style="5" hidden="1"/>
    <col min="1023" max="1024" width="12.85546875" style="5" hidden="1"/>
    <col min="1025" max="1025" width="9.7109375" style="5" hidden="1"/>
    <col min="1026" max="1026" width="7.28515625" style="5" hidden="1"/>
    <col min="1027" max="1027" width="8.140625" style="5" hidden="1"/>
    <col min="1028" max="1028" width="12.85546875" style="5" hidden="1"/>
    <col min="1029" max="1030" width="13.28515625" style="5" hidden="1"/>
    <col min="1031" max="1277" width="10.42578125" style="5" hidden="1"/>
    <col min="1278" max="1278" width="8.42578125" style="5" hidden="1"/>
    <col min="1279" max="1280" width="12.85546875" style="5" hidden="1"/>
    <col min="1281" max="1281" width="9.7109375" style="5" hidden="1"/>
    <col min="1282" max="1282" width="7.28515625" style="5" hidden="1"/>
    <col min="1283" max="1283" width="8.140625" style="5" hidden="1"/>
    <col min="1284" max="1284" width="12.85546875" style="5" hidden="1"/>
    <col min="1285" max="1286" width="13.28515625" style="5" hidden="1"/>
    <col min="1287" max="1533" width="10.42578125" style="5" hidden="1"/>
    <col min="1534" max="1534" width="8.42578125" style="5" hidden="1"/>
    <col min="1535" max="1536" width="12.85546875" style="5" hidden="1"/>
    <col min="1537" max="1537" width="9.7109375" style="5" hidden="1"/>
    <col min="1538" max="1538" width="7.28515625" style="5" hidden="1"/>
    <col min="1539" max="1539" width="8.140625" style="5" hidden="1"/>
    <col min="1540" max="1540" width="12.85546875" style="5" hidden="1"/>
    <col min="1541" max="1542" width="13.28515625" style="5" hidden="1"/>
    <col min="1543" max="1789" width="10.42578125" style="5" hidden="1"/>
    <col min="1790" max="1790" width="8.42578125" style="5" hidden="1"/>
    <col min="1791" max="1792" width="12.85546875" style="5" hidden="1"/>
    <col min="1793" max="1793" width="9.7109375" style="5" hidden="1"/>
    <col min="1794" max="1794" width="7.28515625" style="5" hidden="1"/>
    <col min="1795" max="1795" width="8.140625" style="5" hidden="1"/>
    <col min="1796" max="1796" width="12.85546875" style="5" hidden="1"/>
    <col min="1797" max="1798" width="13.28515625" style="5" hidden="1"/>
    <col min="1799" max="2045" width="10.42578125" style="5" hidden="1"/>
    <col min="2046" max="2046" width="8.42578125" style="5" hidden="1"/>
    <col min="2047" max="2048" width="12.85546875" style="5" hidden="1"/>
    <col min="2049" max="2049" width="9.7109375" style="5" hidden="1"/>
    <col min="2050" max="2050" width="7.28515625" style="5" hidden="1"/>
    <col min="2051" max="2051" width="8.140625" style="5" hidden="1"/>
    <col min="2052" max="2052" width="12.85546875" style="5" hidden="1"/>
    <col min="2053" max="2054" width="13.28515625" style="5" hidden="1"/>
    <col min="2055" max="2301" width="10.42578125" style="5" hidden="1"/>
    <col min="2302" max="2302" width="8.42578125" style="5" hidden="1"/>
    <col min="2303" max="2304" width="12.85546875" style="5" hidden="1"/>
    <col min="2305" max="2305" width="9.7109375" style="5" hidden="1"/>
    <col min="2306" max="2306" width="7.28515625" style="5" hidden="1"/>
    <col min="2307" max="2307" width="8.140625" style="5" hidden="1"/>
    <col min="2308" max="2308" width="12.85546875" style="5" hidden="1"/>
    <col min="2309" max="2310" width="13.28515625" style="5" hidden="1"/>
    <col min="2311" max="2557" width="10.42578125" style="5" hidden="1"/>
    <col min="2558" max="2558" width="8.42578125" style="5" hidden="1"/>
    <col min="2559" max="2560" width="12.85546875" style="5" hidden="1"/>
    <col min="2561" max="2561" width="9.7109375" style="5" hidden="1"/>
    <col min="2562" max="2562" width="7.28515625" style="5" hidden="1"/>
    <col min="2563" max="2563" width="8.140625" style="5" hidden="1"/>
    <col min="2564" max="2564" width="12.85546875" style="5" hidden="1"/>
    <col min="2565" max="2566" width="13.28515625" style="5" hidden="1"/>
    <col min="2567" max="2813" width="10.42578125" style="5" hidden="1"/>
    <col min="2814" max="2814" width="8.42578125" style="5" hidden="1"/>
    <col min="2815" max="2816" width="12.85546875" style="5" hidden="1"/>
    <col min="2817" max="2817" width="9.7109375" style="5" hidden="1"/>
    <col min="2818" max="2818" width="7.28515625" style="5" hidden="1"/>
    <col min="2819" max="2819" width="8.140625" style="5" hidden="1"/>
    <col min="2820" max="2820" width="12.85546875" style="5" hidden="1"/>
    <col min="2821" max="2822" width="13.28515625" style="5" hidden="1"/>
    <col min="2823" max="3069" width="10.42578125" style="5" hidden="1"/>
    <col min="3070" max="3070" width="8.42578125" style="5" hidden="1"/>
    <col min="3071" max="3072" width="12.85546875" style="5" hidden="1"/>
    <col min="3073" max="3073" width="9.7109375" style="5" hidden="1"/>
    <col min="3074" max="3074" width="7.28515625" style="5" hidden="1"/>
    <col min="3075" max="3075" width="8.140625" style="5" hidden="1"/>
    <col min="3076" max="3076" width="12.85546875" style="5" hidden="1"/>
    <col min="3077" max="3078" width="13.28515625" style="5" hidden="1"/>
    <col min="3079" max="3325" width="10.42578125" style="5" hidden="1"/>
    <col min="3326" max="3326" width="8.42578125" style="5" hidden="1"/>
    <col min="3327" max="3328" width="12.85546875" style="5" hidden="1"/>
    <col min="3329" max="3329" width="9.7109375" style="5" hidden="1"/>
    <col min="3330" max="3330" width="7.28515625" style="5" hidden="1"/>
    <col min="3331" max="3331" width="8.140625" style="5" hidden="1"/>
    <col min="3332" max="3332" width="12.85546875" style="5" hidden="1"/>
    <col min="3333" max="3334" width="13.28515625" style="5" hidden="1"/>
    <col min="3335" max="3581" width="10.42578125" style="5" hidden="1"/>
    <col min="3582" max="3582" width="8.42578125" style="5" hidden="1"/>
    <col min="3583" max="3584" width="12.85546875" style="5" hidden="1"/>
    <col min="3585" max="3585" width="9.7109375" style="5" hidden="1"/>
    <col min="3586" max="3586" width="7.28515625" style="5" hidden="1"/>
    <col min="3587" max="3587" width="8.140625" style="5" hidden="1"/>
    <col min="3588" max="3588" width="12.85546875" style="5" hidden="1"/>
    <col min="3589" max="3590" width="13.28515625" style="5" hidden="1"/>
    <col min="3591" max="3837" width="10.42578125" style="5" hidden="1"/>
    <col min="3838" max="3838" width="8.42578125" style="5" hidden="1"/>
    <col min="3839" max="3840" width="12.85546875" style="5" hidden="1"/>
    <col min="3841" max="3841" width="9.7109375" style="5" hidden="1"/>
    <col min="3842" max="3842" width="7.28515625" style="5" hidden="1"/>
    <col min="3843" max="3843" width="8.140625" style="5" hidden="1"/>
    <col min="3844" max="3844" width="12.85546875" style="5" hidden="1"/>
    <col min="3845" max="3846" width="13.28515625" style="5" hidden="1"/>
    <col min="3847" max="4093" width="10.42578125" style="5" hidden="1"/>
    <col min="4094" max="4094" width="8.42578125" style="5" hidden="1"/>
    <col min="4095" max="4096" width="12.85546875" style="5" hidden="1"/>
    <col min="4097" max="4097" width="9.7109375" style="5" hidden="1"/>
    <col min="4098" max="4098" width="7.28515625" style="5" hidden="1"/>
    <col min="4099" max="4099" width="8.140625" style="5" hidden="1"/>
    <col min="4100" max="4100" width="12.85546875" style="5" hidden="1"/>
    <col min="4101" max="4102" width="13.28515625" style="5" hidden="1"/>
    <col min="4103" max="4349" width="10.42578125" style="5" hidden="1"/>
    <col min="4350" max="4350" width="8.42578125" style="5" hidden="1"/>
    <col min="4351" max="4352" width="12.85546875" style="5" hidden="1"/>
    <col min="4353" max="4353" width="9.7109375" style="5" hidden="1"/>
    <col min="4354" max="4354" width="7.28515625" style="5" hidden="1"/>
    <col min="4355" max="4355" width="8.140625" style="5" hidden="1"/>
    <col min="4356" max="4356" width="12.85546875" style="5" hidden="1"/>
    <col min="4357" max="4358" width="13.28515625" style="5" hidden="1"/>
    <col min="4359" max="4605" width="10.42578125" style="5" hidden="1"/>
    <col min="4606" max="4606" width="8.42578125" style="5" hidden="1"/>
    <col min="4607" max="4608" width="12.85546875" style="5" hidden="1"/>
    <col min="4609" max="4609" width="9.7109375" style="5" hidden="1"/>
    <col min="4610" max="4610" width="7.28515625" style="5" hidden="1"/>
    <col min="4611" max="4611" width="8.140625" style="5" hidden="1"/>
    <col min="4612" max="4612" width="12.85546875" style="5" hidden="1"/>
    <col min="4613" max="4614" width="13.28515625" style="5" hidden="1"/>
    <col min="4615" max="4861" width="10.42578125" style="5" hidden="1"/>
    <col min="4862" max="4862" width="8.42578125" style="5" hidden="1"/>
    <col min="4863" max="4864" width="12.85546875" style="5" hidden="1"/>
    <col min="4865" max="4865" width="9.7109375" style="5" hidden="1"/>
    <col min="4866" max="4866" width="7.28515625" style="5" hidden="1"/>
    <col min="4867" max="4867" width="8.140625" style="5" hidden="1"/>
    <col min="4868" max="4868" width="12.85546875" style="5" hidden="1"/>
    <col min="4869" max="4870" width="13.28515625" style="5" hidden="1"/>
    <col min="4871" max="5117" width="10.42578125" style="5" hidden="1"/>
    <col min="5118" max="5118" width="8.42578125" style="5" hidden="1"/>
    <col min="5119" max="5120" width="12.85546875" style="5" hidden="1"/>
    <col min="5121" max="5121" width="9.7109375" style="5" hidden="1"/>
    <col min="5122" max="5122" width="7.28515625" style="5" hidden="1"/>
    <col min="5123" max="5123" width="8.140625" style="5" hidden="1"/>
    <col min="5124" max="5124" width="12.85546875" style="5" hidden="1"/>
    <col min="5125" max="5126" width="13.28515625" style="5" hidden="1"/>
    <col min="5127" max="5373" width="10.42578125" style="5" hidden="1"/>
    <col min="5374" max="5374" width="8.42578125" style="5" hidden="1"/>
    <col min="5375" max="5376" width="12.85546875" style="5" hidden="1"/>
    <col min="5377" max="5377" width="9.7109375" style="5" hidden="1"/>
    <col min="5378" max="5378" width="7.28515625" style="5" hidden="1"/>
    <col min="5379" max="5379" width="8.140625" style="5" hidden="1"/>
    <col min="5380" max="5380" width="12.85546875" style="5" hidden="1"/>
    <col min="5381" max="5382" width="13.28515625" style="5" hidden="1"/>
    <col min="5383" max="5629" width="10.42578125" style="5" hidden="1"/>
    <col min="5630" max="5630" width="8.42578125" style="5" hidden="1"/>
    <col min="5631" max="5632" width="12.85546875" style="5" hidden="1"/>
    <col min="5633" max="5633" width="9.7109375" style="5" hidden="1"/>
    <col min="5634" max="5634" width="7.28515625" style="5" hidden="1"/>
    <col min="5635" max="5635" width="8.140625" style="5" hidden="1"/>
    <col min="5636" max="5636" width="12.85546875" style="5" hidden="1"/>
    <col min="5637" max="5638" width="13.28515625" style="5" hidden="1"/>
    <col min="5639" max="5885" width="10.42578125" style="5" hidden="1"/>
    <col min="5886" max="5886" width="8.42578125" style="5" hidden="1"/>
    <col min="5887" max="5888" width="12.85546875" style="5" hidden="1"/>
    <col min="5889" max="5889" width="9.7109375" style="5" hidden="1"/>
    <col min="5890" max="5890" width="7.28515625" style="5" hidden="1"/>
    <col min="5891" max="5891" width="8.140625" style="5" hidden="1"/>
    <col min="5892" max="5892" width="12.85546875" style="5" hidden="1"/>
    <col min="5893" max="5894" width="13.28515625" style="5" hidden="1"/>
    <col min="5895" max="6141" width="10.42578125" style="5" hidden="1"/>
    <col min="6142" max="6142" width="8.42578125" style="5" hidden="1"/>
    <col min="6143" max="6144" width="12.85546875" style="5" hidden="1"/>
    <col min="6145" max="6145" width="9.7109375" style="5" hidden="1"/>
    <col min="6146" max="6146" width="7.28515625" style="5" hidden="1"/>
    <col min="6147" max="6147" width="8.140625" style="5" hidden="1"/>
    <col min="6148" max="6148" width="12.85546875" style="5" hidden="1"/>
    <col min="6149" max="6150" width="13.28515625" style="5" hidden="1"/>
    <col min="6151" max="6397" width="10.42578125" style="5" hidden="1"/>
    <col min="6398" max="6398" width="8.42578125" style="5" hidden="1"/>
    <col min="6399" max="6400" width="12.85546875" style="5" hidden="1"/>
    <col min="6401" max="6401" width="9.7109375" style="5" hidden="1"/>
    <col min="6402" max="6402" width="7.28515625" style="5" hidden="1"/>
    <col min="6403" max="6403" width="8.140625" style="5" hidden="1"/>
    <col min="6404" max="6404" width="12.85546875" style="5" hidden="1"/>
    <col min="6405" max="6406" width="13.28515625" style="5" hidden="1"/>
    <col min="6407" max="6653" width="10.42578125" style="5" hidden="1"/>
    <col min="6654" max="6654" width="8.42578125" style="5" hidden="1"/>
    <col min="6655" max="6656" width="12.85546875" style="5" hidden="1"/>
    <col min="6657" max="6657" width="9.7109375" style="5" hidden="1"/>
    <col min="6658" max="6658" width="7.28515625" style="5" hidden="1"/>
    <col min="6659" max="6659" width="8.140625" style="5" hidden="1"/>
    <col min="6660" max="6660" width="12.85546875" style="5" hidden="1"/>
    <col min="6661" max="6662" width="13.28515625" style="5" hidden="1"/>
    <col min="6663" max="6909" width="10.42578125" style="5" hidden="1"/>
    <col min="6910" max="6910" width="8.42578125" style="5" hidden="1"/>
    <col min="6911" max="6912" width="12.85546875" style="5" hidden="1"/>
    <col min="6913" max="6913" width="9.7109375" style="5" hidden="1"/>
    <col min="6914" max="6914" width="7.28515625" style="5" hidden="1"/>
    <col min="6915" max="6915" width="8.140625" style="5" hidden="1"/>
    <col min="6916" max="6916" width="12.85546875" style="5" hidden="1"/>
    <col min="6917" max="6918" width="13.28515625" style="5" hidden="1"/>
    <col min="6919" max="7165" width="10.42578125" style="5" hidden="1"/>
    <col min="7166" max="7166" width="8.42578125" style="5" hidden="1"/>
    <col min="7167" max="7168" width="12.85546875" style="5" hidden="1"/>
    <col min="7169" max="7169" width="9.7109375" style="5" hidden="1"/>
    <col min="7170" max="7170" width="7.28515625" style="5" hidden="1"/>
    <col min="7171" max="7171" width="8.140625" style="5" hidden="1"/>
    <col min="7172" max="7172" width="12.85546875" style="5" hidden="1"/>
    <col min="7173" max="7174" width="13.28515625" style="5" hidden="1"/>
    <col min="7175" max="7421" width="10.42578125" style="5" hidden="1"/>
    <col min="7422" max="7422" width="8.42578125" style="5" hidden="1"/>
    <col min="7423" max="7424" width="12.85546875" style="5" hidden="1"/>
    <col min="7425" max="7425" width="9.7109375" style="5" hidden="1"/>
    <col min="7426" max="7426" width="7.28515625" style="5" hidden="1"/>
    <col min="7427" max="7427" width="8.140625" style="5" hidden="1"/>
    <col min="7428" max="7428" width="12.85546875" style="5" hidden="1"/>
    <col min="7429" max="7430" width="13.28515625" style="5" hidden="1"/>
    <col min="7431" max="7677" width="10.42578125" style="5" hidden="1"/>
    <col min="7678" max="7678" width="8.42578125" style="5" hidden="1"/>
    <col min="7679" max="7680" width="12.85546875" style="5" hidden="1"/>
    <col min="7681" max="7681" width="9.7109375" style="5" hidden="1"/>
    <col min="7682" max="7682" width="7.28515625" style="5" hidden="1"/>
    <col min="7683" max="7683" width="8.140625" style="5" hidden="1"/>
    <col min="7684" max="7684" width="12.85546875" style="5" hidden="1"/>
    <col min="7685" max="7686" width="13.28515625" style="5" hidden="1"/>
    <col min="7687" max="7933" width="10.42578125" style="5" hidden="1"/>
    <col min="7934" max="7934" width="8.42578125" style="5" hidden="1"/>
    <col min="7935" max="7936" width="12.85546875" style="5" hidden="1"/>
    <col min="7937" max="7937" width="9.7109375" style="5" hidden="1"/>
    <col min="7938" max="7938" width="7.28515625" style="5" hidden="1"/>
    <col min="7939" max="7939" width="8.140625" style="5" hidden="1"/>
    <col min="7940" max="7940" width="12.85546875" style="5" hidden="1"/>
    <col min="7941" max="7942" width="13.28515625" style="5" hidden="1"/>
    <col min="7943" max="8189" width="10.42578125" style="5" hidden="1"/>
    <col min="8190" max="8190" width="8.42578125" style="5" hidden="1"/>
    <col min="8191" max="8192" width="12.85546875" style="5" hidden="1"/>
    <col min="8193" max="8193" width="9.7109375" style="5" hidden="1"/>
    <col min="8194" max="8194" width="7.28515625" style="5" hidden="1"/>
    <col min="8195" max="8195" width="8.140625" style="5" hidden="1"/>
    <col min="8196" max="8196" width="12.85546875" style="5" hidden="1"/>
    <col min="8197" max="8198" width="13.28515625" style="5" hidden="1"/>
    <col min="8199" max="8445" width="10.42578125" style="5" hidden="1"/>
    <col min="8446" max="8446" width="8.42578125" style="5" hidden="1"/>
    <col min="8447" max="8448" width="12.85546875" style="5" hidden="1"/>
    <col min="8449" max="8449" width="9.7109375" style="5" hidden="1"/>
    <col min="8450" max="8450" width="7.28515625" style="5" hidden="1"/>
    <col min="8451" max="8451" width="8.140625" style="5" hidden="1"/>
    <col min="8452" max="8452" width="12.85546875" style="5" hidden="1"/>
    <col min="8453" max="8454" width="13.28515625" style="5" hidden="1"/>
    <col min="8455" max="8701" width="10.42578125" style="5" hidden="1"/>
    <col min="8702" max="8702" width="8.42578125" style="5" hidden="1"/>
    <col min="8703" max="8704" width="12.85546875" style="5" hidden="1"/>
    <col min="8705" max="8705" width="9.7109375" style="5" hidden="1"/>
    <col min="8706" max="8706" width="7.28515625" style="5" hidden="1"/>
    <col min="8707" max="8707" width="8.140625" style="5" hidden="1"/>
    <col min="8708" max="8708" width="12.85546875" style="5" hidden="1"/>
    <col min="8709" max="8710" width="13.28515625" style="5" hidden="1"/>
    <col min="8711" max="8957" width="10.42578125" style="5" hidden="1"/>
    <col min="8958" max="8958" width="8.42578125" style="5" hidden="1"/>
    <col min="8959" max="8960" width="12.85546875" style="5" hidden="1"/>
    <col min="8961" max="8961" width="9.7109375" style="5" hidden="1"/>
    <col min="8962" max="8962" width="7.28515625" style="5" hidden="1"/>
    <col min="8963" max="8963" width="8.140625" style="5" hidden="1"/>
    <col min="8964" max="8964" width="12.85546875" style="5" hidden="1"/>
    <col min="8965" max="8966" width="13.28515625" style="5" hidden="1"/>
    <col min="8967" max="9213" width="10.42578125" style="5" hidden="1"/>
    <col min="9214" max="9214" width="8.42578125" style="5" hidden="1"/>
    <col min="9215" max="9216" width="12.85546875" style="5" hidden="1"/>
    <col min="9217" max="9217" width="9.7109375" style="5" hidden="1"/>
    <col min="9218" max="9218" width="7.28515625" style="5" hidden="1"/>
    <col min="9219" max="9219" width="8.140625" style="5" hidden="1"/>
    <col min="9220" max="9220" width="12.85546875" style="5" hidden="1"/>
    <col min="9221" max="9222" width="13.28515625" style="5" hidden="1"/>
    <col min="9223" max="9469" width="10.42578125" style="5" hidden="1"/>
    <col min="9470" max="9470" width="8.42578125" style="5" hidden="1"/>
    <col min="9471" max="9472" width="12.85546875" style="5" hidden="1"/>
    <col min="9473" max="9473" width="9.7109375" style="5" hidden="1"/>
    <col min="9474" max="9474" width="7.28515625" style="5" hidden="1"/>
    <col min="9475" max="9475" width="8.140625" style="5" hidden="1"/>
    <col min="9476" max="9476" width="12.85546875" style="5" hidden="1"/>
    <col min="9477" max="9478" width="13.28515625" style="5" hidden="1"/>
    <col min="9479" max="9725" width="10.42578125" style="5" hidden="1"/>
    <col min="9726" max="9726" width="8.42578125" style="5" hidden="1"/>
    <col min="9727" max="9728" width="12.85546875" style="5" hidden="1"/>
    <col min="9729" max="9729" width="9.7109375" style="5" hidden="1"/>
    <col min="9730" max="9730" width="7.28515625" style="5" hidden="1"/>
    <col min="9731" max="9731" width="8.140625" style="5" hidden="1"/>
    <col min="9732" max="9732" width="12.85546875" style="5" hidden="1"/>
    <col min="9733" max="9734" width="13.28515625" style="5" hidden="1"/>
    <col min="9735" max="9981" width="10.42578125" style="5" hidden="1"/>
    <col min="9982" max="9982" width="8.42578125" style="5" hidden="1"/>
    <col min="9983" max="9984" width="12.85546875" style="5" hidden="1"/>
    <col min="9985" max="9985" width="9.7109375" style="5" hidden="1"/>
    <col min="9986" max="9986" width="7.28515625" style="5" hidden="1"/>
    <col min="9987" max="9987" width="8.140625" style="5" hidden="1"/>
    <col min="9988" max="9988" width="12.85546875" style="5" hidden="1"/>
    <col min="9989" max="9990" width="13.28515625" style="5" hidden="1"/>
    <col min="9991" max="10237" width="10.42578125" style="5" hidden="1"/>
    <col min="10238" max="10238" width="8.42578125" style="5" hidden="1"/>
    <col min="10239" max="10240" width="12.85546875" style="5" hidden="1"/>
    <col min="10241" max="10241" width="9.7109375" style="5" hidden="1"/>
    <col min="10242" max="10242" width="7.28515625" style="5" hidden="1"/>
    <col min="10243" max="10243" width="8.140625" style="5" hidden="1"/>
    <col min="10244" max="10244" width="12.85546875" style="5" hidden="1"/>
    <col min="10245" max="10246" width="13.28515625" style="5" hidden="1"/>
    <col min="10247" max="10493" width="10.42578125" style="5" hidden="1"/>
    <col min="10494" max="10494" width="8.42578125" style="5" hidden="1"/>
    <col min="10495" max="10496" width="12.85546875" style="5" hidden="1"/>
    <col min="10497" max="10497" width="9.7109375" style="5" hidden="1"/>
    <col min="10498" max="10498" width="7.28515625" style="5" hidden="1"/>
    <col min="10499" max="10499" width="8.140625" style="5" hidden="1"/>
    <col min="10500" max="10500" width="12.85546875" style="5" hidden="1"/>
    <col min="10501" max="10502" width="13.28515625" style="5" hidden="1"/>
    <col min="10503" max="10749" width="10.42578125" style="5" hidden="1"/>
    <col min="10750" max="10750" width="8.42578125" style="5" hidden="1"/>
    <col min="10751" max="10752" width="12.85546875" style="5" hidden="1"/>
    <col min="10753" max="10753" width="9.7109375" style="5" hidden="1"/>
    <col min="10754" max="10754" width="7.28515625" style="5" hidden="1"/>
    <col min="10755" max="10755" width="8.140625" style="5" hidden="1"/>
    <col min="10756" max="10756" width="12.85546875" style="5" hidden="1"/>
    <col min="10757" max="10758" width="13.28515625" style="5" hidden="1"/>
    <col min="10759" max="11005" width="10.42578125" style="5" hidden="1"/>
    <col min="11006" max="11006" width="8.42578125" style="5" hidden="1"/>
    <col min="11007" max="11008" width="12.85546875" style="5" hidden="1"/>
    <col min="11009" max="11009" width="9.7109375" style="5" hidden="1"/>
    <col min="11010" max="11010" width="7.28515625" style="5" hidden="1"/>
    <col min="11011" max="11011" width="8.140625" style="5" hidden="1"/>
    <col min="11012" max="11012" width="12.85546875" style="5" hidden="1"/>
    <col min="11013" max="11014" width="13.28515625" style="5" hidden="1"/>
    <col min="11015" max="11261" width="10.42578125" style="5" hidden="1"/>
    <col min="11262" max="11262" width="8.42578125" style="5" hidden="1"/>
    <col min="11263" max="11264" width="12.85546875" style="5" hidden="1"/>
    <col min="11265" max="11265" width="9.7109375" style="5" hidden="1"/>
    <col min="11266" max="11266" width="7.28515625" style="5" hidden="1"/>
    <col min="11267" max="11267" width="8.140625" style="5" hidden="1"/>
    <col min="11268" max="11268" width="12.85546875" style="5" hidden="1"/>
    <col min="11269" max="11270" width="13.28515625" style="5" hidden="1"/>
    <col min="11271" max="11517" width="10.42578125" style="5" hidden="1"/>
    <col min="11518" max="11518" width="8.42578125" style="5" hidden="1"/>
    <col min="11519" max="11520" width="12.85546875" style="5" hidden="1"/>
    <col min="11521" max="11521" width="9.7109375" style="5" hidden="1"/>
    <col min="11522" max="11522" width="7.28515625" style="5" hidden="1"/>
    <col min="11523" max="11523" width="8.140625" style="5" hidden="1"/>
    <col min="11524" max="11524" width="12.85546875" style="5" hidden="1"/>
    <col min="11525" max="11526" width="13.28515625" style="5" hidden="1"/>
    <col min="11527" max="11773" width="10.42578125" style="5" hidden="1"/>
    <col min="11774" max="11774" width="8.42578125" style="5" hidden="1"/>
    <col min="11775" max="11776" width="12.85546875" style="5" hidden="1"/>
    <col min="11777" max="11777" width="9.7109375" style="5" hidden="1"/>
    <col min="11778" max="11778" width="7.28515625" style="5" hidden="1"/>
    <col min="11779" max="11779" width="8.140625" style="5" hidden="1"/>
    <col min="11780" max="11780" width="12.85546875" style="5" hidden="1"/>
    <col min="11781" max="11782" width="13.28515625" style="5" hidden="1"/>
    <col min="11783" max="12029" width="10.42578125" style="5" hidden="1"/>
    <col min="12030" max="12030" width="8.42578125" style="5" hidden="1"/>
    <col min="12031" max="12032" width="12.85546875" style="5" hidden="1"/>
    <col min="12033" max="12033" width="9.7109375" style="5" hidden="1"/>
    <col min="12034" max="12034" width="7.28515625" style="5" hidden="1"/>
    <col min="12035" max="12035" width="8.140625" style="5" hidden="1"/>
    <col min="12036" max="12036" width="12.85546875" style="5" hidden="1"/>
    <col min="12037" max="12038" width="13.28515625" style="5" hidden="1"/>
    <col min="12039" max="12285" width="10.42578125" style="5" hidden="1"/>
    <col min="12286" max="12286" width="8.42578125" style="5" hidden="1"/>
    <col min="12287" max="12288" width="12.85546875" style="5" hidden="1"/>
    <col min="12289" max="12289" width="9.7109375" style="5" hidden="1"/>
    <col min="12290" max="12290" width="7.28515625" style="5" hidden="1"/>
    <col min="12291" max="12291" width="8.140625" style="5" hidden="1"/>
    <col min="12292" max="12292" width="12.85546875" style="5" hidden="1"/>
    <col min="12293" max="12294" width="13.28515625" style="5" hidden="1"/>
    <col min="12295" max="12541" width="10.42578125" style="5" hidden="1"/>
    <col min="12542" max="12542" width="8.42578125" style="5" hidden="1"/>
    <col min="12543" max="12544" width="12.85546875" style="5" hidden="1"/>
    <col min="12545" max="12545" width="9.7109375" style="5" hidden="1"/>
    <col min="12546" max="12546" width="7.28515625" style="5" hidden="1"/>
    <col min="12547" max="12547" width="8.140625" style="5" hidden="1"/>
    <col min="12548" max="12548" width="12.85546875" style="5" hidden="1"/>
    <col min="12549" max="12550" width="13.28515625" style="5" hidden="1"/>
    <col min="12551" max="12797" width="10.42578125" style="5" hidden="1"/>
    <col min="12798" max="12798" width="8.42578125" style="5" hidden="1"/>
    <col min="12799" max="12800" width="12.85546875" style="5" hidden="1"/>
    <col min="12801" max="12801" width="9.7109375" style="5" hidden="1"/>
    <col min="12802" max="12802" width="7.28515625" style="5" hidden="1"/>
    <col min="12803" max="12803" width="8.140625" style="5" hidden="1"/>
    <col min="12804" max="12804" width="12.85546875" style="5" hidden="1"/>
    <col min="12805" max="12806" width="13.28515625" style="5" hidden="1"/>
    <col min="12807" max="13053" width="10.42578125" style="5" hidden="1"/>
    <col min="13054" max="13054" width="8.42578125" style="5" hidden="1"/>
    <col min="13055" max="13056" width="12.85546875" style="5" hidden="1"/>
    <col min="13057" max="13057" width="9.7109375" style="5" hidden="1"/>
    <col min="13058" max="13058" width="7.28515625" style="5" hidden="1"/>
    <col min="13059" max="13059" width="8.140625" style="5" hidden="1"/>
    <col min="13060" max="13060" width="12.85546875" style="5" hidden="1"/>
    <col min="13061" max="13062" width="13.28515625" style="5" hidden="1"/>
    <col min="13063" max="13309" width="10.42578125" style="5" hidden="1"/>
    <col min="13310" max="13310" width="8.42578125" style="5" hidden="1"/>
    <col min="13311" max="13312" width="12.85546875" style="5" hidden="1"/>
    <col min="13313" max="13313" width="9.7109375" style="5" hidden="1"/>
    <col min="13314" max="13314" width="7.28515625" style="5" hidden="1"/>
    <col min="13315" max="13315" width="8.140625" style="5" hidden="1"/>
    <col min="13316" max="13316" width="12.85546875" style="5" hidden="1"/>
    <col min="13317" max="13318" width="13.28515625" style="5" hidden="1"/>
    <col min="13319" max="13565" width="10.42578125" style="5" hidden="1"/>
    <col min="13566" max="13566" width="8.42578125" style="5" hidden="1"/>
    <col min="13567" max="13568" width="12.85546875" style="5" hidden="1"/>
    <col min="13569" max="13569" width="9.7109375" style="5" hidden="1"/>
    <col min="13570" max="13570" width="7.28515625" style="5" hidden="1"/>
    <col min="13571" max="13571" width="8.140625" style="5" hidden="1"/>
    <col min="13572" max="13572" width="12.85546875" style="5" hidden="1"/>
    <col min="13573" max="13574" width="13.28515625" style="5" hidden="1"/>
    <col min="13575" max="13821" width="10.42578125" style="5" hidden="1"/>
    <col min="13822" max="13822" width="8.42578125" style="5" hidden="1"/>
    <col min="13823" max="13824" width="12.85546875" style="5" hidden="1"/>
    <col min="13825" max="13825" width="9.7109375" style="5" hidden="1"/>
    <col min="13826" max="13826" width="7.28515625" style="5" hidden="1"/>
    <col min="13827" max="13827" width="8.140625" style="5" hidden="1"/>
    <col min="13828" max="13828" width="12.85546875" style="5" hidden="1"/>
    <col min="13829" max="13830" width="13.28515625" style="5" hidden="1"/>
    <col min="13831" max="14077" width="10.42578125" style="5" hidden="1"/>
    <col min="14078" max="14078" width="8.42578125" style="5" hidden="1"/>
    <col min="14079" max="14080" width="12.85546875" style="5" hidden="1"/>
    <col min="14081" max="14081" width="9.7109375" style="5" hidden="1"/>
    <col min="14082" max="14082" width="7.28515625" style="5" hidden="1"/>
    <col min="14083" max="14083" width="8.140625" style="5" hidden="1"/>
    <col min="14084" max="14084" width="12.85546875" style="5" hidden="1"/>
    <col min="14085" max="14086" width="13.28515625" style="5" hidden="1"/>
    <col min="14087" max="14333" width="10.42578125" style="5" hidden="1"/>
    <col min="14334" max="14334" width="8.42578125" style="5" hidden="1"/>
    <col min="14335" max="14336" width="12.85546875" style="5" hidden="1"/>
    <col min="14337" max="14337" width="9.7109375" style="5" hidden="1"/>
    <col min="14338" max="14338" width="7.28515625" style="5" hidden="1"/>
    <col min="14339" max="14339" width="8.140625" style="5" hidden="1"/>
    <col min="14340" max="14340" width="12.85546875" style="5" hidden="1"/>
    <col min="14341" max="14342" width="13.28515625" style="5" hidden="1"/>
    <col min="14343" max="14589" width="10.42578125" style="5" hidden="1"/>
    <col min="14590" max="14590" width="8.42578125" style="5" hidden="1"/>
    <col min="14591" max="14592" width="12.85546875" style="5" hidden="1"/>
    <col min="14593" max="14593" width="9.7109375" style="5" hidden="1"/>
    <col min="14594" max="14594" width="7.28515625" style="5" hidden="1"/>
    <col min="14595" max="14595" width="8.140625" style="5" hidden="1"/>
    <col min="14596" max="14596" width="12.85546875" style="5" hidden="1"/>
    <col min="14597" max="14598" width="13.28515625" style="5" hidden="1"/>
    <col min="14599" max="14845" width="10.42578125" style="5" hidden="1"/>
    <col min="14846" max="14846" width="8.42578125" style="5" hidden="1"/>
    <col min="14847" max="14848" width="12.85546875" style="5" hidden="1"/>
    <col min="14849" max="14849" width="9.7109375" style="5" hidden="1"/>
    <col min="14850" max="14850" width="7.28515625" style="5" hidden="1"/>
    <col min="14851" max="14851" width="8.140625" style="5" hidden="1"/>
    <col min="14852" max="14852" width="12.85546875" style="5" hidden="1"/>
    <col min="14853" max="14854" width="13.28515625" style="5" hidden="1"/>
    <col min="14855" max="15101" width="10.42578125" style="5" hidden="1"/>
    <col min="15102" max="15102" width="8.42578125" style="5" hidden="1"/>
    <col min="15103" max="15104" width="12.85546875" style="5" hidden="1"/>
    <col min="15105" max="15105" width="9.7109375" style="5" hidden="1"/>
    <col min="15106" max="15106" width="7.28515625" style="5" hidden="1"/>
    <col min="15107" max="15107" width="8.140625" style="5" hidden="1"/>
    <col min="15108" max="15108" width="12.85546875" style="5" hidden="1"/>
    <col min="15109" max="15110" width="13.28515625" style="5" hidden="1"/>
    <col min="15111" max="15357" width="10.42578125" style="5" hidden="1"/>
    <col min="15358" max="15358" width="8.42578125" style="5" hidden="1"/>
    <col min="15359" max="15360" width="12.85546875" style="5" hidden="1"/>
    <col min="15361" max="15361" width="9.7109375" style="5" hidden="1"/>
    <col min="15362" max="15362" width="7.28515625" style="5" hidden="1"/>
    <col min="15363" max="15363" width="8.140625" style="5" hidden="1"/>
    <col min="15364" max="15364" width="12.85546875" style="5" hidden="1"/>
    <col min="15365" max="15366" width="13.28515625" style="5" hidden="1"/>
    <col min="15367" max="15613" width="10.42578125" style="5" hidden="1"/>
    <col min="15614" max="15614" width="8.42578125" style="5" hidden="1"/>
    <col min="15615" max="15616" width="12.85546875" style="5" hidden="1"/>
    <col min="15617" max="15617" width="9.7109375" style="5" hidden="1"/>
    <col min="15618" max="15618" width="7.28515625" style="5" hidden="1"/>
    <col min="15619" max="15619" width="8.140625" style="5" hidden="1"/>
    <col min="15620" max="15620" width="12.85546875" style="5" hidden="1"/>
    <col min="15621" max="15622" width="13.28515625" style="5" hidden="1"/>
    <col min="15623" max="15869" width="10.42578125" style="5" hidden="1"/>
    <col min="15870" max="15870" width="8.42578125" style="5" hidden="1"/>
    <col min="15871" max="15872" width="12.85546875" style="5" hidden="1"/>
    <col min="15873" max="15873" width="9.7109375" style="5" hidden="1"/>
    <col min="15874" max="15874" width="7.28515625" style="5" hidden="1"/>
    <col min="15875" max="15875" width="8.140625" style="5" hidden="1"/>
    <col min="15876" max="15876" width="12.85546875" style="5" hidden="1"/>
    <col min="15877" max="15878" width="13.28515625" style="5" hidden="1"/>
    <col min="15879" max="16125" width="10.42578125" style="5" hidden="1"/>
    <col min="16126" max="16126" width="8.42578125" style="5" hidden="1"/>
    <col min="16127" max="16128" width="12.85546875" style="5" hidden="1"/>
    <col min="16129" max="16129" width="9.7109375" style="5" hidden="1"/>
    <col min="16130" max="16130" width="7.28515625" style="5" hidden="1"/>
    <col min="16131" max="16131" width="8.140625" style="5" hidden="1"/>
    <col min="16132" max="16132" width="12.85546875" style="5" hidden="1"/>
    <col min="16133" max="16134" width="13.28515625" style="5" hidden="1"/>
    <col min="16135" max="16384" width="10.42578125" style="5" hidden="1"/>
  </cols>
  <sheetData>
    <row r="1" spans="2:6" ht="15" x14ac:dyDescent="0.3">
      <c r="B1" s="1" t="s">
        <v>115</v>
      </c>
      <c r="C1" s="2"/>
      <c r="D1" s="3"/>
      <c r="E1" s="2"/>
      <c r="F1" s="4" t="s">
        <v>109</v>
      </c>
    </row>
    <row r="2" spans="2:6" ht="15" x14ac:dyDescent="0.3">
      <c r="B2" s="1" t="s">
        <v>116</v>
      </c>
      <c r="C2" s="1"/>
      <c r="D2" s="3"/>
      <c r="E2" s="2"/>
    </row>
    <row r="3" spans="2:6" x14ac:dyDescent="0.25">
      <c r="B3" s="2"/>
      <c r="C3" s="2"/>
      <c r="D3" s="3"/>
      <c r="E3" s="2"/>
      <c r="F3" s="6"/>
    </row>
    <row r="4" spans="2:6" ht="15" x14ac:dyDescent="0.25">
      <c r="B4" s="7" t="s">
        <v>0</v>
      </c>
      <c r="C4" s="104" t="s">
        <v>117</v>
      </c>
      <c r="D4" s="9"/>
      <c r="E4" s="10" t="s">
        <v>10</v>
      </c>
      <c r="F4" s="13"/>
    </row>
    <row r="5" spans="2:6" ht="15" x14ac:dyDescent="0.25">
      <c r="B5" s="7" t="s">
        <v>1</v>
      </c>
      <c r="C5" s="104" t="s">
        <v>118</v>
      </c>
      <c r="D5" s="11"/>
      <c r="E5" s="10" t="s">
        <v>119</v>
      </c>
      <c r="F5" s="105"/>
    </row>
    <row r="6" spans="2:6" ht="15" x14ac:dyDescent="0.25">
      <c r="B6" s="7" t="s">
        <v>2</v>
      </c>
      <c r="C6" s="12" t="s">
        <v>80</v>
      </c>
      <c r="D6" s="11"/>
      <c r="E6" s="10" t="s">
        <v>11</v>
      </c>
      <c r="F6" s="106"/>
    </row>
    <row r="7" spans="2:6" ht="15" x14ac:dyDescent="0.25">
      <c r="E7" s="10" t="s">
        <v>120</v>
      </c>
      <c r="F7" s="105"/>
    </row>
    <row r="8" spans="2:6" ht="15" x14ac:dyDescent="0.3">
      <c r="B8" s="14" t="s">
        <v>5</v>
      </c>
      <c r="C8" s="14"/>
      <c r="D8" s="14"/>
      <c r="E8" s="14"/>
      <c r="F8" s="14"/>
    </row>
    <row r="9" spans="2:6" ht="15" x14ac:dyDescent="0.3">
      <c r="B9" s="15"/>
      <c r="C9" s="15"/>
      <c r="D9" s="15"/>
      <c r="E9" s="15"/>
      <c r="F9" s="15"/>
    </row>
    <row r="10" spans="2:6" ht="30" x14ac:dyDescent="0.25">
      <c r="B10" s="16" t="s">
        <v>6</v>
      </c>
      <c r="C10" s="16" t="s">
        <v>22</v>
      </c>
      <c r="D10" s="17" t="s">
        <v>21</v>
      </c>
      <c r="E10" s="17" t="s">
        <v>7</v>
      </c>
      <c r="F10" s="17" t="s">
        <v>8</v>
      </c>
    </row>
    <row r="11" spans="2:6" x14ac:dyDescent="0.25">
      <c r="B11" s="18"/>
      <c r="C11" s="19"/>
      <c r="D11" s="18"/>
      <c r="E11" s="19"/>
      <c r="F11" s="20"/>
    </row>
    <row r="12" spans="2:6" x14ac:dyDescent="0.25">
      <c r="B12" s="21">
        <v>1</v>
      </c>
      <c r="C12" s="22" t="s">
        <v>19</v>
      </c>
      <c r="D12" s="21" t="str">
        <f>$F$1&amp;" - "&amp;B12</f>
        <v>BS.10 - 1</v>
      </c>
      <c r="E12" s="22"/>
      <c r="F12" s="23"/>
    </row>
    <row r="13" spans="2:6" x14ac:dyDescent="0.25">
      <c r="B13" s="21"/>
      <c r="C13" s="22"/>
      <c r="D13" s="21"/>
      <c r="E13" s="22"/>
      <c r="F13" s="23"/>
    </row>
    <row r="14" spans="2:6" x14ac:dyDescent="0.25">
      <c r="B14" s="21">
        <f>B12+1</f>
        <v>2</v>
      </c>
      <c r="C14" s="22" t="s">
        <v>20</v>
      </c>
      <c r="D14" s="21" t="str">
        <f>$F$1&amp;" - "&amp;B14</f>
        <v>BS.10 - 2</v>
      </c>
      <c r="E14" s="22"/>
      <c r="F14" s="23"/>
    </row>
    <row r="15" spans="2:6" x14ac:dyDescent="0.25">
      <c r="B15" s="21"/>
      <c r="C15" s="22"/>
      <c r="D15" s="21"/>
      <c r="E15" s="22"/>
      <c r="F15" s="23"/>
    </row>
    <row r="16" spans="2:6" x14ac:dyDescent="0.25">
      <c r="B16" s="21">
        <f>B14+1</f>
        <v>3</v>
      </c>
      <c r="C16" s="22" t="s">
        <v>32</v>
      </c>
      <c r="D16" s="21" t="str">
        <f>$F$1&amp;" - "&amp;B16</f>
        <v>BS.10 - 3</v>
      </c>
      <c r="E16" s="22"/>
      <c r="F16" s="23"/>
    </row>
    <row r="17" spans="2:6" x14ac:dyDescent="0.25">
      <c r="B17" s="21"/>
      <c r="C17" s="22"/>
      <c r="D17" s="21"/>
      <c r="E17" s="22"/>
      <c r="F17" s="23"/>
    </row>
    <row r="18" spans="2:6" ht="15" x14ac:dyDescent="0.25">
      <c r="B18" s="21">
        <f>B16+1</f>
        <v>4</v>
      </c>
      <c r="C18" s="22" t="s">
        <v>50</v>
      </c>
      <c r="D18" s="21" t="str">
        <f>$F$1&amp;" - "&amp;B18</f>
        <v>BS.10 - 4</v>
      </c>
      <c r="E18" s="22"/>
      <c r="F18" s="107"/>
    </row>
    <row r="19" spans="2:6" x14ac:dyDescent="0.25">
      <c r="B19" s="21"/>
      <c r="C19" s="22"/>
      <c r="D19" s="21"/>
      <c r="E19" s="22"/>
      <c r="F19" s="23"/>
    </row>
    <row r="20" spans="2:6" x14ac:dyDescent="0.25">
      <c r="B20" s="21">
        <f>B18+1</f>
        <v>5</v>
      </c>
      <c r="C20" s="22" t="s">
        <v>33</v>
      </c>
      <c r="D20" s="21" t="str">
        <f>$F$1&amp;" - "&amp;B20</f>
        <v>BS.10 - 5</v>
      </c>
      <c r="E20" s="22"/>
      <c r="F20" s="23"/>
    </row>
    <row r="21" spans="2:6" x14ac:dyDescent="0.25">
      <c r="B21" s="21"/>
      <c r="C21" s="22"/>
      <c r="D21" s="21"/>
      <c r="E21" s="22"/>
      <c r="F21" s="23"/>
    </row>
    <row r="22" spans="2:6" x14ac:dyDescent="0.25">
      <c r="B22" s="21">
        <f>B20+1</f>
        <v>6</v>
      </c>
      <c r="C22" s="22" t="s">
        <v>34</v>
      </c>
      <c r="D22" s="21" t="str">
        <f>$F$1&amp;" - "&amp;B22</f>
        <v>BS.10 - 6</v>
      </c>
      <c r="E22" s="22"/>
      <c r="F22" s="23"/>
    </row>
    <row r="23" spans="2:6" x14ac:dyDescent="0.25">
      <c r="B23" s="21"/>
      <c r="C23" s="22"/>
      <c r="D23" s="21"/>
      <c r="E23" s="22"/>
      <c r="F23" s="23"/>
    </row>
    <row r="24" spans="2:6" x14ac:dyDescent="0.25">
      <c r="B24" s="21">
        <f>B22+1</f>
        <v>7</v>
      </c>
      <c r="C24" s="22" t="s">
        <v>38</v>
      </c>
      <c r="D24" s="21" t="str">
        <f>$F$1&amp;" - "&amp;B24</f>
        <v>BS.10 - 7</v>
      </c>
      <c r="E24" s="22"/>
      <c r="F24" s="23"/>
    </row>
    <row r="25" spans="2:6" x14ac:dyDescent="0.25">
      <c r="B25" s="21"/>
      <c r="C25" s="22"/>
      <c r="D25" s="21"/>
      <c r="E25" s="22"/>
      <c r="F25" s="23"/>
    </row>
    <row r="26" spans="2:6" x14ac:dyDescent="0.25">
      <c r="B26" s="21">
        <f>B24+1</f>
        <v>8</v>
      </c>
      <c r="C26" s="22" t="s">
        <v>51</v>
      </c>
      <c r="D26" s="21" t="str">
        <f>$F$1&amp;" - "&amp;B26</f>
        <v>BS.10 - 8</v>
      </c>
      <c r="E26" s="22"/>
      <c r="F26" s="23"/>
    </row>
    <row r="27" spans="2:6" x14ac:dyDescent="0.25">
      <c r="B27" s="21"/>
      <c r="C27" s="22"/>
      <c r="D27" s="21"/>
      <c r="E27" s="22"/>
      <c r="F27" s="23"/>
    </row>
    <row r="28" spans="2:6" x14ac:dyDescent="0.25">
      <c r="B28" s="21"/>
      <c r="C28" s="22"/>
      <c r="D28" s="21"/>
      <c r="E28" s="22"/>
      <c r="F28" s="23"/>
    </row>
    <row r="29" spans="2:6" x14ac:dyDescent="0.25">
      <c r="B29" s="21"/>
      <c r="C29" s="24"/>
      <c r="D29" s="21"/>
      <c r="E29" s="22"/>
      <c r="F29" s="23"/>
    </row>
    <row r="30" spans="2:6" x14ac:dyDescent="0.25">
      <c r="B30" s="21"/>
      <c r="C30" s="22"/>
      <c r="D30" s="21"/>
      <c r="E30" s="22"/>
      <c r="F30" s="23"/>
    </row>
    <row r="31" spans="2:6" x14ac:dyDescent="0.25">
      <c r="B31" s="21"/>
      <c r="C31" s="22"/>
      <c r="D31" s="21"/>
      <c r="E31" s="22"/>
      <c r="F31" s="23"/>
    </row>
    <row r="32" spans="2:6" x14ac:dyDescent="0.25">
      <c r="B32" s="21"/>
      <c r="C32" s="24"/>
      <c r="D32" s="21"/>
      <c r="E32" s="22"/>
      <c r="F32" s="23"/>
    </row>
    <row r="33" spans="2:6" x14ac:dyDescent="0.25">
      <c r="B33" s="21"/>
      <c r="C33" s="24"/>
      <c r="D33" s="21"/>
      <c r="E33" s="22"/>
      <c r="F33" s="23"/>
    </row>
    <row r="34" spans="2:6" x14ac:dyDescent="0.25">
      <c r="B34" s="21"/>
      <c r="C34" s="24"/>
      <c r="D34" s="21"/>
      <c r="E34" s="22"/>
      <c r="F34" s="23"/>
    </row>
    <row r="35" spans="2:6" x14ac:dyDescent="0.25">
      <c r="B35" s="21"/>
      <c r="C35" s="22"/>
      <c r="D35" s="21"/>
      <c r="E35" s="22"/>
      <c r="F35" s="23"/>
    </row>
    <row r="36" spans="2:6" x14ac:dyDescent="0.25">
      <c r="B36" s="21"/>
      <c r="C36" s="22"/>
      <c r="D36" s="21"/>
      <c r="E36" s="22"/>
      <c r="F36" s="23"/>
    </row>
    <row r="37" spans="2:6" x14ac:dyDescent="0.25">
      <c r="B37" s="21"/>
      <c r="C37" s="22"/>
      <c r="D37" s="21"/>
      <c r="E37" s="22"/>
      <c r="F37" s="23"/>
    </row>
    <row r="38" spans="2:6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2"/>
  <sheetViews>
    <sheetView showGridLines="0" topLeftCell="A2" zoomScaleNormal="100" zoomScaleSheetLayoutView="100" workbookViewId="0">
      <selection activeCell="D4" sqref="D4"/>
    </sheetView>
  </sheetViews>
  <sheetFormatPr defaultColWidth="0" defaultRowHeight="13.5" zeroHeight="1" x14ac:dyDescent="0.25"/>
  <cols>
    <col min="1" max="1" width="1" style="6" customWidth="1"/>
    <col min="2" max="2" width="10" style="6" customWidth="1"/>
    <col min="3" max="3" width="61.42578125" style="6" customWidth="1"/>
    <col min="4" max="5" width="13.5703125" style="6" customWidth="1"/>
    <col min="6" max="6" width="1" style="6" customWidth="1"/>
    <col min="7" max="7" width="9.140625" style="6" hidden="1" customWidth="1"/>
    <col min="8" max="9" width="0" style="6" hidden="1" customWidth="1"/>
    <col min="10" max="16384" width="9.140625" style="6" hidden="1"/>
  </cols>
  <sheetData>
    <row r="1" spans="2:6" s="5" customFormat="1" ht="15" x14ac:dyDescent="0.25">
      <c r="B1" s="25" t="str">
        <f>Index!$B$1</f>
        <v>ABC &amp; Co.</v>
      </c>
      <c r="D1" s="26"/>
      <c r="E1" s="27" t="str">
        <f>Index!D12</f>
        <v>BS.10 - 1</v>
      </c>
    </row>
    <row r="2" spans="2:6" s="5" customFormat="1" ht="15" x14ac:dyDescent="0.25">
      <c r="B2" s="5" t="str">
        <f>Index!$B$2</f>
        <v>(Chartered Accountants)</v>
      </c>
      <c r="D2" s="26"/>
    </row>
    <row r="3" spans="2:6" s="5" customFormat="1" x14ac:dyDescent="0.25">
      <c r="E3" s="6"/>
      <c r="F3" s="6"/>
    </row>
    <row r="4" spans="2:6" s="5" customFormat="1" ht="15" x14ac:dyDescent="0.25">
      <c r="B4" s="7" t="str">
        <f>Index!$B$4</f>
        <v xml:space="preserve">Client: </v>
      </c>
      <c r="C4" s="8" t="str">
        <f>Index!$C$4</f>
        <v>ABC Limited</v>
      </c>
      <c r="D4" s="10" t="str">
        <f>Index!$E$4</f>
        <v>Prepared by:</v>
      </c>
      <c r="E4" s="13" t="str">
        <f>IF(Index!$F$4="","",Index!$F$4)</f>
        <v/>
      </c>
    </row>
    <row r="5" spans="2:6" s="5" customFormat="1" ht="15" x14ac:dyDescent="0.25">
      <c r="B5" s="7" t="str">
        <f>Index!$B$5</f>
        <v>Period:</v>
      </c>
      <c r="C5" s="8" t="str">
        <f>Index!$C$5</f>
        <v>Year ended June 30, 2023</v>
      </c>
      <c r="D5" s="10" t="str">
        <f>Index!$E$5</f>
        <v>Date prepared:</v>
      </c>
      <c r="E5" s="105" t="str">
        <f>IF(Index!$F$5="","",Index!$F$5)</f>
        <v/>
      </c>
    </row>
    <row r="6" spans="2:6" s="5" customFormat="1" ht="15" x14ac:dyDescent="0.25">
      <c r="B6" s="7" t="str">
        <f>Index!$B$6</f>
        <v>Head:</v>
      </c>
      <c r="C6" s="8" t="str">
        <f>Index!$C$6</f>
        <v>Short term loans and advances</v>
      </c>
      <c r="D6" s="10" t="str">
        <f>Index!$E$6</f>
        <v>Reviewed by:</v>
      </c>
      <c r="E6" s="106" t="str">
        <f>IF(Index!$F$6="","",Index!$F$6)</f>
        <v/>
      </c>
    </row>
    <row r="7" spans="2:6" ht="15" x14ac:dyDescent="0.25">
      <c r="B7" s="5"/>
      <c r="C7" s="5"/>
      <c r="D7" s="10" t="str">
        <f>Index!$E$7</f>
        <v>Date reviewed:</v>
      </c>
      <c r="E7" s="105" t="str">
        <f>IF(Index!$F$7="","",Index!$F$7)</f>
        <v/>
      </c>
      <c r="F7" s="5"/>
    </row>
    <row r="8" spans="2:6" s="5" customFormat="1" ht="15" x14ac:dyDescent="0.25">
      <c r="B8" s="97" t="str">
        <f>UPPER("Audit Objectives and Conclusions")</f>
        <v>AUDIT OBJECTIVES AND CONCLUSIONS</v>
      </c>
      <c r="C8" s="97"/>
      <c r="D8" s="97"/>
      <c r="E8" s="97"/>
      <c r="F8" s="25"/>
    </row>
    <row r="9" spans="2:6" x14ac:dyDescent="0.25"/>
    <row r="10" spans="2:6" ht="20.25" customHeight="1" x14ac:dyDescent="0.25">
      <c r="B10" s="28" t="s">
        <v>6</v>
      </c>
      <c r="C10" s="28" t="s">
        <v>14</v>
      </c>
      <c r="D10" s="29" t="s">
        <v>25</v>
      </c>
      <c r="E10" s="29"/>
      <c r="F10" s="30"/>
    </row>
    <row r="11" spans="2:6" ht="20.25" customHeight="1" x14ac:dyDescent="0.25">
      <c r="B11" s="28"/>
      <c r="C11" s="28"/>
      <c r="D11" s="31" t="s">
        <v>28</v>
      </c>
      <c r="E11" s="32" t="s">
        <v>29</v>
      </c>
      <c r="F11" s="30"/>
    </row>
    <row r="12" spans="2:6" s="35" customFormat="1" ht="15" x14ac:dyDescent="0.25">
      <c r="B12" s="33"/>
      <c r="C12" s="33"/>
      <c r="D12" s="34"/>
      <c r="E12" s="34"/>
    </row>
    <row r="13" spans="2:6" s="38" customFormat="1" ht="29.25" customHeight="1" x14ac:dyDescent="0.25">
      <c r="B13" s="36">
        <v>1</v>
      </c>
      <c r="C13" s="37" t="s">
        <v>75</v>
      </c>
      <c r="D13" s="37"/>
      <c r="E13" s="37"/>
    </row>
    <row r="14" spans="2:6" s="38" customFormat="1" ht="24" customHeight="1" x14ac:dyDescent="0.25">
      <c r="B14" s="36">
        <f>B13+1</f>
        <v>2</v>
      </c>
      <c r="C14" s="37" t="s">
        <v>76</v>
      </c>
      <c r="D14" s="37"/>
      <c r="E14" s="37"/>
    </row>
    <row r="15" spans="2:6" s="38" customFormat="1" ht="27" x14ac:dyDescent="0.25">
      <c r="B15" s="36">
        <f>B14+1</f>
        <v>3</v>
      </c>
      <c r="C15" s="37" t="s">
        <v>77</v>
      </c>
      <c r="D15" s="37"/>
      <c r="E15" s="37"/>
    </row>
    <row r="16" spans="2:6" s="38" customFormat="1" x14ac:dyDescent="0.25">
      <c r="B16" s="36">
        <f>B15+1</f>
        <v>4</v>
      </c>
      <c r="C16" s="37" t="s">
        <v>78</v>
      </c>
      <c r="D16" s="37"/>
      <c r="E16" s="37"/>
    </row>
    <row r="17" spans="2:9" s="38" customFormat="1" ht="27" x14ac:dyDescent="0.25">
      <c r="B17" s="36">
        <f>B16+1</f>
        <v>5</v>
      </c>
      <c r="C17" s="37" t="s">
        <v>79</v>
      </c>
      <c r="D17" s="37"/>
      <c r="E17" s="37"/>
    </row>
    <row r="18" spans="2:9" s="38" customFormat="1" ht="40.5" x14ac:dyDescent="0.25">
      <c r="B18" s="36">
        <f>B17+1</f>
        <v>6</v>
      </c>
      <c r="C18" s="37" t="s">
        <v>113</v>
      </c>
      <c r="D18" s="37"/>
      <c r="E18" s="37"/>
    </row>
    <row r="19" spans="2:9" s="42" customFormat="1" x14ac:dyDescent="0.25">
      <c r="B19" s="39"/>
      <c r="C19" s="40"/>
      <c r="D19" s="41"/>
      <c r="E19" s="41"/>
    </row>
    <row r="20" spans="2:9" s="42" customFormat="1" x14ac:dyDescent="0.25">
      <c r="B20" s="43"/>
      <c r="C20" s="44"/>
    </row>
    <row r="21" spans="2:9" s="38" customFormat="1" ht="19.5" customHeight="1" x14ac:dyDescent="0.25">
      <c r="B21" s="45" t="s">
        <v>6</v>
      </c>
      <c r="C21" s="45" t="s">
        <v>27</v>
      </c>
      <c r="D21" s="46" t="s">
        <v>26</v>
      </c>
      <c r="E21" s="46"/>
    </row>
    <row r="22" spans="2:9" s="50" customFormat="1" ht="19.5" customHeight="1" x14ac:dyDescent="0.25">
      <c r="B22" s="47"/>
      <c r="C22" s="47"/>
      <c r="D22" s="48" t="s">
        <v>28</v>
      </c>
      <c r="E22" s="49" t="s">
        <v>29</v>
      </c>
    </row>
    <row r="23" spans="2:9" s="50" customFormat="1" ht="15" x14ac:dyDescent="0.25">
      <c r="B23" s="51"/>
      <c r="C23" s="52"/>
      <c r="D23" s="53"/>
      <c r="E23" s="53"/>
    </row>
    <row r="24" spans="2:9" s="55" customFormat="1" ht="34.5" customHeight="1" x14ac:dyDescent="0.25">
      <c r="B24" s="36">
        <v>1</v>
      </c>
      <c r="C24" s="54" t="s">
        <v>23</v>
      </c>
      <c r="D24" s="54"/>
      <c r="E24" s="54"/>
    </row>
    <row r="25" spans="2:9" s="55" customFormat="1" ht="34.5" customHeight="1" x14ac:dyDescent="0.25">
      <c r="B25" s="36">
        <f>B24+1</f>
        <v>2</v>
      </c>
      <c r="C25" s="54" t="s">
        <v>24</v>
      </c>
      <c r="D25" s="54"/>
      <c r="E25" s="54"/>
    </row>
    <row r="26" spans="2:9" s="55" customFormat="1" ht="48.75" customHeight="1" x14ac:dyDescent="0.25">
      <c r="B26" s="36">
        <f>B25+1</f>
        <v>3</v>
      </c>
      <c r="C26" s="54" t="s">
        <v>36</v>
      </c>
      <c r="D26" s="54"/>
      <c r="E26" s="54"/>
    </row>
    <row r="27" spans="2:9" s="55" customFormat="1" ht="34.5" customHeight="1" x14ac:dyDescent="0.25">
      <c r="B27" s="36">
        <f>B26+1</f>
        <v>4</v>
      </c>
      <c r="C27" s="54" t="s">
        <v>37</v>
      </c>
      <c r="D27" s="54"/>
      <c r="E27" s="54"/>
    </row>
    <row r="28" spans="2:9" s="38" customFormat="1" x14ac:dyDescent="0.25">
      <c r="B28" s="56"/>
      <c r="C28" s="37"/>
      <c r="D28" s="37"/>
      <c r="E28" s="37"/>
    </row>
    <row r="29" spans="2:9" s="50" customFormat="1" x14ac:dyDescent="0.25">
      <c r="B29" s="57"/>
      <c r="C29" s="58"/>
    </row>
    <row r="30" spans="2:9" s="50" customFormat="1" hidden="1" x14ac:dyDescent="0.25"/>
    <row r="31" spans="2:9" s="50" customFormat="1" ht="15" hidden="1" x14ac:dyDescent="0.25">
      <c r="D31" s="59"/>
      <c r="E31" s="59"/>
      <c r="F31" s="59"/>
      <c r="G31" s="59"/>
      <c r="H31" s="59"/>
      <c r="I31" s="59"/>
    </row>
    <row r="32" spans="2:9" s="50" customFormat="1" hidden="1" x14ac:dyDescent="0.25"/>
  </sheetData>
  <mergeCells count="6">
    <mergeCell ref="D10:E10"/>
    <mergeCell ref="D21:E21"/>
    <mergeCell ref="C10:C11"/>
    <mergeCell ref="B10:B11"/>
    <mergeCell ref="B21:B22"/>
    <mergeCell ref="C21:C22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12"/>
  <sheetViews>
    <sheetView showGridLines="0" topLeftCell="A21" zoomScaleNormal="100" zoomScaleSheetLayoutView="100" workbookViewId="0">
      <selection activeCell="H42" sqref="H42"/>
    </sheetView>
  </sheetViews>
  <sheetFormatPr defaultColWidth="0" defaultRowHeight="13.5" zeroHeight="1" x14ac:dyDescent="0.25"/>
  <cols>
    <col min="1" max="1" width="1" style="6" customWidth="1"/>
    <col min="2" max="2" width="7.7109375" style="50" customWidth="1"/>
    <col min="3" max="3" width="33" style="50" customWidth="1"/>
    <col min="4" max="4" width="11.7109375" style="50" bestFit="1" customWidth="1"/>
    <col min="5" max="8" width="14.42578125" style="50" customWidth="1"/>
    <col min="9" max="9" width="21.7109375" style="50" bestFit="1" customWidth="1"/>
    <col min="10" max="10" width="1" style="6" customWidth="1"/>
    <col min="11" max="16384" width="9.140625" style="50" hidden="1"/>
  </cols>
  <sheetData>
    <row r="1" spans="1:10" ht="15" x14ac:dyDescent="0.25">
      <c r="A1" s="5"/>
      <c r="B1" s="25" t="str">
        <f>Index!$B$1</f>
        <v>ABC &amp; Co.</v>
      </c>
      <c r="C1" s="5"/>
      <c r="E1" s="59"/>
      <c r="H1" s="5"/>
      <c r="I1" s="60" t="str">
        <f>Index!D14</f>
        <v>BS.10 - 2</v>
      </c>
      <c r="J1" s="50"/>
    </row>
    <row r="2" spans="1:10" x14ac:dyDescent="0.25">
      <c r="A2" s="5"/>
      <c r="B2" s="5" t="str">
        <f>Index!$B$2</f>
        <v>(Chartered Accountants)</v>
      </c>
      <c r="C2" s="5"/>
      <c r="D2" s="61"/>
      <c r="E2" s="6"/>
      <c r="H2" s="5"/>
      <c r="J2" s="50"/>
    </row>
    <row r="3" spans="1:10" x14ac:dyDescent="0.25">
      <c r="A3" s="5"/>
      <c r="B3" s="5"/>
      <c r="C3" s="5"/>
      <c r="J3" s="5"/>
    </row>
    <row r="4" spans="1:10" s="2" customFormat="1" ht="15" x14ac:dyDescent="0.25">
      <c r="A4" s="6"/>
      <c r="B4" s="7" t="str">
        <f>Index!$B$4</f>
        <v xml:space="preserve">Client: </v>
      </c>
      <c r="C4" s="8" t="str">
        <f>Index!$C$4</f>
        <v>ABC Limited</v>
      </c>
      <c r="H4" s="10" t="str">
        <f>Index!$E$4</f>
        <v>Prepared by:</v>
      </c>
      <c r="I4" s="13" t="str">
        <f>IF(Index!$F$4="","",Index!$F$4)</f>
        <v/>
      </c>
      <c r="J4" s="6"/>
    </row>
    <row r="5" spans="1:10" s="2" customFormat="1" ht="15" x14ac:dyDescent="0.25">
      <c r="A5" s="5"/>
      <c r="B5" s="7" t="str">
        <f>Index!$B$5</f>
        <v>Period:</v>
      </c>
      <c r="C5" s="8" t="str">
        <f>Index!$C$5</f>
        <v>Year ended June 30, 2023</v>
      </c>
      <c r="H5" s="10" t="str">
        <f>Index!$E$5</f>
        <v>Date prepared:</v>
      </c>
      <c r="I5" s="105" t="str">
        <f>IF(Index!$F$5="","",Index!$F$5)</f>
        <v/>
      </c>
      <c r="J5" s="5"/>
    </row>
    <row r="6" spans="1:10" s="2" customFormat="1" ht="15" x14ac:dyDescent="0.25">
      <c r="A6" s="5"/>
      <c r="B6" s="7" t="str">
        <f>Index!$B$6</f>
        <v>Head:</v>
      </c>
      <c r="C6" s="8" t="str">
        <f>Index!$C$6</f>
        <v>Short term loans and advances</v>
      </c>
      <c r="H6" s="10" t="str">
        <f>Index!$E$6</f>
        <v>Reviewed by:</v>
      </c>
      <c r="I6" s="106" t="str">
        <f>IF(Index!$F$6="","",Index!$F$6)</f>
        <v/>
      </c>
      <c r="J6" s="5"/>
    </row>
    <row r="7" spans="1:10" s="2" customFormat="1" ht="15" x14ac:dyDescent="0.25">
      <c r="A7" s="5"/>
      <c r="B7" s="62"/>
      <c r="C7" s="8"/>
      <c r="H7" s="10" t="str">
        <f>Index!$E$7</f>
        <v>Date reviewed:</v>
      </c>
      <c r="I7" s="105" t="str">
        <f>IF(Index!$F$7="","",Index!$F$7)</f>
        <v/>
      </c>
      <c r="J7" s="5"/>
    </row>
    <row r="8" spans="1:10" ht="15" x14ac:dyDescent="0.25">
      <c r="B8" s="59" t="s">
        <v>9</v>
      </c>
      <c r="C8" s="59"/>
      <c r="D8" s="59"/>
      <c r="E8" s="59"/>
      <c r="F8" s="59"/>
      <c r="G8" s="59"/>
      <c r="H8" s="59"/>
      <c r="I8" s="59"/>
    </row>
    <row r="9" spans="1:10" ht="15" x14ac:dyDescent="0.25">
      <c r="A9" s="50"/>
      <c r="B9" s="59" t="s">
        <v>18</v>
      </c>
      <c r="J9" s="50"/>
    </row>
    <row r="10" spans="1:10" ht="15" x14ac:dyDescent="0.25">
      <c r="A10" s="50"/>
      <c r="B10" s="63" t="s">
        <v>110</v>
      </c>
      <c r="J10" s="50"/>
    </row>
    <row r="11" spans="1:10" ht="14.25" customHeight="1" x14ac:dyDescent="0.25">
      <c r="B11" s="108" t="s">
        <v>30</v>
      </c>
      <c r="C11" s="108"/>
      <c r="D11" s="108"/>
      <c r="E11" s="108"/>
      <c r="F11" s="108"/>
      <c r="G11" s="108"/>
      <c r="H11" s="108"/>
      <c r="I11" s="108"/>
      <c r="J11" s="108"/>
    </row>
    <row r="12" spans="1:10" ht="14.25" customHeight="1" x14ac:dyDescent="0.25">
      <c r="B12" s="64"/>
      <c r="C12" s="64"/>
      <c r="D12" s="64"/>
      <c r="E12" s="64"/>
      <c r="F12" s="64"/>
      <c r="G12" s="64"/>
      <c r="H12" s="64"/>
      <c r="I12" s="64"/>
      <c r="J12" s="64"/>
    </row>
    <row r="13" spans="1:10" ht="15" x14ac:dyDescent="0.25">
      <c r="A13" s="50"/>
      <c r="B13" s="63" t="s">
        <v>17</v>
      </c>
      <c r="C13" s="65"/>
      <c r="D13" s="65"/>
      <c r="E13" s="65"/>
      <c r="F13" s="65"/>
      <c r="G13" s="65"/>
      <c r="H13" s="65"/>
      <c r="I13" s="65"/>
      <c r="J13" s="50"/>
    </row>
    <row r="14" spans="1:10" x14ac:dyDescent="0.25">
      <c r="B14" s="109" t="s">
        <v>71</v>
      </c>
      <c r="C14" s="109"/>
      <c r="D14" s="109"/>
      <c r="E14" s="109"/>
      <c r="F14" s="109"/>
      <c r="G14" s="109"/>
      <c r="H14" s="109"/>
      <c r="I14" s="109"/>
    </row>
    <row r="15" spans="1:10" ht="13.5" customHeight="1" x14ac:dyDescent="0.25">
      <c r="B15" s="109" t="s">
        <v>121</v>
      </c>
      <c r="C15" s="109"/>
      <c r="D15" s="109"/>
      <c r="E15" s="109"/>
      <c r="F15" s="109"/>
      <c r="G15" s="109"/>
      <c r="H15" s="109"/>
      <c r="I15" s="109"/>
    </row>
    <row r="16" spans="1:10" x14ac:dyDescent="0.25">
      <c r="B16" s="109" t="s">
        <v>122</v>
      </c>
      <c r="C16" s="109"/>
      <c r="D16" s="109"/>
      <c r="E16" s="109"/>
      <c r="F16" s="109"/>
      <c r="G16" s="109"/>
      <c r="H16" s="109"/>
      <c r="I16" s="109"/>
    </row>
    <row r="17" spans="1:13" x14ac:dyDescent="0.25">
      <c r="B17" s="109" t="s">
        <v>100</v>
      </c>
      <c r="C17" s="109"/>
      <c r="D17" s="109"/>
      <c r="E17" s="109"/>
      <c r="F17" s="109"/>
      <c r="G17" s="109"/>
      <c r="H17" s="109"/>
      <c r="I17" s="109"/>
    </row>
    <row r="18" spans="1:13" x14ac:dyDescent="0.25">
      <c r="B18" s="109" t="s">
        <v>72</v>
      </c>
      <c r="C18" s="109"/>
      <c r="D18" s="109"/>
      <c r="E18" s="109"/>
      <c r="F18" s="109"/>
      <c r="G18" s="109"/>
      <c r="H18" s="109"/>
      <c r="I18" s="109"/>
    </row>
    <row r="19" spans="1:13" x14ac:dyDescent="0.25">
      <c r="B19" s="109" t="s">
        <v>111</v>
      </c>
      <c r="C19" s="109"/>
      <c r="D19" s="109"/>
      <c r="E19" s="109"/>
      <c r="F19" s="109"/>
      <c r="G19" s="109"/>
      <c r="H19" s="109"/>
      <c r="I19" s="109"/>
    </row>
    <row r="20" spans="1:13" ht="14.25" customHeight="1" x14ac:dyDescent="0.25">
      <c r="A20" s="50"/>
      <c r="B20" s="108" t="s">
        <v>35</v>
      </c>
      <c r="C20" s="108"/>
      <c r="D20" s="108"/>
      <c r="E20" s="108"/>
      <c r="F20" s="108"/>
      <c r="G20" s="108"/>
      <c r="H20" s="108"/>
      <c r="I20" s="108"/>
      <c r="J20" s="66"/>
      <c r="K20" s="66"/>
      <c r="L20" s="66"/>
      <c r="M20" s="66"/>
    </row>
    <row r="21" spans="1:13" ht="14.25" customHeight="1" x14ac:dyDescent="0.25">
      <c r="A21" s="50"/>
      <c r="B21" s="108" t="s">
        <v>114</v>
      </c>
      <c r="C21" s="108"/>
      <c r="D21" s="108"/>
      <c r="E21" s="108"/>
      <c r="F21" s="108"/>
      <c r="G21" s="108"/>
      <c r="H21" s="108"/>
      <c r="I21" s="108"/>
      <c r="J21" s="67"/>
      <c r="K21" s="67"/>
      <c r="L21" s="67"/>
      <c r="M21" s="67"/>
    </row>
    <row r="22" spans="1:13" ht="14.25" customHeight="1" x14ac:dyDescent="0.25">
      <c r="A22" s="50"/>
      <c r="B22" s="108"/>
      <c r="C22" s="108"/>
      <c r="D22" s="108"/>
      <c r="E22" s="108"/>
      <c r="F22" s="108"/>
      <c r="G22" s="108"/>
      <c r="H22" s="108"/>
      <c r="I22" s="108"/>
      <c r="J22" s="67"/>
      <c r="K22" s="67"/>
      <c r="L22" s="67"/>
      <c r="M22" s="67"/>
    </row>
    <row r="23" spans="1:13" ht="14.25" customHeight="1" x14ac:dyDescent="0.3">
      <c r="A23" s="50"/>
      <c r="B23" s="112" t="s">
        <v>126</v>
      </c>
      <c r="C23" s="108"/>
      <c r="D23" s="108"/>
      <c r="E23" s="108"/>
      <c r="F23" s="108"/>
      <c r="G23" s="108"/>
      <c r="H23" s="108"/>
      <c r="I23" s="108"/>
      <c r="J23" s="67"/>
      <c r="K23" s="67"/>
      <c r="L23" s="67"/>
      <c r="M23" s="67"/>
    </row>
    <row r="24" spans="1:13" ht="14.25" customHeight="1" x14ac:dyDescent="0.25">
      <c r="A24" s="50"/>
      <c r="B24" s="113" t="s">
        <v>127</v>
      </c>
      <c r="C24" s="108"/>
      <c r="D24" s="108"/>
      <c r="E24" s="108"/>
      <c r="F24" s="108"/>
      <c r="G24" s="108"/>
      <c r="H24" s="108"/>
      <c r="I24" s="108"/>
      <c r="J24" s="67"/>
      <c r="K24" s="67"/>
      <c r="L24" s="67"/>
      <c r="M24" s="67"/>
    </row>
    <row r="25" spans="1:13" ht="14.25" customHeight="1" x14ac:dyDescent="0.25">
      <c r="A25" s="50"/>
      <c r="B25" s="113"/>
      <c r="C25" s="108"/>
      <c r="D25" s="108"/>
      <c r="E25" s="108"/>
      <c r="F25" s="108"/>
      <c r="G25" s="108"/>
      <c r="H25" s="108"/>
      <c r="I25" s="108"/>
      <c r="J25" s="67"/>
      <c r="K25" s="67"/>
      <c r="L25" s="67"/>
      <c r="M25" s="67"/>
    </row>
    <row r="26" spans="1:13" ht="14.25" customHeight="1" x14ac:dyDescent="0.3">
      <c r="A26" s="50"/>
      <c r="B26" s="112" t="s">
        <v>27</v>
      </c>
      <c r="C26" s="108"/>
      <c r="D26" s="108"/>
      <c r="E26" s="108"/>
      <c r="F26" s="108"/>
      <c r="G26" s="108"/>
      <c r="H26" s="108"/>
      <c r="I26" s="108"/>
      <c r="J26" s="67"/>
      <c r="K26" s="67"/>
      <c r="L26" s="67"/>
      <c r="M26" s="67"/>
    </row>
    <row r="27" spans="1:13" ht="14.25" customHeight="1" x14ac:dyDescent="0.25">
      <c r="A27" s="50"/>
      <c r="B27" s="113" t="s">
        <v>26</v>
      </c>
      <c r="C27" s="108"/>
      <c r="D27" s="108"/>
      <c r="E27" s="108"/>
      <c r="F27" s="108"/>
      <c r="G27" s="108"/>
      <c r="H27" s="108"/>
      <c r="I27" s="108"/>
      <c r="J27" s="67"/>
      <c r="K27" s="67"/>
      <c r="L27" s="67"/>
      <c r="M27" s="67"/>
    </row>
    <row r="28" spans="1:13" ht="14.25" customHeight="1" x14ac:dyDescent="0.25">
      <c r="A28" s="50"/>
      <c r="B28" s="108"/>
      <c r="C28" s="108"/>
      <c r="D28" s="108"/>
      <c r="E28" s="108"/>
      <c r="F28" s="108"/>
      <c r="G28" s="108"/>
      <c r="H28" s="108"/>
      <c r="I28" s="108"/>
      <c r="J28" s="67"/>
      <c r="K28" s="67"/>
      <c r="L28" s="67"/>
      <c r="M28" s="67"/>
    </row>
    <row r="29" spans="1:13" x14ac:dyDescent="0.25">
      <c r="A29" s="5"/>
      <c r="B29" s="50" t="s">
        <v>3</v>
      </c>
      <c r="J29" s="5"/>
    </row>
    <row r="30" spans="1:13" ht="15" customHeight="1" x14ac:dyDescent="0.25">
      <c r="B30" s="68" t="s">
        <v>22</v>
      </c>
      <c r="C30" s="68"/>
      <c r="D30" s="68" t="s">
        <v>21</v>
      </c>
      <c r="E30" s="69">
        <v>2021</v>
      </c>
      <c r="F30" s="69">
        <f>E30-1</f>
        <v>2020</v>
      </c>
      <c r="G30" s="69" t="s">
        <v>12</v>
      </c>
      <c r="H30" s="69" t="s">
        <v>12</v>
      </c>
      <c r="I30" s="68" t="s">
        <v>13</v>
      </c>
    </row>
    <row r="31" spans="1:13" ht="15" x14ac:dyDescent="0.25">
      <c r="A31" s="35"/>
      <c r="B31" s="68"/>
      <c r="C31" s="68"/>
      <c r="D31" s="68"/>
      <c r="E31" s="69" t="s">
        <v>31</v>
      </c>
      <c r="F31" s="69" t="s">
        <v>31</v>
      </c>
      <c r="G31" s="69" t="s">
        <v>31</v>
      </c>
      <c r="H31" s="69" t="s">
        <v>15</v>
      </c>
      <c r="I31" s="68"/>
      <c r="J31" s="35"/>
    </row>
    <row r="32" spans="1:13" ht="15" x14ac:dyDescent="0.25">
      <c r="B32" s="70"/>
      <c r="C32" s="70"/>
      <c r="D32" s="52"/>
      <c r="E32" s="71"/>
      <c r="F32" s="72"/>
      <c r="G32" s="72"/>
      <c r="H32" s="72"/>
      <c r="I32" s="72"/>
    </row>
    <row r="33" spans="1:13" ht="15" x14ac:dyDescent="0.25">
      <c r="A33" s="35"/>
      <c r="B33" s="73" t="str">
        <f>C6</f>
        <v>Short term loans and advances</v>
      </c>
      <c r="C33" s="73"/>
      <c r="D33" s="74"/>
      <c r="E33" s="75"/>
      <c r="F33" s="75"/>
      <c r="G33" s="75"/>
      <c r="H33" s="75"/>
      <c r="I33" s="75"/>
      <c r="J33" s="35"/>
    </row>
    <row r="34" spans="1:13" ht="15" x14ac:dyDescent="0.25">
      <c r="A34" s="35"/>
      <c r="B34" s="76" t="s">
        <v>86</v>
      </c>
      <c r="C34" s="77"/>
      <c r="D34" s="74"/>
      <c r="E34" s="75"/>
      <c r="F34" s="75"/>
      <c r="G34" s="75"/>
      <c r="H34" s="75"/>
      <c r="I34" s="75"/>
      <c r="J34" s="35"/>
    </row>
    <row r="35" spans="1:13" x14ac:dyDescent="0.25">
      <c r="A35" s="42"/>
      <c r="B35" s="78" t="s">
        <v>81</v>
      </c>
      <c r="C35" s="78"/>
      <c r="D35" s="74"/>
      <c r="E35" s="79"/>
      <c r="F35" s="75"/>
      <c r="G35" s="75">
        <f t="shared" ref="G35" si="0">E35-F35</f>
        <v>0</v>
      </c>
      <c r="H35" s="114" t="str">
        <f>IFERROR(G35/F35,"")</f>
        <v/>
      </c>
      <c r="I35" s="75"/>
      <c r="J35" s="42"/>
    </row>
    <row r="36" spans="1:13" x14ac:dyDescent="0.25">
      <c r="A36" s="42"/>
      <c r="B36" s="78" t="s">
        <v>84</v>
      </c>
      <c r="C36" s="78"/>
      <c r="D36" s="74"/>
      <c r="E36" s="79"/>
      <c r="F36" s="75"/>
      <c r="G36" s="75">
        <f t="shared" ref="G36:G43" si="1">E36-F36</f>
        <v>0</v>
      </c>
      <c r="H36" s="114" t="str">
        <f t="shared" ref="H36:H37" si="2">IFERROR(G36/F36,"")</f>
        <v/>
      </c>
      <c r="I36" s="75"/>
      <c r="J36" s="42"/>
    </row>
    <row r="37" spans="1:13" x14ac:dyDescent="0.25">
      <c r="A37" s="42"/>
      <c r="B37" s="78" t="s">
        <v>89</v>
      </c>
      <c r="C37" s="78"/>
      <c r="D37" s="74"/>
      <c r="E37" s="79"/>
      <c r="F37" s="75"/>
      <c r="G37" s="75">
        <f t="shared" si="1"/>
        <v>0</v>
      </c>
      <c r="H37" s="114" t="str">
        <f t="shared" si="2"/>
        <v/>
      </c>
      <c r="I37" s="75"/>
      <c r="J37" s="42"/>
    </row>
    <row r="38" spans="1:13" x14ac:dyDescent="0.25">
      <c r="A38" s="42"/>
      <c r="B38" s="78"/>
      <c r="C38" s="78"/>
      <c r="D38" s="74"/>
      <c r="E38" s="79"/>
      <c r="F38" s="75"/>
      <c r="G38" s="75"/>
      <c r="H38" s="80"/>
      <c r="I38" s="75"/>
      <c r="J38" s="42"/>
    </row>
    <row r="39" spans="1:13" x14ac:dyDescent="0.25">
      <c r="A39" s="42"/>
      <c r="B39" s="81" t="s">
        <v>87</v>
      </c>
      <c r="C39" s="81"/>
      <c r="D39" s="74"/>
      <c r="E39" s="79"/>
      <c r="F39" s="75"/>
      <c r="G39" s="75"/>
      <c r="H39" s="80"/>
      <c r="I39" s="75"/>
      <c r="J39" s="42"/>
    </row>
    <row r="40" spans="1:13" x14ac:dyDescent="0.25">
      <c r="A40" s="42"/>
      <c r="B40" s="78" t="s">
        <v>82</v>
      </c>
      <c r="C40" s="78"/>
      <c r="D40" s="74"/>
      <c r="E40" s="79"/>
      <c r="F40" s="75"/>
      <c r="G40" s="75">
        <f t="shared" si="1"/>
        <v>0</v>
      </c>
      <c r="H40" s="114" t="str">
        <f>IFERROR(G40/F40,"")</f>
        <v/>
      </c>
      <c r="I40" s="75"/>
      <c r="J40" s="42"/>
    </row>
    <row r="41" spans="1:13" x14ac:dyDescent="0.25">
      <c r="A41" s="42"/>
      <c r="B41" s="78" t="s">
        <v>83</v>
      </c>
      <c r="C41" s="78"/>
      <c r="D41" s="74"/>
      <c r="E41" s="79"/>
      <c r="F41" s="75"/>
      <c r="G41" s="75">
        <f t="shared" si="1"/>
        <v>0</v>
      </c>
      <c r="H41" s="114" t="str">
        <f t="shared" ref="H40:H43" si="3">IFERROR(G41/F41,"")</f>
        <v/>
      </c>
      <c r="I41" s="75"/>
      <c r="J41" s="42"/>
    </row>
    <row r="42" spans="1:13" x14ac:dyDescent="0.25">
      <c r="A42" s="42"/>
      <c r="B42" s="78" t="s">
        <v>85</v>
      </c>
      <c r="C42" s="78"/>
      <c r="D42" s="74"/>
      <c r="E42" s="79"/>
      <c r="F42" s="75"/>
      <c r="G42" s="75">
        <f t="shared" si="1"/>
        <v>0</v>
      </c>
      <c r="H42" s="114" t="str">
        <f t="shared" si="3"/>
        <v/>
      </c>
      <c r="I42" s="75"/>
      <c r="J42" s="42"/>
    </row>
    <row r="43" spans="1:13" x14ac:dyDescent="0.25">
      <c r="A43" s="42"/>
      <c r="B43" s="78" t="s">
        <v>88</v>
      </c>
      <c r="C43" s="78"/>
      <c r="D43" s="74"/>
      <c r="E43" s="79"/>
      <c r="F43" s="75"/>
      <c r="G43" s="75">
        <f t="shared" si="1"/>
        <v>0</v>
      </c>
      <c r="H43" s="114" t="str">
        <f t="shared" si="3"/>
        <v/>
      </c>
      <c r="I43" s="75"/>
      <c r="J43" s="42"/>
    </row>
    <row r="44" spans="1:13" x14ac:dyDescent="0.25">
      <c r="A44" s="42"/>
      <c r="B44" s="82"/>
      <c r="C44" s="82"/>
      <c r="D44" s="74"/>
      <c r="E44" s="75"/>
      <c r="F44" s="75"/>
      <c r="G44" s="75"/>
      <c r="H44" s="75"/>
      <c r="I44" s="75"/>
      <c r="J44" s="42"/>
    </row>
    <row r="45" spans="1:13" x14ac:dyDescent="0.25">
      <c r="A45" s="50"/>
      <c r="B45" s="83"/>
      <c r="C45" s="83"/>
      <c r="D45" s="74"/>
      <c r="E45" s="75"/>
      <c r="F45" s="75"/>
      <c r="G45" s="75"/>
      <c r="H45" s="75"/>
      <c r="I45" s="75"/>
      <c r="J45" s="50"/>
    </row>
    <row r="46" spans="1:13" ht="15" x14ac:dyDescent="0.25">
      <c r="A46" s="50"/>
      <c r="B46" s="84" t="s">
        <v>4</v>
      </c>
      <c r="C46" s="84"/>
      <c r="D46" s="74"/>
      <c r="E46" s="75">
        <f>SUM(E32:E45)</f>
        <v>0</v>
      </c>
      <c r="F46" s="75">
        <f>SUM(F32:F44)</f>
        <v>0</v>
      </c>
      <c r="G46" s="75">
        <f>SUM(G32:G44)</f>
        <v>0</v>
      </c>
      <c r="H46" s="75"/>
      <c r="I46" s="75"/>
      <c r="J46" s="50"/>
    </row>
    <row r="47" spans="1:13" x14ac:dyDescent="0.25">
      <c r="A47" s="50"/>
      <c r="J47" s="50"/>
    </row>
    <row r="48" spans="1:13" ht="14.25" customHeight="1" x14ac:dyDescent="0.25">
      <c r="A48" s="50"/>
      <c r="B48" s="64"/>
      <c r="C48" s="64"/>
      <c r="D48" s="64"/>
      <c r="E48" s="64"/>
      <c r="F48" s="64"/>
      <c r="G48" s="64"/>
      <c r="H48" s="64"/>
      <c r="I48" s="64"/>
      <c r="J48" s="67"/>
      <c r="K48" s="67"/>
      <c r="L48" s="67"/>
      <c r="M48" s="67"/>
    </row>
    <row r="83" x14ac:dyDescent="0.25"/>
    <row r="84" x14ac:dyDescent="0.25"/>
    <row r="85" x14ac:dyDescent="0.25"/>
    <row r="8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</sheetData>
  <mergeCells count="17">
    <mergeCell ref="B46:C46"/>
    <mergeCell ref="B45:C45"/>
    <mergeCell ref="B44:C44"/>
    <mergeCell ref="B43:C43"/>
    <mergeCell ref="B42:C42"/>
    <mergeCell ref="B36:C36"/>
    <mergeCell ref="B41:C41"/>
    <mergeCell ref="B40:C40"/>
    <mergeCell ref="B38:C38"/>
    <mergeCell ref="B39:C39"/>
    <mergeCell ref="B37:C37"/>
    <mergeCell ref="B33:C33"/>
    <mergeCell ref="B35:C35"/>
    <mergeCell ref="I30:I31"/>
    <mergeCell ref="B30:C31"/>
    <mergeCell ref="D30:D31"/>
    <mergeCell ref="B32:C32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9"/>
  <sheetViews>
    <sheetView showGridLines="0" topLeftCell="A24" zoomScaleNormal="100" zoomScaleSheetLayoutView="100" workbookViewId="0">
      <selection activeCell="B27" sqref="B27"/>
    </sheetView>
  </sheetViews>
  <sheetFormatPr defaultColWidth="0" defaultRowHeight="13.5" zeroHeight="1" x14ac:dyDescent="0.25"/>
  <cols>
    <col min="1" max="1" width="1" style="6" customWidth="1"/>
    <col min="2" max="2" width="12" style="50" customWidth="1"/>
    <col min="3" max="3" width="33" style="50" customWidth="1"/>
    <col min="4" max="4" width="11.7109375" style="50" bestFit="1" customWidth="1"/>
    <col min="5" max="8" width="14.42578125" style="50" customWidth="1"/>
    <col min="9" max="9" width="21.7109375" style="50" bestFit="1" customWidth="1"/>
    <col min="10" max="10" width="1" style="6" customWidth="1"/>
    <col min="11" max="16384" width="9.140625" style="50" hidden="1"/>
  </cols>
  <sheetData>
    <row r="1" spans="1:14" ht="15" x14ac:dyDescent="0.25">
      <c r="A1" s="5"/>
      <c r="B1" s="25" t="str">
        <f>Index!$B$1</f>
        <v>ABC &amp; Co.</v>
      </c>
      <c r="C1" s="5"/>
      <c r="E1" s="59"/>
      <c r="H1" s="5"/>
      <c r="I1" s="60" t="str">
        <f>Index!D16</f>
        <v>BS.10 - 3</v>
      </c>
      <c r="J1" s="50"/>
    </row>
    <row r="2" spans="1:14" x14ac:dyDescent="0.25">
      <c r="A2" s="5"/>
      <c r="B2" s="5" t="str">
        <f>Index!$B$2</f>
        <v>(Chartered Accountants)</v>
      </c>
      <c r="C2" s="5"/>
      <c r="D2" s="61"/>
      <c r="E2" s="6"/>
      <c r="H2" s="5"/>
      <c r="J2" s="50"/>
    </row>
    <row r="3" spans="1:14" x14ac:dyDescent="0.25">
      <c r="A3" s="5"/>
      <c r="B3" s="5"/>
      <c r="C3" s="5"/>
      <c r="J3" s="5"/>
    </row>
    <row r="4" spans="1:14" s="2" customFormat="1" ht="15" x14ac:dyDescent="0.25">
      <c r="A4" s="6"/>
      <c r="B4" s="7" t="str">
        <f>Index!$B$4</f>
        <v xml:space="preserve">Client: </v>
      </c>
      <c r="C4" s="8" t="str">
        <f>Index!$C$4</f>
        <v>ABC Limited</v>
      </c>
      <c r="H4" s="10" t="str">
        <f>Index!$E$4</f>
        <v>Prepared by:</v>
      </c>
      <c r="I4" s="13" t="str">
        <f>IF(Index!$F$4="","",Index!$F$4)</f>
        <v/>
      </c>
      <c r="J4" s="6"/>
    </row>
    <row r="5" spans="1:14" s="2" customFormat="1" ht="15" x14ac:dyDescent="0.25">
      <c r="A5" s="5"/>
      <c r="B5" s="7" t="str">
        <f>Index!$B$5</f>
        <v>Period:</v>
      </c>
      <c r="C5" s="8" t="str">
        <f>Index!$C$5</f>
        <v>Year ended June 30, 2023</v>
      </c>
      <c r="H5" s="10" t="str">
        <f>Index!$E$5</f>
        <v>Date prepared:</v>
      </c>
      <c r="I5" s="105" t="str">
        <f>IF(Index!$F$5="","",Index!$F$5)</f>
        <v/>
      </c>
      <c r="J5" s="5"/>
    </row>
    <row r="6" spans="1:14" s="2" customFormat="1" ht="15" x14ac:dyDescent="0.25">
      <c r="A6" s="5"/>
      <c r="B6" s="7" t="str">
        <f>Index!$B$6</f>
        <v>Head:</v>
      </c>
      <c r="C6" s="8" t="str">
        <f>Index!$C$6</f>
        <v>Short term loans and advances</v>
      </c>
      <c r="H6" s="10" t="str">
        <f>Index!$E$6</f>
        <v>Reviewed by:</v>
      </c>
      <c r="I6" s="106" t="str">
        <f>IF(Index!$F$6="","",Index!$F$6)</f>
        <v/>
      </c>
      <c r="J6" s="5"/>
    </row>
    <row r="7" spans="1:14" s="2" customFormat="1" ht="15" x14ac:dyDescent="0.25">
      <c r="A7" s="5"/>
      <c r="B7" s="7" t="s">
        <v>112</v>
      </c>
      <c r="C7" s="8" t="str">
        <f>Lead!B34</f>
        <v>Short term loans</v>
      </c>
      <c r="H7" s="10" t="str">
        <f>Index!$E$7</f>
        <v>Date reviewed:</v>
      </c>
      <c r="I7" s="105" t="str">
        <f>IF(Index!$F$7="","",Index!$F$7)</f>
        <v/>
      </c>
      <c r="J7" s="5"/>
    </row>
    <row r="8" spans="1:14" ht="15" x14ac:dyDescent="0.25">
      <c r="B8" s="59" t="s">
        <v>16</v>
      </c>
      <c r="C8" s="59"/>
      <c r="D8" s="59"/>
      <c r="E8" s="59"/>
      <c r="F8" s="59"/>
      <c r="G8" s="59"/>
      <c r="H8" s="59"/>
      <c r="I8" s="59"/>
    </row>
    <row r="9" spans="1:14" ht="15" x14ac:dyDescent="0.25">
      <c r="A9" s="50"/>
      <c r="B9" s="59" t="s">
        <v>18</v>
      </c>
      <c r="J9" s="50"/>
    </row>
    <row r="10" spans="1:14" ht="15" x14ac:dyDescent="0.25">
      <c r="A10" s="50"/>
      <c r="B10" s="63" t="s">
        <v>17</v>
      </c>
      <c r="J10" s="50"/>
    </row>
    <row r="11" spans="1:14" x14ac:dyDescent="0.25">
      <c r="A11" s="50"/>
      <c r="B11" s="109" t="s">
        <v>93</v>
      </c>
      <c r="C11" s="109"/>
      <c r="D11" s="109"/>
      <c r="E11" s="109"/>
      <c r="F11" s="109"/>
      <c r="G11" s="109"/>
      <c r="H11" s="109"/>
      <c r="I11" s="109"/>
      <c r="J11" s="85"/>
      <c r="K11" s="85"/>
      <c r="L11" s="85"/>
      <c r="M11" s="85"/>
      <c r="N11" s="85"/>
    </row>
    <row r="12" spans="1:14" x14ac:dyDescent="0.25">
      <c r="A12" s="50"/>
      <c r="B12" s="109" t="s">
        <v>64</v>
      </c>
      <c r="C12" s="109"/>
      <c r="D12" s="109"/>
      <c r="E12" s="109"/>
      <c r="F12" s="109"/>
      <c r="G12" s="109"/>
      <c r="H12" s="109"/>
      <c r="I12" s="109"/>
      <c r="J12" s="85"/>
      <c r="K12" s="85"/>
      <c r="L12" s="85"/>
      <c r="M12" s="85"/>
      <c r="N12" s="85"/>
    </row>
    <row r="13" spans="1:14" x14ac:dyDescent="0.25">
      <c r="A13" s="50"/>
      <c r="B13" s="109" t="s">
        <v>65</v>
      </c>
      <c r="C13" s="109"/>
      <c r="D13" s="109"/>
      <c r="E13" s="109"/>
      <c r="F13" s="109"/>
      <c r="G13" s="109"/>
      <c r="H13" s="109"/>
      <c r="I13" s="109"/>
      <c r="J13" s="85"/>
      <c r="K13" s="85"/>
      <c r="L13" s="85"/>
      <c r="M13" s="85"/>
      <c r="N13" s="85"/>
    </row>
    <row r="14" spans="1:14" x14ac:dyDescent="0.25">
      <c r="A14" s="50"/>
      <c r="B14" s="109" t="s">
        <v>66</v>
      </c>
      <c r="C14" s="109"/>
      <c r="D14" s="109"/>
      <c r="E14" s="109"/>
      <c r="F14" s="109"/>
      <c r="G14" s="109"/>
      <c r="H14" s="109"/>
      <c r="I14" s="109"/>
      <c r="J14" s="85"/>
      <c r="K14" s="85"/>
      <c r="L14" s="85"/>
      <c r="M14" s="85"/>
      <c r="N14" s="85"/>
    </row>
    <row r="15" spans="1:14" ht="13.5" customHeight="1" x14ac:dyDescent="0.25">
      <c r="A15" s="50"/>
      <c r="B15" s="110" t="s">
        <v>92</v>
      </c>
      <c r="C15" s="109"/>
      <c r="D15" s="109"/>
      <c r="E15" s="109"/>
      <c r="F15" s="109"/>
      <c r="G15" s="109"/>
      <c r="H15" s="109"/>
      <c r="I15" s="109"/>
      <c r="J15" s="85"/>
      <c r="K15" s="85"/>
      <c r="L15" s="85"/>
      <c r="M15" s="85"/>
      <c r="N15" s="85"/>
    </row>
    <row r="16" spans="1:14" x14ac:dyDescent="0.25">
      <c r="B16" s="109" t="s">
        <v>94</v>
      </c>
      <c r="C16" s="109"/>
      <c r="D16" s="109"/>
      <c r="E16" s="109"/>
      <c r="F16" s="109"/>
      <c r="G16" s="109"/>
      <c r="H16" s="109"/>
      <c r="I16" s="109"/>
    </row>
    <row r="17" spans="1:10" x14ac:dyDescent="0.25">
      <c r="B17" s="109" t="s">
        <v>95</v>
      </c>
      <c r="C17" s="109"/>
      <c r="D17" s="109"/>
      <c r="E17" s="109"/>
      <c r="F17" s="109"/>
      <c r="G17" s="109"/>
      <c r="H17" s="109"/>
      <c r="I17" s="109"/>
    </row>
    <row r="18" spans="1:10" x14ac:dyDescent="0.25">
      <c r="B18" s="109" t="s">
        <v>67</v>
      </c>
      <c r="C18" s="109"/>
      <c r="D18" s="109"/>
      <c r="E18" s="109"/>
      <c r="F18" s="109"/>
      <c r="G18" s="109"/>
      <c r="H18" s="109"/>
      <c r="I18" s="109"/>
    </row>
    <row r="19" spans="1:10" x14ac:dyDescent="0.25">
      <c r="B19" s="109" t="s">
        <v>68</v>
      </c>
      <c r="C19" s="109"/>
      <c r="D19" s="109"/>
      <c r="E19" s="109"/>
      <c r="F19" s="109"/>
      <c r="G19" s="109"/>
      <c r="H19" s="109"/>
      <c r="I19" s="109"/>
    </row>
    <row r="20" spans="1:10" x14ac:dyDescent="0.25">
      <c r="B20" s="109" t="s">
        <v>69</v>
      </c>
      <c r="C20" s="109"/>
      <c r="D20" s="109"/>
      <c r="E20" s="109"/>
      <c r="F20" s="109"/>
      <c r="G20" s="109"/>
      <c r="H20" s="109"/>
      <c r="I20" s="109"/>
    </row>
    <row r="21" spans="1:10" x14ac:dyDescent="0.25">
      <c r="B21" s="109" t="s">
        <v>70</v>
      </c>
      <c r="C21" s="109"/>
      <c r="D21" s="109"/>
      <c r="E21" s="109"/>
      <c r="F21" s="109"/>
      <c r="G21" s="109"/>
      <c r="H21" s="109"/>
      <c r="I21" s="109"/>
    </row>
    <row r="22" spans="1:10" x14ac:dyDescent="0.25">
      <c r="B22" s="109" t="s">
        <v>96</v>
      </c>
      <c r="C22" s="109"/>
      <c r="D22" s="109"/>
      <c r="E22" s="109"/>
      <c r="F22" s="109"/>
      <c r="G22" s="109"/>
      <c r="H22" s="109"/>
      <c r="I22" s="109"/>
    </row>
    <row r="23" spans="1:10" x14ac:dyDescent="0.25">
      <c r="B23" s="109" t="s">
        <v>97</v>
      </c>
      <c r="C23" s="109"/>
      <c r="D23" s="109"/>
      <c r="E23" s="109"/>
      <c r="F23" s="109"/>
      <c r="G23" s="109"/>
      <c r="H23" s="109"/>
      <c r="I23" s="109"/>
    </row>
    <row r="24" spans="1:10" ht="14.25" customHeight="1" x14ac:dyDescent="0.25">
      <c r="B24" s="109" t="s">
        <v>99</v>
      </c>
      <c r="C24" s="109"/>
      <c r="D24" s="109"/>
      <c r="E24" s="109"/>
      <c r="F24" s="109"/>
      <c r="G24" s="109"/>
      <c r="H24" s="109"/>
      <c r="I24" s="109"/>
    </row>
    <row r="25" spans="1:10" ht="14.25" customHeight="1" x14ac:dyDescent="0.25">
      <c r="B25" s="109"/>
      <c r="C25" s="109"/>
      <c r="D25" s="109"/>
      <c r="E25" s="109"/>
      <c r="F25" s="109"/>
      <c r="G25" s="109"/>
      <c r="H25" s="109"/>
      <c r="I25" s="109"/>
    </row>
    <row r="26" spans="1:10" ht="14.25" customHeight="1" x14ac:dyDescent="0.3">
      <c r="B26" s="112" t="s">
        <v>126</v>
      </c>
      <c r="C26" s="109"/>
      <c r="D26" s="109"/>
      <c r="E26" s="109"/>
      <c r="F26" s="109"/>
      <c r="G26" s="109"/>
      <c r="H26" s="109"/>
      <c r="I26" s="109"/>
    </row>
    <row r="27" spans="1:10" ht="14.25" customHeight="1" x14ac:dyDescent="0.25">
      <c r="B27" s="113" t="s">
        <v>127</v>
      </c>
      <c r="C27" s="109"/>
      <c r="D27" s="109"/>
      <c r="E27" s="109"/>
      <c r="F27" s="109"/>
      <c r="G27" s="109"/>
      <c r="H27" s="109"/>
      <c r="I27" s="109"/>
    </row>
    <row r="28" spans="1:10" ht="14.25" customHeight="1" x14ac:dyDescent="0.25">
      <c r="B28" s="113"/>
      <c r="C28" s="109"/>
      <c r="D28" s="109"/>
      <c r="E28" s="109"/>
      <c r="F28" s="109"/>
      <c r="G28" s="109"/>
      <c r="H28" s="109"/>
      <c r="I28" s="109"/>
    </row>
    <row r="29" spans="1:10" ht="14.25" customHeight="1" x14ac:dyDescent="0.3">
      <c r="B29" s="112" t="s">
        <v>27</v>
      </c>
      <c r="C29" s="109"/>
      <c r="D29" s="109"/>
      <c r="E29" s="109"/>
      <c r="F29" s="109"/>
      <c r="G29" s="109"/>
      <c r="H29" s="109"/>
      <c r="I29" s="109"/>
    </row>
    <row r="30" spans="1:10" ht="14.25" customHeight="1" x14ac:dyDescent="0.25">
      <c r="B30" s="113" t="s">
        <v>26</v>
      </c>
      <c r="C30" s="109"/>
      <c r="D30" s="109"/>
      <c r="E30" s="109"/>
      <c r="F30" s="109"/>
      <c r="G30" s="109"/>
      <c r="H30" s="109"/>
      <c r="I30" s="109"/>
    </row>
    <row r="31" spans="1:10" x14ac:dyDescent="0.25">
      <c r="A31" s="5"/>
      <c r="B31" s="50" t="s">
        <v>3</v>
      </c>
      <c r="J31" s="5"/>
    </row>
    <row r="32" spans="1:10" ht="15" customHeight="1" x14ac:dyDescent="0.25">
      <c r="B32" s="68" t="s">
        <v>22</v>
      </c>
      <c r="C32" s="68"/>
      <c r="D32" s="68" t="s">
        <v>21</v>
      </c>
      <c r="E32" s="69">
        <f>Lead!E30</f>
        <v>2021</v>
      </c>
      <c r="F32" s="69">
        <f>Lead!F30</f>
        <v>2020</v>
      </c>
      <c r="G32" s="69" t="s">
        <v>12</v>
      </c>
      <c r="H32" s="69" t="s">
        <v>12</v>
      </c>
      <c r="I32" s="68" t="s">
        <v>13</v>
      </c>
    </row>
    <row r="33" spans="1:10" ht="15" x14ac:dyDescent="0.25">
      <c r="A33" s="35"/>
      <c r="B33" s="68"/>
      <c r="C33" s="68"/>
      <c r="D33" s="68"/>
      <c r="E33" s="69" t="s">
        <v>31</v>
      </c>
      <c r="F33" s="69" t="s">
        <v>31</v>
      </c>
      <c r="G33" s="69" t="s">
        <v>31</v>
      </c>
      <c r="H33" s="69" t="s">
        <v>15</v>
      </c>
      <c r="I33" s="68"/>
      <c r="J33" s="35"/>
    </row>
    <row r="34" spans="1:10" ht="15" x14ac:dyDescent="0.25">
      <c r="B34" s="86"/>
      <c r="C34" s="86"/>
      <c r="D34" s="52"/>
      <c r="E34" s="71"/>
      <c r="F34" s="72"/>
      <c r="G34" s="72"/>
      <c r="H34" s="72"/>
      <c r="I34" s="72"/>
    </row>
    <row r="35" spans="1:10" ht="15" x14ac:dyDescent="0.25">
      <c r="A35" s="35"/>
      <c r="B35" s="77" t="str">
        <f>Lead!B35</f>
        <v>Loan to Employees</v>
      </c>
      <c r="C35" s="87"/>
      <c r="D35" s="74"/>
      <c r="E35" s="75"/>
      <c r="F35" s="75"/>
      <c r="G35" s="75"/>
      <c r="H35" s="75"/>
      <c r="I35" s="75"/>
      <c r="J35" s="35"/>
    </row>
    <row r="36" spans="1:10" x14ac:dyDescent="0.25">
      <c r="A36" s="35"/>
      <c r="B36" s="88" t="s">
        <v>63</v>
      </c>
      <c r="C36" s="88"/>
      <c r="D36" s="74"/>
      <c r="E36" s="75"/>
      <c r="F36" s="75"/>
      <c r="G36" s="75">
        <f t="shared" ref="G36" si="0">E36-F36</f>
        <v>0</v>
      </c>
      <c r="H36" s="80" t="str">
        <f>IFERROR(G36/F36,"")</f>
        <v/>
      </c>
      <c r="I36" s="75"/>
      <c r="J36" s="35"/>
    </row>
    <row r="37" spans="1:10" x14ac:dyDescent="0.25">
      <c r="A37" s="42"/>
      <c r="B37" s="88" t="s">
        <v>90</v>
      </c>
      <c r="C37" s="88"/>
      <c r="D37" s="74"/>
      <c r="E37" s="79"/>
      <c r="F37" s="75"/>
      <c r="G37" s="75">
        <f t="shared" ref="G37:G48" si="1">E37-F37</f>
        <v>0</v>
      </c>
      <c r="H37" s="80" t="str">
        <f t="shared" ref="H37:H38" si="2">IFERROR(G37/F37,"")</f>
        <v/>
      </c>
      <c r="I37" s="75"/>
      <c r="J37" s="42"/>
    </row>
    <row r="38" spans="1:10" x14ac:dyDescent="0.25">
      <c r="A38" s="42"/>
      <c r="B38" s="88" t="s">
        <v>91</v>
      </c>
      <c r="C38" s="88"/>
      <c r="D38" s="74"/>
      <c r="E38" s="75"/>
      <c r="F38" s="75"/>
      <c r="G38" s="75">
        <f t="shared" si="1"/>
        <v>0</v>
      </c>
      <c r="H38" s="80" t="str">
        <f t="shared" si="2"/>
        <v/>
      </c>
      <c r="I38" s="75"/>
      <c r="J38" s="42"/>
    </row>
    <row r="39" spans="1:10" x14ac:dyDescent="0.25">
      <c r="A39" s="42"/>
      <c r="B39" s="82"/>
      <c r="C39" s="82"/>
      <c r="D39" s="74"/>
      <c r="E39" s="75"/>
      <c r="F39" s="75"/>
      <c r="G39" s="75"/>
      <c r="H39" s="80"/>
      <c r="I39" s="75"/>
      <c r="J39" s="42"/>
    </row>
    <row r="40" spans="1:10" ht="15" x14ac:dyDescent="0.25">
      <c r="A40" s="42"/>
      <c r="B40" s="73" t="str">
        <f>Lead!B36</f>
        <v>Loan to Executives</v>
      </c>
      <c r="C40" s="73"/>
      <c r="D40" s="74"/>
      <c r="E40" s="75"/>
      <c r="F40" s="75"/>
      <c r="G40" s="75"/>
      <c r="H40" s="80"/>
      <c r="I40" s="75"/>
      <c r="J40" s="42"/>
    </row>
    <row r="41" spans="1:10" x14ac:dyDescent="0.25">
      <c r="A41" s="42"/>
      <c r="B41" s="88" t="s">
        <v>63</v>
      </c>
      <c r="C41" s="88"/>
      <c r="D41" s="74"/>
      <c r="E41" s="75"/>
      <c r="F41" s="75"/>
      <c r="G41" s="75">
        <f t="shared" si="1"/>
        <v>0</v>
      </c>
      <c r="H41" s="80" t="str">
        <f t="shared" ref="H41:H43" si="3">IFERROR(G41/F41,"")</f>
        <v/>
      </c>
      <c r="I41" s="75"/>
      <c r="J41" s="42"/>
    </row>
    <row r="42" spans="1:10" x14ac:dyDescent="0.25">
      <c r="A42" s="42"/>
      <c r="B42" s="88" t="s">
        <v>90</v>
      </c>
      <c r="C42" s="88"/>
      <c r="D42" s="74"/>
      <c r="E42" s="75"/>
      <c r="F42" s="75"/>
      <c r="G42" s="75">
        <f t="shared" si="1"/>
        <v>0</v>
      </c>
      <c r="H42" s="80" t="str">
        <f t="shared" si="3"/>
        <v/>
      </c>
      <c r="I42" s="75"/>
      <c r="J42" s="42"/>
    </row>
    <row r="43" spans="1:10" x14ac:dyDescent="0.25">
      <c r="A43" s="42"/>
      <c r="B43" s="88" t="s">
        <v>91</v>
      </c>
      <c r="C43" s="88"/>
      <c r="D43" s="74"/>
      <c r="E43" s="75"/>
      <c r="F43" s="75"/>
      <c r="G43" s="75">
        <f t="shared" si="1"/>
        <v>0</v>
      </c>
      <c r="H43" s="80" t="str">
        <f t="shared" si="3"/>
        <v/>
      </c>
      <c r="I43" s="75"/>
      <c r="J43" s="42"/>
    </row>
    <row r="44" spans="1:10" x14ac:dyDescent="0.25">
      <c r="A44" s="42"/>
      <c r="B44" s="82"/>
      <c r="C44" s="82"/>
      <c r="D44" s="74"/>
      <c r="E44" s="75"/>
      <c r="F44" s="75"/>
      <c r="G44" s="75"/>
      <c r="H44" s="80"/>
      <c r="I44" s="75"/>
      <c r="J44" s="42"/>
    </row>
    <row r="45" spans="1:10" ht="15" x14ac:dyDescent="0.25">
      <c r="A45" s="42"/>
      <c r="B45" s="73" t="str">
        <f>Lead!B37</f>
        <v>Loan to Associated undertakings</v>
      </c>
      <c r="C45" s="73"/>
      <c r="D45" s="74"/>
      <c r="E45" s="75"/>
      <c r="F45" s="75"/>
      <c r="G45" s="75"/>
      <c r="H45" s="80"/>
      <c r="I45" s="75"/>
      <c r="J45" s="42"/>
    </row>
    <row r="46" spans="1:10" x14ac:dyDescent="0.25">
      <c r="A46" s="42"/>
      <c r="B46" s="88" t="s">
        <v>63</v>
      </c>
      <c r="C46" s="88"/>
      <c r="D46" s="74"/>
      <c r="E46" s="75"/>
      <c r="F46" s="75"/>
      <c r="G46" s="75">
        <f t="shared" si="1"/>
        <v>0</v>
      </c>
      <c r="H46" s="80" t="str">
        <f t="shared" ref="H46:H47" si="4">IFERROR(G46/F46,"")</f>
        <v/>
      </c>
      <c r="I46" s="75"/>
      <c r="J46" s="42"/>
    </row>
    <row r="47" spans="1:10" x14ac:dyDescent="0.25">
      <c r="A47" s="42"/>
      <c r="B47" s="88" t="s">
        <v>90</v>
      </c>
      <c r="C47" s="88"/>
      <c r="D47" s="74"/>
      <c r="E47" s="75"/>
      <c r="F47" s="75"/>
      <c r="G47" s="75">
        <f t="shared" si="1"/>
        <v>0</v>
      </c>
      <c r="H47" s="80" t="str">
        <f t="shared" si="4"/>
        <v/>
      </c>
      <c r="I47" s="75"/>
      <c r="J47" s="42"/>
    </row>
    <row r="48" spans="1:10" x14ac:dyDescent="0.25">
      <c r="A48" s="42"/>
      <c r="B48" s="88" t="s">
        <v>91</v>
      </c>
      <c r="C48" s="88"/>
      <c r="D48" s="74"/>
      <c r="E48" s="75"/>
      <c r="F48" s="75"/>
      <c r="G48" s="75">
        <f t="shared" si="1"/>
        <v>0</v>
      </c>
      <c r="H48" s="80" t="str">
        <f>IFERROR(G48/F48,"")</f>
        <v/>
      </c>
      <c r="I48" s="75"/>
      <c r="J48" s="42"/>
    </row>
    <row r="49" spans="1:10" x14ac:dyDescent="0.25">
      <c r="A49" s="35"/>
      <c r="B49" s="82"/>
      <c r="C49" s="82"/>
      <c r="D49" s="74"/>
      <c r="E49" s="75"/>
      <c r="F49" s="75"/>
      <c r="G49" s="75"/>
      <c r="H49" s="75"/>
      <c r="I49" s="75"/>
      <c r="J49" s="35"/>
    </row>
    <row r="50" spans="1:10" x14ac:dyDescent="0.25">
      <c r="A50" s="35"/>
      <c r="B50" s="82"/>
      <c r="C50" s="82"/>
      <c r="D50" s="74"/>
      <c r="E50" s="75"/>
      <c r="F50" s="75"/>
      <c r="G50" s="75"/>
      <c r="H50" s="75"/>
      <c r="I50" s="75"/>
      <c r="J50" s="35"/>
    </row>
    <row r="51" spans="1:10" x14ac:dyDescent="0.25">
      <c r="A51" s="42"/>
      <c r="B51" s="88"/>
      <c r="C51" s="88"/>
      <c r="D51" s="74"/>
      <c r="E51" s="79"/>
      <c r="F51" s="75"/>
      <c r="G51" s="75"/>
      <c r="H51" s="75"/>
      <c r="I51" s="75"/>
      <c r="J51" s="42"/>
    </row>
    <row r="52" spans="1:10" x14ac:dyDescent="0.25">
      <c r="A52" s="42"/>
      <c r="B52" s="88"/>
      <c r="C52" s="88"/>
      <c r="D52" s="74"/>
      <c r="E52" s="75"/>
      <c r="F52" s="75"/>
      <c r="G52" s="75"/>
      <c r="H52" s="75"/>
      <c r="I52" s="75"/>
      <c r="J52" s="42"/>
    </row>
    <row r="53" spans="1:10" x14ac:dyDescent="0.25">
      <c r="A53" s="42"/>
      <c r="B53" s="83"/>
      <c r="C53" s="83"/>
      <c r="D53" s="74"/>
      <c r="E53" s="75"/>
      <c r="F53" s="75"/>
      <c r="G53" s="75"/>
      <c r="H53" s="75"/>
      <c r="I53" s="75"/>
      <c r="J53" s="42"/>
    </row>
    <row r="54" spans="1:10" ht="15" x14ac:dyDescent="0.25">
      <c r="A54" s="50"/>
      <c r="B54" s="84" t="s">
        <v>41</v>
      </c>
      <c r="C54" s="84"/>
      <c r="D54" s="74"/>
      <c r="E54" s="75">
        <f>E52+E39</f>
        <v>0</v>
      </c>
      <c r="F54" s="75">
        <f>F52+F39</f>
        <v>0</v>
      </c>
      <c r="G54" s="75">
        <f>G52+G39</f>
        <v>0</v>
      </c>
      <c r="H54" s="75"/>
      <c r="I54" s="75"/>
      <c r="J54" s="50"/>
    </row>
    <row r="55" spans="1:10" x14ac:dyDescent="0.25">
      <c r="A55" s="50"/>
      <c r="J55" s="50"/>
    </row>
    <row r="56" spans="1:10" x14ac:dyDescent="0.25"/>
    <row r="57" spans="1:10" x14ac:dyDescent="0.25"/>
    <row r="98" x14ac:dyDescent="0.25"/>
    <row r="99" x14ac:dyDescent="0.25"/>
    <row r="100" x14ac:dyDescent="0.25"/>
    <row r="101" x14ac:dyDescent="0.25"/>
    <row r="10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</sheetData>
  <mergeCells count="23">
    <mergeCell ref="B50:C50"/>
    <mergeCell ref="B51:C51"/>
    <mergeCell ref="B47:C47"/>
    <mergeCell ref="B46:C46"/>
    <mergeCell ref="B52:C52"/>
    <mergeCell ref="B49:C49"/>
    <mergeCell ref="B32:C33"/>
    <mergeCell ref="D32:D33"/>
    <mergeCell ref="I32:I33"/>
    <mergeCell ref="B36:C36"/>
    <mergeCell ref="B54:C54"/>
    <mergeCell ref="B40:C40"/>
    <mergeCell ref="B45:C45"/>
    <mergeCell ref="B44:C44"/>
    <mergeCell ref="B43:C43"/>
    <mergeCell ref="B42:C42"/>
    <mergeCell ref="B41:C41"/>
    <mergeCell ref="B34:C34"/>
    <mergeCell ref="B37:C37"/>
    <mergeCell ref="B38:C38"/>
    <mergeCell ref="B39:C39"/>
    <mergeCell ref="B48:C48"/>
    <mergeCell ref="B53:C53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1"/>
  <sheetViews>
    <sheetView showGridLines="0" topLeftCell="A23" zoomScaleNormal="100" zoomScaleSheetLayoutView="100" workbookViewId="0">
      <selection activeCell="B26" sqref="B26:B30"/>
    </sheetView>
  </sheetViews>
  <sheetFormatPr defaultColWidth="0" defaultRowHeight="14.25" customHeight="1" zeroHeight="1" x14ac:dyDescent="0.25"/>
  <cols>
    <col min="1" max="1" width="1" style="6" customWidth="1"/>
    <col min="2" max="2" width="12" style="50" customWidth="1"/>
    <col min="3" max="3" width="33" style="50" customWidth="1"/>
    <col min="4" max="4" width="11.7109375" style="50" customWidth="1"/>
    <col min="5" max="8" width="14.42578125" style="50" customWidth="1"/>
    <col min="9" max="9" width="21.7109375" style="50" customWidth="1"/>
    <col min="10" max="10" width="1" style="6" customWidth="1"/>
    <col min="11" max="16384" width="9.140625" style="50" hidden="1"/>
  </cols>
  <sheetData>
    <row r="1" spans="1:14" ht="15" x14ac:dyDescent="0.25">
      <c r="A1" s="5"/>
      <c r="B1" s="25" t="str">
        <f>Index!$B$1</f>
        <v>ABC &amp; Co.</v>
      </c>
      <c r="C1" s="5"/>
      <c r="E1" s="59"/>
      <c r="H1" s="5"/>
      <c r="I1" s="60" t="str">
        <f>Index!D16</f>
        <v>BS.10 - 3</v>
      </c>
      <c r="J1" s="50"/>
    </row>
    <row r="2" spans="1:14" ht="13.5" x14ac:dyDescent="0.25">
      <c r="A2" s="5"/>
      <c r="B2" s="5" t="str">
        <f>Index!$B$2</f>
        <v>(Chartered Accountants)</v>
      </c>
      <c r="C2" s="5"/>
      <c r="D2" s="61"/>
      <c r="E2" s="6"/>
      <c r="H2" s="5"/>
      <c r="J2" s="50"/>
    </row>
    <row r="3" spans="1:14" ht="13.5" x14ac:dyDescent="0.25">
      <c r="A3" s="5"/>
      <c r="B3" s="5"/>
      <c r="C3" s="5"/>
      <c r="J3" s="5"/>
    </row>
    <row r="4" spans="1:14" s="2" customFormat="1" ht="15" x14ac:dyDescent="0.25">
      <c r="A4" s="6"/>
      <c r="B4" s="7" t="str">
        <f>Index!$B$4</f>
        <v xml:space="preserve">Client: </v>
      </c>
      <c r="C4" s="8" t="str">
        <f>Index!$C$4</f>
        <v>ABC Limited</v>
      </c>
      <c r="H4" s="10" t="str">
        <f>Index!$E$4</f>
        <v>Prepared by:</v>
      </c>
      <c r="I4" s="13" t="str">
        <f>IF(Index!$F$4="","",Index!$F$4)</f>
        <v/>
      </c>
      <c r="J4" s="6"/>
    </row>
    <row r="5" spans="1:14" s="2" customFormat="1" ht="15" x14ac:dyDescent="0.25">
      <c r="A5" s="5"/>
      <c r="B5" s="7" t="str">
        <f>Index!$B$5</f>
        <v>Period:</v>
      </c>
      <c r="C5" s="8" t="str">
        <f>Index!$C$5</f>
        <v>Year ended June 30, 2023</v>
      </c>
      <c r="H5" s="10" t="str">
        <f>Index!$E$5</f>
        <v>Date prepared:</v>
      </c>
      <c r="I5" s="105" t="str">
        <f>IF(Index!$F$5="","",Index!$F$5)</f>
        <v/>
      </c>
      <c r="J5" s="5"/>
    </row>
    <row r="6" spans="1:14" s="2" customFormat="1" ht="15" x14ac:dyDescent="0.25">
      <c r="A6" s="5"/>
      <c r="B6" s="7" t="str">
        <f>Index!$B$6</f>
        <v>Head:</v>
      </c>
      <c r="C6" s="8" t="str">
        <f>Index!$C$6</f>
        <v>Short term loans and advances</v>
      </c>
      <c r="H6" s="10" t="str">
        <f>Index!$E$6</f>
        <v>Reviewed by:</v>
      </c>
      <c r="I6" s="106" t="str">
        <f>IF(Index!$F$6="","",Index!$F$6)</f>
        <v/>
      </c>
      <c r="J6" s="5"/>
    </row>
    <row r="7" spans="1:14" s="2" customFormat="1" ht="15" x14ac:dyDescent="0.25">
      <c r="A7" s="5"/>
      <c r="B7" s="7" t="s">
        <v>112</v>
      </c>
      <c r="C7" s="8" t="str">
        <f>Lead!B39</f>
        <v>Advances</v>
      </c>
      <c r="H7" s="10" t="str">
        <f>Index!$E$7</f>
        <v>Date reviewed:</v>
      </c>
      <c r="I7" s="105" t="str">
        <f>IF(Index!$F$7="","",Index!$F$7)</f>
        <v/>
      </c>
      <c r="J7" s="5"/>
    </row>
    <row r="8" spans="1:14" s="2" customFormat="1" ht="15" x14ac:dyDescent="0.25">
      <c r="A8" s="5"/>
      <c r="B8" s="7"/>
      <c r="C8" s="8"/>
      <c r="H8" s="10"/>
      <c r="I8" s="111"/>
      <c r="J8" s="5"/>
    </row>
    <row r="9" spans="1:14" ht="15" x14ac:dyDescent="0.25">
      <c r="B9" s="59" t="s">
        <v>16</v>
      </c>
      <c r="C9" s="59"/>
      <c r="D9" s="59"/>
      <c r="E9" s="59"/>
      <c r="F9" s="59"/>
      <c r="G9" s="59"/>
      <c r="H9" s="59"/>
      <c r="I9" s="59"/>
    </row>
    <row r="10" spans="1:14" ht="15" x14ac:dyDescent="0.25">
      <c r="A10" s="50"/>
      <c r="B10" s="59" t="s">
        <v>18</v>
      </c>
      <c r="J10" s="50"/>
    </row>
    <row r="11" spans="1:14" ht="15" x14ac:dyDescent="0.25">
      <c r="A11" s="50"/>
      <c r="B11" s="63" t="s">
        <v>17</v>
      </c>
      <c r="J11" s="50"/>
    </row>
    <row r="12" spans="1:14" ht="13.5" x14ac:dyDescent="0.25">
      <c r="A12" s="50"/>
      <c r="B12" s="109" t="s">
        <v>103</v>
      </c>
      <c r="C12" s="109"/>
      <c r="D12" s="109"/>
      <c r="E12" s="109"/>
      <c r="F12" s="109"/>
      <c r="G12" s="109"/>
      <c r="H12" s="109"/>
      <c r="I12" s="109"/>
      <c r="J12" s="85"/>
      <c r="K12" s="85"/>
      <c r="L12" s="85"/>
      <c r="M12" s="85"/>
      <c r="N12" s="85"/>
    </row>
    <row r="13" spans="1:14" ht="13.5" x14ac:dyDescent="0.25">
      <c r="A13" s="50"/>
      <c r="B13" s="109" t="s">
        <v>64</v>
      </c>
      <c r="C13" s="109"/>
      <c r="D13" s="109"/>
      <c r="E13" s="109"/>
      <c r="F13" s="109"/>
      <c r="G13" s="109"/>
      <c r="H13" s="109"/>
      <c r="I13" s="109"/>
      <c r="J13" s="85"/>
      <c r="K13" s="85"/>
      <c r="L13" s="85"/>
      <c r="M13" s="85"/>
      <c r="N13" s="85"/>
    </row>
    <row r="14" spans="1:14" ht="13.5" x14ac:dyDescent="0.25">
      <c r="A14" s="50"/>
      <c r="B14" s="109" t="s">
        <v>65</v>
      </c>
      <c r="C14" s="109"/>
      <c r="D14" s="109"/>
      <c r="E14" s="109"/>
      <c r="F14" s="109"/>
      <c r="G14" s="109"/>
      <c r="H14" s="109"/>
      <c r="I14" s="109"/>
      <c r="J14" s="85"/>
      <c r="K14" s="85"/>
      <c r="L14" s="85"/>
      <c r="M14" s="85"/>
      <c r="N14" s="85"/>
    </row>
    <row r="15" spans="1:14" ht="13.5" x14ac:dyDescent="0.25">
      <c r="A15" s="50"/>
      <c r="B15" s="109" t="s">
        <v>66</v>
      </c>
      <c r="C15" s="109"/>
      <c r="D15" s="109"/>
      <c r="E15" s="109"/>
      <c r="F15" s="109"/>
      <c r="G15" s="109"/>
      <c r="H15" s="109"/>
      <c r="I15" s="109"/>
      <c r="J15" s="85"/>
      <c r="K15" s="85"/>
      <c r="L15" s="85"/>
      <c r="M15" s="85"/>
      <c r="N15" s="85"/>
    </row>
    <row r="16" spans="1:14" ht="13.5" x14ac:dyDescent="0.25">
      <c r="A16" s="50"/>
      <c r="B16" s="110" t="s">
        <v>92</v>
      </c>
      <c r="C16" s="109"/>
      <c r="D16" s="109"/>
      <c r="E16" s="109"/>
      <c r="F16" s="109"/>
      <c r="G16" s="109"/>
      <c r="H16" s="109"/>
      <c r="I16" s="109"/>
      <c r="J16" s="85"/>
      <c r="K16" s="85"/>
      <c r="L16" s="85"/>
      <c r="M16" s="85"/>
      <c r="N16" s="85"/>
    </row>
    <row r="17" spans="1:14" ht="13.5" x14ac:dyDescent="0.25">
      <c r="B17" s="109" t="s">
        <v>94</v>
      </c>
      <c r="C17" s="109"/>
      <c r="D17" s="109"/>
      <c r="E17" s="109"/>
      <c r="F17" s="109"/>
      <c r="G17" s="109"/>
      <c r="H17" s="109"/>
      <c r="I17" s="109"/>
    </row>
    <row r="18" spans="1:14" ht="13.5" x14ac:dyDescent="0.25">
      <c r="B18" s="109" t="s">
        <v>104</v>
      </c>
      <c r="C18" s="109"/>
      <c r="D18" s="109"/>
      <c r="E18" s="109"/>
      <c r="F18" s="109"/>
      <c r="G18" s="109"/>
      <c r="H18" s="109"/>
      <c r="I18" s="109"/>
    </row>
    <row r="19" spans="1:14" ht="13.5" x14ac:dyDescent="0.25">
      <c r="B19" s="109" t="s">
        <v>105</v>
      </c>
      <c r="C19" s="109"/>
      <c r="D19" s="109"/>
      <c r="E19" s="109"/>
      <c r="F19" s="109"/>
      <c r="G19" s="109"/>
      <c r="H19" s="109"/>
      <c r="I19" s="109"/>
    </row>
    <row r="20" spans="1:14" ht="13.5" x14ac:dyDescent="0.25">
      <c r="B20" s="109" t="s">
        <v>68</v>
      </c>
      <c r="C20" s="109"/>
      <c r="D20" s="109"/>
      <c r="E20" s="109"/>
      <c r="F20" s="109"/>
      <c r="G20" s="109"/>
      <c r="H20" s="109"/>
      <c r="I20" s="109"/>
    </row>
    <row r="21" spans="1:14" ht="13.5" x14ac:dyDescent="0.25">
      <c r="B21" s="109" t="s">
        <v>106</v>
      </c>
      <c r="C21" s="109"/>
      <c r="D21" s="109"/>
      <c r="E21" s="109"/>
      <c r="F21" s="109"/>
      <c r="G21" s="109"/>
      <c r="H21" s="109"/>
      <c r="I21" s="109"/>
    </row>
    <row r="22" spans="1:14" ht="13.5" x14ac:dyDescent="0.25">
      <c r="B22" s="109" t="s">
        <v>96</v>
      </c>
      <c r="C22" s="109"/>
      <c r="D22" s="109"/>
      <c r="E22" s="109"/>
      <c r="F22" s="109"/>
      <c r="G22" s="109"/>
      <c r="H22" s="109"/>
      <c r="I22" s="109"/>
    </row>
    <row r="23" spans="1:14" ht="13.5" x14ac:dyDescent="0.25">
      <c r="B23" s="109" t="s">
        <v>108</v>
      </c>
      <c r="C23" s="109"/>
      <c r="D23" s="109"/>
      <c r="E23" s="109"/>
      <c r="F23" s="109"/>
      <c r="G23" s="109"/>
      <c r="H23" s="109"/>
      <c r="I23" s="109"/>
    </row>
    <row r="24" spans="1:14" s="6" customFormat="1" ht="14.25" customHeight="1" x14ac:dyDescent="0.25">
      <c r="B24" s="109" t="s">
        <v>98</v>
      </c>
      <c r="C24" s="109"/>
      <c r="D24" s="109"/>
      <c r="E24" s="109"/>
      <c r="F24" s="109"/>
      <c r="G24" s="109"/>
      <c r="H24" s="109"/>
      <c r="I24" s="109"/>
      <c r="K24" s="50"/>
      <c r="L24" s="50"/>
      <c r="M24" s="50"/>
      <c r="N24" s="50"/>
    </row>
    <row r="25" spans="1:14" s="6" customFormat="1" ht="14.25" customHeight="1" x14ac:dyDescent="0.25">
      <c r="B25" s="109"/>
      <c r="C25" s="109"/>
      <c r="D25" s="109"/>
      <c r="E25" s="109"/>
      <c r="F25" s="109"/>
      <c r="G25" s="109"/>
      <c r="H25" s="109"/>
      <c r="I25" s="109"/>
      <c r="K25" s="50"/>
      <c r="L25" s="50"/>
      <c r="M25" s="50"/>
      <c r="N25" s="50"/>
    </row>
    <row r="26" spans="1:14" s="6" customFormat="1" ht="14.25" customHeight="1" x14ac:dyDescent="0.3">
      <c r="B26" s="112" t="s">
        <v>126</v>
      </c>
      <c r="C26" s="109"/>
      <c r="D26" s="109"/>
      <c r="E26" s="109"/>
      <c r="F26" s="109"/>
      <c r="G26" s="109"/>
      <c r="H26" s="109"/>
      <c r="I26" s="109"/>
      <c r="K26" s="50"/>
      <c r="L26" s="50"/>
      <c r="M26" s="50"/>
      <c r="N26" s="50"/>
    </row>
    <row r="27" spans="1:14" s="6" customFormat="1" ht="14.25" customHeight="1" x14ac:dyDescent="0.25">
      <c r="B27" s="113" t="s">
        <v>127</v>
      </c>
      <c r="C27" s="109"/>
      <c r="D27" s="109"/>
      <c r="E27" s="109"/>
      <c r="F27" s="109"/>
      <c r="G27" s="109"/>
      <c r="H27" s="109"/>
      <c r="I27" s="109"/>
      <c r="K27" s="50"/>
      <c r="L27" s="50"/>
      <c r="M27" s="50"/>
      <c r="N27" s="50"/>
    </row>
    <row r="28" spans="1:14" s="6" customFormat="1" ht="14.25" customHeight="1" x14ac:dyDescent="0.25">
      <c r="B28" s="113"/>
      <c r="C28" s="109"/>
      <c r="D28" s="109"/>
      <c r="E28" s="109"/>
      <c r="F28" s="109"/>
      <c r="G28" s="109"/>
      <c r="H28" s="109"/>
      <c r="I28" s="109"/>
      <c r="K28" s="50"/>
      <c r="L28" s="50"/>
      <c r="M28" s="50"/>
      <c r="N28" s="50"/>
    </row>
    <row r="29" spans="1:14" s="6" customFormat="1" ht="14.25" customHeight="1" x14ac:dyDescent="0.3">
      <c r="B29" s="112" t="s">
        <v>27</v>
      </c>
      <c r="C29" s="109"/>
      <c r="D29" s="109"/>
      <c r="E29" s="109"/>
      <c r="F29" s="109"/>
      <c r="G29" s="109"/>
      <c r="H29" s="109"/>
      <c r="I29" s="109"/>
      <c r="K29" s="50"/>
      <c r="L29" s="50"/>
      <c r="M29" s="50"/>
      <c r="N29" s="50"/>
    </row>
    <row r="30" spans="1:14" s="6" customFormat="1" ht="14.25" customHeight="1" x14ac:dyDescent="0.25">
      <c r="B30" s="113" t="s">
        <v>26</v>
      </c>
      <c r="C30" s="109"/>
      <c r="D30" s="109"/>
      <c r="E30" s="109"/>
      <c r="F30" s="109"/>
      <c r="G30" s="109"/>
      <c r="H30" s="109"/>
      <c r="I30" s="109"/>
      <c r="K30" s="50"/>
      <c r="L30" s="50"/>
      <c r="M30" s="50"/>
      <c r="N30" s="50"/>
    </row>
    <row r="31" spans="1:14" ht="13.5" x14ac:dyDescent="0.25">
      <c r="A31" s="5"/>
      <c r="J31" s="5"/>
    </row>
    <row r="32" spans="1:14" ht="15" customHeight="1" x14ac:dyDescent="0.25">
      <c r="B32" s="68" t="s">
        <v>22</v>
      </c>
      <c r="C32" s="68"/>
      <c r="D32" s="68" t="s">
        <v>21</v>
      </c>
      <c r="E32" s="69">
        <f>Lead!E30</f>
        <v>2021</v>
      </c>
      <c r="F32" s="69">
        <f>Lead!F30</f>
        <v>2020</v>
      </c>
      <c r="G32" s="69" t="s">
        <v>12</v>
      </c>
      <c r="H32" s="69" t="s">
        <v>12</v>
      </c>
      <c r="I32" s="68" t="s">
        <v>13</v>
      </c>
    </row>
    <row r="33" spans="1:10" ht="15" x14ac:dyDescent="0.25">
      <c r="A33" s="35"/>
      <c r="B33" s="68"/>
      <c r="C33" s="68"/>
      <c r="D33" s="68"/>
      <c r="E33" s="69" t="s">
        <v>31</v>
      </c>
      <c r="F33" s="69" t="s">
        <v>31</v>
      </c>
      <c r="G33" s="69" t="s">
        <v>31</v>
      </c>
      <c r="H33" s="69" t="s">
        <v>15</v>
      </c>
      <c r="I33" s="68"/>
      <c r="J33" s="35"/>
    </row>
    <row r="34" spans="1:10" ht="15" x14ac:dyDescent="0.25">
      <c r="B34" s="86"/>
      <c r="C34" s="86"/>
      <c r="D34" s="52"/>
      <c r="E34" s="71"/>
      <c r="F34" s="72"/>
      <c r="G34" s="72"/>
      <c r="H34" s="72"/>
      <c r="I34" s="72"/>
    </row>
    <row r="35" spans="1:10" ht="15" x14ac:dyDescent="0.25">
      <c r="A35" s="35"/>
      <c r="B35" s="77" t="str">
        <f>Lead!B40</f>
        <v>Advances to employees against salary</v>
      </c>
      <c r="C35" s="87"/>
      <c r="D35" s="74"/>
      <c r="E35" s="75"/>
      <c r="F35" s="75"/>
      <c r="G35" s="75"/>
      <c r="H35" s="75"/>
      <c r="I35" s="75"/>
      <c r="J35" s="35"/>
    </row>
    <row r="36" spans="1:10" ht="13.5" x14ac:dyDescent="0.25">
      <c r="A36" s="35"/>
      <c r="B36" s="88" t="s">
        <v>63</v>
      </c>
      <c r="C36" s="88"/>
      <c r="D36" s="74"/>
      <c r="E36" s="75"/>
      <c r="F36" s="75"/>
      <c r="G36" s="75">
        <f t="shared" ref="G36:G48" si="0">E36-F36</f>
        <v>0</v>
      </c>
      <c r="H36" s="80" t="str">
        <f>IFERROR(G36/F36,"")</f>
        <v/>
      </c>
      <c r="I36" s="75"/>
      <c r="J36" s="35"/>
    </row>
    <row r="37" spans="1:10" ht="13.5" x14ac:dyDescent="0.25">
      <c r="A37" s="42"/>
      <c r="B37" s="88" t="s">
        <v>101</v>
      </c>
      <c r="C37" s="88"/>
      <c r="D37" s="74"/>
      <c r="E37" s="79"/>
      <c r="F37" s="75"/>
      <c r="G37" s="75">
        <f t="shared" si="0"/>
        <v>0</v>
      </c>
      <c r="H37" s="80" t="str">
        <f t="shared" ref="H37:H38" si="1">IFERROR(G37/F37,"")</f>
        <v/>
      </c>
      <c r="I37" s="75"/>
      <c r="J37" s="42"/>
    </row>
    <row r="38" spans="1:10" ht="13.5" x14ac:dyDescent="0.25">
      <c r="A38" s="42"/>
      <c r="B38" s="88" t="s">
        <v>102</v>
      </c>
      <c r="C38" s="88"/>
      <c r="D38" s="74"/>
      <c r="E38" s="75"/>
      <c r="F38" s="75"/>
      <c r="G38" s="75">
        <f t="shared" si="0"/>
        <v>0</v>
      </c>
      <c r="H38" s="80" t="str">
        <f t="shared" si="1"/>
        <v/>
      </c>
      <c r="I38" s="75"/>
      <c r="J38" s="42"/>
    </row>
    <row r="39" spans="1:10" ht="13.5" x14ac:dyDescent="0.25">
      <c r="A39" s="42"/>
      <c r="B39" s="82"/>
      <c r="C39" s="82"/>
      <c r="D39" s="74"/>
      <c r="E39" s="75"/>
      <c r="F39" s="75"/>
      <c r="G39" s="75"/>
      <c r="H39" s="80"/>
      <c r="I39" s="75"/>
      <c r="J39" s="42"/>
    </row>
    <row r="40" spans="1:10" ht="15" x14ac:dyDescent="0.25">
      <c r="A40" s="42"/>
      <c r="B40" s="73" t="str">
        <f>Lead!B41</f>
        <v>Advances to employees against expenses</v>
      </c>
      <c r="C40" s="73"/>
      <c r="D40" s="74"/>
      <c r="E40" s="75"/>
      <c r="F40" s="75"/>
      <c r="G40" s="75"/>
      <c r="H40" s="80"/>
      <c r="I40" s="75"/>
      <c r="J40" s="42"/>
    </row>
    <row r="41" spans="1:10" ht="13.5" x14ac:dyDescent="0.25">
      <c r="A41" s="42"/>
      <c r="B41" s="88" t="s">
        <v>63</v>
      </c>
      <c r="C41" s="88"/>
      <c r="D41" s="74"/>
      <c r="E41" s="75"/>
      <c r="F41" s="75"/>
      <c r="G41" s="75">
        <f t="shared" si="0"/>
        <v>0</v>
      </c>
      <c r="H41" s="80" t="str">
        <f t="shared" ref="H41:H43" si="2">IFERROR(G41/F41,"")</f>
        <v/>
      </c>
      <c r="I41" s="75"/>
      <c r="J41" s="42"/>
    </row>
    <row r="42" spans="1:10" ht="13.5" x14ac:dyDescent="0.25">
      <c r="A42" s="42"/>
      <c r="B42" s="88" t="s">
        <v>101</v>
      </c>
      <c r="C42" s="88"/>
      <c r="D42" s="74"/>
      <c r="E42" s="75"/>
      <c r="F42" s="75"/>
      <c r="G42" s="75">
        <f t="shared" si="0"/>
        <v>0</v>
      </c>
      <c r="H42" s="80" t="str">
        <f t="shared" si="2"/>
        <v/>
      </c>
      <c r="I42" s="75"/>
      <c r="J42" s="42"/>
    </row>
    <row r="43" spans="1:10" ht="13.5" x14ac:dyDescent="0.25">
      <c r="A43" s="42"/>
      <c r="B43" s="88" t="s">
        <v>107</v>
      </c>
      <c r="C43" s="88"/>
      <c r="D43" s="74"/>
      <c r="E43" s="75"/>
      <c r="F43" s="75"/>
      <c r="G43" s="75">
        <f t="shared" si="0"/>
        <v>0</v>
      </c>
      <c r="H43" s="80" t="str">
        <f t="shared" si="2"/>
        <v/>
      </c>
      <c r="I43" s="75"/>
      <c r="J43" s="42"/>
    </row>
    <row r="44" spans="1:10" ht="13.5" x14ac:dyDescent="0.25">
      <c r="A44" s="42"/>
      <c r="B44" s="82"/>
      <c r="C44" s="82"/>
      <c r="D44" s="74"/>
      <c r="E44" s="75"/>
      <c r="F44" s="75"/>
      <c r="G44" s="75"/>
      <c r="H44" s="80"/>
      <c r="I44" s="75"/>
      <c r="J44" s="42"/>
    </row>
    <row r="45" spans="1:10" ht="15" x14ac:dyDescent="0.25">
      <c r="A45" s="42"/>
      <c r="B45" s="73" t="str">
        <f>Lead!B42</f>
        <v>Advances to suppliers</v>
      </c>
      <c r="C45" s="73"/>
      <c r="D45" s="74"/>
      <c r="E45" s="75"/>
      <c r="F45" s="75"/>
      <c r="G45" s="75"/>
      <c r="H45" s="80"/>
      <c r="I45" s="75"/>
      <c r="J45" s="42"/>
    </row>
    <row r="46" spans="1:10" ht="13.5" x14ac:dyDescent="0.25">
      <c r="A46" s="42"/>
      <c r="B46" s="88" t="s">
        <v>63</v>
      </c>
      <c r="C46" s="88"/>
      <c r="D46" s="74"/>
      <c r="E46" s="75"/>
      <c r="F46" s="75"/>
      <c r="G46" s="75">
        <f t="shared" si="0"/>
        <v>0</v>
      </c>
      <c r="H46" s="80" t="str">
        <f t="shared" ref="H46:H48" si="3">IFERROR(G46/F46,"")</f>
        <v/>
      </c>
      <c r="I46" s="75"/>
      <c r="J46" s="42"/>
    </row>
    <row r="47" spans="1:10" ht="13.5" x14ac:dyDescent="0.25">
      <c r="A47" s="42"/>
      <c r="B47" s="88" t="s">
        <v>101</v>
      </c>
      <c r="C47" s="88"/>
      <c r="D47" s="74"/>
      <c r="E47" s="75"/>
      <c r="F47" s="75"/>
      <c r="G47" s="75">
        <f t="shared" si="0"/>
        <v>0</v>
      </c>
      <c r="H47" s="80" t="str">
        <f t="shared" si="3"/>
        <v/>
      </c>
      <c r="I47" s="75"/>
      <c r="J47" s="42"/>
    </row>
    <row r="48" spans="1:10" ht="13.5" x14ac:dyDescent="0.25">
      <c r="A48" s="42"/>
      <c r="B48" s="88" t="s">
        <v>102</v>
      </c>
      <c r="C48" s="88"/>
      <c r="D48" s="74"/>
      <c r="E48" s="75"/>
      <c r="F48" s="75"/>
      <c r="G48" s="75">
        <f t="shared" si="0"/>
        <v>0</v>
      </c>
      <c r="H48" s="80" t="str">
        <f t="shared" si="3"/>
        <v/>
      </c>
      <c r="I48" s="75"/>
      <c r="J48" s="42"/>
    </row>
    <row r="49" spans="1:14" ht="13.5" x14ac:dyDescent="0.25">
      <c r="A49" s="35"/>
      <c r="B49" s="82"/>
      <c r="C49" s="82"/>
      <c r="D49" s="74"/>
      <c r="E49" s="75"/>
      <c r="F49" s="75"/>
      <c r="G49" s="75"/>
      <c r="H49" s="75"/>
      <c r="I49" s="75"/>
      <c r="J49" s="35"/>
    </row>
    <row r="50" spans="1:14" ht="15" x14ac:dyDescent="0.25">
      <c r="A50" s="35"/>
      <c r="B50" s="73" t="str">
        <f>Lead!B43</f>
        <v>Advances to statutory authorities</v>
      </c>
      <c r="C50" s="73"/>
      <c r="D50" s="74"/>
      <c r="E50" s="75"/>
      <c r="F50" s="75"/>
      <c r="G50" s="75"/>
      <c r="H50" s="75"/>
      <c r="I50" s="75"/>
      <c r="J50" s="35"/>
    </row>
    <row r="51" spans="1:14" ht="13.5" x14ac:dyDescent="0.25">
      <c r="A51" s="35"/>
      <c r="B51" s="88" t="s">
        <v>63</v>
      </c>
      <c r="C51" s="88"/>
      <c r="D51" s="74"/>
      <c r="E51" s="79"/>
      <c r="F51" s="75"/>
      <c r="G51" s="75">
        <f t="shared" ref="G51:G53" si="4">E51-F51</f>
        <v>0</v>
      </c>
      <c r="H51" s="80" t="str">
        <f t="shared" ref="H51:H53" si="5">IFERROR(G51/F51,"")</f>
        <v/>
      </c>
      <c r="I51" s="75"/>
      <c r="J51" s="35"/>
    </row>
    <row r="52" spans="1:14" ht="13.5" x14ac:dyDescent="0.25">
      <c r="A52" s="35"/>
      <c r="B52" s="88" t="s">
        <v>101</v>
      </c>
      <c r="C52" s="88"/>
      <c r="D52" s="74"/>
      <c r="E52" s="75"/>
      <c r="F52" s="75"/>
      <c r="G52" s="75">
        <f t="shared" si="4"/>
        <v>0</v>
      </c>
      <c r="H52" s="80" t="str">
        <f t="shared" si="5"/>
        <v/>
      </c>
      <c r="I52" s="75"/>
      <c r="J52" s="35"/>
    </row>
    <row r="53" spans="1:14" ht="13.5" x14ac:dyDescent="0.25">
      <c r="A53" s="42"/>
      <c r="B53" s="88" t="s">
        <v>102</v>
      </c>
      <c r="C53" s="88"/>
      <c r="D53" s="74"/>
      <c r="E53" s="75"/>
      <c r="F53" s="75"/>
      <c r="G53" s="75">
        <f t="shared" si="4"/>
        <v>0</v>
      </c>
      <c r="H53" s="80" t="str">
        <f t="shared" si="5"/>
        <v/>
      </c>
      <c r="I53" s="75"/>
      <c r="J53" s="42"/>
    </row>
    <row r="54" spans="1:14" ht="13.5" x14ac:dyDescent="0.25">
      <c r="A54" s="42"/>
      <c r="B54" s="88"/>
      <c r="C54" s="88"/>
      <c r="D54" s="74"/>
      <c r="E54" s="75"/>
      <c r="F54" s="75"/>
      <c r="G54" s="75"/>
      <c r="H54" s="75"/>
      <c r="I54" s="75"/>
      <c r="J54" s="42"/>
    </row>
    <row r="55" spans="1:14" ht="13.5" x14ac:dyDescent="0.25">
      <c r="A55" s="42"/>
      <c r="B55" s="83"/>
      <c r="C55" s="83"/>
      <c r="D55" s="74"/>
      <c r="E55" s="75"/>
      <c r="F55" s="75"/>
      <c r="G55" s="75"/>
      <c r="H55" s="75"/>
      <c r="I55" s="75"/>
      <c r="J55" s="42"/>
    </row>
    <row r="56" spans="1:14" ht="15" x14ac:dyDescent="0.25">
      <c r="A56" s="50"/>
      <c r="B56" s="84" t="s">
        <v>41</v>
      </c>
      <c r="C56" s="84"/>
      <c r="D56" s="74"/>
      <c r="E56" s="75">
        <f>E54+E39</f>
        <v>0</v>
      </c>
      <c r="F56" s="75">
        <f>F54+F39</f>
        <v>0</v>
      </c>
      <c r="G56" s="75">
        <f>G54+G39</f>
        <v>0</v>
      </c>
      <c r="H56" s="75"/>
      <c r="I56" s="75"/>
      <c r="J56" s="50"/>
    </row>
    <row r="57" spans="1:14" ht="13.5" x14ac:dyDescent="0.25">
      <c r="A57" s="50"/>
      <c r="J57" s="50"/>
    </row>
    <row r="58" spans="1:14" s="6" customFormat="1" ht="13.5" x14ac:dyDescent="0.25">
      <c r="B58" s="50"/>
      <c r="C58" s="50"/>
      <c r="D58" s="50"/>
      <c r="E58" s="50"/>
      <c r="F58" s="50"/>
      <c r="G58" s="50"/>
      <c r="H58" s="50"/>
      <c r="I58" s="50"/>
      <c r="K58" s="50"/>
      <c r="L58" s="50"/>
      <c r="M58" s="50"/>
      <c r="N58" s="50"/>
    </row>
    <row r="59" spans="1:14" s="6" customFormat="1" ht="13.5" x14ac:dyDescent="0.25">
      <c r="B59" s="50"/>
      <c r="C59" s="50"/>
      <c r="D59" s="50"/>
      <c r="E59" s="50"/>
      <c r="F59" s="50"/>
      <c r="G59" s="50"/>
      <c r="H59" s="50"/>
      <c r="I59" s="50"/>
      <c r="K59" s="50"/>
      <c r="L59" s="50"/>
      <c r="M59" s="50"/>
      <c r="N59" s="50"/>
    </row>
    <row r="60" spans="1:14" s="6" customFormat="1" ht="13.5" hidden="1" x14ac:dyDescent="0.25">
      <c r="B60" s="50"/>
      <c r="C60" s="50"/>
      <c r="D60" s="50"/>
      <c r="E60" s="50"/>
      <c r="F60" s="50"/>
      <c r="G60" s="50"/>
      <c r="H60" s="50"/>
      <c r="I60" s="50"/>
      <c r="K60" s="50"/>
      <c r="L60" s="50"/>
      <c r="M60" s="50"/>
      <c r="N60" s="50"/>
    </row>
    <row r="61" spans="1:14" s="6" customFormat="1" ht="13.5" hidden="1" x14ac:dyDescent="0.25">
      <c r="B61" s="50"/>
      <c r="C61" s="50"/>
      <c r="D61" s="50"/>
      <c r="E61" s="50"/>
      <c r="F61" s="50"/>
      <c r="G61" s="50"/>
      <c r="H61" s="50"/>
      <c r="I61" s="50"/>
      <c r="K61" s="50"/>
      <c r="L61" s="50"/>
      <c r="M61" s="50"/>
      <c r="N61" s="50"/>
    </row>
    <row r="62" spans="1:14" s="6" customFormat="1" ht="13.5" hidden="1" x14ac:dyDescent="0.25">
      <c r="B62" s="50"/>
      <c r="C62" s="50"/>
      <c r="D62" s="50"/>
      <c r="E62" s="50"/>
      <c r="F62" s="50"/>
      <c r="G62" s="50"/>
      <c r="H62" s="50"/>
      <c r="I62" s="50"/>
      <c r="K62" s="50"/>
      <c r="L62" s="50"/>
      <c r="M62" s="50"/>
      <c r="N62" s="50"/>
    </row>
    <row r="63" spans="1:14" s="6" customFormat="1" ht="13.5" hidden="1" x14ac:dyDescent="0.25">
      <c r="B63" s="50"/>
      <c r="C63" s="50"/>
      <c r="D63" s="50"/>
      <c r="E63" s="50"/>
      <c r="F63" s="50"/>
      <c r="G63" s="50"/>
      <c r="H63" s="50"/>
      <c r="I63" s="50"/>
      <c r="K63" s="50"/>
      <c r="L63" s="50"/>
      <c r="M63" s="50"/>
      <c r="N63" s="50"/>
    </row>
    <row r="64" spans="1:14" s="6" customFormat="1" ht="13.5" hidden="1" x14ac:dyDescent="0.25">
      <c r="B64" s="50"/>
      <c r="C64" s="50"/>
      <c r="D64" s="50"/>
      <c r="E64" s="50"/>
      <c r="F64" s="50"/>
      <c r="G64" s="50"/>
      <c r="H64" s="50"/>
      <c r="I64" s="50"/>
      <c r="K64" s="50"/>
      <c r="L64" s="50"/>
      <c r="M64" s="50"/>
      <c r="N64" s="50"/>
    </row>
    <row r="65" spans="2:14" s="6" customFormat="1" ht="13.5" hidden="1" x14ac:dyDescent="0.25">
      <c r="B65" s="50"/>
      <c r="C65" s="50"/>
      <c r="D65" s="50"/>
      <c r="E65" s="50"/>
      <c r="F65" s="50"/>
      <c r="G65" s="50"/>
      <c r="H65" s="50"/>
      <c r="I65" s="50"/>
      <c r="K65" s="50"/>
      <c r="L65" s="50"/>
      <c r="M65" s="50"/>
      <c r="N65" s="50"/>
    </row>
    <row r="66" spans="2:14" s="6" customFormat="1" ht="13.5" hidden="1" x14ac:dyDescent="0.25">
      <c r="B66" s="50"/>
      <c r="C66" s="50"/>
      <c r="D66" s="50"/>
      <c r="E66" s="50"/>
      <c r="F66" s="50"/>
      <c r="G66" s="50"/>
      <c r="H66" s="50"/>
      <c r="I66" s="50"/>
      <c r="K66" s="50"/>
      <c r="L66" s="50"/>
      <c r="M66" s="50"/>
      <c r="N66" s="50"/>
    </row>
    <row r="67" spans="2:14" s="6" customFormat="1" ht="13.5" hidden="1" x14ac:dyDescent="0.25">
      <c r="B67" s="50"/>
      <c r="C67" s="50"/>
      <c r="D67" s="50"/>
      <c r="E67" s="50"/>
      <c r="F67" s="50"/>
      <c r="G67" s="50"/>
      <c r="H67" s="50"/>
      <c r="I67" s="50"/>
      <c r="K67" s="50"/>
      <c r="L67" s="50"/>
      <c r="M67" s="50"/>
      <c r="N67" s="50"/>
    </row>
    <row r="68" spans="2:14" s="6" customFormat="1" ht="13.5" hidden="1" x14ac:dyDescent="0.25">
      <c r="B68" s="50"/>
      <c r="C68" s="50"/>
      <c r="D68" s="50"/>
      <c r="E68" s="50"/>
      <c r="F68" s="50"/>
      <c r="G68" s="50"/>
      <c r="H68" s="50"/>
      <c r="I68" s="50"/>
      <c r="K68" s="50"/>
      <c r="L68" s="50"/>
      <c r="M68" s="50"/>
      <c r="N68" s="50"/>
    </row>
    <row r="69" spans="2:14" s="6" customFormat="1" ht="13.5" hidden="1" x14ac:dyDescent="0.25">
      <c r="B69" s="50"/>
      <c r="C69" s="50"/>
      <c r="D69" s="50"/>
      <c r="E69" s="50"/>
      <c r="F69" s="50"/>
      <c r="G69" s="50"/>
      <c r="H69" s="50"/>
      <c r="I69" s="50"/>
      <c r="K69" s="50"/>
      <c r="L69" s="50"/>
      <c r="M69" s="50"/>
      <c r="N69" s="50"/>
    </row>
    <row r="70" spans="2:14" s="6" customFormat="1" ht="13.5" hidden="1" x14ac:dyDescent="0.25">
      <c r="B70" s="50"/>
      <c r="C70" s="50"/>
      <c r="D70" s="50"/>
      <c r="E70" s="50"/>
      <c r="F70" s="50"/>
      <c r="G70" s="50"/>
      <c r="H70" s="50"/>
      <c r="I70" s="50"/>
      <c r="K70" s="50"/>
      <c r="L70" s="50"/>
      <c r="M70" s="50"/>
      <c r="N70" s="50"/>
    </row>
    <row r="71" spans="2:14" s="6" customFormat="1" ht="13.5" hidden="1" x14ac:dyDescent="0.25">
      <c r="B71" s="50"/>
      <c r="C71" s="50"/>
      <c r="D71" s="50"/>
      <c r="E71" s="50"/>
      <c r="F71" s="50"/>
      <c r="G71" s="50"/>
      <c r="H71" s="50"/>
      <c r="I71" s="50"/>
      <c r="K71" s="50"/>
      <c r="L71" s="50"/>
      <c r="M71" s="50"/>
      <c r="N71" s="50"/>
    </row>
    <row r="72" spans="2:14" s="6" customFormat="1" ht="13.5" hidden="1" x14ac:dyDescent="0.25">
      <c r="B72" s="50"/>
      <c r="C72" s="50"/>
      <c r="D72" s="50"/>
      <c r="E72" s="50"/>
      <c r="F72" s="50"/>
      <c r="G72" s="50"/>
      <c r="H72" s="50"/>
      <c r="I72" s="50"/>
      <c r="K72" s="50"/>
      <c r="L72" s="50"/>
      <c r="M72" s="50"/>
      <c r="N72" s="50"/>
    </row>
    <row r="73" spans="2:14" s="6" customFormat="1" ht="13.5" hidden="1" x14ac:dyDescent="0.25">
      <c r="B73" s="50"/>
      <c r="C73" s="50"/>
      <c r="D73" s="50"/>
      <c r="E73" s="50"/>
      <c r="F73" s="50"/>
      <c r="G73" s="50"/>
      <c r="H73" s="50"/>
      <c r="I73" s="50"/>
      <c r="K73" s="50"/>
      <c r="L73" s="50"/>
      <c r="M73" s="50"/>
      <c r="N73" s="50"/>
    </row>
    <row r="74" spans="2:14" s="6" customFormat="1" ht="13.5" hidden="1" x14ac:dyDescent="0.25">
      <c r="B74" s="50"/>
      <c r="C74" s="50"/>
      <c r="D74" s="50"/>
      <c r="E74" s="50"/>
      <c r="F74" s="50"/>
      <c r="G74" s="50"/>
      <c r="H74" s="50"/>
      <c r="I74" s="50"/>
      <c r="K74" s="50"/>
      <c r="L74" s="50"/>
      <c r="M74" s="50"/>
      <c r="N74" s="50"/>
    </row>
    <row r="75" spans="2:14" s="6" customFormat="1" ht="13.5" hidden="1" x14ac:dyDescent="0.25">
      <c r="B75" s="50"/>
      <c r="C75" s="50"/>
      <c r="D75" s="50"/>
      <c r="E75" s="50"/>
      <c r="F75" s="50"/>
      <c r="G75" s="50"/>
      <c r="H75" s="50"/>
      <c r="I75" s="50"/>
      <c r="K75" s="50"/>
      <c r="L75" s="50"/>
      <c r="M75" s="50"/>
      <c r="N75" s="50"/>
    </row>
    <row r="76" spans="2:14" s="6" customFormat="1" ht="13.5" hidden="1" x14ac:dyDescent="0.25">
      <c r="B76" s="50"/>
      <c r="C76" s="50"/>
      <c r="D76" s="50"/>
      <c r="E76" s="50"/>
      <c r="F76" s="50"/>
      <c r="G76" s="50"/>
      <c r="H76" s="50"/>
      <c r="I76" s="50"/>
      <c r="K76" s="50"/>
      <c r="L76" s="50"/>
      <c r="M76" s="50"/>
      <c r="N76" s="50"/>
    </row>
    <row r="77" spans="2:14" s="6" customFormat="1" ht="13.5" hidden="1" x14ac:dyDescent="0.25">
      <c r="B77" s="50"/>
      <c r="C77" s="50"/>
      <c r="D77" s="50"/>
      <c r="E77" s="50"/>
      <c r="F77" s="50"/>
      <c r="G77" s="50"/>
      <c r="H77" s="50"/>
      <c r="I77" s="50"/>
      <c r="K77" s="50"/>
      <c r="L77" s="50"/>
      <c r="M77" s="50"/>
      <c r="N77" s="50"/>
    </row>
    <row r="78" spans="2:14" s="6" customFormat="1" ht="13.5" hidden="1" x14ac:dyDescent="0.25">
      <c r="B78" s="50"/>
      <c r="C78" s="50"/>
      <c r="D78" s="50"/>
      <c r="E78" s="50"/>
      <c r="F78" s="50"/>
      <c r="G78" s="50"/>
      <c r="H78" s="50"/>
      <c r="I78" s="50"/>
      <c r="K78" s="50"/>
      <c r="L78" s="50"/>
      <c r="M78" s="50"/>
      <c r="N78" s="50"/>
    </row>
    <row r="79" spans="2:14" s="6" customFormat="1" ht="13.5" hidden="1" x14ac:dyDescent="0.25">
      <c r="B79" s="50"/>
      <c r="C79" s="50"/>
      <c r="D79" s="50"/>
      <c r="E79" s="50"/>
      <c r="F79" s="50"/>
      <c r="G79" s="50"/>
      <c r="H79" s="50"/>
      <c r="I79" s="50"/>
      <c r="K79" s="50"/>
      <c r="L79" s="50"/>
      <c r="M79" s="50"/>
      <c r="N79" s="50"/>
    </row>
    <row r="80" spans="2:14" s="6" customFormat="1" ht="13.5" hidden="1" x14ac:dyDescent="0.25">
      <c r="B80" s="50"/>
      <c r="C80" s="50"/>
      <c r="D80" s="50"/>
      <c r="E80" s="50"/>
      <c r="F80" s="50"/>
      <c r="G80" s="50"/>
      <c r="H80" s="50"/>
      <c r="I80" s="50"/>
      <c r="K80" s="50"/>
      <c r="L80" s="50"/>
      <c r="M80" s="50"/>
      <c r="N80" s="50"/>
    </row>
    <row r="81" spans="2:14" s="6" customFormat="1" ht="13.5" hidden="1" x14ac:dyDescent="0.25">
      <c r="B81" s="50"/>
      <c r="C81" s="50"/>
      <c r="D81" s="50"/>
      <c r="E81" s="50"/>
      <c r="F81" s="50"/>
      <c r="G81" s="50"/>
      <c r="H81" s="50"/>
      <c r="I81" s="50"/>
      <c r="K81" s="50"/>
      <c r="L81" s="50"/>
      <c r="M81" s="50"/>
      <c r="N81" s="50"/>
    </row>
    <row r="82" spans="2:14" s="6" customFormat="1" ht="13.5" hidden="1" x14ac:dyDescent="0.25">
      <c r="B82" s="50"/>
      <c r="C82" s="50"/>
      <c r="D82" s="50"/>
      <c r="E82" s="50"/>
      <c r="F82" s="50"/>
      <c r="G82" s="50"/>
      <c r="H82" s="50"/>
      <c r="I82" s="50"/>
      <c r="K82" s="50"/>
      <c r="L82" s="50"/>
      <c r="M82" s="50"/>
      <c r="N82" s="50"/>
    </row>
    <row r="83" spans="2:14" s="6" customFormat="1" ht="13.5" hidden="1" x14ac:dyDescent="0.25">
      <c r="B83" s="50"/>
      <c r="C83" s="50"/>
      <c r="D83" s="50"/>
      <c r="E83" s="50"/>
      <c r="F83" s="50"/>
      <c r="G83" s="50"/>
      <c r="H83" s="50"/>
      <c r="I83" s="50"/>
      <c r="K83" s="50"/>
      <c r="L83" s="50"/>
      <c r="M83" s="50"/>
      <c r="N83" s="50"/>
    </row>
    <row r="84" spans="2:14" s="6" customFormat="1" ht="13.5" hidden="1" x14ac:dyDescent="0.25">
      <c r="B84" s="50"/>
      <c r="C84" s="50"/>
      <c r="D84" s="50"/>
      <c r="E84" s="50"/>
      <c r="F84" s="50"/>
      <c r="G84" s="50"/>
      <c r="H84" s="50"/>
      <c r="I84" s="50"/>
      <c r="K84" s="50"/>
      <c r="L84" s="50"/>
      <c r="M84" s="50"/>
      <c r="N84" s="50"/>
    </row>
    <row r="85" spans="2:14" s="6" customFormat="1" ht="13.5" hidden="1" x14ac:dyDescent="0.25">
      <c r="B85" s="50"/>
      <c r="C85" s="50"/>
      <c r="D85" s="50"/>
      <c r="E85" s="50"/>
      <c r="F85" s="50"/>
      <c r="G85" s="50"/>
      <c r="H85" s="50"/>
      <c r="I85" s="50"/>
      <c r="K85" s="50"/>
      <c r="L85" s="50"/>
      <c r="M85" s="50"/>
      <c r="N85" s="50"/>
    </row>
    <row r="86" spans="2:14" s="6" customFormat="1" ht="13.5" hidden="1" x14ac:dyDescent="0.25">
      <c r="B86" s="50"/>
      <c r="C86" s="50"/>
      <c r="D86" s="50"/>
      <c r="E86" s="50"/>
      <c r="F86" s="50"/>
      <c r="G86" s="50"/>
      <c r="H86" s="50"/>
      <c r="I86" s="50"/>
      <c r="K86" s="50"/>
      <c r="L86" s="50"/>
      <c r="M86" s="50"/>
      <c r="N86" s="50"/>
    </row>
    <row r="87" spans="2:14" s="6" customFormat="1" ht="13.5" hidden="1" x14ac:dyDescent="0.25">
      <c r="B87" s="50"/>
      <c r="C87" s="50"/>
      <c r="D87" s="50"/>
      <c r="E87" s="50"/>
      <c r="F87" s="50"/>
      <c r="G87" s="50"/>
      <c r="H87" s="50"/>
      <c r="I87" s="50"/>
      <c r="K87" s="50"/>
      <c r="L87" s="50"/>
      <c r="M87" s="50"/>
      <c r="N87" s="50"/>
    </row>
    <row r="88" spans="2:14" s="6" customFormat="1" ht="13.5" hidden="1" x14ac:dyDescent="0.25">
      <c r="B88" s="50"/>
      <c r="C88" s="50"/>
      <c r="D88" s="50"/>
      <c r="E88" s="50"/>
      <c r="F88" s="50"/>
      <c r="G88" s="50"/>
      <c r="H88" s="50"/>
      <c r="I88" s="50"/>
      <c r="K88" s="50"/>
      <c r="L88" s="50"/>
      <c r="M88" s="50"/>
      <c r="N88" s="50"/>
    </row>
    <row r="89" spans="2:14" s="6" customFormat="1" ht="13.5" hidden="1" x14ac:dyDescent="0.25">
      <c r="B89" s="50"/>
      <c r="C89" s="50"/>
      <c r="D89" s="50"/>
      <c r="E89" s="50"/>
      <c r="F89" s="50"/>
      <c r="G89" s="50"/>
      <c r="H89" s="50"/>
      <c r="I89" s="50"/>
      <c r="K89" s="50"/>
      <c r="L89" s="50"/>
      <c r="M89" s="50"/>
      <c r="N89" s="50"/>
    </row>
    <row r="90" spans="2:14" s="6" customFormat="1" ht="13.5" hidden="1" x14ac:dyDescent="0.25">
      <c r="B90" s="50"/>
      <c r="C90" s="50"/>
      <c r="D90" s="50"/>
      <c r="E90" s="50"/>
      <c r="F90" s="50"/>
      <c r="G90" s="50"/>
      <c r="H90" s="50"/>
      <c r="I90" s="50"/>
      <c r="K90" s="50"/>
      <c r="L90" s="50"/>
      <c r="M90" s="50"/>
      <c r="N90" s="50"/>
    </row>
    <row r="91" spans="2:14" s="6" customFormat="1" ht="13.5" hidden="1" x14ac:dyDescent="0.25">
      <c r="B91" s="50"/>
      <c r="C91" s="50"/>
      <c r="D91" s="50"/>
      <c r="E91" s="50"/>
      <c r="F91" s="50"/>
      <c r="G91" s="50"/>
      <c r="H91" s="50"/>
      <c r="I91" s="50"/>
      <c r="K91" s="50"/>
      <c r="L91" s="50"/>
      <c r="M91" s="50"/>
      <c r="N91" s="50"/>
    </row>
    <row r="92" spans="2:14" s="6" customFormat="1" ht="13.5" hidden="1" x14ac:dyDescent="0.25">
      <c r="B92" s="50"/>
      <c r="C92" s="50"/>
      <c r="D92" s="50"/>
      <c r="E92" s="50"/>
      <c r="F92" s="50"/>
      <c r="G92" s="50"/>
      <c r="H92" s="50"/>
      <c r="I92" s="50"/>
      <c r="K92" s="50"/>
      <c r="L92" s="50"/>
      <c r="M92" s="50"/>
      <c r="N92" s="50"/>
    </row>
    <row r="93" spans="2:14" s="6" customFormat="1" ht="13.5" hidden="1" x14ac:dyDescent="0.25">
      <c r="B93" s="50"/>
      <c r="C93" s="50"/>
      <c r="D93" s="50"/>
      <c r="E93" s="50"/>
      <c r="F93" s="50"/>
      <c r="G93" s="50"/>
      <c r="H93" s="50"/>
      <c r="I93" s="50"/>
      <c r="K93" s="50"/>
      <c r="L93" s="50"/>
      <c r="M93" s="50"/>
      <c r="N93" s="50"/>
    </row>
    <row r="94" spans="2:14" s="6" customFormat="1" ht="13.5" hidden="1" x14ac:dyDescent="0.25">
      <c r="B94" s="50"/>
      <c r="C94" s="50"/>
      <c r="D94" s="50"/>
      <c r="E94" s="50"/>
      <c r="F94" s="50"/>
      <c r="G94" s="50"/>
      <c r="H94" s="50"/>
      <c r="I94" s="50"/>
      <c r="K94" s="50"/>
      <c r="L94" s="50"/>
      <c r="M94" s="50"/>
      <c r="N94" s="50"/>
    </row>
    <row r="95" spans="2:14" s="6" customFormat="1" ht="13.5" hidden="1" x14ac:dyDescent="0.25">
      <c r="B95" s="50"/>
      <c r="C95" s="50"/>
      <c r="D95" s="50"/>
      <c r="E95" s="50"/>
      <c r="F95" s="50"/>
      <c r="G95" s="50"/>
      <c r="H95" s="50"/>
      <c r="I95" s="50"/>
      <c r="K95" s="50"/>
      <c r="L95" s="50"/>
      <c r="M95" s="50"/>
      <c r="N95" s="50"/>
    </row>
    <row r="96" spans="2:14" s="6" customFormat="1" ht="13.5" hidden="1" x14ac:dyDescent="0.25">
      <c r="B96" s="50"/>
      <c r="C96" s="50"/>
      <c r="D96" s="50"/>
      <c r="E96" s="50"/>
      <c r="F96" s="50"/>
      <c r="G96" s="50"/>
      <c r="H96" s="50"/>
      <c r="I96" s="50"/>
      <c r="K96" s="50"/>
      <c r="L96" s="50"/>
      <c r="M96" s="50"/>
      <c r="N96" s="50"/>
    </row>
    <row r="97" spans="2:14" s="6" customFormat="1" ht="13.5" hidden="1" x14ac:dyDescent="0.25">
      <c r="B97" s="50"/>
      <c r="C97" s="50"/>
      <c r="D97" s="50"/>
      <c r="E97" s="50"/>
      <c r="F97" s="50"/>
      <c r="G97" s="50"/>
      <c r="H97" s="50"/>
      <c r="I97" s="50"/>
      <c r="K97" s="50"/>
      <c r="L97" s="50"/>
      <c r="M97" s="50"/>
      <c r="N97" s="50"/>
    </row>
    <row r="98" spans="2:14" s="6" customFormat="1" ht="13.5" hidden="1" x14ac:dyDescent="0.25">
      <c r="B98" s="50"/>
      <c r="C98" s="50"/>
      <c r="D98" s="50"/>
      <c r="E98" s="50"/>
      <c r="F98" s="50"/>
      <c r="G98" s="50"/>
      <c r="H98" s="50"/>
      <c r="I98" s="50"/>
      <c r="K98" s="50"/>
      <c r="L98" s="50"/>
      <c r="M98" s="50"/>
      <c r="N98" s="50"/>
    </row>
    <row r="99" spans="2:14" s="6" customFormat="1" ht="13.5" hidden="1" x14ac:dyDescent="0.25">
      <c r="B99" s="50"/>
      <c r="C99" s="50"/>
      <c r="D99" s="50"/>
      <c r="E99" s="50"/>
      <c r="F99" s="50"/>
      <c r="G99" s="50"/>
      <c r="H99" s="50"/>
      <c r="I99" s="50"/>
      <c r="K99" s="50"/>
      <c r="L99" s="50"/>
      <c r="M99" s="50"/>
      <c r="N99" s="50"/>
    </row>
    <row r="100" spans="2:14" s="6" customFormat="1" ht="13.5" hidden="1" x14ac:dyDescent="0.25">
      <c r="B100" s="50"/>
      <c r="C100" s="50"/>
      <c r="D100" s="50"/>
      <c r="E100" s="50"/>
      <c r="F100" s="50"/>
      <c r="G100" s="50"/>
      <c r="H100" s="50"/>
      <c r="I100" s="50"/>
      <c r="K100" s="50"/>
      <c r="L100" s="50"/>
      <c r="M100" s="50"/>
      <c r="N100" s="50"/>
    </row>
    <row r="101" spans="2:14" s="6" customFormat="1" ht="13.5" hidden="1" x14ac:dyDescent="0.25">
      <c r="B101" s="50"/>
      <c r="C101" s="50"/>
      <c r="D101" s="50"/>
      <c r="E101" s="50"/>
      <c r="F101" s="50"/>
      <c r="G101" s="50"/>
      <c r="H101" s="50"/>
      <c r="I101" s="50"/>
      <c r="K101" s="50"/>
      <c r="L101" s="50"/>
      <c r="M101" s="50"/>
      <c r="N101" s="50"/>
    </row>
    <row r="102" spans="2:14" s="6" customFormat="1" ht="13.5" hidden="1" x14ac:dyDescent="0.25">
      <c r="B102" s="50"/>
      <c r="C102" s="50"/>
      <c r="D102" s="50"/>
      <c r="E102" s="50"/>
      <c r="F102" s="50"/>
      <c r="G102" s="50"/>
      <c r="H102" s="50"/>
      <c r="I102" s="50"/>
      <c r="K102" s="50"/>
      <c r="L102" s="50"/>
      <c r="M102" s="50"/>
      <c r="N102" s="50"/>
    </row>
    <row r="103" spans="2:14" s="6" customFormat="1" ht="13.5" hidden="1" x14ac:dyDescent="0.25">
      <c r="B103" s="50"/>
      <c r="C103" s="50"/>
      <c r="D103" s="50"/>
      <c r="E103" s="50"/>
      <c r="F103" s="50"/>
      <c r="G103" s="50"/>
      <c r="H103" s="50"/>
      <c r="I103" s="50"/>
      <c r="K103" s="50"/>
      <c r="L103" s="50"/>
      <c r="M103" s="50"/>
      <c r="N103" s="50"/>
    </row>
    <row r="104" spans="2:14" s="6" customFormat="1" ht="13.5" hidden="1" x14ac:dyDescent="0.25">
      <c r="B104" s="50"/>
      <c r="C104" s="50"/>
      <c r="D104" s="50"/>
      <c r="E104" s="50"/>
      <c r="F104" s="50"/>
      <c r="G104" s="50"/>
      <c r="H104" s="50"/>
      <c r="I104" s="50"/>
      <c r="K104" s="50"/>
      <c r="L104" s="50"/>
      <c r="M104" s="50"/>
      <c r="N104" s="50"/>
    </row>
    <row r="105" spans="2:14" s="6" customFormat="1" ht="13.5" hidden="1" x14ac:dyDescent="0.25">
      <c r="B105" s="50"/>
      <c r="C105" s="50"/>
      <c r="D105" s="50"/>
      <c r="E105" s="50"/>
      <c r="F105" s="50"/>
      <c r="G105" s="50"/>
      <c r="H105" s="50"/>
      <c r="I105" s="50"/>
      <c r="K105" s="50"/>
      <c r="L105" s="50"/>
      <c r="M105" s="50"/>
      <c r="N105" s="50"/>
    </row>
    <row r="106" spans="2:14" s="6" customFormat="1" ht="13.5" hidden="1" x14ac:dyDescent="0.25">
      <c r="B106" s="50"/>
      <c r="C106" s="50"/>
      <c r="D106" s="50"/>
      <c r="E106" s="50"/>
      <c r="F106" s="50"/>
      <c r="G106" s="50"/>
      <c r="H106" s="50"/>
      <c r="I106" s="50"/>
      <c r="K106" s="50"/>
      <c r="L106" s="50"/>
      <c r="M106" s="50"/>
      <c r="N106" s="50"/>
    </row>
    <row r="107" spans="2:14" s="6" customFormat="1" ht="13.5" hidden="1" x14ac:dyDescent="0.25">
      <c r="B107" s="50"/>
      <c r="C107" s="50"/>
      <c r="D107" s="50"/>
      <c r="E107" s="50"/>
      <c r="F107" s="50"/>
      <c r="G107" s="50"/>
      <c r="H107" s="50"/>
      <c r="I107" s="50"/>
      <c r="K107" s="50"/>
      <c r="L107" s="50"/>
      <c r="M107" s="50"/>
      <c r="N107" s="50"/>
    </row>
    <row r="108" spans="2:14" s="6" customFormat="1" ht="13.5" hidden="1" x14ac:dyDescent="0.25">
      <c r="B108" s="50"/>
      <c r="C108" s="50"/>
      <c r="D108" s="50"/>
      <c r="E108" s="50"/>
      <c r="F108" s="50"/>
      <c r="G108" s="50"/>
      <c r="H108" s="50"/>
      <c r="I108" s="50"/>
      <c r="K108" s="50"/>
      <c r="L108" s="50"/>
      <c r="M108" s="50"/>
      <c r="N108" s="50"/>
    </row>
    <row r="109" spans="2:14" s="6" customFormat="1" ht="13.5" hidden="1" x14ac:dyDescent="0.25">
      <c r="B109" s="50"/>
      <c r="C109" s="50"/>
      <c r="D109" s="50"/>
      <c r="E109" s="50"/>
      <c r="F109" s="50"/>
      <c r="G109" s="50"/>
      <c r="H109" s="50"/>
      <c r="I109" s="50"/>
      <c r="K109" s="50"/>
      <c r="L109" s="50"/>
      <c r="M109" s="50"/>
      <c r="N109" s="50"/>
    </row>
    <row r="110" spans="2:14" s="6" customFormat="1" ht="13.5" hidden="1" x14ac:dyDescent="0.25">
      <c r="B110" s="50"/>
      <c r="C110" s="50"/>
      <c r="D110" s="50"/>
      <c r="E110" s="50"/>
      <c r="F110" s="50"/>
      <c r="G110" s="50"/>
      <c r="H110" s="50"/>
      <c r="I110" s="50"/>
      <c r="K110" s="50"/>
      <c r="L110" s="50"/>
      <c r="M110" s="50"/>
      <c r="N110" s="50"/>
    </row>
    <row r="111" spans="2:14" s="6" customFormat="1" ht="13.5" hidden="1" x14ac:dyDescent="0.25">
      <c r="B111" s="50"/>
      <c r="C111" s="50"/>
      <c r="D111" s="50"/>
      <c r="E111" s="50"/>
      <c r="F111" s="50"/>
      <c r="G111" s="50"/>
      <c r="H111" s="50"/>
      <c r="I111" s="50"/>
      <c r="K111" s="50"/>
      <c r="L111" s="50"/>
      <c r="M111" s="50"/>
      <c r="N111" s="50"/>
    </row>
    <row r="112" spans="2:14" s="6" customFormat="1" ht="13.5" hidden="1" x14ac:dyDescent="0.25">
      <c r="B112" s="50"/>
      <c r="C112" s="50"/>
      <c r="D112" s="50"/>
      <c r="E112" s="50"/>
      <c r="F112" s="50"/>
      <c r="G112" s="50"/>
      <c r="H112" s="50"/>
      <c r="I112" s="50"/>
      <c r="K112" s="50"/>
      <c r="L112" s="50"/>
      <c r="M112" s="50"/>
      <c r="N112" s="50"/>
    </row>
    <row r="113" spans="2:14" s="6" customFormat="1" ht="13.5" hidden="1" x14ac:dyDescent="0.25">
      <c r="B113" s="50"/>
      <c r="C113" s="50"/>
      <c r="D113" s="50"/>
      <c r="E113" s="50"/>
      <c r="F113" s="50"/>
      <c r="G113" s="50"/>
      <c r="H113" s="50"/>
      <c r="I113" s="50"/>
      <c r="K113" s="50"/>
      <c r="L113" s="50"/>
      <c r="M113" s="50"/>
      <c r="N113" s="50"/>
    </row>
    <row r="114" spans="2:14" s="6" customFormat="1" ht="13.5" hidden="1" x14ac:dyDescent="0.25">
      <c r="B114" s="50"/>
      <c r="C114" s="50"/>
      <c r="D114" s="50"/>
      <c r="E114" s="50"/>
      <c r="F114" s="50"/>
      <c r="G114" s="50"/>
      <c r="H114" s="50"/>
      <c r="I114" s="50"/>
      <c r="K114" s="50"/>
      <c r="L114" s="50"/>
      <c r="M114" s="50"/>
      <c r="N114" s="50"/>
    </row>
    <row r="115" spans="2:14" s="6" customFormat="1" ht="13.5" hidden="1" x14ac:dyDescent="0.25">
      <c r="B115" s="50"/>
      <c r="C115" s="50"/>
      <c r="D115" s="50"/>
      <c r="E115" s="50"/>
      <c r="F115" s="50"/>
      <c r="G115" s="50"/>
      <c r="H115" s="50"/>
      <c r="I115" s="50"/>
      <c r="K115" s="50"/>
      <c r="L115" s="50"/>
      <c r="M115" s="50"/>
      <c r="N115" s="50"/>
    </row>
    <row r="116" spans="2:14" ht="14.25" customHeight="1" x14ac:dyDescent="0.25"/>
    <row r="117" spans="2:14" ht="14.25" customHeight="1" x14ac:dyDescent="0.25"/>
    <row r="118" spans="2:14" ht="14.25" customHeight="1" x14ac:dyDescent="0.25"/>
    <row r="119" spans="2:14" ht="14.25" customHeight="1" x14ac:dyDescent="0.25"/>
    <row r="120" spans="2:14" ht="14.25" customHeight="1" x14ac:dyDescent="0.25"/>
    <row r="121" spans="2:14" ht="14.25" customHeight="1" x14ac:dyDescent="0.25"/>
    <row r="122" spans="2:14" ht="14.25" customHeight="1" x14ac:dyDescent="0.25"/>
    <row r="123" spans="2:14" ht="14.25" customHeight="1" x14ac:dyDescent="0.25"/>
    <row r="124" spans="2:14" ht="14.25" customHeight="1" x14ac:dyDescent="0.25"/>
    <row r="125" spans="2:14" ht="14.25" customHeight="1" x14ac:dyDescent="0.25"/>
    <row r="126" spans="2:14" ht="14.25" customHeight="1" x14ac:dyDescent="0.25"/>
    <row r="127" spans="2:14" ht="14.25" customHeight="1" x14ac:dyDescent="0.25"/>
    <row r="128" spans="2:14" ht="14.25" customHeight="1" x14ac:dyDescent="0.25"/>
    <row r="129" ht="14.25" customHeight="1" x14ac:dyDescent="0.25"/>
    <row r="130" ht="14.25" customHeight="1" x14ac:dyDescent="0.25"/>
    <row r="131" ht="14.25" customHeight="1" x14ac:dyDescent="0.25"/>
  </sheetData>
  <mergeCells count="25">
    <mergeCell ref="B32:C33"/>
    <mergeCell ref="D32:D33"/>
    <mergeCell ref="I32:I33"/>
    <mergeCell ref="B36:C36"/>
    <mergeCell ref="B54:C54"/>
    <mergeCell ref="B55:C55"/>
    <mergeCell ref="B56:C56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34:C34"/>
    <mergeCell ref="B52:C52"/>
    <mergeCell ref="B43:C43"/>
    <mergeCell ref="B37:C37"/>
    <mergeCell ref="B38:C38"/>
    <mergeCell ref="B39:C39"/>
    <mergeCell ref="B40:C40"/>
    <mergeCell ref="B41:C41"/>
    <mergeCell ref="B42:C42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showGridLines="0" topLeftCell="A6" zoomScaleNormal="100" zoomScaleSheetLayoutView="100" workbookViewId="0">
      <selection activeCell="E55" sqref="E55"/>
    </sheetView>
  </sheetViews>
  <sheetFormatPr defaultColWidth="0" defaultRowHeight="13.5" zeroHeight="1" x14ac:dyDescent="0.25"/>
  <cols>
    <col min="1" max="1" width="1" style="6" customWidth="1"/>
    <col min="2" max="2" width="12" style="50" customWidth="1"/>
    <col min="3" max="3" width="13.85546875" style="50" customWidth="1"/>
    <col min="4" max="4" width="35.85546875" style="50" customWidth="1"/>
    <col min="5" max="7" width="14.42578125" style="50" customWidth="1"/>
    <col min="8" max="8" width="15.5703125" style="50" customWidth="1"/>
    <col min="9" max="9" width="17.28515625" style="50" customWidth="1"/>
    <col min="10" max="10" width="1" style="6" customWidth="1"/>
    <col min="11" max="16384" width="9.140625" style="50" hidden="1"/>
  </cols>
  <sheetData>
    <row r="1" spans="1:10" ht="15" x14ac:dyDescent="0.25">
      <c r="A1" s="5"/>
      <c r="B1" s="25" t="str">
        <f>Index!$B$1</f>
        <v>ABC &amp; Co.</v>
      </c>
      <c r="C1" s="5"/>
      <c r="E1" s="59"/>
      <c r="H1" s="5"/>
      <c r="I1" s="60" t="str">
        <f>Index!D18</f>
        <v>BS.10 - 4</v>
      </c>
      <c r="J1" s="50"/>
    </row>
    <row r="2" spans="1:10" x14ac:dyDescent="0.25">
      <c r="A2" s="5"/>
      <c r="B2" s="5" t="str">
        <f>Index!$B$2</f>
        <v>(Chartered Accountants)</v>
      </c>
      <c r="C2" s="5"/>
      <c r="D2" s="61"/>
      <c r="E2" s="6"/>
      <c r="H2" s="5"/>
      <c r="J2" s="50"/>
    </row>
    <row r="3" spans="1:10" x14ac:dyDescent="0.25">
      <c r="A3" s="5"/>
      <c r="B3" s="5"/>
      <c r="C3" s="5"/>
      <c r="J3" s="5"/>
    </row>
    <row r="4" spans="1:10" s="2" customFormat="1" ht="15" x14ac:dyDescent="0.25">
      <c r="A4" s="6"/>
      <c r="B4" s="7" t="str">
        <f>Index!$B$4</f>
        <v xml:space="preserve">Client: </v>
      </c>
      <c r="C4" s="8" t="str">
        <f>Index!$C$4</f>
        <v>ABC Limited</v>
      </c>
      <c r="H4" s="10" t="str">
        <f>Index!$E$4</f>
        <v>Prepared by:</v>
      </c>
      <c r="I4" s="13" t="str">
        <f>IF(Index!$F$4="","",Index!$F$4)</f>
        <v/>
      </c>
      <c r="J4" s="6"/>
    </row>
    <row r="5" spans="1:10" s="2" customFormat="1" ht="15" x14ac:dyDescent="0.25">
      <c r="A5" s="5"/>
      <c r="B5" s="7" t="str">
        <f>Index!$B$5</f>
        <v>Period:</v>
      </c>
      <c r="C5" s="8" t="str">
        <f>Index!$C$5</f>
        <v>Year ended June 30, 2023</v>
      </c>
      <c r="H5" s="10" t="str">
        <f>Index!$E$5</f>
        <v>Date prepared:</v>
      </c>
      <c r="I5" s="105" t="str">
        <f>IF(Index!$F$5="","",Index!$F$5)</f>
        <v/>
      </c>
      <c r="J5" s="5"/>
    </row>
    <row r="6" spans="1:10" s="2" customFormat="1" ht="15" x14ac:dyDescent="0.25">
      <c r="A6" s="5"/>
      <c r="B6" s="7" t="str">
        <f>Index!$B$6</f>
        <v>Head:</v>
      </c>
      <c r="C6" s="8" t="str">
        <f>Index!$C$6</f>
        <v>Short term loans and advances</v>
      </c>
      <c r="H6" s="10" t="str">
        <f>Index!$E$6</f>
        <v>Reviewed by:</v>
      </c>
      <c r="I6" s="106" t="str">
        <f>IF(Index!$F$6="","",Index!$F$6)</f>
        <v/>
      </c>
      <c r="J6" s="5"/>
    </row>
    <row r="7" spans="1:10" s="2" customFormat="1" ht="15" x14ac:dyDescent="0.25">
      <c r="A7" s="5"/>
      <c r="B7" s="7" t="s">
        <v>112</v>
      </c>
      <c r="C7" s="8"/>
      <c r="H7" s="10" t="str">
        <f>Index!$E$7</f>
        <v>Date reviewed:</v>
      </c>
      <c r="I7" s="105" t="str">
        <f>IF(Index!$F$7="","",Index!$F$7)</f>
        <v/>
      </c>
      <c r="J7" s="5"/>
    </row>
    <row r="8" spans="1:10" ht="15" x14ac:dyDescent="0.25">
      <c r="B8" s="26" t="s">
        <v>42</v>
      </c>
      <c r="C8" s="26"/>
      <c r="D8" s="26"/>
      <c r="E8" s="26"/>
      <c r="F8" s="26"/>
      <c r="G8" s="26"/>
      <c r="H8" s="26"/>
      <c r="I8" s="26"/>
    </row>
    <row r="9" spans="1:10" ht="15" x14ac:dyDescent="0.25">
      <c r="B9" s="59" t="s">
        <v>18</v>
      </c>
    </row>
    <row r="10" spans="1:10" x14ac:dyDescent="0.25">
      <c r="A10" s="5"/>
      <c r="B10" s="50" t="s">
        <v>3</v>
      </c>
      <c r="J10" s="5"/>
    </row>
    <row r="11" spans="1:10" ht="30" x14ac:dyDescent="0.25">
      <c r="B11" s="89" t="s">
        <v>43</v>
      </c>
      <c r="C11" s="89" t="s">
        <v>44</v>
      </c>
      <c r="D11" s="89" t="s">
        <v>22</v>
      </c>
      <c r="E11" s="89" t="s">
        <v>49</v>
      </c>
      <c r="F11" s="89" t="s">
        <v>46</v>
      </c>
      <c r="G11" s="89" t="s">
        <v>45</v>
      </c>
      <c r="H11" s="89" t="s">
        <v>48</v>
      </c>
      <c r="I11" s="89" t="s">
        <v>47</v>
      </c>
    </row>
    <row r="12" spans="1:10" ht="15" x14ac:dyDescent="0.25">
      <c r="B12" s="52"/>
      <c r="C12" s="52"/>
      <c r="D12" s="52"/>
      <c r="E12" s="71"/>
      <c r="F12" s="72"/>
      <c r="G12" s="72"/>
      <c r="H12" s="72"/>
      <c r="I12" s="72"/>
    </row>
    <row r="13" spans="1:10" ht="15" x14ac:dyDescent="0.25">
      <c r="A13" s="35"/>
      <c r="B13" s="77"/>
      <c r="C13" s="87"/>
      <c r="D13" s="74"/>
      <c r="E13" s="75"/>
      <c r="F13" s="75"/>
      <c r="G13" s="75"/>
      <c r="H13" s="75"/>
      <c r="I13" s="75"/>
      <c r="J13" s="35"/>
    </row>
    <row r="14" spans="1:10" x14ac:dyDescent="0.25">
      <c r="A14" s="35"/>
      <c r="B14" s="76"/>
      <c r="C14" s="76"/>
      <c r="D14" s="74"/>
      <c r="E14" s="75"/>
      <c r="F14" s="75"/>
      <c r="G14" s="75"/>
      <c r="H14" s="75"/>
      <c r="I14" s="75"/>
      <c r="J14" s="35"/>
    </row>
    <row r="15" spans="1:10" x14ac:dyDescent="0.25">
      <c r="A15" s="42"/>
      <c r="B15" s="76"/>
      <c r="C15" s="76"/>
      <c r="D15" s="74"/>
      <c r="E15" s="79"/>
      <c r="F15" s="75"/>
      <c r="G15" s="75"/>
      <c r="H15" s="75"/>
      <c r="I15" s="75"/>
      <c r="J15" s="42"/>
    </row>
    <row r="16" spans="1:10" x14ac:dyDescent="0.25">
      <c r="A16" s="42"/>
      <c r="B16" s="76"/>
      <c r="C16" s="76"/>
      <c r="D16" s="74"/>
      <c r="E16" s="75"/>
      <c r="F16" s="75"/>
      <c r="G16" s="75"/>
      <c r="H16" s="75"/>
      <c r="I16" s="75"/>
      <c r="J16" s="42"/>
    </row>
    <row r="17" spans="1:14" x14ac:dyDescent="0.25">
      <c r="A17" s="42"/>
      <c r="B17" s="76"/>
      <c r="C17" s="76"/>
      <c r="D17" s="74"/>
      <c r="E17" s="75"/>
      <c r="F17" s="75"/>
      <c r="G17" s="75"/>
      <c r="H17" s="75"/>
      <c r="I17" s="75"/>
      <c r="J17" s="42"/>
    </row>
    <row r="18" spans="1:14" x14ac:dyDescent="0.25">
      <c r="A18" s="42"/>
      <c r="B18" s="87"/>
      <c r="C18" s="87"/>
      <c r="D18" s="74"/>
      <c r="E18" s="75"/>
      <c r="F18" s="75"/>
      <c r="G18" s="75"/>
      <c r="H18" s="75"/>
      <c r="I18" s="75"/>
      <c r="J18" s="42"/>
    </row>
    <row r="19" spans="1:14" ht="15" x14ac:dyDescent="0.25">
      <c r="A19" s="35"/>
      <c r="B19" s="77"/>
      <c r="C19" s="87"/>
      <c r="D19" s="74"/>
      <c r="E19" s="75"/>
      <c r="F19" s="75"/>
      <c r="G19" s="75"/>
      <c r="H19" s="75"/>
      <c r="I19" s="75"/>
      <c r="J19" s="35"/>
    </row>
    <row r="20" spans="1:14" x14ac:dyDescent="0.25">
      <c r="A20" s="35"/>
      <c r="B20" s="76"/>
      <c r="C20" s="76"/>
      <c r="D20" s="74"/>
      <c r="E20" s="75"/>
      <c r="F20" s="75"/>
      <c r="G20" s="75"/>
      <c r="H20" s="75"/>
      <c r="I20" s="75"/>
      <c r="J20" s="35"/>
    </row>
    <row r="21" spans="1:14" x14ac:dyDescent="0.25">
      <c r="A21" s="42"/>
      <c r="B21" s="76"/>
      <c r="C21" s="76"/>
      <c r="D21" s="74"/>
      <c r="E21" s="79"/>
      <c r="F21" s="75"/>
      <c r="G21" s="75"/>
      <c r="H21" s="75"/>
      <c r="I21" s="75"/>
      <c r="J21" s="42"/>
    </row>
    <row r="22" spans="1:14" x14ac:dyDescent="0.25">
      <c r="A22" s="42"/>
      <c r="B22" s="76"/>
      <c r="C22" s="76"/>
      <c r="D22" s="74"/>
      <c r="E22" s="75"/>
      <c r="F22" s="75"/>
      <c r="G22" s="75"/>
      <c r="H22" s="75"/>
      <c r="I22" s="75"/>
      <c r="J22" s="42"/>
    </row>
    <row r="23" spans="1:14" x14ac:dyDescent="0.25">
      <c r="A23" s="42"/>
      <c r="B23" s="76"/>
      <c r="C23" s="76"/>
      <c r="D23" s="74"/>
      <c r="E23" s="75"/>
      <c r="F23" s="75"/>
      <c r="G23" s="75"/>
      <c r="H23" s="75"/>
      <c r="I23" s="75"/>
      <c r="J23" s="42"/>
    </row>
    <row r="24" spans="1:14" x14ac:dyDescent="0.25">
      <c r="A24" s="42"/>
      <c r="B24" s="87"/>
      <c r="C24" s="87"/>
      <c r="D24" s="74"/>
      <c r="E24" s="75"/>
      <c r="F24" s="75"/>
      <c r="G24" s="75"/>
      <c r="H24" s="75"/>
      <c r="I24" s="75"/>
      <c r="J24" s="42"/>
    </row>
    <row r="25" spans="1:14" ht="15" x14ac:dyDescent="0.25">
      <c r="A25" s="50"/>
      <c r="B25" s="90"/>
      <c r="C25" s="90"/>
      <c r="D25" s="74"/>
      <c r="E25" s="75"/>
      <c r="F25" s="75"/>
      <c r="G25" s="75"/>
      <c r="H25" s="75"/>
      <c r="I25" s="75"/>
      <c r="J25" s="50"/>
    </row>
    <row r="26" spans="1:14" x14ac:dyDescent="0.25">
      <c r="A26" s="50"/>
      <c r="J26" s="50"/>
    </row>
    <row r="29" spans="1:14" s="6" customFormat="1" hidden="1" x14ac:dyDescent="0.25">
      <c r="B29" s="50"/>
      <c r="C29" s="50"/>
      <c r="D29" s="50"/>
      <c r="E29" s="50"/>
      <c r="F29" s="50"/>
      <c r="G29" s="50"/>
      <c r="H29" s="50"/>
      <c r="I29" s="50"/>
      <c r="K29" s="50"/>
      <c r="L29" s="50"/>
      <c r="M29" s="50"/>
      <c r="N29" s="50"/>
    </row>
    <row r="30" spans="1:14" s="6" customFormat="1" hidden="1" x14ac:dyDescent="0.25">
      <c r="B30" s="50"/>
      <c r="C30" s="50"/>
      <c r="D30" s="50"/>
      <c r="E30" s="50"/>
      <c r="F30" s="50"/>
      <c r="G30" s="50"/>
      <c r="H30" s="50"/>
      <c r="I30" s="50"/>
      <c r="K30" s="50"/>
      <c r="L30" s="50"/>
      <c r="M30" s="50"/>
      <c r="N30" s="50"/>
    </row>
    <row r="31" spans="1:14" s="6" customFormat="1" hidden="1" x14ac:dyDescent="0.25">
      <c r="B31" s="50"/>
      <c r="C31" s="50"/>
      <c r="D31" s="50"/>
      <c r="E31" s="50"/>
      <c r="F31" s="50"/>
      <c r="G31" s="50"/>
      <c r="H31" s="50"/>
      <c r="I31" s="50"/>
      <c r="K31" s="50"/>
      <c r="L31" s="50"/>
      <c r="M31" s="50"/>
      <c r="N31" s="50"/>
    </row>
    <row r="32" spans="1:14" s="6" customFormat="1" hidden="1" x14ac:dyDescent="0.25">
      <c r="B32" s="50"/>
      <c r="C32" s="50"/>
      <c r="D32" s="50"/>
      <c r="E32" s="50"/>
      <c r="F32" s="50"/>
      <c r="G32" s="50"/>
      <c r="H32" s="50"/>
      <c r="I32" s="50"/>
      <c r="K32" s="50"/>
      <c r="L32" s="50"/>
      <c r="M32" s="50"/>
      <c r="N32" s="50"/>
    </row>
    <row r="33" spans="2:14" s="6" customFormat="1" hidden="1" x14ac:dyDescent="0.25">
      <c r="B33" s="50"/>
      <c r="C33" s="50"/>
      <c r="D33" s="50"/>
      <c r="E33" s="50"/>
      <c r="F33" s="50"/>
      <c r="G33" s="50"/>
      <c r="H33" s="50"/>
      <c r="I33" s="50"/>
      <c r="K33" s="50"/>
      <c r="L33" s="50"/>
      <c r="M33" s="50"/>
      <c r="N33" s="50"/>
    </row>
    <row r="34" spans="2:14" s="6" customFormat="1" hidden="1" x14ac:dyDescent="0.25">
      <c r="B34" s="50"/>
      <c r="C34" s="50"/>
      <c r="D34" s="50"/>
      <c r="E34" s="50"/>
      <c r="F34" s="50"/>
      <c r="G34" s="50"/>
      <c r="H34" s="50"/>
      <c r="I34" s="50"/>
      <c r="K34" s="50"/>
      <c r="L34" s="50"/>
      <c r="M34" s="50"/>
      <c r="N34" s="50"/>
    </row>
    <row r="35" spans="2:14" x14ac:dyDescent="0.25"/>
    <row r="36" spans="2:14" x14ac:dyDescent="0.25"/>
    <row r="37" spans="2:14" x14ac:dyDescent="0.25"/>
    <row r="55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"/>
  <sheetViews>
    <sheetView showGridLines="0" topLeftCell="A13" zoomScaleNormal="100" zoomScaleSheetLayoutView="100" workbookViewId="0">
      <selection activeCell="B16" sqref="B16"/>
    </sheetView>
  </sheetViews>
  <sheetFormatPr defaultColWidth="0" defaultRowHeight="13.5" zeroHeight="1" x14ac:dyDescent="0.25"/>
  <cols>
    <col min="1" max="1" width="1" style="91" customWidth="1"/>
    <col min="2" max="2" width="12" style="91" customWidth="1"/>
    <col min="3" max="3" width="33" style="91" customWidth="1"/>
    <col min="4" max="4" width="11.7109375" style="91" bestFit="1" customWidth="1"/>
    <col min="5" max="8" width="14.42578125" style="91" customWidth="1"/>
    <col min="9" max="9" width="17.140625" style="91" customWidth="1"/>
    <col min="10" max="10" width="1" style="91" customWidth="1"/>
    <col min="11" max="13" width="0" style="91" hidden="1" customWidth="1"/>
    <col min="14" max="16384" width="9.140625" style="91" hidden="1"/>
  </cols>
  <sheetData>
    <row r="1" spans="2:10" ht="15" x14ac:dyDescent="0.25">
      <c r="B1" s="25" t="str">
        <f>Index!$B$1</f>
        <v>ABC &amp; Co.</v>
      </c>
      <c r="C1" s="5"/>
      <c r="D1" s="50"/>
      <c r="E1" s="59"/>
      <c r="F1" s="50"/>
      <c r="G1" s="50"/>
      <c r="H1" s="5"/>
      <c r="I1" s="27" t="str">
        <f>Index!D24</f>
        <v>BS.10 - 7</v>
      </c>
      <c r="J1" s="50"/>
    </row>
    <row r="2" spans="2:10" x14ac:dyDescent="0.25">
      <c r="B2" s="5" t="str">
        <f>Index!$B$2</f>
        <v>(Chartered Accountants)</v>
      </c>
      <c r="C2" s="5"/>
      <c r="D2" s="61"/>
      <c r="E2" s="6"/>
      <c r="F2" s="50"/>
      <c r="G2" s="50"/>
      <c r="H2" s="5"/>
      <c r="J2" s="50"/>
    </row>
    <row r="3" spans="2:10" ht="15" customHeight="1" x14ac:dyDescent="0.25">
      <c r="B3" s="5"/>
      <c r="C3" s="5"/>
      <c r="D3" s="50"/>
      <c r="E3" s="50"/>
      <c r="F3" s="50"/>
      <c r="G3" s="50"/>
      <c r="H3" s="50"/>
      <c r="J3" s="50"/>
    </row>
    <row r="4" spans="2:10" ht="15" x14ac:dyDescent="0.25">
      <c r="B4" s="7" t="str">
        <f>Index!$B$4</f>
        <v xml:space="preserve">Client: </v>
      </c>
      <c r="C4" s="8" t="str">
        <f>Index!$C$4</f>
        <v>ABC Limited</v>
      </c>
      <c r="D4" s="2"/>
      <c r="E4" s="2"/>
      <c r="F4" s="2"/>
      <c r="G4" s="2"/>
      <c r="H4" s="10" t="str">
        <f>Index!$E$4</f>
        <v>Prepared by:</v>
      </c>
      <c r="I4" s="13" t="str">
        <f>IF(Index!$F$4="","",Index!$F$4)</f>
        <v/>
      </c>
    </row>
    <row r="5" spans="2:10" ht="15" x14ac:dyDescent="0.25">
      <c r="B5" s="7" t="str">
        <f>Index!$B$5</f>
        <v>Period:</v>
      </c>
      <c r="C5" s="8" t="str">
        <f>Index!$C$5</f>
        <v>Year ended June 30, 2023</v>
      </c>
      <c r="D5" s="2"/>
      <c r="E5" s="2"/>
      <c r="F5" s="2"/>
      <c r="G5" s="2"/>
      <c r="H5" s="10" t="str">
        <f>Index!$E$5</f>
        <v>Date prepared:</v>
      </c>
      <c r="I5" s="105" t="str">
        <f>IF(Index!$F$5="","",Index!$F$5)</f>
        <v/>
      </c>
    </row>
    <row r="6" spans="2:10" ht="15" customHeight="1" x14ac:dyDescent="0.25">
      <c r="B6" s="7" t="str">
        <f>Index!$B$6</f>
        <v>Head:</v>
      </c>
      <c r="C6" s="8" t="str">
        <f>Index!$C$6</f>
        <v>Short term loans and advances</v>
      </c>
      <c r="D6" s="2"/>
      <c r="E6" s="2"/>
      <c r="F6" s="2"/>
      <c r="G6" s="2"/>
      <c r="H6" s="10" t="str">
        <f>Index!$E$6</f>
        <v>Reviewed by:</v>
      </c>
      <c r="I6" s="106" t="str">
        <f>IF(Index!$F$6="","",Index!$F$6)</f>
        <v/>
      </c>
    </row>
    <row r="7" spans="2:10" ht="15" x14ac:dyDescent="0.25">
      <c r="B7" s="7"/>
      <c r="C7" s="8"/>
      <c r="D7" s="2"/>
      <c r="E7" s="2"/>
      <c r="F7" s="2"/>
      <c r="G7" s="2"/>
      <c r="H7" s="10" t="str">
        <f>Index!$E$7</f>
        <v>Date reviewed:</v>
      </c>
      <c r="I7" s="105" t="str">
        <f>IF(Index!$F$7="","",Index!$F$7)</f>
        <v/>
      </c>
      <c r="J7" s="2"/>
    </row>
    <row r="8" spans="2:10" ht="15" x14ac:dyDescent="0.25">
      <c r="B8" s="59" t="s">
        <v>39</v>
      </c>
      <c r="C8" s="59"/>
      <c r="D8" s="59"/>
      <c r="E8" s="59"/>
      <c r="F8" s="59"/>
      <c r="G8" s="59"/>
      <c r="H8" s="59"/>
      <c r="I8" s="59"/>
      <c r="J8" s="59"/>
    </row>
    <row r="9" spans="2:10" ht="15" x14ac:dyDescent="0.25">
      <c r="B9" s="59" t="s">
        <v>18</v>
      </c>
      <c r="C9" s="92"/>
      <c r="D9" s="92"/>
      <c r="E9" s="92"/>
      <c r="F9" s="92"/>
      <c r="G9" s="92"/>
      <c r="H9" s="92"/>
      <c r="J9" s="92"/>
    </row>
    <row r="10" spans="2:10" ht="15" customHeight="1" x14ac:dyDescent="0.25">
      <c r="B10" s="109" t="s">
        <v>73</v>
      </c>
      <c r="C10" s="109"/>
      <c r="D10" s="109"/>
      <c r="E10" s="109"/>
      <c r="F10" s="109"/>
      <c r="G10" s="109"/>
      <c r="H10" s="109"/>
      <c r="I10" s="109"/>
      <c r="J10" s="93"/>
    </row>
    <row r="11" spans="2:10" ht="15" customHeight="1" x14ac:dyDescent="0.25">
      <c r="B11" s="109" t="s">
        <v>74</v>
      </c>
      <c r="C11" s="109"/>
      <c r="D11" s="109"/>
      <c r="E11" s="109"/>
      <c r="F11" s="109"/>
      <c r="G11" s="109"/>
      <c r="H11" s="109"/>
      <c r="I11" s="109"/>
      <c r="J11" s="93"/>
    </row>
    <row r="12" spans="2:10" ht="15" customHeight="1" x14ac:dyDescent="0.25">
      <c r="B12" s="109" t="s">
        <v>40</v>
      </c>
      <c r="C12" s="109"/>
      <c r="D12" s="109"/>
      <c r="E12" s="109"/>
      <c r="F12" s="109"/>
      <c r="G12" s="109"/>
      <c r="H12" s="109"/>
      <c r="I12" s="109"/>
      <c r="J12" s="93"/>
    </row>
    <row r="13" spans="2:10" ht="15" customHeight="1" x14ac:dyDescent="0.25">
      <c r="B13" s="109" t="s">
        <v>123</v>
      </c>
      <c r="C13" s="109"/>
      <c r="D13" s="109"/>
      <c r="E13" s="109"/>
      <c r="F13" s="109"/>
      <c r="G13" s="109"/>
      <c r="H13" s="109"/>
      <c r="I13" s="109"/>
      <c r="J13" s="93"/>
    </row>
    <row r="14" spans="2:10" x14ac:dyDescent="0.25">
      <c r="B14" s="109" t="s">
        <v>124</v>
      </c>
      <c r="C14" s="109"/>
      <c r="D14" s="109"/>
      <c r="E14" s="109"/>
      <c r="F14" s="109"/>
      <c r="G14" s="109"/>
      <c r="H14" s="109"/>
      <c r="I14" s="109"/>
      <c r="J14" s="93"/>
    </row>
    <row r="15" spans="2:10" x14ac:dyDescent="0.25">
      <c r="B15" s="109" t="s">
        <v>125</v>
      </c>
      <c r="C15" s="109"/>
      <c r="D15" s="109"/>
      <c r="E15" s="109"/>
      <c r="F15" s="109"/>
      <c r="G15" s="109"/>
      <c r="H15" s="109"/>
      <c r="I15" s="109"/>
      <c r="J15" s="93"/>
    </row>
    <row r="16" spans="2:10" x14ac:dyDescent="0.25">
      <c r="B16" s="109"/>
      <c r="C16" s="109"/>
      <c r="D16" s="109"/>
      <c r="E16" s="109"/>
      <c r="F16" s="109"/>
      <c r="G16" s="109"/>
      <c r="H16" s="109"/>
      <c r="I16" s="109"/>
      <c r="J16" s="93"/>
    </row>
    <row r="17" spans="2:10" ht="15" x14ac:dyDescent="0.3">
      <c r="B17" s="112" t="s">
        <v>126</v>
      </c>
      <c r="C17" s="109"/>
      <c r="D17" s="109"/>
      <c r="E17" s="109"/>
      <c r="F17" s="109"/>
      <c r="G17" s="109"/>
      <c r="H17" s="109"/>
      <c r="I17" s="109"/>
      <c r="J17" s="93"/>
    </row>
    <row r="18" spans="2:10" x14ac:dyDescent="0.25">
      <c r="B18" s="113" t="s">
        <v>127</v>
      </c>
      <c r="C18" s="109"/>
      <c r="D18" s="109"/>
      <c r="E18" s="109"/>
      <c r="F18" s="109"/>
      <c r="G18" s="109"/>
      <c r="H18" s="109"/>
      <c r="I18" s="109"/>
      <c r="J18" s="93"/>
    </row>
    <row r="19" spans="2:10" x14ac:dyDescent="0.25">
      <c r="B19" s="113"/>
      <c r="C19" s="109"/>
      <c r="D19" s="109"/>
      <c r="E19" s="109"/>
      <c r="F19" s="109"/>
      <c r="G19" s="109"/>
      <c r="H19" s="109"/>
      <c r="I19" s="109"/>
      <c r="J19" s="93"/>
    </row>
    <row r="20" spans="2:10" ht="15" x14ac:dyDescent="0.3">
      <c r="B20" s="112" t="s">
        <v>27</v>
      </c>
      <c r="C20" s="109"/>
      <c r="D20" s="109"/>
      <c r="E20" s="109"/>
      <c r="F20" s="109"/>
      <c r="G20" s="109"/>
      <c r="H20" s="109"/>
      <c r="I20" s="109"/>
      <c r="J20" s="93"/>
    </row>
    <row r="21" spans="2:10" x14ac:dyDescent="0.25">
      <c r="B21" s="113" t="s">
        <v>26</v>
      </c>
      <c r="C21" s="109"/>
      <c r="D21" s="109"/>
      <c r="E21" s="109"/>
      <c r="F21" s="109"/>
      <c r="G21" s="109"/>
      <c r="H21" s="109"/>
      <c r="I21" s="109"/>
      <c r="J21" s="93"/>
    </row>
    <row r="22" spans="2:10" ht="15" x14ac:dyDescent="0.25">
      <c r="B22" s="92"/>
      <c r="C22" s="92"/>
      <c r="D22" s="92"/>
      <c r="E22" s="92"/>
      <c r="F22" s="92"/>
      <c r="G22" s="92"/>
      <c r="H22" s="92"/>
      <c r="I22" s="92"/>
      <c r="J22" s="92"/>
    </row>
    <row r="23" spans="2:10" ht="15" x14ac:dyDescent="0.25">
      <c r="B23" s="68" t="s">
        <v>22</v>
      </c>
      <c r="C23" s="68"/>
      <c r="D23" s="68" t="s">
        <v>52</v>
      </c>
      <c r="E23" s="94" t="s">
        <v>53</v>
      </c>
      <c r="F23" s="94"/>
      <c r="G23" s="94"/>
      <c r="H23" s="94"/>
      <c r="I23" s="68" t="s">
        <v>58</v>
      </c>
      <c r="J23" s="92"/>
    </row>
    <row r="24" spans="2:10" ht="30" x14ac:dyDescent="0.25">
      <c r="B24" s="68"/>
      <c r="C24" s="68"/>
      <c r="D24" s="68"/>
      <c r="E24" s="69" t="s">
        <v>54</v>
      </c>
      <c r="F24" s="69" t="s">
        <v>55</v>
      </c>
      <c r="G24" s="69" t="s">
        <v>56</v>
      </c>
      <c r="H24" s="89" t="s">
        <v>57</v>
      </c>
      <c r="I24" s="68"/>
      <c r="J24" s="92"/>
    </row>
    <row r="25" spans="2:10" ht="15" x14ac:dyDescent="0.25">
      <c r="B25" s="70"/>
      <c r="C25" s="70"/>
      <c r="D25" s="52"/>
      <c r="E25" s="71"/>
      <c r="F25" s="72"/>
      <c r="G25" s="72"/>
      <c r="H25" s="72"/>
      <c r="I25" s="72"/>
      <c r="J25" s="92"/>
    </row>
    <row r="26" spans="2:10" ht="15" x14ac:dyDescent="0.25">
      <c r="B26" s="95"/>
      <c r="C26" s="96"/>
      <c r="D26" s="74"/>
      <c r="E26" s="75"/>
      <c r="F26" s="75"/>
      <c r="G26" s="75"/>
      <c r="H26" s="75"/>
      <c r="I26" s="75"/>
      <c r="J26" s="92"/>
    </row>
    <row r="27" spans="2:10" ht="15" x14ac:dyDescent="0.25">
      <c r="B27" s="95"/>
      <c r="C27" s="96"/>
      <c r="D27" s="74"/>
      <c r="E27" s="75"/>
      <c r="F27" s="75"/>
      <c r="G27" s="75"/>
      <c r="H27" s="75"/>
      <c r="I27" s="75"/>
      <c r="J27" s="92"/>
    </row>
    <row r="28" spans="2:10" ht="15" x14ac:dyDescent="0.25">
      <c r="B28" s="95"/>
      <c r="C28" s="96"/>
      <c r="D28" s="74"/>
      <c r="E28" s="75"/>
      <c r="F28" s="75"/>
      <c r="G28" s="75"/>
      <c r="H28" s="75"/>
      <c r="I28" s="75"/>
      <c r="J28" s="92"/>
    </row>
    <row r="29" spans="2:10" ht="15" x14ac:dyDescent="0.25">
      <c r="B29" s="95"/>
      <c r="C29" s="96"/>
      <c r="D29" s="74"/>
      <c r="E29" s="75"/>
      <c r="F29" s="75"/>
      <c r="G29" s="75"/>
      <c r="H29" s="75"/>
      <c r="I29" s="75"/>
      <c r="J29" s="92"/>
    </row>
    <row r="30" spans="2:10" ht="15" x14ac:dyDescent="0.25">
      <c r="B30" s="95"/>
      <c r="C30" s="96"/>
      <c r="D30" s="74"/>
      <c r="E30" s="75"/>
      <c r="F30" s="75"/>
      <c r="G30" s="75"/>
      <c r="H30" s="75"/>
      <c r="I30" s="75"/>
      <c r="J30" s="92"/>
    </row>
    <row r="31" spans="2:10" ht="15" x14ac:dyDescent="0.25">
      <c r="B31" s="95"/>
      <c r="C31" s="96"/>
      <c r="D31" s="74"/>
      <c r="E31" s="75"/>
      <c r="F31" s="75"/>
      <c r="G31" s="75"/>
      <c r="H31" s="75"/>
      <c r="I31" s="75"/>
      <c r="J31" s="92"/>
    </row>
    <row r="32" spans="2:10" ht="15" x14ac:dyDescent="0.25">
      <c r="B32" s="78"/>
      <c r="C32" s="78"/>
      <c r="D32" s="74"/>
      <c r="E32" s="79"/>
      <c r="F32" s="75"/>
      <c r="G32" s="75"/>
      <c r="H32" s="75"/>
      <c r="I32" s="75"/>
      <c r="J32" s="92"/>
    </row>
    <row r="33" spans="2:10" ht="15" x14ac:dyDescent="0.25">
      <c r="B33" s="78"/>
      <c r="C33" s="78"/>
      <c r="D33" s="74"/>
      <c r="E33" s="79"/>
      <c r="F33" s="75"/>
      <c r="G33" s="75"/>
      <c r="H33" s="75"/>
      <c r="I33" s="75"/>
      <c r="J33" s="92"/>
    </row>
    <row r="34" spans="2:10" ht="15" x14ac:dyDescent="0.25">
      <c r="B34" s="92"/>
      <c r="C34" s="92"/>
      <c r="D34" s="92"/>
      <c r="E34" s="92"/>
      <c r="F34" s="92"/>
      <c r="G34" s="92"/>
      <c r="H34" s="92"/>
      <c r="I34" s="92"/>
      <c r="J34" s="92"/>
    </row>
    <row r="35" spans="2:10" x14ac:dyDescent="0.25">
      <c r="B35" s="93"/>
      <c r="C35" s="93"/>
      <c r="D35" s="93"/>
      <c r="E35" s="93"/>
      <c r="F35" s="93"/>
      <c r="G35" s="93"/>
      <c r="H35" s="93"/>
      <c r="J35" s="93"/>
    </row>
    <row r="36" spans="2:10" x14ac:dyDescent="0.25"/>
    <row r="37" spans="2:10" x14ac:dyDescent="0.25"/>
    <row r="38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x14ac:dyDescent="0.25"/>
  </sheetData>
  <mergeCells count="13">
    <mergeCell ref="I23:I24"/>
    <mergeCell ref="B25:C25"/>
    <mergeCell ref="B32:C32"/>
    <mergeCell ref="B33:C33"/>
    <mergeCell ref="E23:H23"/>
    <mergeCell ref="B26:C26"/>
    <mergeCell ref="B27:C27"/>
    <mergeCell ref="B28:C28"/>
    <mergeCell ref="B29:C29"/>
    <mergeCell ref="B30:C30"/>
    <mergeCell ref="B31:C31"/>
    <mergeCell ref="B23:C24"/>
    <mergeCell ref="D23:D24"/>
  </mergeCells>
  <pageMargins left="0.7" right="0.7" top="0.75" bottom="0.75" header="0.3" footer="0.3"/>
  <pageSetup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showGridLines="0" zoomScaleNormal="100" zoomScaleSheetLayoutView="100" workbookViewId="0">
      <selection activeCell="B23" sqref="B23"/>
    </sheetView>
  </sheetViews>
  <sheetFormatPr defaultColWidth="0" defaultRowHeight="13.5" zeroHeight="1" x14ac:dyDescent="0.25"/>
  <cols>
    <col min="1" max="1" width="1" style="6" customWidth="1"/>
    <col min="2" max="2" width="10" style="6" customWidth="1"/>
    <col min="3" max="3" width="61.42578125" style="6" customWidth="1"/>
    <col min="4" max="5" width="13.5703125" style="6" customWidth="1"/>
    <col min="6" max="6" width="1" style="6" customWidth="1"/>
    <col min="7" max="7" width="9.140625" style="6" hidden="1" customWidth="1"/>
    <col min="8" max="9" width="0" style="6" hidden="1" customWidth="1"/>
    <col min="10" max="16384" width="9.140625" style="6" hidden="1"/>
  </cols>
  <sheetData>
    <row r="1" spans="2:10" s="5" customFormat="1" ht="15" x14ac:dyDescent="0.25">
      <c r="B1" s="25" t="str">
        <f>Index!$B$1</f>
        <v>ABC &amp; Co.</v>
      </c>
      <c r="D1" s="26"/>
      <c r="E1" s="27" t="str">
        <f>Index!D26</f>
        <v>BS.10 - 8</v>
      </c>
    </row>
    <row r="2" spans="2:10" s="5" customFormat="1" ht="15" x14ac:dyDescent="0.25">
      <c r="B2" s="5" t="str">
        <f>Index!$B$2</f>
        <v>(Chartered Accountants)</v>
      </c>
      <c r="D2" s="26"/>
    </row>
    <row r="3" spans="2:10" s="5" customFormat="1" x14ac:dyDescent="0.25">
      <c r="E3" s="6"/>
      <c r="F3" s="6"/>
    </row>
    <row r="4" spans="2:10" s="5" customFormat="1" ht="15" x14ac:dyDescent="0.25">
      <c r="B4" s="7" t="str">
        <f>Index!$B$4</f>
        <v xml:space="preserve">Client: </v>
      </c>
      <c r="C4" s="8" t="str">
        <f>Index!$C$4</f>
        <v>ABC Limited</v>
      </c>
      <c r="D4" s="10" t="str">
        <f>Index!$E$4</f>
        <v>Prepared by:</v>
      </c>
      <c r="E4" s="13" t="str">
        <f>IF(Index!$F$4="","",Index!$F$4)</f>
        <v/>
      </c>
    </row>
    <row r="5" spans="2:10" s="5" customFormat="1" ht="15" x14ac:dyDescent="0.25">
      <c r="B5" s="7" t="str">
        <f>Index!$B$5</f>
        <v>Period:</v>
      </c>
      <c r="C5" s="8" t="str">
        <f>Index!$C$5</f>
        <v>Year ended June 30, 2023</v>
      </c>
      <c r="D5" s="10" t="str">
        <f>Index!$E$5</f>
        <v>Date prepared:</v>
      </c>
      <c r="E5" s="105" t="str">
        <f>IF(Index!$F$5="","",Index!$F$5)</f>
        <v/>
      </c>
    </row>
    <row r="6" spans="2:10" s="5" customFormat="1" ht="15" x14ac:dyDescent="0.25">
      <c r="B6" s="7" t="str">
        <f>Index!$B$6</f>
        <v>Head:</v>
      </c>
      <c r="C6" s="8" t="str">
        <f>Index!$C$6</f>
        <v>Short term loans and advances</v>
      </c>
      <c r="D6" s="10" t="str">
        <f>Index!$E$6</f>
        <v>Reviewed by:</v>
      </c>
      <c r="E6" s="106" t="str">
        <f>IF(Index!$F$6="","",Index!$F$6)</f>
        <v/>
      </c>
    </row>
    <row r="7" spans="2:10" ht="15" x14ac:dyDescent="0.25">
      <c r="B7" s="5"/>
      <c r="C7" s="5"/>
      <c r="D7" s="10" t="str">
        <f>Index!$E$7</f>
        <v>Date reviewed:</v>
      </c>
      <c r="E7" s="105" t="str">
        <f>IF(Index!$F$7="","",Index!$F$7)</f>
        <v/>
      </c>
      <c r="F7" s="5"/>
    </row>
    <row r="8" spans="2:10" s="5" customFormat="1" ht="15" x14ac:dyDescent="0.25">
      <c r="B8" s="97" t="s">
        <v>59</v>
      </c>
      <c r="C8" s="97"/>
      <c r="D8" s="97"/>
      <c r="E8" s="97"/>
      <c r="F8" s="25"/>
    </row>
    <row r="9" spans="2:10" x14ac:dyDescent="0.25"/>
    <row r="10" spans="2:10" s="35" customFormat="1" ht="14.25" customHeight="1" x14ac:dyDescent="0.25">
      <c r="B10" s="28" t="s">
        <v>6</v>
      </c>
      <c r="C10" s="28" t="s">
        <v>60</v>
      </c>
      <c r="D10" s="98" t="s">
        <v>52</v>
      </c>
      <c r="E10" s="98"/>
      <c r="F10" s="99"/>
    </row>
    <row r="11" spans="2:10" ht="15" x14ac:dyDescent="0.25">
      <c r="B11" s="28"/>
      <c r="C11" s="28"/>
      <c r="D11" s="31" t="s">
        <v>61</v>
      </c>
      <c r="E11" s="32" t="s">
        <v>62</v>
      </c>
      <c r="F11" s="30"/>
    </row>
    <row r="12" spans="2:10" x14ac:dyDescent="0.25">
      <c r="B12" s="100"/>
      <c r="C12" s="101"/>
      <c r="D12" s="101"/>
      <c r="E12" s="101"/>
    </row>
    <row r="13" spans="2:10" s="38" customFormat="1" x14ac:dyDescent="0.25">
      <c r="B13" s="36"/>
      <c r="C13" s="102"/>
      <c r="D13" s="102"/>
      <c r="E13" s="102"/>
      <c r="F13" s="6"/>
      <c r="G13" s="6"/>
      <c r="H13" s="6"/>
      <c r="I13" s="6"/>
      <c r="J13" s="6"/>
    </row>
    <row r="14" spans="2:10" s="38" customFormat="1" x14ac:dyDescent="0.25">
      <c r="B14" s="36"/>
      <c r="C14" s="102"/>
      <c r="D14" s="102"/>
      <c r="E14" s="102"/>
      <c r="F14" s="6"/>
      <c r="G14" s="6"/>
      <c r="H14" s="6"/>
      <c r="I14" s="6"/>
      <c r="J14" s="6"/>
    </row>
    <row r="15" spans="2:10" s="38" customFormat="1" x14ac:dyDescent="0.25">
      <c r="B15" s="36"/>
      <c r="C15" s="102"/>
      <c r="D15" s="102"/>
      <c r="E15" s="102"/>
      <c r="F15" s="6"/>
      <c r="G15" s="6"/>
      <c r="H15" s="6"/>
      <c r="I15" s="6"/>
      <c r="J15" s="6"/>
    </row>
    <row r="16" spans="2:10" s="38" customFormat="1" x14ac:dyDescent="0.25">
      <c r="B16" s="36"/>
      <c r="C16" s="102"/>
      <c r="D16" s="102"/>
      <c r="E16" s="102"/>
      <c r="F16" s="6"/>
      <c r="G16" s="6"/>
      <c r="H16" s="6"/>
      <c r="I16" s="6"/>
      <c r="J16" s="6"/>
    </row>
    <row r="17" spans="2:10" s="38" customFormat="1" x14ac:dyDescent="0.25">
      <c r="B17" s="36"/>
      <c r="C17" s="102"/>
      <c r="D17" s="102"/>
      <c r="E17" s="102"/>
      <c r="F17" s="6"/>
      <c r="G17" s="6"/>
      <c r="H17" s="6"/>
      <c r="I17" s="6"/>
      <c r="J17" s="6"/>
    </row>
    <row r="18" spans="2:10" s="38" customFormat="1" x14ac:dyDescent="0.25">
      <c r="B18" s="36"/>
      <c r="C18" s="102"/>
      <c r="D18" s="102"/>
      <c r="E18" s="102"/>
      <c r="F18" s="6"/>
      <c r="G18" s="6"/>
      <c r="H18" s="6"/>
      <c r="I18" s="6"/>
      <c r="J18" s="6"/>
    </row>
    <row r="19" spans="2:10" s="38" customFormat="1" x14ac:dyDescent="0.25">
      <c r="B19" s="36"/>
      <c r="C19" s="102"/>
      <c r="D19" s="102"/>
      <c r="E19" s="102"/>
      <c r="F19" s="6"/>
      <c r="G19" s="6"/>
      <c r="H19" s="6"/>
      <c r="I19" s="6"/>
      <c r="J19" s="6"/>
    </row>
    <row r="20" spans="2:10" s="38" customFormat="1" x14ac:dyDescent="0.25">
      <c r="B20" s="36"/>
      <c r="C20" s="102"/>
      <c r="D20" s="102"/>
      <c r="E20" s="102"/>
      <c r="F20" s="6"/>
      <c r="G20" s="6"/>
      <c r="H20" s="6"/>
      <c r="I20" s="6"/>
      <c r="J20" s="6"/>
    </row>
    <row r="21" spans="2:10" s="38" customFormat="1" x14ac:dyDescent="0.25">
      <c r="B21" s="36"/>
      <c r="C21" s="102"/>
      <c r="D21" s="102"/>
      <c r="E21" s="102"/>
      <c r="F21" s="6"/>
      <c r="G21" s="6"/>
      <c r="H21" s="6"/>
      <c r="I21" s="6"/>
      <c r="J21" s="6"/>
    </row>
    <row r="22" spans="2:10" s="38" customFormat="1" x14ac:dyDescent="0.25">
      <c r="B22" s="36"/>
      <c r="C22" s="37"/>
      <c r="D22" s="103"/>
      <c r="E22" s="103"/>
      <c r="F22" s="6"/>
      <c r="G22" s="6"/>
      <c r="H22" s="6"/>
      <c r="I22" s="6"/>
      <c r="J22" s="6"/>
    </row>
    <row r="23" spans="2:10" s="38" customFormat="1" x14ac:dyDescent="0.25">
      <c r="B23" s="36"/>
      <c r="C23" s="37"/>
      <c r="D23" s="56"/>
      <c r="E23" s="56"/>
    </row>
    <row r="24" spans="2:10" s="38" customFormat="1" x14ac:dyDescent="0.25">
      <c r="B24" s="36"/>
      <c r="C24" s="37"/>
      <c r="D24" s="37"/>
      <c r="E24" s="37"/>
    </row>
    <row r="25" spans="2:10" s="50" customFormat="1" x14ac:dyDescent="0.25">
      <c r="B25" s="57"/>
      <c r="C25" s="58"/>
    </row>
    <row r="26" spans="2:10" s="50" customFormat="1" hidden="1" x14ac:dyDescent="0.25"/>
    <row r="27" spans="2:10" s="50" customFormat="1" ht="15" hidden="1" x14ac:dyDescent="0.25">
      <c r="D27" s="59"/>
      <c r="E27" s="59"/>
      <c r="F27" s="59"/>
      <c r="G27" s="59"/>
      <c r="H27" s="59"/>
      <c r="I27" s="59"/>
    </row>
    <row r="28" spans="2:10" s="50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AOC</vt:lpstr>
      <vt:lpstr>Lead</vt:lpstr>
      <vt:lpstr>SubLead-Loans</vt:lpstr>
      <vt:lpstr>SubLead-Advances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'SubLead-Advances'!Print_Area</vt:lpstr>
      <vt:lpstr>'SubLead-Loans'!Print_Area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2017-06-03T21:23:18Z</cp:lastPrinted>
  <dcterms:created xsi:type="dcterms:W3CDTF">2013-09-04T12:17:25Z</dcterms:created>
  <dcterms:modified xsi:type="dcterms:W3CDTF">2023-06-24T05:27:35Z</dcterms:modified>
</cp:coreProperties>
</file>