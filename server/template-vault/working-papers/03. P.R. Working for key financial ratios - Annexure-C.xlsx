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Zahid\Desktop\"/>
    </mc:Choice>
  </mc:AlternateContent>
  <xr:revisionPtr revIDLastSave="0" documentId="13_ncr:1_{FC168DC2-4263-4E9F-994F-5AD1413DC2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tio analysis" sheetId="1" r:id="rId1"/>
    <sheet name="Working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\g">#N/A</definedName>
    <definedName name="\p">#N/A</definedName>
    <definedName name="\s">#N/A</definedName>
    <definedName name="______MAR97">#REF!</definedName>
    <definedName name="______SEC107">#REF!</definedName>
    <definedName name="_____MAR97">#REF!</definedName>
    <definedName name="_____SEC107">#REF!</definedName>
    <definedName name="____MAR97">#REF!</definedName>
    <definedName name="____SEC107">#REF!</definedName>
    <definedName name="___MAR97">#REF!</definedName>
    <definedName name="___SEC107">#REF!</definedName>
    <definedName name="__123Graph_A" hidden="1">'[1]aatl-98'!#REF!</definedName>
    <definedName name="__123Graph_B" hidden="1">'[1]aatl-98'!#REF!</definedName>
    <definedName name="__123Graph_X" hidden="1">'[1]aatl-98'!#REF!</definedName>
    <definedName name="__MAR97">#REF!</definedName>
    <definedName name="__SEC107">#REF!</definedName>
    <definedName name="_97">#REF!</definedName>
    <definedName name="_Fill" localSheetId="0" hidden="1">[2]Acct!#REF!</definedName>
    <definedName name="_Fill" localSheetId="1" hidden="1">[2]Acct!#REF!</definedName>
    <definedName name="_Fill" hidden="1">[2]Acct!#REF!</definedName>
    <definedName name="_Fill1" localSheetId="0" hidden="1">[3]Acct!#REF!</definedName>
    <definedName name="_Fill1" localSheetId="1" hidden="1">[3]Acct!#REF!</definedName>
    <definedName name="_Fill1" hidden="1">[3]Acct!#REF!</definedName>
    <definedName name="_Key1" localSheetId="0" hidden="1">'[4]Main 01-02'!#REF!</definedName>
    <definedName name="_Key1" localSheetId="1" hidden="1">'[4]Main 01-02'!#REF!</definedName>
    <definedName name="_Key1" hidden="1">'[4]Main 01-02'!#REF!</definedName>
    <definedName name="_Key2" localSheetId="0" hidden="1">#REF!</definedName>
    <definedName name="_Key2" localSheetId="1" hidden="1">#REF!</definedName>
    <definedName name="_Key2" hidden="1">#REF!</definedName>
    <definedName name="_MAR96">#REF!</definedName>
    <definedName name="_MAR97">#REF!</definedName>
    <definedName name="_Order1" hidden="1">255</definedName>
    <definedName name="_Order2" hidden="1">255</definedName>
    <definedName name="_Regression_X" localSheetId="0" hidden="1">#REF!</definedName>
    <definedName name="_Regression_X" localSheetId="1" hidden="1">#REF!</definedName>
    <definedName name="_Regression_X" hidden="1">#REF!</definedName>
    <definedName name="_SEC107">#REF!</definedName>
    <definedName name="_Sort" localSheetId="0" hidden="1">'[5]Prepaid Sheet'!#REF!</definedName>
    <definedName name="_Sort" localSheetId="1" hidden="1">'[5]Prepaid Sheet'!#REF!</definedName>
    <definedName name="_Sort" hidden="1">'[5]Prepaid Sheet'!#REF!</definedName>
    <definedName name="a" hidden="1">'[6]aatl-98'!#REF!</definedName>
    <definedName name="abc">Scheduled_Payment+Extra_Payment</definedName>
    <definedName name="Acc.Code">#REF!</definedName>
    <definedName name="AD._TO_EMP.">[7]PL!#REF!</definedName>
    <definedName name="ADJUSTMENTS">[7]PL!#REF!</definedName>
    <definedName name="ADV">[8]acct!#REF!</definedName>
    <definedName name="AICPA">#REF!</definedName>
    <definedName name="Amount">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SETS">[7]PL!#REF!</definedName>
    <definedName name="AUD_PLAN">[7]PL!#REF!</definedName>
    <definedName name="Automated">#REF!</definedName>
    <definedName name="b" hidden="1">'[6]aatl-98'!#REF!</definedName>
    <definedName name="B_SHEET">[7]PL!#REF!</definedName>
    <definedName name="Beg_Bal">#REF!</definedName>
    <definedName name="BG_Del" hidden="1">15</definedName>
    <definedName name="BG_Ins" hidden="1">4</definedName>
    <definedName name="BG_Mod" hidden="1">6</definedName>
    <definedName name="BHAKAKRI">#N/A</definedName>
    <definedName name="CH.IN.EQUIT">[8]acct!#REF!</definedName>
    <definedName name="cHECK">[8]acct!#REF!</definedName>
    <definedName name="chk">#REF!</definedName>
    <definedName name="Code" hidden="1">#REF!</definedName>
    <definedName name="CONTROL">#N/A</definedName>
    <definedName name="ControlType">#REF!</definedName>
    <definedName name="CRED">[8]acct!#REF!</definedName>
    <definedName name="Currency">#REF!</definedName>
    <definedName name="d" hidden="1">'[6]aatl-98'!#REF!</definedName>
    <definedName name="Data">#REF!</definedName>
    <definedName name="data2" localSheetId="0" hidden="1">#REF!</definedName>
    <definedName name="data2" localSheetId="1" hidden="1">#REF!</definedName>
    <definedName name="data2" hidden="1">#REF!</definedName>
    <definedName name="data3" localSheetId="0" hidden="1">#REF!</definedName>
    <definedName name="data3" localSheetId="1" hidden="1">#REF!</definedName>
    <definedName name="data3" hidden="1">#REF!</definedName>
    <definedName name="_xlnm.Database">#REF!</definedName>
    <definedName name="dEFF.LIA">[8]acct!#REF!</definedName>
    <definedName name="dep" localSheetId="0" hidden="1">[2]Acct!#REF!</definedName>
    <definedName name="dep" localSheetId="1" hidden="1">[2]Acct!#REF!</definedName>
    <definedName name="dep" hidden="1">[2]Acct!#REF!</definedName>
    <definedName name="Description">#REF!</definedName>
    <definedName name="dfds" hidden="1">[3]Acct!#REF!</definedName>
    <definedName name="dhdhd">#N/A</definedName>
    <definedName name="Discount" localSheetId="0" hidden="1">#REF!</definedName>
    <definedName name="Discount" localSheetId="1" hidden="1">#REF!</definedName>
    <definedName name="Discount" hidden="1">#REF!</definedName>
    <definedName name="display_area_2" localSheetId="0" hidden="1">#REF!</definedName>
    <definedName name="display_area_2" localSheetId="1" hidden="1">#REF!</definedName>
    <definedName name="display_area_2" hidden="1">#REF!</definedName>
    <definedName name="End_Bal">#REF!</definedName>
    <definedName name="EV__EVCOM_OPTIONS__" hidden="1">8</definedName>
    <definedName name="EV__EXPOPTIONS__" hidden="1">0</definedName>
    <definedName name="EV__LASTREFTIME__" hidden="1">39434.5021296296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63</definedName>
    <definedName name="EV__WBVERSION__" hidden="1">0</definedName>
    <definedName name="EV__WSINFO__" hidden="1">"JvG"</definedName>
    <definedName name="EV_LASTREFTIME" hidden="1">39434.6837037037</definedName>
    <definedName name="EV_LASTTIME" hidden="1">39434.6837037037</definedName>
    <definedName name="ExactAddinConnection" hidden="1">"102"</definedName>
    <definedName name="ExactAddinConnection.102" hidden="1">"DATA_SERVER;102;rabnawaz.anjum;0"</definedName>
    <definedName name="ExactAddinConnection.103" hidden="1">"DATA_SERVER;103;rabnawaz.anjum;0"</definedName>
    <definedName name="Extra_Pay">#REF!</definedName>
    <definedName name="FA">[8]acct!#REF!</definedName>
    <definedName name="FAROOQ">#N/A</definedName>
    <definedName name="FCode" localSheetId="0" hidden="1">#REF!</definedName>
    <definedName name="FCode" localSheetId="1" hidden="1">#REF!</definedName>
    <definedName name="FCode" hidden="1">#REF!</definedName>
    <definedName name="fhfhf">#N/A</definedName>
    <definedName name="fill" localSheetId="0" hidden="1">[3]Acct!#REF!</definedName>
    <definedName name="fill" localSheetId="1" hidden="1">[3]Acct!#REF!</definedName>
    <definedName name="fill" hidden="1">[3]Acct!#REF!</definedName>
    <definedName name="FINASSET">[8]acct!#REF!</definedName>
    <definedName name="Frequency">'[9]Drop down'!$C$6:$C$13</definedName>
    <definedName name="Full_Print">#REF!</definedName>
    <definedName name="h" localSheetId="0" hidden="1">[3]Acct!#REF!</definedName>
    <definedName name="h" localSheetId="1" hidden="1">[3]Acct!#REF!</definedName>
    <definedName name="h" hidden="1">[3]Acct!#REF!</definedName>
    <definedName name="Header_Row">ROW(#REF!)</definedName>
    <definedName name="HiddenRows" localSheetId="0" hidden="1">#REF!</definedName>
    <definedName name="HiddenRows" localSheetId="1" hidden="1">#REF!</definedName>
    <definedName name="HiddenRows" hidden="1">#REF!</definedName>
    <definedName name="Hyperlink_Inquiry">#REF!</definedName>
    <definedName name="Hyperlink_Inspection">#REF!</definedName>
    <definedName name="Hyperlink_Observation">#REF!</definedName>
    <definedName name="Hyperlink_PAE">#REF!</definedName>
    <definedName name="Hyperlink_Reperformance">#REF!</definedName>
    <definedName name="Hyperlink_Update">#REF!</definedName>
    <definedName name="Inquiry">#REF!</definedName>
    <definedName name="Inspection">#REF!</definedName>
    <definedName name="Int">#REF!</definedName>
    <definedName name="Interest_Rate">#REF!</definedName>
    <definedName name="Interim">#REF!</definedName>
    <definedName name="INVEST">[8]acct!#REF!</definedName>
    <definedName name="IQBAL">#N/A</definedName>
    <definedName name="ISA">#REF!</definedName>
    <definedName name="IT_depend">#REF!</definedName>
    <definedName name="khalid">DATE(YEAR([10]!Loan_Start),MONTH([10]!Loan_Start)+Payment_Number,DAY([10]!Loan_Start))</definedName>
    <definedName name="Last_Row">#N/A</definedName>
    <definedName name="lll" localSheetId="0" hidden="1">'[11]1'!#REF!</definedName>
    <definedName name="lll" localSheetId="1" hidden="1">'[11]1'!#REF!</definedName>
    <definedName name="lll" hidden="1">'[11]1'!#REF!</definedName>
    <definedName name="Loan_Amount">#REF!</definedName>
    <definedName name="Loan_Start">#REF!</definedName>
    <definedName name="Loan_Years">#REF!</definedName>
    <definedName name="LOANS">[8]acct!#REF!</definedName>
    <definedName name="LoE">#REF!</definedName>
    <definedName name="LoE_High">#REF!</definedName>
    <definedName name="LoE_Low">#REF!</definedName>
    <definedName name="LoE_Mod">#REF!</definedName>
    <definedName name="Manual">#REF!</definedName>
    <definedName name="new_fill" hidden="1">[12]Notes!#REF!</definedName>
    <definedName name="NoInterim">#REF!</definedName>
    <definedName name="Note6">[13]Notes!$A$65</definedName>
    <definedName name="NOTES">#REF!</definedName>
    <definedName name="NoYes">'[9]Drop down'!$Q$6:$Q$7</definedName>
    <definedName name="Num_Pmt_Per_Year">#REF!</definedName>
    <definedName name="Number_of_Payments">#N/A</definedName>
    <definedName name="Observation">#REF!</definedName>
    <definedName name="OrderTable" localSheetId="0" hidden="1">#REF!</definedName>
    <definedName name="OrderTable" localSheetId="1" hidden="1">#REF!</definedName>
    <definedName name="OrderTable" hidden="1">#REF!</definedName>
    <definedName name="PAE">#REF!</definedName>
    <definedName name="Pay_Date">#REF!</definedName>
    <definedName name="Pay_Num">#REF!</definedName>
    <definedName name="Payment_Date">#N/A</definedName>
    <definedName name="PCAOB">#REF!</definedName>
    <definedName name="Prepaid" hidden="1">'[14]Prepaid Sheet'!$A$1</definedName>
    <definedName name="Princ">#REF!</definedName>
    <definedName name="_xlnm.Print_Area" localSheetId="0">'Ratio analysis'!$A$1:$K$57</definedName>
    <definedName name="_xlnm.Print_Area" localSheetId="1">Working!$A$1:$O$114</definedName>
    <definedName name="Print_Area_Reset">#N/A</definedName>
    <definedName name="_xlnm.Print_Titles" localSheetId="1">Working!$1:$4</definedName>
    <definedName name="ProdForm" localSheetId="0" hidden="1">#REF!</definedName>
    <definedName name="ProdForm" localSheetId="1" hidden="1">#REF!</definedName>
    <definedName name="ProdForm" hidden="1">#REF!</definedName>
    <definedName name="Product" localSheetId="0" hidden="1">#REF!</definedName>
    <definedName name="Product" localSheetId="1" hidden="1">#REF!</definedName>
    <definedName name="Product" hidden="1">#REF!</definedName>
    <definedName name="RCArea" localSheetId="0" hidden="1">#REF!</definedName>
    <definedName name="RCArea" localSheetId="1" hidden="1">#REF!</definedName>
    <definedName name="RCArea" hidden="1">#REF!</definedName>
    <definedName name="REDCAP">[8]acct!#REF!</definedName>
    <definedName name="Reperformance">#REF!</definedName>
    <definedName name="RF">[8]acct!#REF!</definedName>
    <definedName name="SADF" hidden="1">[15]LOSSES!#REF!</definedName>
    <definedName name="SALES">[8]acct!#REF!</definedName>
    <definedName name="sarooq">#N/A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hdsfj">#N/A</definedName>
    <definedName name="sec">#REF!</definedName>
    <definedName name="SHEIKH">Scheduled_Payment+Extra_Payment</definedName>
    <definedName name="SNS">[8]acct!#REF!</definedName>
    <definedName name="SpecialPrice" localSheetId="0" hidden="1">#REF!</definedName>
    <definedName name="SpecialPrice" localSheetId="1" hidden="1">#REF!</definedName>
    <definedName name="SpecialPrice" hidden="1">#REF!</definedName>
    <definedName name="tAX">[8]acct!#REF!</definedName>
    <definedName name="tbl_ProdInfo" localSheetId="0" hidden="1">#REF!</definedName>
    <definedName name="tbl_ProdInfo" localSheetId="1" hidden="1">#REF!</definedName>
    <definedName name="tbl_ProdInfo" hidden="1">#REF!</definedName>
    <definedName name="Test_OE">#REF!</definedName>
    <definedName name="TextRefCopyRangeCount" hidden="1">73</definedName>
    <definedName name="Total_Interest">#REF!</definedName>
    <definedName name="Total_Pay">#REF!</definedName>
    <definedName name="Total_Payment">Scheduled_Payment+Extra_Payment</definedName>
    <definedName name="TRIAL">[7]PL!#REF!</definedName>
    <definedName name="Type">#REF!</definedName>
    <definedName name="TypeSelected">#REF!</definedName>
    <definedName name="TypeTest">'[9]Drop down'!$K$6:$K$9</definedName>
    <definedName name="UOO">#REF!</definedName>
    <definedName name="Update">#REF!</definedName>
    <definedName name="Update_Else">#REF!</definedName>
    <definedName name="US">#REF!</definedName>
    <definedName name="Values_Entered">#N/A</definedName>
    <definedName name="VARIENCES">[7]PL!#REF!</definedName>
    <definedName name="wrn.annual._.report." localSheetId="0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wrn.annual._.report." localSheetId="1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wrn.annual._.report.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wrn.Armaturen." localSheetId="0" hidden="1">{"Armaturen",#N/A,FALSE,"Gesamt"}</definedName>
    <definedName name="wrn.Armaturen." localSheetId="1" hidden="1">{"Armaturen",#N/A,FALSE,"Gesamt"}</definedName>
    <definedName name="wrn.Armaturen." hidden="1">{"Armaturen",#N/A,FALSE,"Gesamt"}</definedName>
    <definedName name="wrn.KSB._.AG." localSheetId="0" hidden="1">{"KSB AG",#N/A,FALSE,"Gesamt"}</definedName>
    <definedName name="wrn.KSB._.AG." localSheetId="1" hidden="1">{"KSB AG",#N/A,FALSE,"Gesamt"}</definedName>
    <definedName name="wrn.KSB._.AG." hidden="1">{"KSB AG",#N/A,FALSE,"Gesamt"}</definedName>
    <definedName name="wrn.KSB._.SA." localSheetId="0" hidden="1">{"KSB S.A.",#N/A,FALSE,"Gesamt"}</definedName>
    <definedName name="wrn.KSB._.SA." localSheetId="1" hidden="1">{"KSB S.A.",#N/A,FALSE,"Gesamt"}</definedName>
    <definedName name="wrn.KSB._.SA." hidden="1">{"KSB S.A.",#N/A,FALSE,"Gesamt"}</definedName>
    <definedName name="wrn.Pumpen." localSheetId="0" hidden="1">{"Pumpen",#N/A,FALSE,"Gesamt"}</definedName>
    <definedName name="wrn.Pumpen." localSheetId="1" hidden="1">{"Pumpen",#N/A,FALSE,"Gesamt"}</definedName>
    <definedName name="wrn.Pumpen." hidden="1">{"Pumpen",#N/A,FALSE,"Gesamt"}</definedName>
    <definedName name="wrn.Service." localSheetId="0" hidden="1">{"Service",#N/A,FALSE,"Gesamt"}</definedName>
    <definedName name="wrn.Service." localSheetId="1" hidden="1">{"Service",#N/A,FALSE,"Gesamt"}</definedName>
    <definedName name="wrn.Service." hidden="1">{"Service",#N/A,FALSE,"Gesamt"}</definedName>
    <definedName name="WW0774e29a3e754c449e48a792c20b20d1_7274" localSheetId="0" hidden="1">'[11]1'!#REF!</definedName>
    <definedName name="WW0774e29a3e754c449e48a792c20b20d1_7274" localSheetId="1" hidden="1">'[11]1'!#REF!</definedName>
    <definedName name="WW0774e29a3e754c449e48a792c20b20d1_7274" hidden="1">'[11]1'!#REF!</definedName>
    <definedName name="WW0a640d1bcf5e4d868e74d5c85585a88c_634642936225000000" hidden="1">#REF!</definedName>
    <definedName name="WW0a640d1bcf5e4d868e74d5c85585a88c_634642941059375000" hidden="1">#REF!</definedName>
    <definedName name="WW26e97c76a7474569b9e8d9f39d00c6b2_2C1C" hidden="1">#REF!</definedName>
    <definedName name="WW26e97c76a7474569b9e8d9f39d00c6b2_49AA" hidden="1">#REF!</definedName>
    <definedName name="WW26e97c76a7474569b9e8d9f39d00c6b2_4FF3" hidden="1">#REF!</definedName>
    <definedName name="WW26e97c76a7474569b9e8d9f39d00c6b2_59FC" hidden="1">#REF!</definedName>
    <definedName name="WW26e97c76a7474569b9e8d9f39d00c6b2_82B7" hidden="1">#REF!</definedName>
    <definedName name="WW26e97c76a7474569b9e8d9f39d00c6b2_91C0" hidden="1">#REF!</definedName>
    <definedName name="WW26e97c76a7474569b9e8d9f39d00c6b2_95CB" hidden="1">#REF!</definedName>
    <definedName name="WW26e97c76a7474569b9e8d9f39d00c6b2_AA6E" hidden="1">#REF!</definedName>
    <definedName name="WW26e97c76a7474569b9e8d9f39d00c6b2_C492" hidden="1">#REF!</definedName>
    <definedName name="WW26e97c76a7474569b9e8d9f39d00c6b2_C537" hidden="1">#REF!</definedName>
    <definedName name="WW26e97c76a7474569b9e8d9f39d00c6b2_C701" hidden="1">#REF!</definedName>
    <definedName name="WW26e97c76a7474569b9e8d9f39d00c6b2_CB6A" hidden="1">#REF!</definedName>
    <definedName name="WW26e97c76a7474569b9e8d9f39d00c6b2_E27" hidden="1">'[16]9.1'!$P$1</definedName>
    <definedName name="WW34be68bf61de4227b1282f0e7bf3d67e_634630331266718750" hidden="1">#REF!</definedName>
    <definedName name="WW34be68bf61de4227b1282f0e7bf3d67e_634641531847187500" hidden="1">#REF!</definedName>
    <definedName name="WW34be68bf61de4227b1282f0e7bf3d67e_634641534964375000" hidden="1">#REF!</definedName>
    <definedName name="WW37ea6099d79b442d8911ee8dacc5e795_634642342638437500" hidden="1">'[17]3'!#REF!</definedName>
    <definedName name="WW37ea6099d79b442d8911ee8dacc5e795_634642361326562500" hidden="1">'[17]4'!#REF!</definedName>
    <definedName name="WW37ea6099d79b442d8911ee8dacc5e795_634642367335937500" hidden="1">'[17]5'!#REF!</definedName>
    <definedName name="WW37ea6099d79b442d8911ee8dacc5e795_634642374834218750" hidden="1">#REF!</definedName>
    <definedName name="WW37ea6099d79b442d8911ee8dacc5e795_634642377395156250" hidden="1">#REF!</definedName>
    <definedName name="WW37ea6099d79b442d8911ee8dacc5e795_634642399848750000" hidden="1">'[17]10.4'!#REF!</definedName>
    <definedName name="WW37ea6099d79b442d8911ee8dacc5e795_634642408449531250" hidden="1">#REF!</definedName>
    <definedName name="WW57052086c83942b5b732124c64dcc5eb_634601073148593750" hidden="1">#REF!</definedName>
    <definedName name="WW71efe531f3714d5699e5c4fd2c7d372f_634618954515312500" hidden="1">#REF!</definedName>
    <definedName name="WW879ac20497404b28bce27b5f32a07aa6_2F62" localSheetId="0" hidden="1">#REF!</definedName>
    <definedName name="WW879ac20497404b28bce27b5f32a07aa6_2F62" localSheetId="1" hidden="1">#REF!</definedName>
    <definedName name="WW879ac20497404b28bce27b5f32a07aa6_2F62" hidden="1">#REF!</definedName>
    <definedName name="WW879ac20497404b28bce27b5f32a07aa6_4553" localSheetId="0" hidden="1">#REF!</definedName>
    <definedName name="WW879ac20497404b28bce27b5f32a07aa6_4553" localSheetId="1" hidden="1">#REF!</definedName>
    <definedName name="WW879ac20497404b28bce27b5f32a07aa6_4553" hidden="1">#REF!</definedName>
    <definedName name="WW879ac20497404b28bce27b5f32a07aa6_6ABA" localSheetId="0" hidden="1">#REF!</definedName>
    <definedName name="WW879ac20497404b28bce27b5f32a07aa6_6ABA" localSheetId="1" hidden="1">#REF!</definedName>
    <definedName name="WW879ac20497404b28bce27b5f32a07aa6_6ABA" hidden="1">#REF!</definedName>
    <definedName name="WW879ac20497404b28bce27b5f32a07aa6_8433" localSheetId="0" hidden="1">'[18]1'!#REF!</definedName>
    <definedName name="WW879ac20497404b28bce27b5f32a07aa6_8433" localSheetId="1" hidden="1">'[18]1'!#REF!</definedName>
    <definedName name="WW879ac20497404b28bce27b5f32a07aa6_8433" hidden="1">'[18]1'!#REF!</definedName>
    <definedName name="WW879ac20497404b28bce27b5f32a07aa6_9A8A" localSheetId="0" hidden="1">#REF!</definedName>
    <definedName name="WW879ac20497404b28bce27b5f32a07aa6_9A8A" localSheetId="1" hidden="1">#REF!</definedName>
    <definedName name="WW879ac20497404b28bce27b5f32a07aa6_9A8A" hidden="1">#REF!</definedName>
    <definedName name="WW879ac20497404b28bce27b5f32a07aa6_9FE1" localSheetId="0" hidden="1">'[18]6'!#REF!</definedName>
    <definedName name="WW879ac20497404b28bce27b5f32a07aa6_9FE1" localSheetId="1" hidden="1">'[18]6'!#REF!</definedName>
    <definedName name="WW879ac20497404b28bce27b5f32a07aa6_9FE1" hidden="1">'[18]6'!#REF!</definedName>
    <definedName name="WW879ac20497404b28bce27b5f32a07aa6_D712" localSheetId="0" hidden="1">#REF!</definedName>
    <definedName name="WW879ac20497404b28bce27b5f32a07aa6_D712" localSheetId="1" hidden="1">#REF!</definedName>
    <definedName name="WW879ac20497404b28bce27b5f32a07aa6_D712" hidden="1">#REF!</definedName>
    <definedName name="WW879ac20497404b28bce27b5f32a07aa6_E89C" localSheetId="0" hidden="1">'[18]1'!#REF!</definedName>
    <definedName name="WW879ac20497404b28bce27b5f32a07aa6_E89C" localSheetId="1" hidden="1">'[18]1'!#REF!</definedName>
    <definedName name="WW879ac20497404b28bce27b5f32a07aa6_E89C" hidden="1">'[18]1'!#REF!</definedName>
    <definedName name="WW9a2dbfb33145428d84a534ff8628cf07_9492" localSheetId="0" hidden="1">#REF!</definedName>
    <definedName name="WW9a2dbfb33145428d84a534ff8628cf07_9492" localSheetId="1" hidden="1">#REF!</definedName>
    <definedName name="WW9a2dbfb33145428d84a534ff8628cf07_9492" hidden="1">#REF!</definedName>
    <definedName name="WW9a2dbfb33145428d84a534ff8628cf07_BB07" localSheetId="0" hidden="1">#REF!</definedName>
    <definedName name="WW9a2dbfb33145428d84a534ff8628cf07_BB07" localSheetId="1" hidden="1">#REF!</definedName>
    <definedName name="WW9a2dbfb33145428d84a534ff8628cf07_BB07" hidden="1">#REF!</definedName>
    <definedName name="WWa77bd1ad9cc444bd9ad0720d8f6b1661_634650715530000000" hidden="1">#REF!</definedName>
    <definedName name="WWcba7466334394c838d1ea8bd018eb07b_634649867438281250" hidden="1">#REF!</definedName>
    <definedName name="WWcba7466334394c838d1ea8bd018eb07b_634649920969375000" hidden="1">'[19]6'!#REF!</definedName>
    <definedName name="WWcba7466334394c838d1ea8bd018eb07b_634649993805468750" hidden="1">#REF!</definedName>
    <definedName name="XXXXX">#N/A</definedName>
    <definedName name="YesNoNA">'[9]Drop down'!$G$6:$G$9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3" i="2"/>
  <c r="I3" i="2" s="1"/>
  <c r="J2" i="1"/>
  <c r="G110" i="2" l="1"/>
  <c r="H52" i="1" s="1"/>
  <c r="I105" i="2"/>
  <c r="J50" i="1" s="1"/>
  <c r="G105" i="2"/>
  <c r="H50" i="1" s="1"/>
  <c r="G100" i="2"/>
  <c r="H48" i="1" s="1"/>
  <c r="G93" i="2"/>
  <c r="H44" i="1" s="1"/>
  <c r="G88" i="2"/>
  <c r="H42" i="1" s="1"/>
  <c r="G76" i="2"/>
  <c r="H36" i="1" s="1"/>
  <c r="I71" i="2"/>
  <c r="J34" i="1" s="1"/>
  <c r="G65" i="2"/>
  <c r="H30" i="1" s="1"/>
  <c r="I60" i="2"/>
  <c r="J28" i="1" s="1"/>
  <c r="G60" i="2"/>
  <c r="H28" i="1" s="1"/>
  <c r="G55" i="2"/>
  <c r="H26" i="1" s="1"/>
  <c r="G50" i="2"/>
  <c r="H24" i="1" s="1"/>
  <c r="G44" i="2"/>
  <c r="H22" i="1" s="1"/>
  <c r="I44" i="2"/>
  <c r="J22" i="1" s="1"/>
  <c r="G34" i="2"/>
  <c r="H18" i="1" s="1"/>
  <c r="G27" i="2"/>
  <c r="H14" i="1" s="1"/>
  <c r="I27" i="2"/>
  <c r="J14" i="1" s="1"/>
  <c r="G22" i="2"/>
  <c r="H12" i="1" s="1"/>
  <c r="I22" i="2"/>
  <c r="J12" i="1" s="1"/>
  <c r="I17" i="2"/>
  <c r="J10" i="1" s="1"/>
  <c r="G12" i="2"/>
  <c r="H8" i="1" s="1"/>
  <c r="I7" i="2"/>
  <c r="J6" i="1" s="1"/>
  <c r="H6" i="1"/>
  <c r="I39" i="2" l="1"/>
  <c r="J20" i="1" s="1"/>
  <c r="I50" i="2"/>
  <c r="J24" i="1" s="1"/>
  <c r="G81" i="2"/>
  <c r="H38" i="1" s="1"/>
  <c r="I93" i="2"/>
  <c r="J44" i="1" s="1"/>
  <c r="G17" i="2"/>
  <c r="H10" i="1" s="1"/>
  <c r="I34" i="2"/>
  <c r="J18" i="1" s="1"/>
  <c r="G39" i="2"/>
  <c r="H20" i="1" s="1"/>
  <c r="G71" i="2"/>
  <c r="H34" i="1" s="1"/>
  <c r="I81" i="2"/>
  <c r="J38" i="1" s="1"/>
  <c r="I12" i="2"/>
  <c r="J8" i="1" s="1"/>
  <c r="I55" i="2"/>
  <c r="J26" i="1" s="1"/>
  <c r="I65" i="2"/>
  <c r="J30" i="1" s="1"/>
  <c r="I76" i="2"/>
  <c r="J36" i="1" s="1"/>
  <c r="I88" i="2"/>
  <c r="J42" i="1" s="1"/>
  <c r="I100" i="2"/>
  <c r="J48" i="1" s="1"/>
  <c r="I110" i="2"/>
  <c r="J52" i="1" s="1"/>
</calcChain>
</file>

<file path=xl/sharedStrings.xml><?xml version="1.0" encoding="utf-8"?>
<sst xmlns="http://schemas.openxmlformats.org/spreadsheetml/2006/main" count="140" uniqueCount="99">
  <si>
    <t>F O R M U L A</t>
  </si>
  <si>
    <t>A.</t>
  </si>
  <si>
    <t>PROFITABILITY RATIOS</t>
  </si>
  <si>
    <t>Gross Profit % to Net Sales</t>
  </si>
  <si>
    <t>Gross Profit/Net Sales X 100</t>
  </si>
  <si>
    <t>Net profit (Loss) percent of sales</t>
  </si>
  <si>
    <t>Net Profit / (Loss) before tax/ Sales X 100</t>
  </si>
  <si>
    <t>Return on assets (ROA)</t>
  </si>
  <si>
    <t>Net Profit after tax/  total assets</t>
  </si>
  <si>
    <t>Return on Capital Employed (ROCE)</t>
  </si>
  <si>
    <t>Net Profit after tax/ total capital employed</t>
  </si>
  <si>
    <t>Earning per share (EPS)  (Rupees per share)</t>
  </si>
  <si>
    <t>Net profit available to equity holder/Number of ordinary shares outstanding</t>
  </si>
  <si>
    <t>B.</t>
  </si>
  <si>
    <t>ACTIVITY RATIOS</t>
  </si>
  <si>
    <t>Raw Material Turnover</t>
  </si>
  <si>
    <t>Cost of raw material used/Avg. raw material inventory</t>
  </si>
  <si>
    <t>Work in process turnover</t>
  </si>
  <si>
    <t>Cost of good manufactured/Avg. Work in process inventory</t>
  </si>
  <si>
    <t>Finished goods turnover</t>
  </si>
  <si>
    <t>Cost of good sold/Avg. finished goods inventory</t>
  </si>
  <si>
    <t>Debtor turnover</t>
  </si>
  <si>
    <t xml:space="preserve"> Sales / Debtors</t>
  </si>
  <si>
    <t>Creditors</t>
  </si>
  <si>
    <t>Purchases / Creditors</t>
  </si>
  <si>
    <t>Fixed assets turnover</t>
  </si>
  <si>
    <t>Cost of goods sold/Average fixed assets</t>
  </si>
  <si>
    <t>Working Capital turnover</t>
  </si>
  <si>
    <t>Cost of good sold/Net working capital</t>
  </si>
  <si>
    <t>C.</t>
  </si>
  <si>
    <t>EXPENSES TO SALES RATIOS</t>
  </si>
  <si>
    <t>Administrative Expenses ratio</t>
  </si>
  <si>
    <t>Administrative Expenses/Net Sales</t>
  </si>
  <si>
    <t>Selling Expenses ratio</t>
  </si>
  <si>
    <t>Selling Expenses/Net Sales</t>
  </si>
  <si>
    <t>Financial Expenses ratio</t>
  </si>
  <si>
    <t>Financial Expenses/Net Sale</t>
  </si>
  <si>
    <t>D.</t>
  </si>
  <si>
    <t>LIQUIDITY RATIOS</t>
  </si>
  <si>
    <t>Current Ratio</t>
  </si>
  <si>
    <t>Current assets/Current liabilities</t>
  </si>
  <si>
    <t>Acid - Test quick ratio</t>
  </si>
  <si>
    <t>Quick assets/Current liabilities</t>
  </si>
  <si>
    <t>E.</t>
  </si>
  <si>
    <t>LEVERAGE / CAPITAL STRUCTURE RATIOS</t>
  </si>
  <si>
    <t>Debt - Equity ratio</t>
  </si>
  <si>
    <t>Total debt/Share holders equity</t>
  </si>
  <si>
    <t>Equity Turnover</t>
  </si>
  <si>
    <t>Sales/Net worth</t>
  </si>
  <si>
    <t>Owner’s stake in the fixed assets</t>
  </si>
  <si>
    <t>Fixed assets/Net worth</t>
  </si>
  <si>
    <t>Conclusion:</t>
  </si>
  <si>
    <t>Formula</t>
  </si>
  <si>
    <t>PERFORMANCE ANALYSIS</t>
  </si>
  <si>
    <t>Gross Profit/Net Sales</t>
  </si>
  <si>
    <t>Gross Profit</t>
  </si>
  <si>
    <t>Net Sales</t>
  </si>
  <si>
    <t>Net Profit / (Loss) / Sales X 100</t>
  </si>
  <si>
    <t>Net Profit before tax</t>
  </si>
  <si>
    <t>Sales in Rupees( Net)</t>
  </si>
  <si>
    <t>Net Profit after tax/ total assets x 100</t>
  </si>
  <si>
    <t>Net Profit After tax</t>
  </si>
  <si>
    <t>Total Assets</t>
  </si>
  <si>
    <t>Net Profit after tax/ total capital employed x 100</t>
  </si>
  <si>
    <t>Net Profit after tax</t>
  </si>
  <si>
    <t xml:space="preserve">Total capital employed </t>
  </si>
  <si>
    <t xml:space="preserve">Net Profit Available to equity holder </t>
  </si>
  <si>
    <t>No. of ordinary shares</t>
  </si>
  <si>
    <t>Cost of raw material used/ Raw material inventory</t>
  </si>
  <si>
    <t>Cost of goods manufactured/ Work in process inventory</t>
  </si>
  <si>
    <t>Cost of goods manufactured</t>
  </si>
  <si>
    <t>Closing w.i.p inventory</t>
  </si>
  <si>
    <t>Cost of goods sold / finished goodss inventory</t>
  </si>
  <si>
    <t>Cost of goods sold</t>
  </si>
  <si>
    <t>Closing Finished Goods stock</t>
  </si>
  <si>
    <t>Sales</t>
  </si>
  <si>
    <t>Debtors</t>
  </si>
  <si>
    <t>Creditors turnover</t>
  </si>
  <si>
    <t>Purchases</t>
  </si>
  <si>
    <t>Cost of Goods Sold</t>
  </si>
  <si>
    <t>Fixed Assets</t>
  </si>
  <si>
    <t>Cost of goods sold / working capital</t>
  </si>
  <si>
    <t>Cost of Goods sold</t>
  </si>
  <si>
    <t>Working Capital</t>
  </si>
  <si>
    <t xml:space="preserve">Administrative Expenses </t>
  </si>
  <si>
    <t xml:space="preserve">Selling Expenses </t>
  </si>
  <si>
    <t xml:space="preserve">Financial Expenses </t>
  </si>
  <si>
    <t>Currant Asset</t>
  </si>
  <si>
    <t>Current Liabilities</t>
  </si>
  <si>
    <t>Quick assets</t>
  </si>
  <si>
    <t>Current liabilities</t>
  </si>
  <si>
    <t>Total Debts</t>
  </si>
  <si>
    <t>Share Holder Equity</t>
  </si>
  <si>
    <t>Net worth</t>
  </si>
  <si>
    <t>Finished goodss turnover</t>
  </si>
  <si>
    <t>Based on above results, noting has come to our attention that could cause us to belive us otherwise.</t>
  </si>
  <si>
    <t>Raw material comnsumed</t>
  </si>
  <si>
    <t>Closing stock raw material</t>
  </si>
  <si>
    <t>WORKING FOR RATIO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</si>
</sst>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u/>
      <sz val="10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sz val="10"/>
      <color indexed="1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37" fontId="2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37" fontId="4" fillId="0" borderId="0" xfId="2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9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0" borderId="1" xfId="1" applyFont="1" applyBorder="1" applyAlignment="1">
      <alignment vertical="center" wrapText="1"/>
    </xf>
    <xf numFmtId="10" fontId="6" fillId="0" borderId="1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2" fontId="6" fillId="0" borderId="1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horizontal="left" vertical="center" wrapText="1"/>
    </xf>
    <xf numFmtId="10" fontId="6" fillId="0" borderId="1" xfId="3" applyNumberFormat="1" applyFont="1" applyFill="1" applyBorder="1" applyAlignment="1">
      <alignment horizontal="center" vertical="center"/>
    </xf>
    <xf numFmtId="0" fontId="4" fillId="0" borderId="6" xfId="1" applyFont="1" applyBorder="1" applyAlignme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2" xfId="1" applyFont="1" applyBorder="1" applyAlignment="1">
      <alignment vertical="center" wrapText="1"/>
    </xf>
    <xf numFmtId="0" fontId="5" fillId="0" borderId="0" xfId="2" applyNumberFormat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2" fontId="4" fillId="0" borderId="1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left" vertical="center"/>
    </xf>
    <xf numFmtId="37" fontId="4" fillId="0" borderId="0" xfId="2" applyFont="1"/>
    <xf numFmtId="165" fontId="4" fillId="0" borderId="0" xfId="4" applyNumberFormat="1" applyFont="1" applyAlignment="1">
      <alignment horizontal="center" vertical="center"/>
    </xf>
    <xf numFmtId="10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5" fontId="4" fillId="0" borderId="0" xfId="4" applyNumberFormat="1" applyFont="1" applyBorder="1" applyAlignment="1">
      <alignment horizontal="center" vertical="center"/>
    </xf>
    <xf numFmtId="9" fontId="6" fillId="0" borderId="1" xfId="3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 wrapText="1"/>
    </xf>
    <xf numFmtId="9" fontId="6" fillId="0" borderId="0" xfId="3" applyFont="1" applyBorder="1" applyAlignment="1">
      <alignment horizontal="center" vertical="center"/>
    </xf>
    <xf numFmtId="165" fontId="6" fillId="0" borderId="0" xfId="4" applyNumberFormat="1" applyFont="1" applyBorder="1" applyAlignment="1">
      <alignment horizontal="center" vertical="center"/>
    </xf>
    <xf numFmtId="0" fontId="4" fillId="0" borderId="8" xfId="1" applyFont="1" applyBorder="1" applyAlignment="1">
      <alignment vertical="center"/>
    </xf>
    <xf numFmtId="10" fontId="6" fillId="0" borderId="1" xfId="3" applyNumberFormat="1" applyFont="1" applyBorder="1" applyAlignment="1">
      <alignment horizontal="center" vertical="center"/>
    </xf>
    <xf numFmtId="10" fontId="6" fillId="2" borderId="1" xfId="3" applyNumberFormat="1" applyFont="1" applyFill="1" applyBorder="1" applyAlignment="1">
      <alignment horizontal="center" vertical="center"/>
    </xf>
    <xf numFmtId="10" fontId="6" fillId="0" borderId="0" xfId="3" applyNumberFormat="1" applyFont="1" applyBorder="1" applyAlignment="1">
      <alignment horizontal="center" vertical="center"/>
    </xf>
    <xf numFmtId="10" fontId="6" fillId="2" borderId="0" xfId="3" applyNumberFormat="1" applyFont="1" applyFill="1" applyBorder="1" applyAlignment="1">
      <alignment horizontal="center" vertical="center"/>
    </xf>
    <xf numFmtId="165" fontId="6" fillId="2" borderId="0" xfId="4" applyNumberFormat="1" applyFont="1" applyFill="1" applyBorder="1" applyAlignment="1">
      <alignment horizontal="center" vertical="center"/>
    </xf>
    <xf numFmtId="164" fontId="6" fillId="0" borderId="1" xfId="4" applyFont="1" applyBorder="1" applyAlignment="1">
      <alignment horizontal="center" vertical="center"/>
    </xf>
    <xf numFmtId="164" fontId="6" fillId="0" borderId="0" xfId="4" applyFont="1" applyBorder="1" applyAlignment="1">
      <alignment horizontal="center" vertical="center"/>
    </xf>
    <xf numFmtId="165" fontId="6" fillId="0" borderId="0" xfId="4" applyNumberFormat="1" applyFont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2" fontId="6" fillId="2" borderId="0" xfId="1" applyNumberFormat="1" applyFont="1" applyFill="1" applyAlignment="1">
      <alignment horizontal="center" vertical="center"/>
    </xf>
    <xf numFmtId="165" fontId="4" fillId="0" borderId="0" xfId="4" applyNumberFormat="1" applyFont="1" applyAlignment="1">
      <alignment vertical="center"/>
    </xf>
    <xf numFmtId="0" fontId="4" fillId="0" borderId="0" xfId="1" applyFont="1" applyAlignment="1">
      <alignment horizontal="left" vertical="center"/>
    </xf>
    <xf numFmtId="165" fontId="4" fillId="0" borderId="0" xfId="4" applyNumberFormat="1" applyFont="1" applyBorder="1" applyAlignment="1">
      <alignment vertical="center"/>
    </xf>
    <xf numFmtId="165" fontId="6" fillId="0" borderId="0" xfId="4" applyNumberFormat="1" applyFont="1" applyFill="1" applyBorder="1" applyAlignment="1">
      <alignment horizontal="center" vertical="center"/>
    </xf>
    <xf numFmtId="165" fontId="4" fillId="0" borderId="0" xfId="4" applyNumberFormat="1" applyFont="1" applyFill="1" applyAlignment="1">
      <alignment vertical="center"/>
    </xf>
    <xf numFmtId="0" fontId="4" fillId="0" borderId="8" xfId="1" applyFont="1" applyBorder="1" applyAlignment="1">
      <alignment horizontal="center" vertical="center"/>
    </xf>
    <xf numFmtId="9" fontId="6" fillId="0" borderId="1" xfId="3" applyFont="1" applyFill="1" applyBorder="1" applyAlignment="1">
      <alignment horizontal="center" vertical="center"/>
    </xf>
    <xf numFmtId="9" fontId="4" fillId="0" borderId="0" xfId="3" applyFont="1" applyAlignment="1">
      <alignment vertical="center"/>
    </xf>
    <xf numFmtId="9" fontId="6" fillId="0" borderId="0" xfId="3" applyFont="1" applyFill="1" applyBorder="1" applyAlignment="1">
      <alignment horizontal="center" vertical="center"/>
    </xf>
    <xf numFmtId="165" fontId="4" fillId="0" borderId="0" xfId="1" applyNumberFormat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2" fontId="6" fillId="0" borderId="3" xfId="1" applyNumberFormat="1" applyFont="1" applyBorder="1" applyAlignment="1">
      <alignment horizontal="center" vertical="center"/>
    </xf>
    <xf numFmtId="2" fontId="6" fillId="0" borderId="5" xfId="1" applyNumberFormat="1" applyFont="1" applyBorder="1" applyAlignment="1">
      <alignment horizontal="center" vertical="center"/>
    </xf>
  </cellXfs>
  <cellStyles count="5">
    <cellStyle name="Comma 2 2" xfId="4" xr:uid="{00000000-0005-0000-0000-000000000000}"/>
    <cellStyle name="Normal" xfId="0" builtinId="0"/>
    <cellStyle name="Normal 2 2" xfId="1" xr:uid="{00000000-0005-0000-0000-000002000000}"/>
    <cellStyle name="Normal 3 14" xfId="2" xr:uid="{00000000-0005-0000-0000-000003000000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est/Downloads/Documents%20and%20Settings/Administrator/My%20Documents/ACCOUNTS/ACCOUNTS/AA-Textiles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az\E\AUDIT\DGKHAN\DG%20Khan%20Accounts%20forthe%20year%202004\DG%20accounts%20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2000\DATA_X\Audit%202003-04\Roohi\Mahira--%20DFeskto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cpu-481\D\WINDOWS\TEMP\Rec-Oct-01~Dec-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0.2.2.55\Sher\fOR%20u%20asaD\CBL\Summary_of_Comfort\Summary%20of%20Comfort\Mazhar\Audit%20Apr-02~Jun-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est/Downloads/Documents%20and%20Settings/IMRAN%20NABI/Desktop/auditors/ACCOUNTS/AA-Textiles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hadar-ali\A%20TO%20M\AFTAB%20ASSOCAITES\2005\ACCOUNTS%2030-06-05%20AFTAB%20A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med-ali\Clientdata\DOCUME~1\asif_110\LOCALS~1\Temp\WINDOWS\TEMP\My%20Documents\er\AUG03\My%20Documents\fmmfmsl\FMMdec20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am/Desktop/DPI%202016%20Temp/2016%20areas/Copy%20of%20Validation%20of%20Controls%20over%20Import%20Purchases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LL\Desktop\Most%20Personal%20Dat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uhammad%20Zeeshan\Documents\Colligo%20Received%20Files\2.%20P&amp;L\3.%20Admin%20Exp-201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KPMG/KPMG%20DATA/DG%20Cement%20anuual%202009/Financial%20Statements/Consolidated%20Financial%20Statements/DG%20Khan%20Cement%2009%20Accounts%20Consolidated%20Shahid%20Chang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iyk\Ruby%20Final\Accounts\30-06-2008\Final%20Accounts%20Ruby%20Textile%20Mills%20Limited%202008%20-%20Tax%20Adjustmen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cpu-489\insurance\Sohail%20Iqbal\Audit\Audit%20Jul-02~Sep-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3.199.3\Audit_Clients_2007\AUR\FOH-9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beeha%20Aslam/Documents/ren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farooq004\Desktop\Pkgs%20Client%20docs\Miscellaneous%20areas\JJ-Advances%20December%20201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mair%20waraich\Desktop\Diamond%202015\P%20&amp;%20L\After%20resolution%20of%20points%20on%20sep%2030\AUDIT%20AREAS\AA%20-%20PP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Dell%20Backup%2018-12-14\Disk%20E\Aura%20Clients-2\Packages%20Limited%20Annual%20Audit%202012\Substantive%20Areas\Balance%20Sheet\Operating%20Assets\Lead%20schedule%20-%20Property,%20plant%20and%20equipmen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ors rep"/>
      <sheetName val="Bal-Sht"/>
      <sheetName val="aatl-98"/>
      <sheetName val="fixed assets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ments"/>
      <sheetName val="Copy note"/>
      <sheetName val="Acct"/>
      <sheetName val="Equity"/>
      <sheetName val="6"/>
      <sheetName val="15"/>
      <sheetName val="16"/>
      <sheetName val="40"/>
      <sheetName val="C.Flow"/>
      <sheetName val="sub"/>
      <sheetName val="ratios"/>
      <sheetName val="DG accounts 2004"/>
      <sheetName val="Copy_note"/>
      <sheetName val="C_Flow"/>
      <sheetName val="DG_accounts_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ments"/>
      <sheetName val="Acct"/>
      <sheetName val="Equity"/>
      <sheetName val="6.1"/>
      <sheetName val="13"/>
      <sheetName val="14"/>
      <sheetName val="37"/>
      <sheetName val="Sheet1"/>
      <sheetName val="Sheet2"/>
      <sheetName val="Sheet3"/>
      <sheetName val="Lead Schedule"/>
      <sheetName val="1"/>
      <sheetName val="6_1"/>
      <sheetName val="Lead_Schedule"/>
      <sheetName val="6_11"/>
      <sheetName val="Lead_Schedule1"/>
      <sheetName val="Avsb"/>
      <sheetName val="P&amp;L"/>
      <sheetName val="M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2000"/>
      <sheetName val="Main 01-02"/>
      <sheetName val="Export 01-02"/>
      <sheetName val="Import( OTC) 01-02"/>
      <sheetName val="Inland 10-02"/>
      <sheetName val="Summary 01-02"/>
      <sheetName val="Main_01-02"/>
      <sheetName val="Export_01-02"/>
      <sheetName val="Import(_OTC)_01-02"/>
      <sheetName val="Inland_10-02"/>
      <sheetName val="Summary_01-02"/>
      <sheetName val="Acct"/>
      <sheetName val="Main_01-021"/>
      <sheetName val="Export_01-021"/>
      <sheetName val="Import(_OTC)_01-021"/>
      <sheetName val="Inland_10-021"/>
      <sheetName val="Summary_01-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pMed"/>
      <sheetName val="GrpLife"/>
      <sheetName val="Gnrl-Ins"/>
      <sheetName val="Gnrl-Ins (2)"/>
      <sheetName val="AGIC-EFU-Rlnc"/>
      <sheetName val="Clm Rec"/>
      <sheetName val="Prepaid"/>
      <sheetName val="Ins 01-02"/>
      <sheetName val="Ins 01-02 (2)"/>
      <sheetName val="Ins Cost"/>
      <sheetName val="Deptt Wise Exp"/>
      <sheetName val="Ins Exp."/>
      <sheetName val="Prepaid Sheet"/>
      <sheetName val="Ins 01-02 "/>
      <sheetName val="INS 00-01 "/>
      <sheetName val="Avsb"/>
      <sheetName val="P&amp;L"/>
      <sheetName val="Mst"/>
      <sheetName val="Gnrl-Ins_(2)"/>
      <sheetName val="Clm_Rec"/>
      <sheetName val="Ins_01-02"/>
      <sheetName val="Ins_01-02_(2)"/>
      <sheetName val="Ins_Cost"/>
      <sheetName val="Deptt_Wise_Exp"/>
      <sheetName val="Ins_Exp_"/>
      <sheetName val="Prepaid_Sheet"/>
      <sheetName val="Ins_01-02_"/>
      <sheetName val="INS_00-01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ors rep"/>
      <sheetName val="Bal-Sht"/>
      <sheetName val="aatl-98"/>
      <sheetName val="fixed assets"/>
    </sheetNames>
    <sheetDataSet>
      <sheetData sheetId="0"/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CF"/>
      <sheetName val="SOCE"/>
      <sheetName val="Policies "/>
      <sheetName val="SCH"/>
      <sheetName val="Notes 3-18"/>
      <sheetName val="END"/>
      <sheetName val="Profit on FDR's"/>
      <sheetName val="Exchange Gain(loss)"/>
      <sheetName val="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final"/>
      <sheetName val="PL"/>
      <sheetName val="Sheet1"/>
      <sheetName val="acct"/>
      <sheetName val="Dep"/>
      <sheetName val="28"/>
      <sheetName val="BS DEC02"/>
      <sheetName val="PL DEC02"/>
      <sheetName val="notes DEC02"/>
      <sheetName val="pl 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20)"/>
      <sheetName val="Master ToC Template"/>
      <sheetName val="Import Purchases"/>
      <sheetName val="Import Purchases (2)"/>
      <sheetName val="Master ToC Template US"/>
      <sheetName val="Master 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al"/>
      <sheetName val="Sheet1"/>
      <sheetName val="Most Personal Data"/>
    </sheetNames>
    <definedNames>
      <definedName name="Loan_Start" refersTo="#REF!"/>
    </definedNames>
    <sheetDataSet>
      <sheetData sheetId="0"/>
      <sheetData sheetId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3-LS"/>
      <sheetName val="1"/>
      <sheetName val="2"/>
      <sheetName val="3"/>
      <sheetName val="4"/>
      <sheetName val="Sheet2"/>
    </sheetNames>
    <sheetDataSet>
      <sheetData sheetId="0"/>
      <sheetData sheetId="1">
        <row r="11">
          <cell r="D11">
            <v>5591752.0600000005</v>
          </cell>
        </row>
      </sheetData>
      <sheetData sheetId="2">
        <row r="10">
          <cell r="P10">
            <v>36878</v>
          </cell>
        </row>
      </sheetData>
      <sheetData sheetId="3">
        <row r="15">
          <cell r="C15">
            <v>55679.68</v>
          </cell>
        </row>
      </sheetData>
      <sheetData sheetId="4">
        <row r="18">
          <cell r="F18">
            <v>778000</v>
          </cell>
        </row>
      </sheetData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ments"/>
      <sheetName val="BS"/>
      <sheetName val="Working 2009"/>
      <sheetName val="BS Assets 2009"/>
      <sheetName val="BS LIABILITY 2009"/>
      <sheetName val="PL"/>
      <sheetName val="TM_notes"/>
      <sheetName val="CF"/>
      <sheetName val="SCE"/>
      <sheetName val="Notes"/>
      <sheetName val="7.1"/>
      <sheetName val="TM_18.2-19"/>
      <sheetName val="17"/>
      <sheetName val="17.1-18"/>
      <sheetName val="42(2008)"/>
      <sheetName val="42(2007)"/>
      <sheetName val="cash flow working final"/>
      <sheetName val="cash flow working"/>
      <sheetName val="eps working"/>
      <sheetName val="normal provision of taxation"/>
      <sheetName val="minimum taxation"/>
      <sheetName val="tax dep"/>
      <sheetName val="tax disposal"/>
      <sheetName val="sales%"/>
      <sheetName val="Deferd tax"/>
      <sheetName val="Sheet2"/>
      <sheetName val="Sheet17"/>
      <sheetName val="working"/>
    </sheetNames>
    <sheetDataSet>
      <sheetData sheetId="0"/>
      <sheetData sheetId="1">
        <row r="42">
          <cell r="I42">
            <v>43809880</v>
          </cell>
        </row>
      </sheetData>
      <sheetData sheetId="2"/>
      <sheetData sheetId="3"/>
      <sheetData sheetId="4"/>
      <sheetData sheetId="5">
        <row r="38">
          <cell r="J38">
            <v>443937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CF"/>
      <sheetName val="E"/>
      <sheetName val="Policies"/>
      <sheetName val="Notes"/>
      <sheetName val="fix sch"/>
      <sheetName val="Notes1"/>
      <sheetName val="Key (44)"/>
      <sheetName val="FI"/>
      <sheetName val="exec."/>
      <sheetName val="TB"/>
      <sheetName val="Entries"/>
      <sheetName val="D.Tax"/>
      <sheetName val="TAX p&amp;l"/>
      <sheetName val="TAX DEP."/>
      <sheetName val="RM"/>
      <sheetName val="WIP"/>
      <sheetName val="FG"/>
      <sheetName val="Trial"/>
      <sheetName val="Stock Valuation"/>
      <sheetName val="Store.Value"/>
      <sheetName val="Comparison"/>
      <sheetName val="From July"/>
    </sheetNames>
    <sheetDataSet>
      <sheetData sheetId="0"/>
      <sheetData sheetId="1"/>
      <sheetData sheetId="2"/>
      <sheetData sheetId="3"/>
      <sheetData sheetId="4"/>
      <sheetData sheetId="5">
        <row r="65">
          <cell r="A65">
            <v>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m Rec"/>
      <sheetName val="Prepaid"/>
      <sheetName val="GrpMed"/>
      <sheetName val="GrpLife"/>
      <sheetName val="Gnrl-Ins"/>
      <sheetName val="AGIC-EFU-Rlnc"/>
      <sheetName val="InsSch2k-02-03"/>
      <sheetName val="InsSch 02-03 "/>
      <sheetName val="Ins Cost"/>
      <sheetName val="Deptt Wise Exp"/>
      <sheetName val="Ins Exp."/>
      <sheetName val="Prepaid Sheet"/>
      <sheetName val="Ins 01-02 "/>
      <sheetName val="INS 00-01 "/>
      <sheetName val="note"/>
      <sheetName val="Acct"/>
      <sheetName val="ORIX"/>
      <sheetName val="Clm_Rec"/>
      <sheetName val="InsSch_02-03_"/>
      <sheetName val="Ins_Cost"/>
      <sheetName val="Deptt_Wise_Exp"/>
      <sheetName val="Ins_Exp_"/>
      <sheetName val="Prepaid_Sheet"/>
      <sheetName val="Ins_01-02_"/>
      <sheetName val="INS_00-01_"/>
      <sheetName val="Grmt Ord"/>
      <sheetName val="Account"/>
      <sheetName val="Revenue-Fire-Marine-Motor"/>
      <sheetName val="ATTACH1B"/>
      <sheetName val="ATTACH1C"/>
      <sheetName val="Result"/>
      <sheetName val="Audit Jul-02~Sep-02"/>
      <sheetName val="18"/>
      <sheetName val="chq-in-ha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CRESCENT GREENWOOD LIMITED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CENTR"/>
      <sheetName val="CC.ALLOC"/>
      <sheetName val="S.MAT"/>
      <sheetName val="FFOH"/>
      <sheetName val="S.CHARG"/>
      <sheetName val="MANPOWER"/>
      <sheetName val="EXECUTIVES"/>
      <sheetName val="LOS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.1"/>
    </sheetNames>
    <sheetDataSet>
      <sheetData sheetId="0">
        <row r="22">
          <cell r="Q22">
            <v>402293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J"/>
      <sheetName val="1"/>
      <sheetName val="2"/>
      <sheetName val="2.1"/>
      <sheetName val="2.2"/>
      <sheetName val="2.3"/>
      <sheetName val="2.4"/>
      <sheetName val="2.5"/>
      <sheetName val="2.6"/>
      <sheetName val="2.7"/>
      <sheetName val="3"/>
      <sheetName val="3.1"/>
      <sheetName val="3.1.1"/>
      <sheetName val="3.2"/>
      <sheetName val="3.3"/>
      <sheetName val="3.4"/>
      <sheetName val="3.4.1"/>
      <sheetName val="3.4.2"/>
      <sheetName val="4"/>
      <sheetName val="4.1"/>
      <sheetName val="4.1.1"/>
      <sheetName val="4.1.2"/>
      <sheetName val="4.2"/>
      <sheetName val="4.2.1"/>
      <sheetName val="4.2.2"/>
      <sheetName val="5"/>
      <sheetName val="5.1"/>
      <sheetName val="5.1.1"/>
      <sheetName val="5.1.2"/>
      <sheetName val="5.1.3"/>
      <sheetName val="5.2"/>
      <sheetName val="6"/>
      <sheetName val="6.1"/>
      <sheetName val="6.1.1"/>
      <sheetName val="6.1.2"/>
      <sheetName val="6.2"/>
      <sheetName val="7"/>
      <sheetName val="7.1"/>
      <sheetName val="8"/>
      <sheetName val="9"/>
      <sheetName val="9.1"/>
      <sheetName val="9.2"/>
      <sheetName val="9.3"/>
      <sheetName val="Pending"/>
      <sheetName val="10"/>
      <sheetName val="10.1"/>
      <sheetName val="10.2"/>
      <sheetName val="10.3"/>
      <sheetName val="10.4"/>
      <sheetName val="10.4.1"/>
      <sheetName val="10.4.1.2"/>
      <sheetName val="10.4.2"/>
      <sheetName val="10.4.3"/>
      <sheetName val="11"/>
      <sheetName val="12"/>
      <sheetName val="13"/>
      <sheetName val="Entries"/>
    </sheetNames>
    <sheetDataSet>
      <sheetData sheetId="0" refreshError="1"/>
      <sheetData sheetId="1" refreshError="1"/>
      <sheetData sheetId="2" refreshError="1"/>
      <sheetData sheetId="3">
        <row r="282">
          <cell r="G282">
            <v>1723830.3499999999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1">
          <cell r="E11">
            <v>1998842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"/>
      <sheetName val="1"/>
      <sheetName val="2"/>
      <sheetName val="3"/>
      <sheetName val="4"/>
      <sheetName val="5"/>
      <sheetName val="6"/>
      <sheetName val="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ra"/>
      <sheetName val="Disclosure 15.1"/>
      <sheetName val="Disclosure 15.1.5"/>
      <sheetName val="Sept 17, 2012"/>
      <sheetName val="AA"/>
      <sheetName val="1"/>
      <sheetName val="1.1"/>
      <sheetName val="2"/>
      <sheetName val="3"/>
      <sheetName val="4"/>
      <sheetName val="4.1"/>
      <sheetName val="4.2"/>
      <sheetName val="5"/>
      <sheetName val="6"/>
      <sheetName val="7"/>
      <sheetName val="8"/>
      <sheetName val="9"/>
      <sheetName val="9.1"/>
      <sheetName val="9.2"/>
      <sheetName val="10"/>
      <sheetName val="10.1"/>
      <sheetName val="10.2"/>
      <sheetName val="11"/>
      <sheetName val="12"/>
      <sheetName val="12.1"/>
      <sheetName val="13"/>
      <sheetName val="14"/>
      <sheetName val="15"/>
      <sheetName val="16"/>
      <sheetName val="16.1"/>
      <sheetName val="16.1.1"/>
      <sheetName val="16.2"/>
      <sheetName val="16.3"/>
      <sheetName val="17"/>
      <sheetName val="18"/>
      <sheetName val="19"/>
      <sheetName val="Ent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1">
          <cell r="G1" t="str">
            <v>&lt;16.1&gt;</v>
          </cell>
        </row>
      </sheetData>
      <sheetData sheetId="30" refreshError="1"/>
      <sheetData sheetId="31">
        <row r="1">
          <cell r="G1" t="str">
            <v>&lt;16.2&gt;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7"/>
  <sheetViews>
    <sheetView showGridLines="0" tabSelected="1" view="pageBreakPreview" zoomScaleNormal="100" zoomScaleSheetLayoutView="100" workbookViewId="0"/>
  </sheetViews>
  <sheetFormatPr defaultColWidth="0" defaultRowHeight="13.5" zeroHeight="1" x14ac:dyDescent="0.25"/>
  <cols>
    <col min="1" max="1" width="0.42578125" style="3" customWidth="1"/>
    <col min="2" max="2" width="4.85546875" style="4" customWidth="1"/>
    <col min="3" max="3" width="0.42578125" style="5" customWidth="1"/>
    <col min="4" max="4" width="44.5703125" style="5" bestFit="1" customWidth="1"/>
    <col min="5" max="5" width="0.42578125" style="5" customWidth="1"/>
    <col min="6" max="6" width="46" style="5" bestFit="1" customWidth="1"/>
    <col min="7" max="7" width="0.42578125" style="5" customWidth="1"/>
    <col min="8" max="8" width="17.85546875" style="5" customWidth="1"/>
    <col min="9" max="9" width="0.42578125" style="5" customWidth="1"/>
    <col min="10" max="10" width="17.85546875" style="5" customWidth="1"/>
    <col min="11" max="11" width="0.42578125" style="5" customWidth="1"/>
    <col min="12" max="16384" width="0" style="3" hidden="1"/>
  </cols>
  <sheetData>
    <row r="1" spans="2:11" ht="15" x14ac:dyDescent="0.25">
      <c r="B1" s="1"/>
      <c r="C1" s="2"/>
      <c r="D1" s="2"/>
      <c r="E1" s="2"/>
      <c r="F1" s="2"/>
      <c r="G1" s="2"/>
      <c r="H1" s="2"/>
      <c r="I1" s="2"/>
      <c r="J1" s="2"/>
      <c r="K1" s="2"/>
    </row>
    <row r="2" spans="2:11" ht="15" x14ac:dyDescent="0.25">
      <c r="F2" s="6" t="s">
        <v>0</v>
      </c>
      <c r="G2" s="4"/>
      <c r="H2" s="6">
        <v>2023</v>
      </c>
      <c r="I2" s="4"/>
      <c r="J2" s="6">
        <f>H2-1</f>
        <v>2022</v>
      </c>
      <c r="K2" s="4"/>
    </row>
    <row r="3" spans="2:11" ht="15" x14ac:dyDescent="0.25">
      <c r="F3" s="4"/>
      <c r="G3" s="4"/>
      <c r="H3" s="7"/>
      <c r="I3" s="4"/>
      <c r="J3" s="7"/>
      <c r="K3" s="4"/>
    </row>
    <row r="4" spans="2:11" ht="15" x14ac:dyDescent="0.25">
      <c r="B4" s="7" t="s">
        <v>1</v>
      </c>
      <c r="C4" s="8"/>
      <c r="D4" s="8" t="s">
        <v>2</v>
      </c>
      <c r="F4" s="4"/>
      <c r="G4" s="4"/>
      <c r="H4" s="7"/>
      <c r="I4" s="4"/>
      <c r="J4" s="7"/>
      <c r="K4" s="4"/>
    </row>
    <row r="5" spans="2:11" x14ac:dyDescent="0.25">
      <c r="H5" s="4"/>
      <c r="J5" s="4"/>
    </row>
    <row r="6" spans="2:11" x14ac:dyDescent="0.25">
      <c r="B6" s="9">
        <v>1</v>
      </c>
      <c r="C6" s="10"/>
      <c r="D6" s="11" t="s">
        <v>3</v>
      </c>
      <c r="F6" s="12" t="s">
        <v>4</v>
      </c>
      <c r="H6" s="13" t="e">
        <f>Working!G7</f>
        <v>#DIV/0!</v>
      </c>
      <c r="J6" s="13" t="e">
        <f>Working!I7</f>
        <v>#DIV/0!</v>
      </c>
    </row>
    <row r="7" spans="2:11" x14ac:dyDescent="0.25">
      <c r="H7" s="4"/>
      <c r="J7" s="4"/>
    </row>
    <row r="8" spans="2:11" x14ac:dyDescent="0.25">
      <c r="B8" s="14">
        <v>2</v>
      </c>
      <c r="C8" s="15"/>
      <c r="D8" s="16" t="s">
        <v>5</v>
      </c>
      <c r="F8" s="16" t="s">
        <v>6</v>
      </c>
      <c r="G8" s="15"/>
      <c r="H8" s="17" t="e">
        <f>Working!G12</f>
        <v>#DIV/0!</v>
      </c>
      <c r="J8" s="17" t="e">
        <f>Working!I12</f>
        <v>#DIV/0!</v>
      </c>
    </row>
    <row r="9" spans="2:11" x14ac:dyDescent="0.25">
      <c r="H9" s="18"/>
      <c r="J9" s="18"/>
    </row>
    <row r="10" spans="2:11" x14ac:dyDescent="0.25">
      <c r="B10" s="14">
        <v>3</v>
      </c>
      <c r="C10" s="19"/>
      <c r="D10" s="20" t="s">
        <v>7</v>
      </c>
      <c r="F10" s="21" t="s">
        <v>8</v>
      </c>
      <c r="G10" s="22"/>
      <c r="H10" s="23" t="e">
        <f>Working!G17</f>
        <v>#DIV/0!</v>
      </c>
      <c r="J10" s="23" t="e">
        <f>Working!I17</f>
        <v>#DIV/0!</v>
      </c>
    </row>
    <row r="11" spans="2:11" x14ac:dyDescent="0.25">
      <c r="F11" s="24"/>
      <c r="H11" s="18"/>
      <c r="J11" s="18"/>
    </row>
    <row r="12" spans="2:11" x14ac:dyDescent="0.25">
      <c r="B12" s="14">
        <v>4</v>
      </c>
      <c r="C12" s="19"/>
      <c r="D12" s="20" t="s">
        <v>9</v>
      </c>
      <c r="F12" s="25" t="s">
        <v>10</v>
      </c>
      <c r="G12" s="22"/>
      <c r="H12" s="26" t="e">
        <f>Working!G22</f>
        <v>#DIV/0!</v>
      </c>
      <c r="J12" s="26" t="e">
        <f>Working!I22</f>
        <v>#DIV/0!</v>
      </c>
    </row>
    <row r="13" spans="2:11" x14ac:dyDescent="0.25">
      <c r="H13" s="18"/>
      <c r="J13" s="18"/>
    </row>
    <row r="14" spans="2:11" ht="27" x14ac:dyDescent="0.25">
      <c r="B14" s="14">
        <v>5</v>
      </c>
      <c r="C14" s="19"/>
      <c r="D14" s="20" t="s">
        <v>11</v>
      </c>
      <c r="F14" s="20" t="s">
        <v>12</v>
      </c>
      <c r="G14" s="22"/>
      <c r="H14" s="23" t="e">
        <f>Working!G27</f>
        <v>#DIV/0!</v>
      </c>
      <c r="J14" s="23" t="e">
        <f>Working!I27</f>
        <v>#DIV/0!</v>
      </c>
    </row>
    <row r="15" spans="2:11" x14ac:dyDescent="0.25">
      <c r="H15" s="18"/>
      <c r="J15" s="18"/>
    </row>
    <row r="16" spans="2:11" ht="15" x14ac:dyDescent="0.25">
      <c r="B16" s="7" t="s">
        <v>13</v>
      </c>
      <c r="C16" s="8"/>
      <c r="D16" s="8" t="s">
        <v>14</v>
      </c>
    </row>
    <row r="17" spans="2:10" x14ac:dyDescent="0.25"/>
    <row r="18" spans="2:10" ht="27" x14ac:dyDescent="0.25">
      <c r="B18" s="14">
        <v>1</v>
      </c>
      <c r="C18" s="27"/>
      <c r="D18" s="12" t="s">
        <v>15</v>
      </c>
      <c r="F18" s="16" t="s">
        <v>16</v>
      </c>
      <c r="H18" s="23" t="e">
        <f>Working!G34</f>
        <v>#DIV/0!</v>
      </c>
      <c r="J18" s="23" t="e">
        <f>Working!I34</f>
        <v>#DIV/0!</v>
      </c>
    </row>
    <row r="19" spans="2:10" x14ac:dyDescent="0.25">
      <c r="B19" s="28"/>
    </row>
    <row r="20" spans="2:10" ht="27" x14ac:dyDescent="0.25">
      <c r="B20" s="14">
        <v>2</v>
      </c>
      <c r="C20" s="27"/>
      <c r="D20" s="12" t="s">
        <v>17</v>
      </c>
      <c r="E20" s="15"/>
      <c r="F20" s="16" t="s">
        <v>18</v>
      </c>
      <c r="H20" s="23" t="e">
        <f>Working!G39</f>
        <v>#DIV/0!</v>
      </c>
      <c r="J20" s="23" t="e">
        <f>Working!I39</f>
        <v>#DIV/0!</v>
      </c>
    </row>
    <row r="21" spans="2:10" x14ac:dyDescent="0.25">
      <c r="B21" s="28"/>
    </row>
    <row r="22" spans="2:10" x14ac:dyDescent="0.25">
      <c r="B22" s="14">
        <v>3</v>
      </c>
      <c r="C22" s="27"/>
      <c r="D22" s="12" t="s">
        <v>19</v>
      </c>
      <c r="E22" s="15"/>
      <c r="F22" s="16" t="s">
        <v>20</v>
      </c>
      <c r="H22" s="23" t="e">
        <f>Working!G44</f>
        <v>#DIV/0!</v>
      </c>
      <c r="I22" s="4"/>
      <c r="J22" s="23" t="e">
        <f>Working!I44</f>
        <v>#DIV/0!</v>
      </c>
    </row>
    <row r="23" spans="2:10" x14ac:dyDescent="0.25">
      <c r="B23" s="28"/>
    </row>
    <row r="24" spans="2:10" x14ac:dyDescent="0.25">
      <c r="B24" s="9">
        <v>4</v>
      </c>
      <c r="D24" s="12" t="s">
        <v>21</v>
      </c>
      <c r="F24" s="12" t="s">
        <v>22</v>
      </c>
      <c r="H24" s="23" t="e">
        <f>Working!G50</f>
        <v>#DIV/0!</v>
      </c>
      <c r="J24" s="23" t="e">
        <f>Working!I50</f>
        <v>#DIV/0!</v>
      </c>
    </row>
    <row r="25" spans="2:10" x14ac:dyDescent="0.25"/>
    <row r="26" spans="2:10" x14ac:dyDescent="0.25">
      <c r="B26" s="14">
        <v>5</v>
      </c>
      <c r="C26" s="29"/>
      <c r="D26" s="16" t="s">
        <v>23</v>
      </c>
      <c r="E26" s="15"/>
      <c r="F26" s="12" t="s">
        <v>24</v>
      </c>
      <c r="H26" s="23" t="e">
        <f>Working!G55</f>
        <v>#DIV/0!</v>
      </c>
      <c r="J26" s="23" t="e">
        <f>Working!I55</f>
        <v>#DIV/0!</v>
      </c>
    </row>
    <row r="27" spans="2:10" x14ac:dyDescent="0.25">
      <c r="B27" s="28"/>
      <c r="C27" s="15"/>
      <c r="D27" s="15"/>
      <c r="E27" s="15"/>
    </row>
    <row r="28" spans="2:10" x14ac:dyDescent="0.25">
      <c r="B28" s="14">
        <v>6</v>
      </c>
      <c r="C28" s="29"/>
      <c r="D28" s="16" t="s">
        <v>25</v>
      </c>
      <c r="E28" s="15"/>
      <c r="F28" s="16" t="s">
        <v>26</v>
      </c>
      <c r="H28" s="23" t="e">
        <f>Working!G60</f>
        <v>#DIV/0!</v>
      </c>
      <c r="J28" s="23" t="e">
        <f>Working!I60</f>
        <v>#DIV/0!</v>
      </c>
    </row>
    <row r="29" spans="2:10" x14ac:dyDescent="0.25"/>
    <row r="30" spans="2:10" x14ac:dyDescent="0.25">
      <c r="B30" s="9">
        <v>7</v>
      </c>
      <c r="C30" s="10"/>
      <c r="D30" s="16" t="s">
        <v>27</v>
      </c>
      <c r="E30" s="15"/>
      <c r="F30" s="16" t="s">
        <v>28</v>
      </c>
      <c r="H30" s="23" t="e">
        <f>Working!G65</f>
        <v>#DIV/0!</v>
      </c>
      <c r="J30" s="23" t="e">
        <f>Working!I65</f>
        <v>#DIV/0!</v>
      </c>
    </row>
    <row r="31" spans="2:10" x14ac:dyDescent="0.25"/>
    <row r="32" spans="2:10" ht="15" x14ac:dyDescent="0.25">
      <c r="B32" s="7" t="s">
        <v>29</v>
      </c>
      <c r="C32" s="8"/>
      <c r="D32" s="8" t="s">
        <v>30</v>
      </c>
    </row>
    <row r="33" spans="2:11" x14ac:dyDescent="0.25">
      <c r="F33" s="4"/>
      <c r="G33" s="4"/>
      <c r="H33" s="18"/>
      <c r="I33" s="4"/>
      <c r="J33" s="18"/>
      <c r="K33" s="4"/>
    </row>
    <row r="34" spans="2:11" x14ac:dyDescent="0.25">
      <c r="B34" s="9">
        <v>1</v>
      </c>
      <c r="C34" s="10"/>
      <c r="D34" s="12" t="s">
        <v>31</v>
      </c>
      <c r="F34" s="20" t="s">
        <v>32</v>
      </c>
      <c r="G34" s="22"/>
      <c r="H34" s="17" t="e">
        <f>Working!G71</f>
        <v>#DIV/0!</v>
      </c>
      <c r="J34" s="17" t="e">
        <f>Working!I71</f>
        <v>#DIV/0!</v>
      </c>
    </row>
    <row r="35" spans="2:11" x14ac:dyDescent="0.25">
      <c r="H35" s="18"/>
      <c r="J35" s="18"/>
    </row>
    <row r="36" spans="2:11" x14ac:dyDescent="0.25">
      <c r="B36" s="9">
        <v>2</v>
      </c>
      <c r="C36" s="10"/>
      <c r="D36" s="16" t="s">
        <v>33</v>
      </c>
      <c r="F36" s="16" t="s">
        <v>34</v>
      </c>
      <c r="G36" s="15"/>
      <c r="H36" s="17" t="e">
        <f>Working!G76</f>
        <v>#DIV/0!</v>
      </c>
      <c r="J36" s="17" t="e">
        <f>Working!I76</f>
        <v>#DIV/0!</v>
      </c>
    </row>
    <row r="37" spans="2:11" x14ac:dyDescent="0.25">
      <c r="H37" s="18"/>
      <c r="J37" s="18"/>
    </row>
    <row r="38" spans="2:11" x14ac:dyDescent="0.25">
      <c r="B38" s="9">
        <v>3</v>
      </c>
      <c r="C38" s="10"/>
      <c r="D38" s="12" t="s">
        <v>35</v>
      </c>
      <c r="F38" s="20" t="s">
        <v>36</v>
      </c>
      <c r="G38" s="22"/>
      <c r="H38" s="17" t="e">
        <f>Working!G81</f>
        <v>#DIV/0!</v>
      </c>
      <c r="J38" s="17" t="e">
        <f>Working!I81</f>
        <v>#DIV/0!</v>
      </c>
    </row>
    <row r="39" spans="2:11" x14ac:dyDescent="0.25">
      <c r="H39" s="18"/>
      <c r="J39" s="18"/>
    </row>
    <row r="40" spans="2:11" ht="15" x14ac:dyDescent="0.25">
      <c r="B40" s="30" t="s">
        <v>37</v>
      </c>
      <c r="C40" s="8"/>
      <c r="D40" s="8" t="s">
        <v>38</v>
      </c>
      <c r="H40" s="18"/>
      <c r="J40" s="18"/>
    </row>
    <row r="41" spans="2:11" x14ac:dyDescent="0.25">
      <c r="H41" s="18"/>
      <c r="J41" s="18"/>
    </row>
    <row r="42" spans="2:11" x14ac:dyDescent="0.25">
      <c r="B42" s="14">
        <v>1</v>
      </c>
      <c r="C42" s="29"/>
      <c r="D42" s="16" t="s">
        <v>39</v>
      </c>
      <c r="F42" s="16" t="s">
        <v>40</v>
      </c>
      <c r="G42" s="15"/>
      <c r="H42" s="23" t="e">
        <f>Working!G88</f>
        <v>#DIV/0!</v>
      </c>
      <c r="J42" s="23" t="e">
        <f>Working!I88</f>
        <v>#DIV/0!</v>
      </c>
    </row>
    <row r="43" spans="2:11" x14ac:dyDescent="0.25">
      <c r="H43" s="18"/>
      <c r="J43" s="18"/>
    </row>
    <row r="44" spans="2:11" x14ac:dyDescent="0.25">
      <c r="B44" s="14">
        <v>2</v>
      </c>
      <c r="C44" s="29"/>
      <c r="D44" s="16" t="s">
        <v>41</v>
      </c>
      <c r="F44" s="16" t="s">
        <v>42</v>
      </c>
      <c r="G44" s="15"/>
      <c r="H44" s="23" t="e">
        <f>Working!G93</f>
        <v>#DIV/0!</v>
      </c>
      <c r="J44" s="23" t="e">
        <f>Working!I93</f>
        <v>#DIV/0!</v>
      </c>
    </row>
    <row r="45" spans="2:11" x14ac:dyDescent="0.25">
      <c r="B45" s="28"/>
      <c r="C45" s="15"/>
      <c r="D45" s="15"/>
      <c r="F45" s="15"/>
      <c r="G45" s="15"/>
      <c r="H45" s="4"/>
      <c r="J45" s="4"/>
    </row>
    <row r="46" spans="2:11" ht="15" x14ac:dyDescent="0.25">
      <c r="B46" s="30" t="s">
        <v>43</v>
      </c>
      <c r="C46" s="8"/>
      <c r="D46" s="8" t="s">
        <v>44</v>
      </c>
      <c r="E46" s="8"/>
      <c r="F46" s="31"/>
      <c r="G46" s="31"/>
      <c r="H46" s="4"/>
      <c r="J46" s="4"/>
    </row>
    <row r="47" spans="2:11" x14ac:dyDescent="0.25">
      <c r="F47" s="15"/>
      <c r="G47" s="15"/>
      <c r="H47" s="4"/>
      <c r="J47" s="4"/>
    </row>
    <row r="48" spans="2:11" x14ac:dyDescent="0.25">
      <c r="B48" s="14">
        <v>1</v>
      </c>
      <c r="C48" s="29"/>
      <c r="D48" s="16" t="s">
        <v>45</v>
      </c>
      <c r="E48" s="27"/>
      <c r="F48" s="16" t="s">
        <v>46</v>
      </c>
      <c r="G48" s="15"/>
      <c r="H48" s="32" t="e">
        <f>Working!G100</f>
        <v>#DIV/0!</v>
      </c>
      <c r="J48" s="32" t="e">
        <f>Working!I100</f>
        <v>#DIV/0!</v>
      </c>
    </row>
    <row r="49" spans="2:11" x14ac:dyDescent="0.25">
      <c r="F49" s="15"/>
      <c r="G49" s="15"/>
      <c r="H49" s="4"/>
      <c r="J49" s="4"/>
    </row>
    <row r="50" spans="2:11" x14ac:dyDescent="0.25">
      <c r="B50" s="9">
        <v>2</v>
      </c>
      <c r="C50" s="10"/>
      <c r="D50" s="16" t="s">
        <v>47</v>
      </c>
      <c r="F50" s="16" t="s">
        <v>48</v>
      </c>
      <c r="G50" s="15"/>
      <c r="H50" s="23" t="e">
        <f>Working!G105</f>
        <v>#DIV/0!</v>
      </c>
      <c r="J50" s="23" t="e">
        <f>Working!I105</f>
        <v>#DIV/0!</v>
      </c>
    </row>
    <row r="51" spans="2:11" x14ac:dyDescent="0.25">
      <c r="H51" s="18"/>
      <c r="J51" s="18"/>
    </row>
    <row r="52" spans="2:11" x14ac:dyDescent="0.25">
      <c r="B52" s="14">
        <v>3</v>
      </c>
      <c r="C52" s="29"/>
      <c r="D52" s="16" t="s">
        <v>49</v>
      </c>
      <c r="F52" s="16" t="s">
        <v>50</v>
      </c>
      <c r="G52" s="15"/>
      <c r="H52" s="23" t="e">
        <f>Working!G110</f>
        <v>#DIV/0!</v>
      </c>
      <c r="J52" s="23" t="e">
        <f>Working!I110</f>
        <v>#DIV/0!</v>
      </c>
    </row>
    <row r="53" spans="2:11" x14ac:dyDescent="0.25"/>
    <row r="54" spans="2:11" ht="15" x14ac:dyDescent="0.25">
      <c r="B54" s="66" t="s">
        <v>51</v>
      </c>
      <c r="C54" s="66"/>
      <c r="D54" s="66"/>
      <c r="E54" s="66"/>
      <c r="F54" s="66"/>
      <c r="G54" s="66"/>
      <c r="H54" s="66"/>
      <c r="I54" s="66"/>
      <c r="J54" s="66"/>
    </row>
    <row r="55" spans="2:11" x14ac:dyDescent="0.25">
      <c r="B55" s="65" t="s">
        <v>95</v>
      </c>
      <c r="C55" s="65"/>
      <c r="D55" s="65"/>
      <c r="E55" s="65"/>
      <c r="F55" s="65"/>
      <c r="G55" s="65"/>
      <c r="H55" s="65"/>
      <c r="I55" s="65"/>
      <c r="J55" s="65"/>
      <c r="K55" s="22"/>
    </row>
    <row r="56" spans="2:11" x14ac:dyDescent="0.25">
      <c r="B56" s="28"/>
      <c r="C56" s="15"/>
      <c r="D56" s="15"/>
      <c r="E56" s="15"/>
      <c r="F56" s="15"/>
      <c r="G56" s="15"/>
      <c r="H56" s="15"/>
      <c r="I56" s="15"/>
      <c r="J56" s="15"/>
      <c r="K56" s="15"/>
    </row>
    <row r="57" spans="2:11" x14ac:dyDescent="0.25">
      <c r="B57" s="28"/>
      <c r="C57" s="15"/>
      <c r="D57" s="15"/>
      <c r="E57" s="15"/>
      <c r="F57" s="15"/>
      <c r="G57" s="15"/>
      <c r="H57" s="15"/>
      <c r="I57" s="15"/>
      <c r="J57" s="15"/>
      <c r="K57" s="15"/>
    </row>
  </sheetData>
  <mergeCells count="2">
    <mergeCell ref="B55:J55"/>
    <mergeCell ref="B54:J54"/>
  </mergeCells>
  <pageMargins left="0.25" right="0.25" top="0.75" bottom="0.75" header="0.3" footer="0.3"/>
  <pageSetup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0"/>
  <sheetViews>
    <sheetView showGridLines="0" view="pageBreakPreview" zoomScaleNormal="100" zoomScaleSheetLayoutView="100" workbookViewId="0">
      <selection activeCell="B1" sqref="B1"/>
    </sheetView>
  </sheetViews>
  <sheetFormatPr defaultColWidth="0" defaultRowHeight="13.5" zeroHeight="1" x14ac:dyDescent="0.25"/>
  <cols>
    <col min="1" max="1" width="3.42578125" style="5" customWidth="1"/>
    <col min="2" max="2" width="1" style="5" customWidth="1"/>
    <col min="3" max="3" width="37.28515625" style="5" customWidth="1"/>
    <col min="4" max="4" width="1" style="5" customWidth="1"/>
    <col min="5" max="5" width="38.140625" style="5" customWidth="1"/>
    <col min="6" max="6" width="1" style="5" customWidth="1"/>
    <col min="7" max="7" width="20.7109375" style="5" customWidth="1"/>
    <col min="8" max="8" width="1" style="5" customWidth="1"/>
    <col min="9" max="9" width="20.7109375" style="5" customWidth="1"/>
    <col min="10" max="10" width="0.85546875" style="34" customWidth="1"/>
    <col min="11" max="14" width="9.140625" style="34" hidden="1" customWidth="1"/>
    <col min="15" max="15" width="0" style="34" hidden="1" customWidth="1"/>
    <col min="16" max="16384" width="9.140625" style="34" hidden="1"/>
  </cols>
  <sheetData>
    <row r="1" spans="1:9" ht="15" x14ac:dyDescent="0.25">
      <c r="A1" s="33" t="s">
        <v>98</v>
      </c>
      <c r="B1" s="33"/>
    </row>
    <row r="2" spans="1:9" ht="6" customHeight="1" x14ac:dyDescent="0.25">
      <c r="A2" s="33"/>
      <c r="B2" s="33"/>
    </row>
    <row r="3" spans="1:9" ht="15" x14ac:dyDescent="0.25">
      <c r="E3" s="6" t="s">
        <v>52</v>
      </c>
      <c r="F3" s="4"/>
      <c r="G3" s="6">
        <f>'Ratio analysis'!H2</f>
        <v>2023</v>
      </c>
      <c r="H3" s="7"/>
      <c r="I3" s="6">
        <f>G3-1</f>
        <v>2022</v>
      </c>
    </row>
    <row r="4" spans="1:9" ht="8.1" customHeight="1" x14ac:dyDescent="0.25">
      <c r="E4" s="7"/>
      <c r="F4" s="4"/>
      <c r="G4" s="7"/>
      <c r="H4" s="7"/>
      <c r="I4" s="7"/>
    </row>
    <row r="5" spans="1:9" ht="15" x14ac:dyDescent="0.25">
      <c r="A5" s="8" t="s">
        <v>53</v>
      </c>
      <c r="B5" s="8"/>
    </row>
    <row r="6" spans="1:9" ht="8.1" customHeight="1" x14ac:dyDescent="0.25">
      <c r="G6" s="4"/>
      <c r="I6" s="4"/>
    </row>
    <row r="7" spans="1:9" x14ac:dyDescent="0.25">
      <c r="A7" s="14">
        <v>1</v>
      </c>
      <c r="B7" s="28"/>
      <c r="C7" s="11" t="s">
        <v>3</v>
      </c>
      <c r="E7" s="12" t="s">
        <v>54</v>
      </c>
      <c r="G7" s="13" t="e">
        <f>+ROUND(G9/G10,2)</f>
        <v>#DIV/0!</v>
      </c>
      <c r="I7" s="13" t="e">
        <f>+ROUND(I9/I10,2)</f>
        <v>#DIV/0!</v>
      </c>
    </row>
    <row r="8" spans="1:9" ht="8.1" customHeight="1" x14ac:dyDescent="0.25">
      <c r="A8" s="4"/>
      <c r="B8" s="4"/>
      <c r="G8" s="4"/>
      <c r="I8" s="4"/>
    </row>
    <row r="9" spans="1:9" x14ac:dyDescent="0.25">
      <c r="A9" s="4"/>
      <c r="B9" s="4"/>
      <c r="C9" s="5" t="s">
        <v>55</v>
      </c>
      <c r="G9" s="35"/>
      <c r="I9" s="35"/>
    </row>
    <row r="10" spans="1:9" x14ac:dyDescent="0.25">
      <c r="A10" s="4"/>
      <c r="B10" s="4"/>
      <c r="C10" s="5" t="s">
        <v>56</v>
      </c>
      <c r="G10" s="35"/>
      <c r="I10" s="35"/>
    </row>
    <row r="11" spans="1:9" x14ac:dyDescent="0.25">
      <c r="A11" s="4"/>
      <c r="B11" s="4"/>
      <c r="G11" s="18"/>
      <c r="I11" s="18"/>
    </row>
    <row r="12" spans="1:9" x14ac:dyDescent="0.25">
      <c r="A12" s="14">
        <v>2</v>
      </c>
      <c r="B12" s="28"/>
      <c r="C12" s="16" t="s">
        <v>5</v>
      </c>
      <c r="E12" s="16" t="s">
        <v>57</v>
      </c>
      <c r="F12" s="15"/>
      <c r="G12" s="17" t="e">
        <f>G14/G15</f>
        <v>#DIV/0!</v>
      </c>
      <c r="I12" s="17" t="e">
        <f>I14/I15</f>
        <v>#DIV/0!</v>
      </c>
    </row>
    <row r="13" spans="1:9" ht="8.1" customHeight="1" x14ac:dyDescent="0.25">
      <c r="A13" s="28"/>
      <c r="B13" s="28"/>
      <c r="C13" s="15"/>
      <c r="E13" s="15"/>
      <c r="F13" s="15"/>
      <c r="G13" s="36"/>
      <c r="I13" s="36"/>
    </row>
    <row r="14" spans="1:9" x14ac:dyDescent="0.25">
      <c r="A14" s="15"/>
      <c r="B14" s="15"/>
      <c r="C14" s="15" t="s">
        <v>58</v>
      </c>
      <c r="E14" s="15"/>
      <c r="F14" s="15"/>
      <c r="G14" s="37"/>
      <c r="I14" s="37"/>
    </row>
    <row r="15" spans="1:9" x14ac:dyDescent="0.25">
      <c r="A15" s="28"/>
      <c r="B15" s="28"/>
      <c r="C15" s="15" t="s">
        <v>59</v>
      </c>
      <c r="E15" s="15"/>
      <c r="F15" s="15"/>
      <c r="G15" s="38"/>
      <c r="I15" s="38"/>
    </row>
    <row r="16" spans="1:9" x14ac:dyDescent="0.25">
      <c r="A16" s="4"/>
      <c r="B16" s="4"/>
      <c r="G16" s="18"/>
      <c r="I16" s="18"/>
    </row>
    <row r="17" spans="1:9" x14ac:dyDescent="0.25">
      <c r="A17" s="14">
        <v>3</v>
      </c>
      <c r="B17" s="28"/>
      <c r="C17" s="20" t="s">
        <v>7</v>
      </c>
      <c r="E17" s="21" t="s">
        <v>60</v>
      </c>
      <c r="F17" s="22"/>
      <c r="G17" s="39" t="e">
        <f>G19/G20</f>
        <v>#DIV/0!</v>
      </c>
      <c r="I17" s="39" t="e">
        <f>I19/I20</f>
        <v>#DIV/0!</v>
      </c>
    </row>
    <row r="18" spans="1:9" ht="8.1" customHeight="1" x14ac:dyDescent="0.25">
      <c r="A18" s="28"/>
      <c r="B18" s="28"/>
      <c r="C18" s="22"/>
      <c r="E18" s="40"/>
      <c r="F18" s="22"/>
      <c r="G18" s="41"/>
      <c r="I18" s="41"/>
    </row>
    <row r="19" spans="1:9" x14ac:dyDescent="0.25">
      <c r="A19" s="22"/>
      <c r="B19" s="22"/>
      <c r="C19" s="22" t="s">
        <v>61</v>
      </c>
      <c r="E19" s="22"/>
      <c r="F19" s="22"/>
      <c r="G19" s="42"/>
      <c r="I19" s="42"/>
    </row>
    <row r="20" spans="1:9" x14ac:dyDescent="0.25">
      <c r="A20" s="28"/>
      <c r="B20" s="28"/>
      <c r="C20" s="22" t="s">
        <v>62</v>
      </c>
      <c r="E20" s="22"/>
      <c r="F20" s="22"/>
      <c r="G20" s="42"/>
      <c r="I20" s="42"/>
    </row>
    <row r="21" spans="1:9" x14ac:dyDescent="0.25">
      <c r="E21" s="43"/>
      <c r="G21" s="18"/>
      <c r="I21" s="18"/>
    </row>
    <row r="22" spans="1:9" ht="27" x14ac:dyDescent="0.25">
      <c r="A22" s="14">
        <v>4</v>
      </c>
      <c r="B22" s="28"/>
      <c r="C22" s="20" t="s">
        <v>9</v>
      </c>
      <c r="E22" s="25" t="s">
        <v>63</v>
      </c>
      <c r="F22" s="22"/>
      <c r="G22" s="44" t="e">
        <f>G24/G25</f>
        <v>#DIV/0!</v>
      </c>
      <c r="I22" s="45" t="e">
        <f>I24/I25</f>
        <v>#DIV/0!</v>
      </c>
    </row>
    <row r="23" spans="1:9" ht="8.1" customHeight="1" x14ac:dyDescent="0.25">
      <c r="A23" s="28"/>
      <c r="B23" s="28"/>
      <c r="C23" s="22"/>
      <c r="E23" s="22"/>
      <c r="F23" s="22"/>
      <c r="G23" s="46"/>
      <c r="I23" s="47"/>
    </row>
    <row r="24" spans="1:9" x14ac:dyDescent="0.25">
      <c r="A24" s="28"/>
      <c r="B24" s="28"/>
      <c r="C24" s="22" t="s">
        <v>64</v>
      </c>
      <c r="E24" s="22"/>
      <c r="F24" s="22"/>
      <c r="G24" s="42"/>
      <c r="I24" s="42"/>
    </row>
    <row r="25" spans="1:9" x14ac:dyDescent="0.25">
      <c r="A25" s="28"/>
      <c r="B25" s="28"/>
      <c r="C25" s="22" t="s">
        <v>65</v>
      </c>
      <c r="E25" s="22"/>
      <c r="F25" s="22"/>
      <c r="G25" s="48"/>
      <c r="I25" s="42"/>
    </row>
    <row r="26" spans="1:9" x14ac:dyDescent="0.25">
      <c r="A26" s="4"/>
      <c r="B26" s="4"/>
      <c r="G26" s="18"/>
      <c r="I26" s="18"/>
    </row>
    <row r="27" spans="1:9" ht="40.5" x14ac:dyDescent="0.25">
      <c r="A27" s="14">
        <v>5</v>
      </c>
      <c r="B27" s="28"/>
      <c r="C27" s="20" t="s">
        <v>11</v>
      </c>
      <c r="E27" s="20" t="s">
        <v>12</v>
      </c>
      <c r="F27" s="22"/>
      <c r="G27" s="49" t="e">
        <f>G29/G30</f>
        <v>#DIV/0!</v>
      </c>
      <c r="I27" s="49" t="e">
        <f>I29/I30</f>
        <v>#DIV/0!</v>
      </c>
    </row>
    <row r="28" spans="1:9" ht="8.1" customHeight="1" x14ac:dyDescent="0.25">
      <c r="A28" s="28"/>
      <c r="B28" s="28"/>
      <c r="C28" s="22"/>
      <c r="E28" s="22"/>
      <c r="F28" s="22"/>
      <c r="G28" s="50"/>
      <c r="I28" s="50"/>
    </row>
    <row r="29" spans="1:9" x14ac:dyDescent="0.25">
      <c r="A29" s="28"/>
      <c r="B29" s="28"/>
      <c r="C29" s="22" t="s">
        <v>66</v>
      </c>
      <c r="E29" s="22"/>
      <c r="F29" s="22"/>
      <c r="G29" s="42"/>
      <c r="I29" s="42"/>
    </row>
    <row r="30" spans="1:9" x14ac:dyDescent="0.25">
      <c r="A30" s="28"/>
      <c r="B30" s="28"/>
      <c r="C30" s="22" t="s">
        <v>67</v>
      </c>
      <c r="E30" s="22"/>
      <c r="F30" s="22"/>
      <c r="G30" s="42"/>
      <c r="I30" s="42"/>
    </row>
    <row r="31" spans="1:9" x14ac:dyDescent="0.25">
      <c r="A31" s="28"/>
      <c r="B31" s="28"/>
      <c r="C31" s="22"/>
      <c r="E31" s="22"/>
      <c r="F31" s="22"/>
      <c r="G31" s="42"/>
      <c r="I31" s="42"/>
    </row>
    <row r="32" spans="1:9" ht="15" x14ac:dyDescent="0.25">
      <c r="A32" s="7" t="s">
        <v>29</v>
      </c>
      <c r="B32" s="7"/>
      <c r="C32" s="8" t="s">
        <v>14</v>
      </c>
      <c r="E32" s="22"/>
      <c r="F32" s="22"/>
      <c r="G32" s="42"/>
      <c r="H32" s="51"/>
      <c r="I32" s="42"/>
    </row>
    <row r="33" spans="1:9" ht="8.1" customHeight="1" x14ac:dyDescent="0.25">
      <c r="A33" s="4"/>
      <c r="B33" s="4"/>
      <c r="E33" s="22"/>
      <c r="F33" s="22"/>
      <c r="G33" s="42"/>
      <c r="I33" s="42"/>
    </row>
    <row r="34" spans="1:9" ht="27" x14ac:dyDescent="0.25">
      <c r="A34" s="16">
        <v>1</v>
      </c>
      <c r="B34" s="15"/>
      <c r="C34" s="12" t="s">
        <v>15</v>
      </c>
      <c r="E34" s="16" t="s">
        <v>68</v>
      </c>
      <c r="G34" s="23" t="e">
        <f>G36/G37</f>
        <v>#DIV/0!</v>
      </c>
      <c r="I34" s="52" t="e">
        <f>I36/I37</f>
        <v>#DIV/0!</v>
      </c>
    </row>
    <row r="35" spans="1:9" ht="8.1" customHeight="1" x14ac:dyDescent="0.25">
      <c r="A35" s="15"/>
      <c r="B35" s="15"/>
      <c r="E35" s="15"/>
      <c r="G35" s="53"/>
      <c r="I35" s="54"/>
    </row>
    <row r="36" spans="1:9" x14ac:dyDescent="0.25">
      <c r="A36" s="15"/>
      <c r="B36" s="15"/>
      <c r="C36" s="5" t="s">
        <v>96</v>
      </c>
      <c r="E36" s="15"/>
      <c r="G36" s="42"/>
      <c r="H36" s="55"/>
      <c r="I36" s="42"/>
    </row>
    <row r="37" spans="1:9" x14ac:dyDescent="0.25">
      <c r="A37" s="15"/>
      <c r="B37" s="15"/>
      <c r="C37" s="5" t="s">
        <v>97</v>
      </c>
      <c r="E37" s="22"/>
      <c r="F37" s="22"/>
      <c r="G37" s="42"/>
      <c r="I37" s="42"/>
    </row>
    <row r="38" spans="1:9" x14ac:dyDescent="0.25">
      <c r="A38" s="15"/>
      <c r="B38" s="15"/>
      <c r="E38" s="22"/>
      <c r="F38" s="22"/>
      <c r="G38" s="42"/>
      <c r="I38" s="42"/>
    </row>
    <row r="39" spans="1:9" ht="27" x14ac:dyDescent="0.25">
      <c r="A39" s="16">
        <v>2</v>
      </c>
      <c r="B39" s="15"/>
      <c r="C39" s="12" t="s">
        <v>17</v>
      </c>
      <c r="E39" s="16" t="s">
        <v>69</v>
      </c>
      <c r="G39" s="23" t="e">
        <f>G41/G42</f>
        <v>#DIV/0!</v>
      </c>
      <c r="I39" s="23" t="e">
        <f>I41/I42</f>
        <v>#DIV/0!</v>
      </c>
    </row>
    <row r="40" spans="1:9" ht="8.1" customHeight="1" x14ac:dyDescent="0.25">
      <c r="A40" s="15"/>
      <c r="B40" s="15"/>
      <c r="E40" s="15"/>
      <c r="G40" s="53"/>
      <c r="I40" s="53"/>
    </row>
    <row r="41" spans="1:9" x14ac:dyDescent="0.25">
      <c r="A41" s="15"/>
      <c r="B41" s="15"/>
      <c r="C41" s="5" t="s">
        <v>70</v>
      </c>
      <c r="E41" s="15"/>
      <c r="G41" s="42"/>
      <c r="H41" s="55"/>
      <c r="I41" s="42"/>
    </row>
    <row r="42" spans="1:9" x14ac:dyDescent="0.25">
      <c r="A42" s="15"/>
      <c r="B42" s="15"/>
      <c r="C42" s="5" t="s">
        <v>71</v>
      </c>
      <c r="E42" s="15"/>
      <c r="G42" s="42"/>
      <c r="H42" s="55"/>
      <c r="I42" s="42"/>
    </row>
    <row r="43" spans="1:9" x14ac:dyDescent="0.25">
      <c r="A43" s="15"/>
      <c r="B43" s="15"/>
      <c r="E43" s="22"/>
      <c r="F43" s="22"/>
      <c r="G43" s="53"/>
      <c r="I43" s="53"/>
    </row>
    <row r="44" spans="1:9" x14ac:dyDescent="0.25">
      <c r="A44" s="67">
        <v>3</v>
      </c>
      <c r="B44" s="28"/>
      <c r="C44" s="69" t="s">
        <v>94</v>
      </c>
      <c r="E44" s="71" t="s">
        <v>72</v>
      </c>
      <c r="G44" s="73" t="e">
        <f>G47/G48</f>
        <v>#DIV/0!</v>
      </c>
      <c r="I44" s="73" t="e">
        <f>I47/I48</f>
        <v>#DIV/0!</v>
      </c>
    </row>
    <row r="45" spans="1:9" x14ac:dyDescent="0.25">
      <c r="A45" s="68"/>
      <c r="B45" s="28"/>
      <c r="C45" s="70"/>
      <c r="E45" s="72"/>
      <c r="G45" s="74"/>
      <c r="I45" s="74"/>
    </row>
    <row r="46" spans="1:9" ht="8.1" customHeight="1" x14ac:dyDescent="0.25">
      <c r="A46" s="28"/>
      <c r="B46" s="28"/>
      <c r="C46" s="56"/>
      <c r="E46" s="22"/>
      <c r="G46" s="53"/>
      <c r="I46" s="53"/>
    </row>
    <row r="47" spans="1:9" x14ac:dyDescent="0.25">
      <c r="A47" s="28"/>
      <c r="B47" s="28"/>
      <c r="C47" s="5" t="s">
        <v>73</v>
      </c>
      <c r="E47" s="22"/>
      <c r="G47" s="42"/>
      <c r="H47" s="57"/>
      <c r="I47" s="42"/>
    </row>
    <row r="48" spans="1:9" x14ac:dyDescent="0.25">
      <c r="A48" s="28"/>
      <c r="B48" s="28"/>
      <c r="C48" s="5" t="s">
        <v>74</v>
      </c>
      <c r="E48" s="22"/>
      <c r="G48" s="42"/>
      <c r="H48" s="57"/>
      <c r="I48" s="42"/>
    </row>
    <row r="49" spans="1:9" x14ac:dyDescent="0.25">
      <c r="A49" s="28"/>
      <c r="B49" s="28"/>
      <c r="E49" s="22"/>
      <c r="G49" s="42"/>
      <c r="H49" s="57"/>
      <c r="I49" s="42"/>
    </row>
    <row r="50" spans="1:9" x14ac:dyDescent="0.25">
      <c r="A50" s="9">
        <v>4</v>
      </c>
      <c r="B50" s="4"/>
      <c r="C50" s="12" t="s">
        <v>21</v>
      </c>
      <c r="E50" s="12" t="s">
        <v>22</v>
      </c>
      <c r="G50" s="23" t="e">
        <f>G52/G53</f>
        <v>#DIV/0!</v>
      </c>
      <c r="I50" s="23" t="e">
        <f>I52/I53</f>
        <v>#DIV/0!</v>
      </c>
    </row>
    <row r="51" spans="1:9" ht="8.1" customHeight="1" x14ac:dyDescent="0.25">
      <c r="A51" s="4"/>
      <c r="B51" s="4"/>
      <c r="G51" s="53"/>
      <c r="I51" s="53"/>
    </row>
    <row r="52" spans="1:9" x14ac:dyDescent="0.25">
      <c r="A52" s="4"/>
      <c r="B52" s="4"/>
      <c r="C52" s="5" t="s">
        <v>75</v>
      </c>
      <c r="G52" s="35"/>
      <c r="I52" s="35"/>
    </row>
    <row r="53" spans="1:9" x14ac:dyDescent="0.25">
      <c r="A53" s="4"/>
      <c r="B53" s="4"/>
      <c r="C53" s="5" t="s">
        <v>76</v>
      </c>
      <c r="G53" s="42"/>
      <c r="H53" s="55"/>
      <c r="I53" s="42"/>
    </row>
    <row r="54" spans="1:9" x14ac:dyDescent="0.25">
      <c r="A54" s="4"/>
      <c r="B54" s="4"/>
      <c r="E54" s="22"/>
      <c r="F54" s="22"/>
      <c r="G54" s="53"/>
      <c r="I54" s="53"/>
    </row>
    <row r="55" spans="1:9" x14ac:dyDescent="0.25">
      <c r="A55" s="9">
        <v>5</v>
      </c>
      <c r="B55" s="4"/>
      <c r="C55" s="12" t="s">
        <v>77</v>
      </c>
      <c r="E55" s="12" t="s">
        <v>24</v>
      </c>
      <c r="G55" s="23" t="e">
        <f>G57/G58</f>
        <v>#DIV/0!</v>
      </c>
      <c r="I55" s="23" t="e">
        <f>I57/I58</f>
        <v>#DIV/0!</v>
      </c>
    </row>
    <row r="56" spans="1:9" ht="8.1" customHeight="1" x14ac:dyDescent="0.25">
      <c r="A56" s="4"/>
      <c r="B56" s="4"/>
      <c r="G56" s="53"/>
      <c r="I56" s="53"/>
    </row>
    <row r="57" spans="1:9" x14ac:dyDescent="0.25">
      <c r="A57" s="28"/>
      <c r="B57" s="28"/>
      <c r="C57" s="15" t="s">
        <v>78</v>
      </c>
      <c r="G57" s="58"/>
      <c r="H57" s="59"/>
      <c r="I57" s="58"/>
    </row>
    <row r="58" spans="1:9" x14ac:dyDescent="0.25">
      <c r="A58" s="28"/>
      <c r="B58" s="28"/>
      <c r="C58" s="15" t="s">
        <v>23</v>
      </c>
      <c r="G58" s="59"/>
      <c r="H58" s="59"/>
      <c r="I58" s="59"/>
    </row>
    <row r="59" spans="1:9" ht="12" customHeight="1" x14ac:dyDescent="0.25">
      <c r="A59" s="28"/>
      <c r="B59" s="28"/>
      <c r="C59" s="15"/>
      <c r="E59" s="22"/>
      <c r="F59" s="22"/>
    </row>
    <row r="60" spans="1:9" x14ac:dyDescent="0.25">
      <c r="A60" s="9">
        <v>6</v>
      </c>
      <c r="B60" s="4"/>
      <c r="C60" s="11" t="s">
        <v>25</v>
      </c>
      <c r="E60" s="16" t="s">
        <v>26</v>
      </c>
      <c r="G60" s="23" t="e">
        <f>G62/G63</f>
        <v>#DIV/0!</v>
      </c>
      <c r="I60" s="23" t="e">
        <f>I62/I63</f>
        <v>#DIV/0!</v>
      </c>
    </row>
    <row r="61" spans="1:9" ht="8.1" customHeight="1" x14ac:dyDescent="0.25">
      <c r="A61" s="4"/>
      <c r="B61" s="4"/>
      <c r="C61" s="56"/>
      <c r="E61" s="15"/>
      <c r="G61" s="53"/>
      <c r="I61" s="53"/>
    </row>
    <row r="62" spans="1:9" x14ac:dyDescent="0.25">
      <c r="A62" s="28"/>
      <c r="B62" s="28"/>
      <c r="C62" s="15" t="s">
        <v>79</v>
      </c>
      <c r="E62" s="15"/>
      <c r="G62" s="42"/>
      <c r="H62" s="57"/>
      <c r="I62" s="42"/>
    </row>
    <row r="63" spans="1:9" x14ac:dyDescent="0.25">
      <c r="A63" s="28"/>
      <c r="B63" s="28"/>
      <c r="C63" s="15" t="s">
        <v>80</v>
      </c>
      <c r="E63" s="15"/>
      <c r="G63" s="42"/>
      <c r="H63" s="55"/>
      <c r="I63" s="42"/>
    </row>
    <row r="64" spans="1:9" x14ac:dyDescent="0.25">
      <c r="A64" s="4"/>
      <c r="B64" s="4"/>
      <c r="E64" s="22"/>
      <c r="F64" s="22"/>
    </row>
    <row r="65" spans="1:9" x14ac:dyDescent="0.25">
      <c r="A65" s="9">
        <v>7</v>
      </c>
      <c r="B65" s="4"/>
      <c r="C65" s="16" t="s">
        <v>27</v>
      </c>
      <c r="E65" s="16" t="s">
        <v>81</v>
      </c>
      <c r="G65" s="23" t="e">
        <f>G67/G68</f>
        <v>#DIV/0!</v>
      </c>
      <c r="I65" s="52" t="e">
        <f>I67/I68</f>
        <v>#DIV/0!</v>
      </c>
    </row>
    <row r="66" spans="1:9" ht="8.1" customHeight="1" x14ac:dyDescent="0.25">
      <c r="A66" s="4"/>
      <c r="B66" s="4"/>
      <c r="C66" s="15"/>
      <c r="E66" s="15"/>
      <c r="G66" s="53"/>
      <c r="I66" s="54"/>
    </row>
    <row r="67" spans="1:9" x14ac:dyDescent="0.25">
      <c r="A67" s="4"/>
      <c r="B67" s="4"/>
      <c r="C67" s="15" t="s">
        <v>82</v>
      </c>
      <c r="E67" s="22"/>
      <c r="F67" s="22"/>
      <c r="G67" s="58"/>
      <c r="H67" s="57"/>
      <c r="I67" s="58"/>
    </row>
    <row r="68" spans="1:9" x14ac:dyDescent="0.25">
      <c r="A68" s="4"/>
      <c r="B68" s="4"/>
      <c r="C68" s="15" t="s">
        <v>83</v>
      </c>
      <c r="E68" s="22"/>
      <c r="F68" s="22"/>
      <c r="G68" s="59"/>
      <c r="H68" s="55"/>
      <c r="I68" s="59"/>
    </row>
    <row r="69" spans="1:9" x14ac:dyDescent="0.25">
      <c r="A69" s="4"/>
      <c r="B69" s="4"/>
      <c r="C69" s="15"/>
      <c r="E69" s="22"/>
      <c r="F69" s="22"/>
      <c r="G69" s="59"/>
      <c r="H69" s="55"/>
      <c r="I69" s="59"/>
    </row>
    <row r="70" spans="1:9" x14ac:dyDescent="0.25">
      <c r="A70" s="60"/>
      <c r="B70" s="4"/>
      <c r="C70" s="43"/>
      <c r="E70" s="22"/>
      <c r="F70" s="22"/>
      <c r="G70" s="42"/>
      <c r="I70" s="42"/>
    </row>
    <row r="71" spans="1:9" x14ac:dyDescent="0.25">
      <c r="A71" s="9">
        <v>1</v>
      </c>
      <c r="B71" s="4"/>
      <c r="C71" s="12" t="s">
        <v>31</v>
      </c>
      <c r="E71" s="20" t="s">
        <v>32</v>
      </c>
      <c r="F71" s="22"/>
      <c r="G71" s="17" t="e">
        <f>G73/G74</f>
        <v>#DIV/0!</v>
      </c>
      <c r="I71" s="17" t="e">
        <f>I73/I74</f>
        <v>#DIV/0!</v>
      </c>
    </row>
    <row r="72" spans="1:9" ht="8.1" customHeight="1" x14ac:dyDescent="0.25">
      <c r="A72" s="4"/>
      <c r="B72" s="4"/>
      <c r="E72" s="22"/>
      <c r="F72" s="22"/>
      <c r="G72" s="36"/>
      <c r="I72" s="36"/>
    </row>
    <row r="73" spans="1:9" x14ac:dyDescent="0.25">
      <c r="A73" s="4"/>
      <c r="B73" s="4"/>
      <c r="C73" s="5" t="s">
        <v>84</v>
      </c>
      <c r="E73" s="22"/>
      <c r="F73" s="22"/>
      <c r="G73" s="48"/>
      <c r="I73" s="48"/>
    </row>
    <row r="74" spans="1:9" x14ac:dyDescent="0.25">
      <c r="A74" s="4"/>
      <c r="B74" s="4"/>
      <c r="C74" s="5" t="s">
        <v>56</v>
      </c>
      <c r="E74" s="22"/>
      <c r="F74" s="22"/>
      <c r="G74" s="35"/>
      <c r="I74" s="35"/>
    </row>
    <row r="75" spans="1:9" x14ac:dyDescent="0.25">
      <c r="A75" s="4"/>
      <c r="B75" s="4"/>
      <c r="G75" s="18"/>
      <c r="I75" s="18"/>
    </row>
    <row r="76" spans="1:9" x14ac:dyDescent="0.25">
      <c r="A76" s="9">
        <v>2</v>
      </c>
      <c r="B76" s="4"/>
      <c r="C76" s="16" t="s">
        <v>33</v>
      </c>
      <c r="E76" s="16" t="s">
        <v>34</v>
      </c>
      <c r="F76" s="15"/>
      <c r="G76" s="17" t="e">
        <f>G78/G79</f>
        <v>#DIV/0!</v>
      </c>
      <c r="I76" s="17" t="e">
        <f>I78/I79</f>
        <v>#DIV/0!</v>
      </c>
    </row>
    <row r="77" spans="1:9" ht="8.1" customHeight="1" x14ac:dyDescent="0.25">
      <c r="A77" s="4"/>
      <c r="B77" s="4"/>
      <c r="C77" s="15"/>
      <c r="E77" s="15"/>
      <c r="F77" s="15"/>
      <c r="G77" s="36"/>
      <c r="I77" s="36"/>
    </row>
    <row r="78" spans="1:9" x14ac:dyDescent="0.25">
      <c r="A78" s="4"/>
      <c r="B78" s="4"/>
      <c r="C78" s="15" t="s">
        <v>85</v>
      </c>
      <c r="E78" s="15"/>
      <c r="F78" s="15"/>
      <c r="G78" s="55"/>
      <c r="H78" s="55"/>
      <c r="I78" s="55"/>
    </row>
    <row r="79" spans="1:9" x14ac:dyDescent="0.25">
      <c r="A79" s="4"/>
      <c r="B79" s="4"/>
      <c r="C79" s="15" t="s">
        <v>56</v>
      </c>
      <c r="E79" s="15"/>
      <c r="F79" s="15"/>
      <c r="G79" s="35"/>
      <c r="I79" s="35"/>
    </row>
    <row r="80" spans="1:9" x14ac:dyDescent="0.25">
      <c r="A80" s="4"/>
      <c r="B80" s="4"/>
      <c r="G80" s="51"/>
      <c r="I80" s="51"/>
    </row>
    <row r="81" spans="1:9" x14ac:dyDescent="0.25">
      <c r="A81" s="9">
        <v>3</v>
      </c>
      <c r="B81" s="4"/>
      <c r="C81" s="12" t="s">
        <v>35</v>
      </c>
      <c r="E81" s="20" t="s">
        <v>36</v>
      </c>
      <c r="F81" s="22"/>
      <c r="G81" s="17" t="e">
        <f>G83/G84</f>
        <v>#DIV/0!</v>
      </c>
      <c r="I81" s="17" t="e">
        <f>I83/I84</f>
        <v>#DIV/0!</v>
      </c>
    </row>
    <row r="82" spans="1:9" ht="8.1" customHeight="1" x14ac:dyDescent="0.25">
      <c r="A82" s="4"/>
      <c r="B82" s="4"/>
      <c r="E82" s="22"/>
      <c r="F82" s="22"/>
      <c r="G82" s="36"/>
      <c r="I82" s="36"/>
    </row>
    <row r="83" spans="1:9" x14ac:dyDescent="0.25">
      <c r="A83" s="4"/>
      <c r="B83" s="4"/>
      <c r="C83" s="5" t="s">
        <v>86</v>
      </c>
      <c r="E83" s="22"/>
      <c r="F83" s="22"/>
      <c r="G83" s="42"/>
      <c r="I83" s="42"/>
    </row>
    <row r="84" spans="1:9" x14ac:dyDescent="0.25">
      <c r="A84" s="4"/>
      <c r="B84" s="4"/>
      <c r="C84" s="5" t="s">
        <v>56</v>
      </c>
      <c r="E84" s="22"/>
      <c r="F84" s="22"/>
      <c r="G84" s="35"/>
      <c r="I84" s="35"/>
    </row>
    <row r="85" spans="1:9" x14ac:dyDescent="0.25">
      <c r="A85" s="4"/>
      <c r="B85" s="4"/>
      <c r="G85" s="18"/>
      <c r="I85" s="18"/>
    </row>
    <row r="86" spans="1:9" ht="15" x14ac:dyDescent="0.25">
      <c r="A86" s="8" t="s">
        <v>38</v>
      </c>
      <c r="B86" s="8"/>
      <c r="G86" s="18"/>
      <c r="I86" s="18"/>
    </row>
    <row r="87" spans="1:9" ht="8.1" customHeight="1" x14ac:dyDescent="0.25">
      <c r="A87" s="4"/>
      <c r="B87" s="4"/>
      <c r="G87" s="18"/>
      <c r="I87" s="18"/>
    </row>
    <row r="88" spans="1:9" x14ac:dyDescent="0.25">
      <c r="A88" s="14">
        <v>1</v>
      </c>
      <c r="B88" s="28"/>
      <c r="C88" s="16" t="s">
        <v>39</v>
      </c>
      <c r="E88" s="16" t="s">
        <v>40</v>
      </c>
      <c r="F88" s="15"/>
      <c r="G88" s="23" t="e">
        <f>G90/G91</f>
        <v>#DIV/0!</v>
      </c>
      <c r="I88" s="23" t="e">
        <f>I90/I91</f>
        <v>#DIV/0!</v>
      </c>
    </row>
    <row r="89" spans="1:9" ht="8.1" customHeight="1" x14ac:dyDescent="0.25">
      <c r="A89" s="28"/>
      <c r="B89" s="28"/>
      <c r="C89" s="15"/>
      <c r="E89" s="15"/>
      <c r="F89" s="15"/>
      <c r="G89" s="53"/>
      <c r="I89" s="53"/>
    </row>
    <row r="90" spans="1:9" x14ac:dyDescent="0.25">
      <c r="A90" s="28"/>
      <c r="B90" s="28"/>
      <c r="C90" s="15" t="s">
        <v>87</v>
      </c>
      <c r="E90" s="15"/>
      <c r="F90" s="15"/>
      <c r="G90" s="42"/>
      <c r="I90" s="42"/>
    </row>
    <row r="91" spans="1:9" x14ac:dyDescent="0.25">
      <c r="A91" s="28"/>
      <c r="B91" s="28"/>
      <c r="C91" s="15" t="s">
        <v>88</v>
      </c>
      <c r="E91" s="15"/>
      <c r="F91" s="15"/>
      <c r="G91" s="42"/>
      <c r="I91" s="42"/>
    </row>
    <row r="92" spans="1:9" x14ac:dyDescent="0.25">
      <c r="A92" s="4"/>
      <c r="B92" s="4"/>
      <c r="G92" s="18"/>
      <c r="I92" s="18"/>
    </row>
    <row r="93" spans="1:9" x14ac:dyDescent="0.25">
      <c r="A93" s="14">
        <v>2</v>
      </c>
      <c r="B93" s="28"/>
      <c r="C93" s="16" t="s">
        <v>41</v>
      </c>
      <c r="E93" s="16" t="s">
        <v>42</v>
      </c>
      <c r="F93" s="15"/>
      <c r="G93" s="23" t="e">
        <f>G95/G96</f>
        <v>#DIV/0!</v>
      </c>
      <c r="I93" s="23" t="e">
        <f>I95/I96</f>
        <v>#DIV/0!</v>
      </c>
    </row>
    <row r="94" spans="1:9" ht="8.1" customHeight="1" x14ac:dyDescent="0.25">
      <c r="A94" s="28"/>
      <c r="B94" s="28"/>
      <c r="C94" s="15"/>
      <c r="E94" s="15"/>
      <c r="F94" s="15"/>
      <c r="G94" s="53"/>
      <c r="I94" s="53"/>
    </row>
    <row r="95" spans="1:9" x14ac:dyDescent="0.25">
      <c r="A95" s="28"/>
      <c r="B95" s="28"/>
      <c r="C95" s="15" t="s">
        <v>89</v>
      </c>
      <c r="E95" s="15"/>
      <c r="F95" s="15"/>
      <c r="G95" s="42"/>
      <c r="I95" s="42"/>
    </row>
    <row r="96" spans="1:9" x14ac:dyDescent="0.25">
      <c r="A96" s="28"/>
      <c r="B96" s="28"/>
      <c r="C96" s="15" t="s">
        <v>90</v>
      </c>
      <c r="E96" s="15"/>
      <c r="F96" s="15"/>
      <c r="G96" s="42"/>
      <c r="I96" s="42"/>
    </row>
    <row r="97" spans="1:9" x14ac:dyDescent="0.25">
      <c r="A97" s="4"/>
      <c r="B97" s="4"/>
      <c r="G97" s="18"/>
      <c r="I97" s="18"/>
    </row>
    <row r="98" spans="1:9" ht="15" x14ac:dyDescent="0.25">
      <c r="A98" s="8" t="s">
        <v>44</v>
      </c>
      <c r="B98" s="8"/>
      <c r="D98" s="8"/>
      <c r="E98" s="31"/>
      <c r="F98" s="31"/>
      <c r="G98" s="18"/>
      <c r="I98" s="18"/>
    </row>
    <row r="99" spans="1:9" ht="8.1" customHeight="1" x14ac:dyDescent="0.25">
      <c r="A99" s="4"/>
      <c r="B99" s="4"/>
      <c r="E99" s="15"/>
      <c r="F99" s="15"/>
      <c r="G99" s="18"/>
      <c r="I99" s="18"/>
    </row>
    <row r="100" spans="1:9" x14ac:dyDescent="0.25">
      <c r="A100" s="14">
        <v>1</v>
      </c>
      <c r="B100" s="28"/>
      <c r="C100" s="16" t="s">
        <v>45</v>
      </c>
      <c r="D100" s="12"/>
      <c r="E100" s="16" t="s">
        <v>46</v>
      </c>
      <c r="F100" s="15"/>
      <c r="G100" s="61" t="e">
        <f>G102/G103</f>
        <v>#DIV/0!</v>
      </c>
      <c r="H100" s="62"/>
      <c r="I100" s="61" t="e">
        <f>I102/I103</f>
        <v>#DIV/0!</v>
      </c>
    </row>
    <row r="101" spans="1:9" ht="8.1" customHeight="1" x14ac:dyDescent="0.25">
      <c r="A101" s="28"/>
      <c r="B101" s="28"/>
      <c r="C101" s="15"/>
      <c r="E101" s="15"/>
      <c r="F101" s="15"/>
      <c r="G101" s="63"/>
      <c r="H101" s="62"/>
      <c r="I101" s="63"/>
    </row>
    <row r="102" spans="1:9" x14ac:dyDescent="0.25">
      <c r="A102" s="28"/>
      <c r="B102" s="28"/>
      <c r="C102" s="15" t="s">
        <v>91</v>
      </c>
      <c r="E102" s="15"/>
      <c r="F102" s="15"/>
      <c r="G102" s="64"/>
      <c r="I102" s="64"/>
    </row>
    <row r="103" spans="1:9" x14ac:dyDescent="0.25">
      <c r="A103" s="28"/>
      <c r="B103" s="28"/>
      <c r="C103" s="15" t="s">
        <v>92</v>
      </c>
      <c r="E103" s="15"/>
      <c r="F103" s="15"/>
      <c r="G103" s="58"/>
      <c r="I103" s="58"/>
    </row>
    <row r="104" spans="1:9" x14ac:dyDescent="0.25">
      <c r="A104" s="4"/>
      <c r="B104" s="4"/>
      <c r="E104" s="15"/>
      <c r="F104" s="15"/>
      <c r="G104" s="18"/>
      <c r="I104" s="18"/>
    </row>
    <row r="105" spans="1:9" x14ac:dyDescent="0.25">
      <c r="A105" s="9">
        <v>2</v>
      </c>
      <c r="B105" s="4"/>
      <c r="C105" s="16" t="s">
        <v>47</v>
      </c>
      <c r="E105" s="16" t="s">
        <v>48</v>
      </c>
      <c r="F105" s="15"/>
      <c r="G105" s="23" t="e">
        <f>G107/G108</f>
        <v>#DIV/0!</v>
      </c>
      <c r="I105" s="23" t="e">
        <f>I107/I108</f>
        <v>#DIV/0!</v>
      </c>
    </row>
    <row r="106" spans="1:9" ht="8.1" customHeight="1" x14ac:dyDescent="0.25">
      <c r="A106" s="4"/>
      <c r="B106" s="4"/>
      <c r="C106" s="15"/>
      <c r="E106" s="15"/>
      <c r="F106" s="15"/>
      <c r="G106" s="53"/>
      <c r="I106" s="53"/>
    </row>
    <row r="107" spans="1:9" x14ac:dyDescent="0.25">
      <c r="A107" s="4"/>
      <c r="B107" s="4"/>
      <c r="C107" s="15" t="s">
        <v>75</v>
      </c>
      <c r="E107" s="15"/>
      <c r="F107" s="15"/>
      <c r="G107" s="35"/>
      <c r="I107" s="35"/>
    </row>
    <row r="108" spans="1:9" x14ac:dyDescent="0.25">
      <c r="A108" s="4"/>
      <c r="B108" s="4"/>
      <c r="C108" s="15" t="s">
        <v>93</v>
      </c>
      <c r="E108" s="15"/>
      <c r="F108" s="15"/>
      <c r="G108" s="58"/>
      <c r="I108" s="58"/>
    </row>
    <row r="109" spans="1:9" x14ac:dyDescent="0.25">
      <c r="A109" s="4"/>
      <c r="B109" s="4"/>
      <c r="G109" s="18"/>
      <c r="I109" s="18"/>
    </row>
    <row r="110" spans="1:9" x14ac:dyDescent="0.25">
      <c r="A110" s="14">
        <v>3</v>
      </c>
      <c r="B110" s="28"/>
      <c r="C110" s="16" t="s">
        <v>49</v>
      </c>
      <c r="E110" s="16" t="s">
        <v>50</v>
      </c>
      <c r="F110" s="15"/>
      <c r="G110" s="23" t="e">
        <f>G112/G113</f>
        <v>#DIV/0!</v>
      </c>
      <c r="I110" s="23" t="e">
        <f>I112/I113</f>
        <v>#DIV/0!</v>
      </c>
    </row>
    <row r="111" spans="1:9" ht="8.1" customHeight="1" x14ac:dyDescent="0.25">
      <c r="A111" s="28"/>
      <c r="B111" s="28"/>
      <c r="C111" s="15"/>
      <c r="E111" s="15"/>
      <c r="F111" s="15"/>
      <c r="G111" s="53"/>
      <c r="I111" s="53"/>
    </row>
    <row r="112" spans="1:9" x14ac:dyDescent="0.25">
      <c r="A112" s="28"/>
      <c r="B112" s="28"/>
      <c r="C112" s="15" t="s">
        <v>80</v>
      </c>
      <c r="E112" s="15"/>
      <c r="F112" s="15"/>
      <c r="G112" s="42"/>
      <c r="H112" s="55"/>
      <c r="I112" s="42"/>
    </row>
    <row r="113" spans="1:9" x14ac:dyDescent="0.25">
      <c r="A113" s="28"/>
      <c r="B113" s="28"/>
      <c r="C113" s="15" t="s">
        <v>93</v>
      </c>
      <c r="E113" s="15"/>
      <c r="F113" s="15"/>
      <c r="G113" s="58"/>
      <c r="I113" s="58"/>
    </row>
    <row r="114" spans="1:9" x14ac:dyDescent="0.25">
      <c r="A114" s="4"/>
      <c r="B114" s="4"/>
    </row>
    <row r="120" spans="1:9" x14ac:dyDescent="0.25"/>
  </sheetData>
  <mergeCells count="5">
    <mergeCell ref="A44:A45"/>
    <mergeCell ref="C44:C45"/>
    <mergeCell ref="E44:E45"/>
    <mergeCell ref="G44:G45"/>
    <mergeCell ref="I44:I45"/>
  </mergeCells>
  <pageMargins left="0.25" right="0.25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Ratio analysis</vt:lpstr>
      <vt:lpstr>Working</vt:lpstr>
      <vt:lpstr>'Ratio analysis'!Print_Area</vt:lpstr>
      <vt:lpstr>Working!Print_Area</vt:lpstr>
      <vt:lpstr>Working!Print_Titles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Zahid</cp:lastModifiedBy>
  <cp:lastPrinted>2017-06-09T06:45:09Z</cp:lastPrinted>
  <dcterms:created xsi:type="dcterms:W3CDTF">2017-05-09T06:29:14Z</dcterms:created>
  <dcterms:modified xsi:type="dcterms:W3CDTF">2023-07-14T11:54:06Z</dcterms:modified>
</cp:coreProperties>
</file>