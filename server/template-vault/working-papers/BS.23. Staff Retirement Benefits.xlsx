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codeName="ThisWorkbook" defaultThemeVersion="124226"/>
  <mc:AlternateContent xmlns:mc="http://schemas.openxmlformats.org/markup-compatibility/2006">
    <mc:Choice Requires="x15">
      <x15ac:absPath xmlns:x15ac="http://schemas.microsoft.com/office/spreadsheetml/2010/11/ac" url="https://d.docs.live.net/09be553335c6809b/Desktop/"/>
    </mc:Choice>
  </mc:AlternateContent>
  <xr:revisionPtr revIDLastSave="1" documentId="11_143A3E032769BEE4DF87D88952797D8B2CCF7954" xr6:coauthVersionLast="47" xr6:coauthVersionMax="47" xr10:uidLastSave="{E08C8EDA-FCB8-4F2D-945D-C1C969ACF575}"/>
  <bookViews>
    <workbookView xWindow="-120" yWindow="-120" windowWidth="20730" windowHeight="11760" tabRatio="857" activeTab="2" xr2:uid="{00000000-000D-0000-FFFF-FFFF00000000}"/>
  </bookViews>
  <sheets>
    <sheet name="Index" sheetId="6" r:id="rId1"/>
    <sheet name="AOC" sheetId="7" r:id="rId2"/>
    <sheet name="Lead" sheetId="3" r:id="rId3"/>
    <sheet name="Adjusting Entries" sheetId="22" r:id="rId4"/>
  </sheets>
  <definedNames>
    <definedName name="_xlnm.Print_Area" localSheetId="3">'Adjusting Entries'!$A$1:$F$25</definedName>
    <definedName name="_xlnm.Print_Area" localSheetId="1">AOC!$A$1:$F$27</definedName>
    <definedName name="_xlnm.Print_Area" localSheetId="0">Index!$A$1:$G$26</definedName>
    <definedName name="_xlnm.Print_Area" localSheetId="2">Lead!$A$1:$J$44</definedName>
  </definedNames>
  <calcPr calcId="181029"/>
</workbook>
</file>

<file path=xl/calcChain.xml><?xml version="1.0" encoding="utf-8"?>
<calcChain xmlns="http://schemas.openxmlformats.org/spreadsheetml/2006/main">
  <c r="E7" i="22" l="1"/>
  <c r="D7" i="22"/>
  <c r="E6" i="22"/>
  <c r="D6" i="22"/>
  <c r="E5" i="22"/>
  <c r="D5" i="22"/>
  <c r="E4" i="22"/>
  <c r="D4" i="22"/>
  <c r="I7" i="3"/>
  <c r="H7" i="3"/>
  <c r="I6" i="3"/>
  <c r="H6" i="3"/>
  <c r="I5" i="3"/>
  <c r="H5" i="3"/>
  <c r="I4" i="3"/>
  <c r="H4" i="3"/>
  <c r="C6" i="22"/>
  <c r="B6" i="22"/>
  <c r="C5" i="22"/>
  <c r="B5" i="22"/>
  <c r="C4" i="22"/>
  <c r="B4" i="22"/>
  <c r="B2" i="22"/>
  <c r="B1" i="22"/>
  <c r="C6" i="3"/>
  <c r="B6" i="3"/>
  <c r="C5" i="3"/>
  <c r="B5" i="3"/>
  <c r="C4" i="3"/>
  <c r="B4" i="3"/>
  <c r="B2" i="3"/>
  <c r="B1" i="3"/>
  <c r="B35" i="3"/>
  <c r="E7" i="7"/>
  <c r="E6" i="7"/>
  <c r="E5" i="7"/>
  <c r="E4" i="7"/>
  <c r="C6" i="7"/>
  <c r="D7" i="7"/>
  <c r="D6" i="7"/>
  <c r="D5" i="7"/>
  <c r="D4" i="7"/>
  <c r="D18" i="6" l="1"/>
  <c r="D16" i="6"/>
  <c r="D14" i="6"/>
  <c r="D12" i="6"/>
  <c r="B16" i="6"/>
  <c r="B18" i="6" s="1"/>
  <c r="B14" i="6"/>
  <c r="B23" i="7"/>
  <c r="B24" i="7" s="1"/>
  <c r="B25" i="7" s="1"/>
  <c r="B14" i="7"/>
  <c r="B15" i="7" s="1"/>
  <c r="B16" i="7" s="1"/>
  <c r="F32" i="3"/>
  <c r="G37" i="3" l="1"/>
  <c r="H37" i="3" s="1"/>
  <c r="G38" i="3"/>
  <c r="H38" i="3" s="1"/>
  <c r="G36" i="3" l="1"/>
  <c r="H36" i="3" s="1"/>
  <c r="E1" i="22" l="1"/>
  <c r="I1" i="3"/>
  <c r="E1" i="7"/>
  <c r="B8" i="7" l="1"/>
  <c r="B6" i="7" l="1"/>
  <c r="B5" i="7"/>
  <c r="B4" i="7"/>
  <c r="B2" i="7" l="1"/>
  <c r="B1" i="7"/>
  <c r="C5" i="7" l="1"/>
  <c r="C4" i="7"/>
  <c r="G42" i="3"/>
  <c r="E42" i="3" l="1"/>
  <c r="F42" i="3" l="1"/>
</calcChain>
</file>

<file path=xl/sharedStrings.xml><?xml version="1.0" encoding="utf-8"?>
<sst xmlns="http://schemas.openxmlformats.org/spreadsheetml/2006/main" count="82" uniqueCount="70">
  <si>
    <t xml:space="preserve">Client: </t>
  </si>
  <si>
    <t>Period:</t>
  </si>
  <si>
    <t>Head:</t>
  </si>
  <si>
    <t xml:space="preserve"> </t>
  </si>
  <si>
    <t>T O T A L</t>
  </si>
  <si>
    <t>INDEX</t>
  </si>
  <si>
    <t>Sr. #</t>
  </si>
  <si>
    <t>Whether Placed in File</t>
  </si>
  <si>
    <t>Initials of Reviewer</t>
  </si>
  <si>
    <t>LEAD SCHEDULE</t>
  </si>
  <si>
    <t>Prepared by:</t>
  </si>
  <si>
    <t>Reviewed by:</t>
  </si>
  <si>
    <t>Variance</t>
  </si>
  <si>
    <t>Reason for Variance</t>
  </si>
  <si>
    <t>Audit Objectives</t>
  </si>
  <si>
    <t>%</t>
  </si>
  <si>
    <t>Test of Details</t>
  </si>
  <si>
    <t>Work performed</t>
  </si>
  <si>
    <t>Audit Objectives and Conclusions</t>
  </si>
  <si>
    <t>Lead Schedule</t>
  </si>
  <si>
    <t>W.P. Ref.</t>
  </si>
  <si>
    <t>Description</t>
  </si>
  <si>
    <t>The audit has been completed in accordance with Audit program.</t>
  </si>
  <si>
    <t>The working papers demonstrate that adequate work has been undertaken.</t>
  </si>
  <si>
    <t>Objective Met</t>
  </si>
  <si>
    <t>Satisfactory</t>
  </si>
  <si>
    <t>Conclusion</t>
  </si>
  <si>
    <t>Yes/No</t>
  </si>
  <si>
    <t>Initials</t>
  </si>
  <si>
    <t>Compared current year balances with last year balances and ensured that any significant variation has been properly and logically reasoned.</t>
  </si>
  <si>
    <t>Rupees</t>
  </si>
  <si>
    <t>Opening balance</t>
  </si>
  <si>
    <t>The working papers contain sufficient information, details of significant features and notes of unusual matters to enable us to form an opinion on financial statements.</t>
  </si>
  <si>
    <t>In my opinion above amounts are fairly stated and on a consistent basis with the previous period.</t>
  </si>
  <si>
    <t>Related information</t>
  </si>
  <si>
    <t>ADJUSTING ENTRIES</t>
  </si>
  <si>
    <t>Amount</t>
  </si>
  <si>
    <t>Debit</t>
  </si>
  <si>
    <t>Credit</t>
  </si>
  <si>
    <t>Entry Proposed</t>
  </si>
  <si>
    <t>Adjusting Entries</t>
  </si>
  <si>
    <t>Analytical Procedures:</t>
  </si>
  <si>
    <t>Determined and ensured that disclosures have been made in accordance with the requirements of Fifth Schedule to the Companies Act, 2017 and the applicable IASs / IFRSs.</t>
  </si>
  <si>
    <t>Charged / (Credited) to profit or loss</t>
  </si>
  <si>
    <t>Charged / (Credited) to other comprehensive income</t>
  </si>
  <si>
    <t>Reviewed movement during the year in deferred taxation and ensured reasonableness of changes during the year.</t>
  </si>
  <si>
    <t>Traced opening balances from last year's audited financial statements, general ledger and last year’s working papers.</t>
  </si>
  <si>
    <t>Ascertained the nature of change by inquiry or by reviewing prior year’s working papers</t>
  </si>
  <si>
    <t>Ensured that closing balances as per our working paper file are in match with closing balance as per general ledger.</t>
  </si>
  <si>
    <t>Staff Retirement Benefits</t>
  </si>
  <si>
    <t>To ensure that staff retirement benefits represents amount owed to staff.</t>
  </si>
  <si>
    <t>B.S.23</t>
  </si>
  <si>
    <t>To ensure that staff retirement benefits represent obligations of the entity at the period end date.</t>
  </si>
  <si>
    <t>To ensure that staff retirement benefits are recorded at the correct amount.</t>
  </si>
  <si>
    <t>To ensure that staff retirement benefits have been presented, classified and disclosed in the financial statements in accordance with the requirements of applicable financial reporting framework i.e. Companies Act, 2017 and applicable International Financial Reporting Standards.</t>
  </si>
  <si>
    <t>Obtained copy of company’s rules and policies regarding staff gratuity.</t>
  </si>
  <si>
    <t>Verified the last salaries drawn by selected employees from payroll or salary sheet.</t>
  </si>
  <si>
    <t>For a sample of employees, checked the calculation of number of years completed from date of appointment to date of the balance sheet.</t>
  </si>
  <si>
    <t>Checked the calculation of charge of the gratuity for the year.</t>
  </si>
  <si>
    <t>Verified the payments of the gratuity to staff retired during the year from the bank statements and other supporting information..</t>
  </si>
  <si>
    <t>Obtained the latest actuarial valuation from the actuary and reviewed whether the assumption and data used in actuarial report are valid and reasonable.</t>
  </si>
  <si>
    <t>Payments made during the year</t>
  </si>
  <si>
    <t>ABC &amp; Co.</t>
  </si>
  <si>
    <t>(Chartered Accountants)</t>
  </si>
  <si>
    <t>ABC Limited</t>
  </si>
  <si>
    <t>Year ended June 30, 2023</t>
  </si>
  <si>
    <t>Date prepared:</t>
  </si>
  <si>
    <t>Date reviewed:</t>
  </si>
  <si>
    <t>Observations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</si>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</sst>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quot;Rs.&quot;#,##0"/>
    <numFmt numFmtId="167" formatCode="&quot;£&quot;#,##0_);\(&quot;£&quot;#,##0\)"/>
    <numFmt numFmtId="168" formatCode="[$-409]d/mmm/yy;@"/>
    <numFmt numFmtId="169" formatCode="[$]dd\-mmm\-yyyy;@" x16r2:formatCode16="[$-en-PK,1]dd\-mmm\-yyyy;@"/>
    <numFmt numFmtId="172" formatCode="[$]dd/mmm/yyyy;@" x16r2:formatCode16="[$-en-PK,1]dd/mmm/yyyy;@"/>
  </numFmts>
  <fonts count="36" x14ac:knownFonts="1">
    <font>
      <sz val="11"/>
      <color theme="1"/>
      <name val="Calibri"/>
      <family val="2"/>
      <scheme val="minor"/>
    </font>
    <font>
      <sz val="11"/>
      <color theme="1"/>
      <name val="Calibri"/>
      <family val="2"/>
      <scheme val="minor"/>
    </font>
    <font>
      <sz val="10"/>
      <name val="Arial Narrow"/>
      <family val="2"/>
    </font>
    <font>
      <sz val="10"/>
      <name val="Arial"/>
      <family val="2"/>
    </font>
    <font>
      <sz val="11"/>
      <color indexed="8"/>
      <name val="Calibri"/>
      <family val="2"/>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sz val="8"/>
      <color theme="1"/>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1"/>
      <name val="Book Antiqua"/>
      <family val="1"/>
    </font>
    <font>
      <sz val="11"/>
      <name val="Book Antiqua"/>
      <family val="1"/>
    </font>
    <font>
      <sz val="11"/>
      <color theme="1"/>
      <name val="Book Antiqua"/>
      <family val="1"/>
    </font>
    <font>
      <b/>
      <sz val="11"/>
      <color indexed="8"/>
      <name val="Book Antiqua"/>
      <family val="1"/>
    </font>
    <font>
      <b/>
      <sz val="11"/>
      <color theme="1"/>
      <name val="Book Antiqua"/>
      <family val="1"/>
    </font>
    <font>
      <sz val="11"/>
      <color indexed="8"/>
      <name val="Book Antiqua"/>
      <family val="1"/>
    </font>
    <font>
      <sz val="11"/>
      <color rgb="FF000000"/>
      <name val="Book Antiqua"/>
      <family val="1"/>
    </font>
    <font>
      <b/>
      <sz val="10"/>
      <name val="Book Antiqua"/>
      <family val="1"/>
    </font>
    <font>
      <sz val="10"/>
      <name val="Book Antiqua"/>
      <family val="1"/>
    </font>
    <font>
      <b/>
      <sz val="10"/>
      <color indexed="8"/>
      <name val="Book Antiqua"/>
      <family val="1"/>
    </font>
    <font>
      <b/>
      <sz val="10"/>
      <color theme="1"/>
      <name val="Book Antiqua"/>
      <family val="1"/>
    </font>
    <font>
      <sz val="10"/>
      <color theme="1"/>
      <name val="Book Antiqua"/>
      <family val="1"/>
    </font>
  </fonts>
  <fills count="26">
    <fill>
      <patternFill patternType="none"/>
    </fill>
    <fill>
      <patternFill patternType="gray125"/>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17">
    <border>
      <left/>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style="thin">
        <color rgb="FFC00000"/>
      </left>
      <right style="thin">
        <color rgb="FFC00000"/>
      </right>
      <top style="thin">
        <color rgb="FFC00000"/>
      </top>
      <bottom style="thin">
        <color rgb="FFC00000"/>
      </bottom>
      <diagonal/>
    </border>
    <border>
      <left style="dotted">
        <color rgb="FFC00000"/>
      </left>
      <right style="dotted">
        <color rgb="FFC00000"/>
      </right>
      <top style="thin">
        <color rgb="FFC00000"/>
      </top>
      <bottom style="dotted">
        <color rgb="FFC00000"/>
      </bottom>
      <diagonal/>
    </border>
    <border>
      <left style="dotted">
        <color rgb="FFC00000"/>
      </left>
      <right style="dotted">
        <color rgb="FFC00000"/>
      </right>
      <top style="dotted">
        <color rgb="FFC00000"/>
      </top>
      <bottom style="dotted">
        <color rgb="FFC00000"/>
      </bottom>
      <diagonal/>
    </border>
    <border>
      <left/>
      <right/>
      <top style="thin">
        <color rgb="FFC00000"/>
      </top>
      <bottom style="dotted">
        <color rgb="FFC00000"/>
      </bottom>
      <diagonal/>
    </border>
    <border>
      <left/>
      <right/>
      <top style="thin">
        <color rgb="FFC00000"/>
      </top>
      <bottom/>
      <diagonal/>
    </border>
  </borders>
  <cellStyleXfs count="74">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4" fillId="0" borderId="0"/>
    <xf numFmtId="0" fontId="3" fillId="0" borderId="0"/>
    <xf numFmtId="0" fontId="3" fillId="0" borderId="0"/>
    <xf numFmtId="0" fontId="5" fillId="0" borderId="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7" fillId="4" borderId="0" applyNumberFormat="0" applyBorder="0" applyAlignment="0" applyProtection="0"/>
    <xf numFmtId="0" fontId="8" fillId="21" borderId="2" applyNumberFormat="0" applyAlignment="0" applyProtection="0"/>
    <xf numFmtId="0" fontId="9" fillId="22" borderId="3" applyNumberFormat="0" applyAlignment="0" applyProtection="0"/>
    <xf numFmtId="164" fontId="3"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7" fontId="10" fillId="0" borderId="0" applyFont="0" applyFill="0" applyBorder="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8" borderId="2" applyNumberFormat="0" applyAlignment="0" applyProtection="0"/>
    <xf numFmtId="0" fontId="17" fillId="0" borderId="7" applyNumberFormat="0" applyFill="0" applyAlignment="0" applyProtection="0"/>
    <xf numFmtId="0" fontId="18" fillId="23" borderId="0" applyNumberFormat="0" applyBorder="0" applyAlignment="0" applyProtection="0"/>
    <xf numFmtId="0" fontId="19" fillId="0" borderId="0"/>
    <xf numFmtId="0" fontId="2" fillId="0" borderId="0"/>
    <xf numFmtId="0" fontId="2" fillId="0" borderId="0"/>
    <xf numFmtId="0" fontId="19" fillId="0" borderId="0"/>
    <xf numFmtId="0" fontId="1" fillId="0" borderId="0"/>
    <xf numFmtId="0" fontId="4" fillId="24" borderId="8" applyNumberFormat="0" applyFont="0" applyAlignment="0" applyProtection="0"/>
    <xf numFmtId="0" fontId="20" fillId="21" borderId="9" applyNumberFormat="0" applyAlignment="0" applyProtection="0"/>
    <xf numFmtId="9" fontId="4" fillId="0" borderId="0" applyFon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164" fontId="3" fillId="0" borderId="0" applyFont="0" applyFill="0" applyBorder="0" applyAlignment="0" applyProtection="0"/>
    <xf numFmtId="166"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8" fontId="3" fillId="0" borderId="0"/>
    <xf numFmtId="168" fontId="3" fillId="0" borderId="0"/>
    <xf numFmtId="168" fontId="3" fillId="0" borderId="0"/>
    <xf numFmtId="9" fontId="1" fillId="0" borderId="0" applyFont="0" applyFill="0" applyBorder="0" applyAlignment="0" applyProtection="0"/>
  </cellStyleXfs>
  <cellXfs count="100">
    <xf numFmtId="0" fontId="0" fillId="0" borderId="0" xfId="0"/>
    <xf numFmtId="0" fontId="25" fillId="0" borderId="0" xfId="4" applyFont="1"/>
    <xf numFmtId="0" fontId="25" fillId="0" borderId="0" xfId="4" applyFont="1" applyAlignment="1">
      <alignment horizontal="center"/>
    </xf>
    <xf numFmtId="0" fontId="24" fillId="0" borderId="0" xfId="4" quotePrefix="1" applyFont="1" applyAlignment="1">
      <alignment horizontal="right" vertical="center"/>
    </xf>
    <xf numFmtId="0" fontId="25" fillId="0" borderId="0" xfId="4" applyFont="1" applyAlignment="1">
      <alignment vertical="center"/>
    </xf>
    <xf numFmtId="0" fontId="26" fillId="0" borderId="0" xfId="0" applyFont="1" applyAlignment="1">
      <alignment vertical="center"/>
    </xf>
    <xf numFmtId="0" fontId="27" fillId="0" borderId="0" xfId="3" applyNumberFormat="1" applyFont="1" applyFill="1" applyBorder="1" applyAlignment="1" applyProtection="1">
      <alignment vertical="center"/>
    </xf>
    <xf numFmtId="0" fontId="27" fillId="0" borderId="0" xfId="3" applyNumberFormat="1" applyFont="1" applyAlignment="1">
      <alignment vertical="center"/>
    </xf>
    <xf numFmtId="0" fontId="27" fillId="0" borderId="0" xfId="3" applyNumberFormat="1" applyFont="1" applyAlignment="1">
      <alignment horizontal="center" vertical="center"/>
    </xf>
    <xf numFmtId="0" fontId="24" fillId="0" borderId="0" xfId="3" applyNumberFormat="1" applyFont="1" applyAlignment="1">
      <alignment horizontal="center" vertical="center"/>
    </xf>
    <xf numFmtId="0" fontId="24" fillId="0" borderId="0" xfId="0" applyFont="1" applyAlignment="1">
      <alignment vertical="center"/>
    </xf>
    <xf numFmtId="0" fontId="25" fillId="0" borderId="0" xfId="4" applyFont="1" applyAlignment="1">
      <alignment horizontal="center" vertical="center"/>
    </xf>
    <xf numFmtId="0" fontId="24" fillId="0" borderId="0" xfId="4" applyFont="1" applyAlignment="1">
      <alignment horizontal="center"/>
    </xf>
    <xf numFmtId="0" fontId="25" fillId="0" borderId="14" xfId="4" applyFont="1" applyBorder="1" applyAlignment="1">
      <alignment horizontal="center" vertical="center"/>
    </xf>
    <xf numFmtId="0" fontId="25" fillId="0" borderId="14" xfId="4" applyFont="1" applyBorder="1" applyAlignment="1">
      <alignment vertical="center"/>
    </xf>
    <xf numFmtId="0" fontId="25" fillId="0" borderId="14" xfId="4" applyFont="1" applyBorder="1"/>
    <xf numFmtId="0" fontId="25" fillId="0" borderId="14" xfId="4" applyFont="1" applyBorder="1" applyAlignment="1">
      <alignment horizontal="left" vertical="center"/>
    </xf>
    <xf numFmtId="0" fontId="24" fillId="0" borderId="0" xfId="4" applyFont="1" applyAlignment="1">
      <alignment vertical="center"/>
    </xf>
    <xf numFmtId="0" fontId="24" fillId="2" borderId="0" xfId="2" applyFont="1" applyFill="1" applyAlignment="1">
      <alignment horizontal="left" vertical="center"/>
    </xf>
    <xf numFmtId="0" fontId="24" fillId="0" borderId="0" xfId="4" applyFont="1" applyAlignment="1">
      <alignment horizontal="right" vertical="center"/>
    </xf>
    <xf numFmtId="0" fontId="28" fillId="0" borderId="0" xfId="0" applyFont="1" applyAlignment="1">
      <alignment horizontal="center" vertical="top"/>
    </xf>
    <xf numFmtId="0" fontId="26" fillId="0" borderId="0" xfId="0" applyFont="1" applyAlignment="1">
      <alignment vertical="top"/>
    </xf>
    <xf numFmtId="0" fontId="28" fillId="0" borderId="0" xfId="0" applyFont="1" applyAlignment="1">
      <alignment horizontal="center" vertical="center"/>
    </xf>
    <xf numFmtId="0" fontId="26" fillId="0" borderId="13" xfId="0" quotePrefix="1" applyFont="1" applyBorder="1" applyAlignment="1">
      <alignment horizontal="center" vertical="center" wrapText="1"/>
    </xf>
    <xf numFmtId="0" fontId="26" fillId="0" borderId="13" xfId="0" applyFont="1" applyBorder="1" applyAlignment="1">
      <alignment vertical="center"/>
    </xf>
    <xf numFmtId="0" fontId="26" fillId="0" borderId="14" xfId="0" quotePrefix="1" applyFont="1" applyBorder="1" applyAlignment="1">
      <alignment horizontal="center" vertical="center" wrapText="1"/>
    </xf>
    <xf numFmtId="0" fontId="26" fillId="0" borderId="14" xfId="0" applyFont="1" applyBorder="1" applyAlignment="1">
      <alignment vertical="center"/>
    </xf>
    <xf numFmtId="0" fontId="26" fillId="0" borderId="0" xfId="0" applyFont="1" applyAlignment="1">
      <alignment vertical="center" wrapText="1"/>
    </xf>
    <xf numFmtId="0" fontId="26" fillId="0" borderId="14" xfId="0" applyFont="1" applyBorder="1" applyAlignment="1">
      <alignment vertical="center" wrapText="1"/>
    </xf>
    <xf numFmtId="0" fontId="26" fillId="0" borderId="14" xfId="0" applyFont="1" applyBorder="1" applyAlignment="1">
      <alignment horizontal="center" vertical="center"/>
    </xf>
    <xf numFmtId="0" fontId="26" fillId="0" borderId="14" xfId="0" applyFont="1" applyBorder="1" applyAlignment="1">
      <alignment horizontal="center" vertical="center" wrapText="1"/>
    </xf>
    <xf numFmtId="0" fontId="26" fillId="0" borderId="0" xfId="0" quotePrefix="1" applyFont="1" applyAlignment="1">
      <alignment horizontal="center" vertical="top" wrapText="1"/>
    </xf>
    <xf numFmtId="0" fontId="26" fillId="0" borderId="0" xfId="0" applyFont="1" applyAlignment="1">
      <alignment wrapText="1"/>
    </xf>
    <xf numFmtId="0" fontId="26" fillId="0" borderId="0" xfId="0" applyFont="1" applyAlignment="1">
      <alignment vertical="top" wrapText="1"/>
    </xf>
    <xf numFmtId="0" fontId="25" fillId="2" borderId="0" xfId="2" applyFont="1" applyFill="1" applyAlignment="1">
      <alignment vertical="center"/>
    </xf>
    <xf numFmtId="0" fontId="24" fillId="2" borderId="0" xfId="2" applyFont="1" applyFill="1" applyAlignment="1">
      <alignment vertical="center"/>
    </xf>
    <xf numFmtId="0" fontId="24" fillId="2" borderId="0" xfId="2" applyFont="1" applyFill="1" applyAlignment="1">
      <alignment horizontal="right" vertical="center"/>
    </xf>
    <xf numFmtId="0" fontId="25" fillId="2" borderId="0" xfId="2" applyFont="1" applyFill="1" applyAlignment="1">
      <alignment horizontal="center" vertical="center"/>
    </xf>
    <xf numFmtId="0" fontId="29" fillId="0" borderId="0" xfId="3" applyNumberFormat="1" applyFont="1" applyFill="1" applyBorder="1" applyAlignment="1" applyProtection="1">
      <alignment vertical="center"/>
    </xf>
    <xf numFmtId="0" fontId="24" fillId="2" borderId="0" xfId="2" applyFont="1" applyFill="1" applyAlignment="1">
      <alignment horizontal="left" vertical="center" indent="1"/>
    </xf>
    <xf numFmtId="0" fontId="25" fillId="2" borderId="0" xfId="2" applyFont="1" applyFill="1" applyAlignment="1">
      <alignment horizontal="left" vertical="top" wrapText="1"/>
    </xf>
    <xf numFmtId="0" fontId="25" fillId="2" borderId="0" xfId="2" applyFont="1" applyFill="1" applyAlignment="1">
      <alignment horizontal="left" vertical="center" indent="2"/>
    </xf>
    <xf numFmtId="0" fontId="25" fillId="0" borderId="0" xfId="0" applyFont="1" applyAlignment="1">
      <alignment horizontal="left" vertical="center" indent="2"/>
    </xf>
    <xf numFmtId="0" fontId="25" fillId="2" borderId="14" xfId="2" applyFont="1" applyFill="1" applyBorder="1" applyAlignment="1">
      <alignment vertical="center"/>
    </xf>
    <xf numFmtId="165" fontId="25" fillId="2" borderId="14" xfId="1" applyNumberFormat="1" applyFont="1" applyFill="1" applyBorder="1" applyAlignment="1">
      <alignment horizontal="right" vertical="center"/>
    </xf>
    <xf numFmtId="165" fontId="25" fillId="2" borderId="14" xfId="1" applyNumberFormat="1" applyFont="1" applyFill="1" applyBorder="1" applyAlignment="1">
      <alignment horizontal="center" vertical="center"/>
    </xf>
    <xf numFmtId="9" fontId="25" fillId="2" borderId="14" xfId="73" applyFont="1" applyFill="1" applyBorder="1" applyAlignment="1">
      <alignment horizontal="center" vertical="center"/>
    </xf>
    <xf numFmtId="0" fontId="26" fillId="0" borderId="13" xfId="0" applyFont="1" applyBorder="1" applyAlignment="1">
      <alignment vertical="center" wrapText="1"/>
    </xf>
    <xf numFmtId="0" fontId="26" fillId="0" borderId="0" xfId="0" applyFont="1" applyAlignment="1">
      <alignment vertical="justify" wrapText="1"/>
    </xf>
    <xf numFmtId="0" fontId="25" fillId="2" borderId="13" xfId="2" quotePrefix="1" applyFont="1" applyFill="1" applyBorder="1" applyAlignment="1">
      <alignment horizontal="center" vertical="center" wrapText="1"/>
    </xf>
    <xf numFmtId="0" fontId="25" fillId="2" borderId="13" xfId="2" applyFont="1" applyFill="1" applyBorder="1" applyAlignment="1">
      <alignment vertical="center" wrapText="1"/>
    </xf>
    <xf numFmtId="0" fontId="25" fillId="2" borderId="0" xfId="2" applyFont="1" applyFill="1" applyAlignment="1">
      <alignment vertical="center" wrapText="1"/>
    </xf>
    <xf numFmtId="0" fontId="25" fillId="2" borderId="14" xfId="2" applyFont="1" applyFill="1" applyBorder="1" applyAlignment="1">
      <alignment vertical="center" wrapText="1"/>
    </xf>
    <xf numFmtId="0" fontId="25" fillId="2" borderId="0" xfId="2" quotePrefix="1" applyFont="1" applyFill="1" applyAlignment="1">
      <alignment horizontal="center" vertical="center"/>
    </xf>
    <xf numFmtId="0" fontId="25" fillId="2" borderId="0" xfId="2" applyFont="1" applyFill="1" applyAlignment="1">
      <alignment vertical="justify"/>
    </xf>
    <xf numFmtId="0" fontId="25" fillId="2" borderId="14" xfId="2" applyFont="1" applyFill="1" applyBorder="1" applyAlignment="1">
      <alignment horizontal="left" vertical="center" indent="2"/>
    </xf>
    <xf numFmtId="0" fontId="25" fillId="2" borderId="14" xfId="2" applyFont="1" applyFill="1" applyBorder="1" applyAlignment="1">
      <alignment horizontal="left" vertical="center"/>
    </xf>
    <xf numFmtId="0" fontId="24" fillId="2" borderId="14" xfId="2" applyFont="1" applyFill="1" applyBorder="1" applyAlignment="1">
      <alignment horizontal="left" vertical="center" wrapText="1" indent="1"/>
    </xf>
    <xf numFmtId="0" fontId="24" fillId="2" borderId="14" xfId="2" applyFont="1" applyFill="1" applyBorder="1" applyAlignment="1">
      <alignment horizontal="center" vertical="center"/>
    </xf>
    <xf numFmtId="0" fontId="28" fillId="0" borderId="12" xfId="0" quotePrefix="1" applyFont="1" applyFill="1" applyBorder="1" applyAlignment="1">
      <alignment horizontal="center" vertical="center" wrapText="1"/>
    </xf>
    <xf numFmtId="0" fontId="28" fillId="0" borderId="12" xfId="0" applyFont="1" applyFill="1" applyBorder="1" applyAlignment="1">
      <alignment horizontal="center" vertical="top"/>
    </xf>
    <xf numFmtId="0" fontId="28" fillId="0" borderId="12" xfId="0" applyFont="1" applyFill="1" applyBorder="1" applyAlignment="1">
      <alignment horizontal="center" vertical="center"/>
    </xf>
    <xf numFmtId="0" fontId="28" fillId="0" borderId="12" xfId="0" applyFont="1" applyFill="1" applyBorder="1" applyAlignment="1">
      <alignment horizontal="center" vertical="center" wrapText="1"/>
    </xf>
    <xf numFmtId="0" fontId="28" fillId="0" borderId="12" xfId="2" applyFont="1" applyFill="1" applyBorder="1" applyAlignment="1">
      <alignment horizontal="center" vertical="center" wrapText="1"/>
    </xf>
    <xf numFmtId="0" fontId="28" fillId="0" borderId="12" xfId="2" applyFont="1" applyFill="1" applyBorder="1" applyAlignment="1">
      <alignment horizontal="center" vertical="center"/>
    </xf>
    <xf numFmtId="0" fontId="28" fillId="0" borderId="12" xfId="0" applyFont="1" applyFill="1" applyBorder="1" applyAlignment="1">
      <alignment horizontal="center" vertical="top" wrapText="1"/>
    </xf>
    <xf numFmtId="0" fontId="28" fillId="0" borderId="12" xfId="4" applyFont="1" applyFill="1" applyBorder="1" applyAlignment="1">
      <alignment horizontal="center" vertical="center"/>
    </xf>
    <xf numFmtId="0" fontId="28" fillId="0" borderId="12" xfId="4" applyFont="1" applyFill="1" applyBorder="1" applyAlignment="1">
      <alignment horizontal="center" vertical="center" wrapText="1"/>
    </xf>
    <xf numFmtId="0" fontId="25" fillId="0" borderId="15" xfId="4" applyFont="1" applyBorder="1" applyAlignment="1">
      <alignment horizontal="center" vertical="center"/>
    </xf>
    <xf numFmtId="0" fontId="25" fillId="0" borderId="15" xfId="4" applyFont="1" applyBorder="1" applyAlignment="1">
      <alignment vertical="center"/>
    </xf>
    <xf numFmtId="0" fontId="25" fillId="0" borderId="15" xfId="4" applyFont="1" applyBorder="1"/>
    <xf numFmtId="0" fontId="25" fillId="2" borderId="15" xfId="2" applyFont="1" applyFill="1" applyBorder="1" applyAlignment="1">
      <alignment horizontal="left" vertical="center" indent="1"/>
    </xf>
    <xf numFmtId="0" fontId="25" fillId="2" borderId="15" xfId="2" applyFont="1" applyFill="1" applyBorder="1" applyAlignment="1">
      <alignment vertical="center"/>
    </xf>
    <xf numFmtId="165" fontId="24" fillId="2" borderId="15" xfId="1" applyNumberFormat="1" applyFont="1" applyFill="1" applyBorder="1" applyAlignment="1">
      <alignment horizontal="right" vertical="center"/>
    </xf>
    <xf numFmtId="165" fontId="25" fillId="2" borderId="15" xfId="1" applyNumberFormat="1" applyFont="1" applyFill="1" applyBorder="1" applyAlignment="1">
      <alignment horizontal="right" vertical="center"/>
    </xf>
    <xf numFmtId="0" fontId="26" fillId="0" borderId="15" xfId="0" quotePrefix="1" applyFont="1" applyBorder="1" applyAlignment="1">
      <alignment horizontal="center" vertical="center" wrapText="1"/>
    </xf>
    <xf numFmtId="0" fontId="26" fillId="0" borderId="15" xfId="0" applyFont="1" applyBorder="1" applyAlignment="1">
      <alignment vertical="center"/>
    </xf>
    <xf numFmtId="0" fontId="28" fillId="0" borderId="16" xfId="0" quotePrefix="1" applyFont="1" applyFill="1" applyBorder="1" applyAlignment="1">
      <alignment horizontal="center" vertical="center" wrapText="1"/>
    </xf>
    <xf numFmtId="0" fontId="28" fillId="0" borderId="16" xfId="0" applyFont="1" applyFill="1" applyBorder="1" applyAlignment="1">
      <alignment horizontal="center" vertical="center"/>
    </xf>
    <xf numFmtId="0" fontId="28" fillId="0" borderId="16" xfId="0" applyFont="1" applyFill="1" applyBorder="1" applyAlignment="1">
      <alignment horizontal="center" vertical="center" wrapText="1"/>
    </xf>
    <xf numFmtId="0" fontId="25" fillId="2" borderId="0" xfId="2" applyFont="1" applyFill="1" applyAlignment="1">
      <alignment vertical="top"/>
    </xf>
    <xf numFmtId="0" fontId="25" fillId="0" borderId="0" xfId="0" applyFont="1" applyAlignment="1">
      <alignment vertical="center"/>
    </xf>
    <xf numFmtId="0" fontId="30" fillId="0" borderId="0" xfId="0" applyFont="1" applyAlignment="1">
      <alignment vertical="top"/>
    </xf>
    <xf numFmtId="0" fontId="31" fillId="0" borderId="0" xfId="4" applyFont="1"/>
    <xf numFmtId="0" fontId="32" fillId="0" borderId="0" xfId="4" applyFont="1"/>
    <xf numFmtId="0" fontId="33" fillId="0" borderId="0" xfId="3" applyNumberFormat="1" applyFont="1" applyFill="1" applyBorder="1" applyAlignment="1" applyProtection="1">
      <alignment vertical="center"/>
    </xf>
    <xf numFmtId="0" fontId="33" fillId="0" borderId="0" xfId="3" applyNumberFormat="1" applyFont="1" applyFill="1" applyAlignment="1">
      <alignment vertical="center"/>
    </xf>
    <xf numFmtId="0" fontId="33" fillId="0" borderId="0" xfId="4" applyFont="1" applyAlignment="1">
      <alignment horizontal="left" vertical="center"/>
    </xf>
    <xf numFmtId="0" fontId="32" fillId="0" borderId="0" xfId="4" applyFont="1" applyAlignment="1">
      <alignment horizontal="center" vertical="center"/>
    </xf>
    <xf numFmtId="169" fontId="32" fillId="0" borderId="1" xfId="4" applyNumberFormat="1" applyFont="1" applyBorder="1" applyAlignment="1">
      <alignment horizontal="center" vertical="center"/>
    </xf>
    <xf numFmtId="0" fontId="32" fillId="0" borderId="1" xfId="4" applyFont="1" applyBorder="1" applyAlignment="1">
      <alignment horizontal="center" vertical="center"/>
    </xf>
    <xf numFmtId="0" fontId="24" fillId="0" borderId="0" xfId="4" applyFont="1" applyAlignment="1"/>
    <xf numFmtId="0" fontId="32" fillId="0" borderId="11" xfId="4" applyFont="1" applyBorder="1" applyAlignment="1">
      <alignment horizontal="center" vertical="center"/>
    </xf>
    <xf numFmtId="172" fontId="32" fillId="0" borderId="1" xfId="4" applyNumberFormat="1" applyFont="1" applyBorder="1" applyAlignment="1">
      <alignment horizontal="center" vertical="center"/>
    </xf>
    <xf numFmtId="0" fontId="26" fillId="0" borderId="0" xfId="0" applyFont="1" applyBorder="1" applyAlignment="1">
      <alignment vertical="center"/>
    </xf>
    <xf numFmtId="0" fontId="25" fillId="2" borderId="0" xfId="2" applyFont="1" applyFill="1" applyBorder="1" applyAlignment="1">
      <alignment vertical="center"/>
    </xf>
    <xf numFmtId="0" fontId="24" fillId="0" borderId="0" xfId="4" applyFont="1" applyBorder="1" applyAlignment="1">
      <alignment vertical="center"/>
    </xf>
    <xf numFmtId="0" fontId="34" fillId="0" borderId="0" xfId="0" applyFont="1" applyAlignment="1">
      <alignment horizontal="left"/>
    </xf>
    <xf numFmtId="0" fontId="35" fillId="0" borderId="0" xfId="0" applyFont="1" applyAlignment="1">
      <alignment horizontal="left"/>
    </xf>
    <xf numFmtId="0" fontId="35" fillId="25" borderId="0" xfId="0" applyFont="1" applyFill="1" applyAlignment="1">
      <alignment horizontal="left" vertical="top"/>
    </xf>
  </cellXfs>
  <cellStyles count="74">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heck Cell 2" xfId="41" xr:uid="{00000000-0005-0000-0000-00001A000000}"/>
    <cellStyle name="Comma" xfId="1" builtinId="3"/>
    <cellStyle name="Comma 19" xfId="69" xr:uid="{00000000-0005-0000-0000-00001C000000}"/>
    <cellStyle name="Comma 2" xfId="5" xr:uid="{00000000-0005-0000-0000-00001D000000}"/>
    <cellStyle name="Comma 2 2" xfId="42" xr:uid="{00000000-0005-0000-0000-00001E000000}"/>
    <cellStyle name="Comma 2 2 4" xfId="68" xr:uid="{00000000-0005-0000-0000-00001F000000}"/>
    <cellStyle name="Comma 3" xfId="3" xr:uid="{00000000-0005-0000-0000-000020000000}"/>
    <cellStyle name="Comma 3 2" xfId="43" xr:uid="{00000000-0005-0000-0000-000021000000}"/>
    <cellStyle name="Comma 3 2 2" xfId="6" xr:uid="{00000000-0005-0000-0000-000022000000}"/>
    <cellStyle name="Comma 3 4" xfId="67" xr:uid="{00000000-0005-0000-0000-000023000000}"/>
    <cellStyle name="Comma 4" xfId="7" xr:uid="{00000000-0005-0000-0000-000024000000}"/>
    <cellStyle name="Comma 4 2" xfId="8" xr:uid="{00000000-0005-0000-0000-000025000000}"/>
    <cellStyle name="Comma 5" xfId="9" xr:uid="{00000000-0005-0000-0000-000026000000}"/>
    <cellStyle name="Comma 6" xfId="44" xr:uid="{00000000-0005-0000-0000-000027000000}"/>
    <cellStyle name="Comma 7" xfId="45" xr:uid="{00000000-0005-0000-0000-000028000000}"/>
    <cellStyle name="Comma 8" xfId="66" xr:uid="{00000000-0005-0000-0000-000029000000}"/>
    <cellStyle name="Explanatory Text 2" xfId="46" xr:uid="{00000000-0005-0000-0000-00002A000000}"/>
    <cellStyle name="Good 2" xfId="47" xr:uid="{00000000-0005-0000-0000-00002B000000}"/>
    <cellStyle name="Heading 1 2" xfId="48" xr:uid="{00000000-0005-0000-0000-00002C000000}"/>
    <cellStyle name="Heading 2 2" xfId="49" xr:uid="{00000000-0005-0000-0000-00002D000000}"/>
    <cellStyle name="Heading 3 2" xfId="50" xr:uid="{00000000-0005-0000-0000-00002E000000}"/>
    <cellStyle name="Heading 4 2" xfId="51" xr:uid="{00000000-0005-0000-0000-00002F000000}"/>
    <cellStyle name="Input 2" xfId="52" xr:uid="{00000000-0005-0000-0000-000030000000}"/>
    <cellStyle name="Linked Cell 2" xfId="53" xr:uid="{00000000-0005-0000-0000-000031000000}"/>
    <cellStyle name="Neutral 2" xfId="54" xr:uid="{00000000-0005-0000-0000-000032000000}"/>
    <cellStyle name="Normal" xfId="0" builtinId="0"/>
    <cellStyle name="Normal - Style1 2 2" xfId="70" xr:uid="{00000000-0005-0000-0000-000034000000}"/>
    <cellStyle name="Normal 2" xfId="10" xr:uid="{00000000-0005-0000-0000-000035000000}"/>
    <cellStyle name="Normal 2 2" xfId="55" xr:uid="{00000000-0005-0000-0000-000036000000}"/>
    <cellStyle name="Normal 29" xfId="72" xr:uid="{00000000-0005-0000-0000-000037000000}"/>
    <cellStyle name="Normal 3" xfId="2" xr:uid="{00000000-0005-0000-0000-000038000000}"/>
    <cellStyle name="Normal 3 2" xfId="56" xr:uid="{00000000-0005-0000-0000-000039000000}"/>
    <cellStyle name="Normal 3 2 2" xfId="71" xr:uid="{00000000-0005-0000-0000-00003A000000}"/>
    <cellStyle name="Normal 3 3" xfId="11" xr:uid="{00000000-0005-0000-0000-00003B000000}"/>
    <cellStyle name="Normal 4" xfId="4" xr:uid="{00000000-0005-0000-0000-00003C000000}"/>
    <cellStyle name="Normal 4 2" xfId="12" xr:uid="{00000000-0005-0000-0000-00003D000000}"/>
    <cellStyle name="Normal 4 3" xfId="57" xr:uid="{00000000-0005-0000-0000-00003E000000}"/>
    <cellStyle name="Normal 5" xfId="13" xr:uid="{00000000-0005-0000-0000-00003F000000}"/>
    <cellStyle name="Normal 5 2" xfId="58" xr:uid="{00000000-0005-0000-0000-000040000000}"/>
    <cellStyle name="Normal 7" xfId="59" xr:uid="{00000000-0005-0000-0000-000041000000}"/>
    <cellStyle name="Normal 9" xfId="14" xr:uid="{00000000-0005-0000-0000-000042000000}"/>
    <cellStyle name="Note 2" xfId="60" xr:uid="{00000000-0005-0000-0000-000043000000}"/>
    <cellStyle name="Output 2" xfId="61" xr:uid="{00000000-0005-0000-0000-000044000000}"/>
    <cellStyle name="Percent" xfId="73" builtinId="5"/>
    <cellStyle name="Percent 2" xfId="62" xr:uid="{00000000-0005-0000-0000-000046000000}"/>
    <cellStyle name="Title 2" xfId="63" xr:uid="{00000000-0005-0000-0000-000047000000}"/>
    <cellStyle name="Total 2" xfId="64" xr:uid="{00000000-0005-0000-0000-000048000000}"/>
    <cellStyle name="Warning Text 2" xfId="65" xr:uid="{00000000-0005-0000-0000-00004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N38"/>
  <sheetViews>
    <sheetView showGridLines="0" topLeftCell="A3" zoomScaleNormal="100" zoomScaleSheetLayoutView="100" workbookViewId="0">
      <selection activeCell="B15" sqref="B15"/>
    </sheetView>
  </sheetViews>
  <sheetFormatPr defaultColWidth="0" defaultRowHeight="16.5" zeroHeight="1" x14ac:dyDescent="0.25"/>
  <cols>
    <col min="1" max="1" width="1.28515625" style="4" customWidth="1"/>
    <col min="2" max="2" width="8.42578125" style="4" customWidth="1"/>
    <col min="3" max="3" width="44" style="4" customWidth="1"/>
    <col min="4" max="4" width="12.140625" style="11" customWidth="1"/>
    <col min="5" max="5" width="14.5703125" style="4" bestFit="1" customWidth="1"/>
    <col min="6" max="6" width="18.85546875" style="4" customWidth="1"/>
    <col min="7" max="7" width="1.42578125" style="4" customWidth="1"/>
    <col min="8" max="253" width="10.42578125" style="4" hidden="1"/>
    <col min="254" max="254" width="8.42578125" style="4" hidden="1"/>
    <col min="255" max="256" width="12.85546875" style="4" hidden="1"/>
    <col min="257" max="257" width="9.7109375" style="4" hidden="1"/>
    <col min="258" max="258" width="7.28515625" style="4" hidden="1"/>
    <col min="259" max="259" width="8.140625" style="4" hidden="1"/>
    <col min="260" max="260" width="12.85546875" style="4" hidden="1"/>
    <col min="261" max="262" width="13.28515625" style="4" hidden="1"/>
    <col min="263" max="509" width="10.42578125" style="4" hidden="1"/>
    <col min="510" max="510" width="8.42578125" style="4" hidden="1"/>
    <col min="511" max="512" width="12.85546875" style="4" hidden="1"/>
    <col min="513" max="513" width="9.7109375" style="4" hidden="1"/>
    <col min="514" max="514" width="7.28515625" style="4" hidden="1"/>
    <col min="515" max="515" width="8.140625" style="4" hidden="1"/>
    <col min="516" max="516" width="12.85546875" style="4" hidden="1"/>
    <col min="517" max="518" width="13.28515625" style="4" hidden="1"/>
    <col min="519" max="765" width="10.42578125" style="4" hidden="1"/>
    <col min="766" max="766" width="8.42578125" style="4" hidden="1"/>
    <col min="767" max="768" width="12.85546875" style="4" hidden="1"/>
    <col min="769" max="769" width="9.7109375" style="4" hidden="1"/>
    <col min="770" max="770" width="7.28515625" style="4" hidden="1"/>
    <col min="771" max="771" width="8.140625" style="4" hidden="1"/>
    <col min="772" max="772" width="12.85546875" style="4" hidden="1"/>
    <col min="773" max="774" width="13.28515625" style="4" hidden="1"/>
    <col min="775" max="1021" width="10.42578125" style="4" hidden="1"/>
    <col min="1022" max="1022" width="8.42578125" style="4" hidden="1"/>
    <col min="1023" max="1024" width="12.85546875" style="4" hidden="1"/>
    <col min="1025" max="1025" width="9.7109375" style="4" hidden="1"/>
    <col min="1026" max="1026" width="7.28515625" style="4" hidden="1"/>
    <col min="1027" max="1027" width="8.140625" style="4" hidden="1"/>
    <col min="1028" max="1028" width="12.85546875" style="4" hidden="1"/>
    <col min="1029" max="1030" width="13.28515625" style="4" hidden="1"/>
    <col min="1031" max="1277" width="10.42578125" style="4" hidden="1"/>
    <col min="1278" max="1278" width="8.42578125" style="4" hidden="1"/>
    <col min="1279" max="1280" width="12.85546875" style="4" hidden="1"/>
    <col min="1281" max="1281" width="9.7109375" style="4" hidden="1"/>
    <col min="1282" max="1282" width="7.28515625" style="4" hidden="1"/>
    <col min="1283" max="1283" width="8.140625" style="4" hidden="1"/>
    <col min="1284" max="1284" width="12.85546875" style="4" hidden="1"/>
    <col min="1285" max="1286" width="13.28515625" style="4" hidden="1"/>
    <col min="1287" max="1533" width="10.42578125" style="4" hidden="1"/>
    <col min="1534" max="1534" width="8.42578125" style="4" hidden="1"/>
    <col min="1535" max="1536" width="12.85546875" style="4" hidden="1"/>
    <col min="1537" max="1537" width="9.7109375" style="4" hidden="1"/>
    <col min="1538" max="1538" width="7.28515625" style="4" hidden="1"/>
    <col min="1539" max="1539" width="8.140625" style="4" hidden="1"/>
    <col min="1540" max="1540" width="12.85546875" style="4" hidden="1"/>
    <col min="1541" max="1542" width="13.28515625" style="4" hidden="1"/>
    <col min="1543" max="1789" width="10.42578125" style="4" hidden="1"/>
    <col min="1790" max="1790" width="8.42578125" style="4" hidden="1"/>
    <col min="1791" max="1792" width="12.85546875" style="4" hidden="1"/>
    <col min="1793" max="1793" width="9.7109375" style="4" hidden="1"/>
    <col min="1794" max="1794" width="7.28515625" style="4" hidden="1"/>
    <col min="1795" max="1795" width="8.140625" style="4" hidden="1"/>
    <col min="1796" max="1796" width="12.85546875" style="4" hidden="1"/>
    <col min="1797" max="1798" width="13.28515625" style="4" hidden="1"/>
    <col min="1799" max="2045" width="10.42578125" style="4" hidden="1"/>
    <col min="2046" max="2046" width="8.42578125" style="4" hidden="1"/>
    <col min="2047" max="2048" width="12.85546875" style="4" hidden="1"/>
    <col min="2049" max="2049" width="9.7109375" style="4" hidden="1"/>
    <col min="2050" max="2050" width="7.28515625" style="4" hidden="1"/>
    <col min="2051" max="2051" width="8.140625" style="4" hidden="1"/>
    <col min="2052" max="2052" width="12.85546875" style="4" hidden="1"/>
    <col min="2053" max="2054" width="13.28515625" style="4" hidden="1"/>
    <col min="2055" max="2301" width="10.42578125" style="4" hidden="1"/>
    <col min="2302" max="2302" width="8.42578125" style="4" hidden="1"/>
    <col min="2303" max="2304" width="12.85546875" style="4" hidden="1"/>
    <col min="2305" max="2305" width="9.7109375" style="4" hidden="1"/>
    <col min="2306" max="2306" width="7.28515625" style="4" hidden="1"/>
    <col min="2307" max="2307" width="8.140625" style="4" hidden="1"/>
    <col min="2308" max="2308" width="12.85546875" style="4" hidden="1"/>
    <col min="2309" max="2310" width="13.28515625" style="4" hidden="1"/>
    <col min="2311" max="2557" width="10.42578125" style="4" hidden="1"/>
    <col min="2558" max="2558" width="8.42578125" style="4" hidden="1"/>
    <col min="2559" max="2560" width="12.85546875" style="4" hidden="1"/>
    <col min="2561" max="2561" width="9.7109375" style="4" hidden="1"/>
    <col min="2562" max="2562" width="7.28515625" style="4" hidden="1"/>
    <col min="2563" max="2563" width="8.140625" style="4" hidden="1"/>
    <col min="2564" max="2564" width="12.85546875" style="4" hidden="1"/>
    <col min="2565" max="2566" width="13.28515625" style="4" hidden="1"/>
    <col min="2567" max="2813" width="10.42578125" style="4" hidden="1"/>
    <col min="2814" max="2814" width="8.42578125" style="4" hidden="1"/>
    <col min="2815" max="2816" width="12.85546875" style="4" hidden="1"/>
    <col min="2817" max="2817" width="9.7109375" style="4" hidden="1"/>
    <col min="2818" max="2818" width="7.28515625" style="4" hidden="1"/>
    <col min="2819" max="2819" width="8.140625" style="4" hidden="1"/>
    <col min="2820" max="2820" width="12.85546875" style="4" hidden="1"/>
    <col min="2821" max="2822" width="13.28515625" style="4" hidden="1"/>
    <col min="2823" max="3069" width="10.42578125" style="4" hidden="1"/>
    <col min="3070" max="3070" width="8.42578125" style="4" hidden="1"/>
    <col min="3071" max="3072" width="12.85546875" style="4" hidden="1"/>
    <col min="3073" max="3073" width="9.7109375" style="4" hidden="1"/>
    <col min="3074" max="3074" width="7.28515625" style="4" hidden="1"/>
    <col min="3075" max="3075" width="8.140625" style="4" hidden="1"/>
    <col min="3076" max="3076" width="12.85546875" style="4" hidden="1"/>
    <col min="3077" max="3078" width="13.28515625" style="4" hidden="1"/>
    <col min="3079" max="3325" width="10.42578125" style="4" hidden="1"/>
    <col min="3326" max="3326" width="8.42578125" style="4" hidden="1"/>
    <col min="3327" max="3328" width="12.85546875" style="4" hidden="1"/>
    <col min="3329" max="3329" width="9.7109375" style="4" hidden="1"/>
    <col min="3330" max="3330" width="7.28515625" style="4" hidden="1"/>
    <col min="3331" max="3331" width="8.140625" style="4" hidden="1"/>
    <col min="3332" max="3332" width="12.85546875" style="4" hidden="1"/>
    <col min="3333" max="3334" width="13.28515625" style="4" hidden="1"/>
    <col min="3335" max="3581" width="10.42578125" style="4" hidden="1"/>
    <col min="3582" max="3582" width="8.42578125" style="4" hidden="1"/>
    <col min="3583" max="3584" width="12.85546875" style="4" hidden="1"/>
    <col min="3585" max="3585" width="9.7109375" style="4" hidden="1"/>
    <col min="3586" max="3586" width="7.28515625" style="4" hidden="1"/>
    <col min="3587" max="3587" width="8.140625" style="4" hidden="1"/>
    <col min="3588" max="3588" width="12.85546875" style="4" hidden="1"/>
    <col min="3589" max="3590" width="13.28515625" style="4" hidden="1"/>
    <col min="3591" max="3837" width="10.42578125" style="4" hidden="1"/>
    <col min="3838" max="3838" width="8.42578125" style="4" hidden="1"/>
    <col min="3839" max="3840" width="12.85546875" style="4" hidden="1"/>
    <col min="3841" max="3841" width="9.7109375" style="4" hidden="1"/>
    <col min="3842" max="3842" width="7.28515625" style="4" hidden="1"/>
    <col min="3843" max="3843" width="8.140625" style="4" hidden="1"/>
    <col min="3844" max="3844" width="12.85546875" style="4" hidden="1"/>
    <col min="3845" max="3846" width="13.28515625" style="4" hidden="1"/>
    <col min="3847" max="4093" width="10.42578125" style="4" hidden="1"/>
    <col min="4094" max="4094" width="8.42578125" style="4" hidden="1"/>
    <col min="4095" max="4096" width="12.85546875" style="4" hidden="1"/>
    <col min="4097" max="4097" width="9.7109375" style="4" hidden="1"/>
    <col min="4098" max="4098" width="7.28515625" style="4" hidden="1"/>
    <col min="4099" max="4099" width="8.140625" style="4" hidden="1"/>
    <col min="4100" max="4100" width="12.85546875" style="4" hidden="1"/>
    <col min="4101" max="4102" width="13.28515625" style="4" hidden="1"/>
    <col min="4103" max="4349" width="10.42578125" style="4" hidden="1"/>
    <col min="4350" max="4350" width="8.42578125" style="4" hidden="1"/>
    <col min="4351" max="4352" width="12.85546875" style="4" hidden="1"/>
    <col min="4353" max="4353" width="9.7109375" style="4" hidden="1"/>
    <col min="4354" max="4354" width="7.28515625" style="4" hidden="1"/>
    <col min="4355" max="4355" width="8.140625" style="4" hidden="1"/>
    <col min="4356" max="4356" width="12.85546875" style="4" hidden="1"/>
    <col min="4357" max="4358" width="13.28515625" style="4" hidden="1"/>
    <col min="4359" max="4605" width="10.42578125" style="4" hidden="1"/>
    <col min="4606" max="4606" width="8.42578125" style="4" hidden="1"/>
    <col min="4607" max="4608" width="12.85546875" style="4" hidden="1"/>
    <col min="4609" max="4609" width="9.7109375" style="4" hidden="1"/>
    <col min="4610" max="4610" width="7.28515625" style="4" hidden="1"/>
    <col min="4611" max="4611" width="8.140625" style="4" hidden="1"/>
    <col min="4612" max="4612" width="12.85546875" style="4" hidden="1"/>
    <col min="4613" max="4614" width="13.28515625" style="4" hidden="1"/>
    <col min="4615" max="4861" width="10.42578125" style="4" hidden="1"/>
    <col min="4862" max="4862" width="8.42578125" style="4" hidden="1"/>
    <col min="4863" max="4864" width="12.85546875" style="4" hidden="1"/>
    <col min="4865" max="4865" width="9.7109375" style="4" hidden="1"/>
    <col min="4866" max="4866" width="7.28515625" style="4" hidden="1"/>
    <col min="4867" max="4867" width="8.140625" style="4" hidden="1"/>
    <col min="4868" max="4868" width="12.85546875" style="4" hidden="1"/>
    <col min="4869" max="4870" width="13.28515625" style="4" hidden="1"/>
    <col min="4871" max="5117" width="10.42578125" style="4" hidden="1"/>
    <col min="5118" max="5118" width="8.42578125" style="4" hidden="1"/>
    <col min="5119" max="5120" width="12.85546875" style="4" hidden="1"/>
    <col min="5121" max="5121" width="9.7109375" style="4" hidden="1"/>
    <col min="5122" max="5122" width="7.28515625" style="4" hidden="1"/>
    <col min="5123" max="5123" width="8.140625" style="4" hidden="1"/>
    <col min="5124" max="5124" width="12.85546875" style="4" hidden="1"/>
    <col min="5125" max="5126" width="13.28515625" style="4" hidden="1"/>
    <col min="5127" max="5373" width="10.42578125" style="4" hidden="1"/>
    <col min="5374" max="5374" width="8.42578125" style="4" hidden="1"/>
    <col min="5375" max="5376" width="12.85546875" style="4" hidden="1"/>
    <col min="5377" max="5377" width="9.7109375" style="4" hidden="1"/>
    <col min="5378" max="5378" width="7.28515625" style="4" hidden="1"/>
    <col min="5379" max="5379" width="8.140625" style="4" hidden="1"/>
    <col min="5380" max="5380" width="12.85546875" style="4" hidden="1"/>
    <col min="5381" max="5382" width="13.28515625" style="4" hidden="1"/>
    <col min="5383" max="5629" width="10.42578125" style="4" hidden="1"/>
    <col min="5630" max="5630" width="8.42578125" style="4" hidden="1"/>
    <col min="5631" max="5632" width="12.85546875" style="4" hidden="1"/>
    <col min="5633" max="5633" width="9.7109375" style="4" hidden="1"/>
    <col min="5634" max="5634" width="7.28515625" style="4" hidden="1"/>
    <col min="5635" max="5635" width="8.140625" style="4" hidden="1"/>
    <col min="5636" max="5636" width="12.85546875" style="4" hidden="1"/>
    <col min="5637" max="5638" width="13.28515625" style="4" hidden="1"/>
    <col min="5639" max="5885" width="10.42578125" style="4" hidden="1"/>
    <col min="5886" max="5886" width="8.42578125" style="4" hidden="1"/>
    <col min="5887" max="5888" width="12.85546875" style="4" hidden="1"/>
    <col min="5889" max="5889" width="9.7109375" style="4" hidden="1"/>
    <col min="5890" max="5890" width="7.28515625" style="4" hidden="1"/>
    <col min="5891" max="5891" width="8.140625" style="4" hidden="1"/>
    <col min="5892" max="5892" width="12.85546875" style="4" hidden="1"/>
    <col min="5893" max="5894" width="13.28515625" style="4" hidden="1"/>
    <col min="5895" max="6141" width="10.42578125" style="4" hidden="1"/>
    <col min="6142" max="6142" width="8.42578125" style="4" hidden="1"/>
    <col min="6143" max="6144" width="12.85546875" style="4" hidden="1"/>
    <col min="6145" max="6145" width="9.7109375" style="4" hidden="1"/>
    <col min="6146" max="6146" width="7.28515625" style="4" hidden="1"/>
    <col min="6147" max="6147" width="8.140625" style="4" hidden="1"/>
    <col min="6148" max="6148" width="12.85546875" style="4" hidden="1"/>
    <col min="6149" max="6150" width="13.28515625" style="4" hidden="1"/>
    <col min="6151" max="6397" width="10.42578125" style="4" hidden="1"/>
    <col min="6398" max="6398" width="8.42578125" style="4" hidden="1"/>
    <col min="6399" max="6400" width="12.85546875" style="4" hidden="1"/>
    <col min="6401" max="6401" width="9.7109375" style="4" hidden="1"/>
    <col min="6402" max="6402" width="7.28515625" style="4" hidden="1"/>
    <col min="6403" max="6403" width="8.140625" style="4" hidden="1"/>
    <col min="6404" max="6404" width="12.85546875" style="4" hidden="1"/>
    <col min="6405" max="6406" width="13.28515625" style="4" hidden="1"/>
    <col min="6407" max="6653" width="10.42578125" style="4" hidden="1"/>
    <col min="6654" max="6654" width="8.42578125" style="4" hidden="1"/>
    <col min="6655" max="6656" width="12.85546875" style="4" hidden="1"/>
    <col min="6657" max="6657" width="9.7109375" style="4" hidden="1"/>
    <col min="6658" max="6658" width="7.28515625" style="4" hidden="1"/>
    <col min="6659" max="6659" width="8.140625" style="4" hidden="1"/>
    <col min="6660" max="6660" width="12.85546875" style="4" hidden="1"/>
    <col min="6661" max="6662" width="13.28515625" style="4" hidden="1"/>
    <col min="6663" max="6909" width="10.42578125" style="4" hidden="1"/>
    <col min="6910" max="6910" width="8.42578125" style="4" hidden="1"/>
    <col min="6911" max="6912" width="12.85546875" style="4" hidden="1"/>
    <col min="6913" max="6913" width="9.7109375" style="4" hidden="1"/>
    <col min="6914" max="6914" width="7.28515625" style="4" hidden="1"/>
    <col min="6915" max="6915" width="8.140625" style="4" hidden="1"/>
    <col min="6916" max="6916" width="12.85546875" style="4" hidden="1"/>
    <col min="6917" max="6918" width="13.28515625" style="4" hidden="1"/>
    <col min="6919" max="7165" width="10.42578125" style="4" hidden="1"/>
    <col min="7166" max="7166" width="8.42578125" style="4" hidden="1"/>
    <col min="7167" max="7168" width="12.85546875" style="4" hidden="1"/>
    <col min="7169" max="7169" width="9.7109375" style="4" hidden="1"/>
    <col min="7170" max="7170" width="7.28515625" style="4" hidden="1"/>
    <col min="7171" max="7171" width="8.140625" style="4" hidden="1"/>
    <col min="7172" max="7172" width="12.85546875" style="4" hidden="1"/>
    <col min="7173" max="7174" width="13.28515625" style="4" hidden="1"/>
    <col min="7175" max="7421" width="10.42578125" style="4" hidden="1"/>
    <col min="7422" max="7422" width="8.42578125" style="4" hidden="1"/>
    <col min="7423" max="7424" width="12.85546875" style="4" hidden="1"/>
    <col min="7425" max="7425" width="9.7109375" style="4" hidden="1"/>
    <col min="7426" max="7426" width="7.28515625" style="4" hidden="1"/>
    <col min="7427" max="7427" width="8.140625" style="4" hidden="1"/>
    <col min="7428" max="7428" width="12.85546875" style="4" hidden="1"/>
    <col min="7429" max="7430" width="13.28515625" style="4" hidden="1"/>
    <col min="7431" max="7677" width="10.42578125" style="4" hidden="1"/>
    <col min="7678" max="7678" width="8.42578125" style="4" hidden="1"/>
    <col min="7679" max="7680" width="12.85546875" style="4" hidden="1"/>
    <col min="7681" max="7681" width="9.7109375" style="4" hidden="1"/>
    <col min="7682" max="7682" width="7.28515625" style="4" hidden="1"/>
    <col min="7683" max="7683" width="8.140625" style="4" hidden="1"/>
    <col min="7684" max="7684" width="12.85546875" style="4" hidden="1"/>
    <col min="7685" max="7686" width="13.28515625" style="4" hidden="1"/>
    <col min="7687" max="7933" width="10.42578125" style="4" hidden="1"/>
    <col min="7934" max="7934" width="8.42578125" style="4" hidden="1"/>
    <col min="7935" max="7936" width="12.85546875" style="4" hidden="1"/>
    <col min="7937" max="7937" width="9.7109375" style="4" hidden="1"/>
    <col min="7938" max="7938" width="7.28515625" style="4" hidden="1"/>
    <col min="7939" max="7939" width="8.140625" style="4" hidden="1"/>
    <col min="7940" max="7940" width="12.85546875" style="4" hidden="1"/>
    <col min="7941" max="7942" width="13.28515625" style="4" hidden="1"/>
    <col min="7943" max="8189" width="10.42578125" style="4" hidden="1"/>
    <col min="8190" max="8190" width="8.42578125" style="4" hidden="1"/>
    <col min="8191" max="8192" width="12.85546875" style="4" hidden="1"/>
    <col min="8193" max="8193" width="9.7109375" style="4" hidden="1"/>
    <col min="8194" max="8194" width="7.28515625" style="4" hidden="1"/>
    <col min="8195" max="8195" width="8.140625" style="4" hidden="1"/>
    <col min="8196" max="8196" width="12.85546875" style="4" hidden="1"/>
    <col min="8197" max="8198" width="13.28515625" style="4" hidden="1"/>
    <col min="8199" max="8445" width="10.42578125" style="4" hidden="1"/>
    <col min="8446" max="8446" width="8.42578125" style="4" hidden="1"/>
    <col min="8447" max="8448" width="12.85546875" style="4" hidden="1"/>
    <col min="8449" max="8449" width="9.7109375" style="4" hidden="1"/>
    <col min="8450" max="8450" width="7.28515625" style="4" hidden="1"/>
    <col min="8451" max="8451" width="8.140625" style="4" hidden="1"/>
    <col min="8452" max="8452" width="12.85546875" style="4" hidden="1"/>
    <col min="8453" max="8454" width="13.28515625" style="4" hidden="1"/>
    <col min="8455" max="8701" width="10.42578125" style="4" hidden="1"/>
    <col min="8702" max="8702" width="8.42578125" style="4" hidden="1"/>
    <col min="8703" max="8704" width="12.85546875" style="4" hidden="1"/>
    <col min="8705" max="8705" width="9.7109375" style="4" hidden="1"/>
    <col min="8706" max="8706" width="7.28515625" style="4" hidden="1"/>
    <col min="8707" max="8707" width="8.140625" style="4" hidden="1"/>
    <col min="8708" max="8708" width="12.85546875" style="4" hidden="1"/>
    <col min="8709" max="8710" width="13.28515625" style="4" hidden="1"/>
    <col min="8711" max="8957" width="10.42578125" style="4" hidden="1"/>
    <col min="8958" max="8958" width="8.42578125" style="4" hidden="1"/>
    <col min="8959" max="8960" width="12.85546875" style="4" hidden="1"/>
    <col min="8961" max="8961" width="9.7109375" style="4" hidden="1"/>
    <col min="8962" max="8962" width="7.28515625" style="4" hidden="1"/>
    <col min="8963" max="8963" width="8.140625" style="4" hidden="1"/>
    <col min="8964" max="8964" width="12.85546875" style="4" hidden="1"/>
    <col min="8965" max="8966" width="13.28515625" style="4" hidden="1"/>
    <col min="8967" max="9213" width="10.42578125" style="4" hidden="1"/>
    <col min="9214" max="9214" width="8.42578125" style="4" hidden="1"/>
    <col min="9215" max="9216" width="12.85546875" style="4" hidden="1"/>
    <col min="9217" max="9217" width="9.7109375" style="4" hidden="1"/>
    <col min="9218" max="9218" width="7.28515625" style="4" hidden="1"/>
    <col min="9219" max="9219" width="8.140625" style="4" hidden="1"/>
    <col min="9220" max="9220" width="12.85546875" style="4" hidden="1"/>
    <col min="9221" max="9222" width="13.28515625" style="4" hidden="1"/>
    <col min="9223" max="9469" width="10.42578125" style="4" hidden="1"/>
    <col min="9470" max="9470" width="8.42578125" style="4" hidden="1"/>
    <col min="9471" max="9472" width="12.85546875" style="4" hidden="1"/>
    <col min="9473" max="9473" width="9.7109375" style="4" hidden="1"/>
    <col min="9474" max="9474" width="7.28515625" style="4" hidden="1"/>
    <col min="9475" max="9475" width="8.140625" style="4" hidden="1"/>
    <col min="9476" max="9476" width="12.85546875" style="4" hidden="1"/>
    <col min="9477" max="9478" width="13.28515625" style="4" hidden="1"/>
    <col min="9479" max="9725" width="10.42578125" style="4" hidden="1"/>
    <col min="9726" max="9726" width="8.42578125" style="4" hidden="1"/>
    <col min="9727" max="9728" width="12.85546875" style="4" hidden="1"/>
    <col min="9729" max="9729" width="9.7109375" style="4" hidden="1"/>
    <col min="9730" max="9730" width="7.28515625" style="4" hidden="1"/>
    <col min="9731" max="9731" width="8.140625" style="4" hidden="1"/>
    <col min="9732" max="9732" width="12.85546875" style="4" hidden="1"/>
    <col min="9733" max="9734" width="13.28515625" style="4" hidden="1"/>
    <col min="9735" max="9981" width="10.42578125" style="4" hidden="1"/>
    <col min="9982" max="9982" width="8.42578125" style="4" hidden="1"/>
    <col min="9983" max="9984" width="12.85546875" style="4" hidden="1"/>
    <col min="9985" max="9985" width="9.7109375" style="4" hidden="1"/>
    <col min="9986" max="9986" width="7.28515625" style="4" hidden="1"/>
    <col min="9987" max="9987" width="8.140625" style="4" hidden="1"/>
    <col min="9988" max="9988" width="12.85546875" style="4" hidden="1"/>
    <col min="9989" max="9990" width="13.28515625" style="4" hidden="1"/>
    <col min="9991" max="10237" width="10.42578125" style="4" hidden="1"/>
    <col min="10238" max="10238" width="8.42578125" style="4" hidden="1"/>
    <col min="10239" max="10240" width="12.85546875" style="4" hidden="1"/>
    <col min="10241" max="10241" width="9.7109375" style="4" hidden="1"/>
    <col min="10242" max="10242" width="7.28515625" style="4" hidden="1"/>
    <col min="10243" max="10243" width="8.140625" style="4" hidden="1"/>
    <col min="10244" max="10244" width="12.85546875" style="4" hidden="1"/>
    <col min="10245" max="10246" width="13.28515625" style="4" hidden="1"/>
    <col min="10247" max="10493" width="10.42578125" style="4" hidden="1"/>
    <col min="10494" max="10494" width="8.42578125" style="4" hidden="1"/>
    <col min="10495" max="10496" width="12.85546875" style="4" hidden="1"/>
    <col min="10497" max="10497" width="9.7109375" style="4" hidden="1"/>
    <col min="10498" max="10498" width="7.28515625" style="4" hidden="1"/>
    <col min="10499" max="10499" width="8.140625" style="4" hidden="1"/>
    <col min="10500" max="10500" width="12.85546875" style="4" hidden="1"/>
    <col min="10501" max="10502" width="13.28515625" style="4" hidden="1"/>
    <col min="10503" max="10749" width="10.42578125" style="4" hidden="1"/>
    <col min="10750" max="10750" width="8.42578125" style="4" hidden="1"/>
    <col min="10751" max="10752" width="12.85546875" style="4" hidden="1"/>
    <col min="10753" max="10753" width="9.7109375" style="4" hidden="1"/>
    <col min="10754" max="10754" width="7.28515625" style="4" hidden="1"/>
    <col min="10755" max="10755" width="8.140625" style="4" hidden="1"/>
    <col min="10756" max="10756" width="12.85546875" style="4" hidden="1"/>
    <col min="10757" max="10758" width="13.28515625" style="4" hidden="1"/>
    <col min="10759" max="11005" width="10.42578125" style="4" hidden="1"/>
    <col min="11006" max="11006" width="8.42578125" style="4" hidden="1"/>
    <col min="11007" max="11008" width="12.85546875" style="4" hidden="1"/>
    <col min="11009" max="11009" width="9.7109375" style="4" hidden="1"/>
    <col min="11010" max="11010" width="7.28515625" style="4" hidden="1"/>
    <col min="11011" max="11011" width="8.140625" style="4" hidden="1"/>
    <col min="11012" max="11012" width="12.85546875" style="4" hidden="1"/>
    <col min="11013" max="11014" width="13.28515625" style="4" hidden="1"/>
    <col min="11015" max="11261" width="10.42578125" style="4" hidden="1"/>
    <col min="11262" max="11262" width="8.42578125" style="4" hidden="1"/>
    <col min="11263" max="11264" width="12.85546875" style="4" hidden="1"/>
    <col min="11265" max="11265" width="9.7109375" style="4" hidden="1"/>
    <col min="11266" max="11266" width="7.28515625" style="4" hidden="1"/>
    <col min="11267" max="11267" width="8.140625" style="4" hidden="1"/>
    <col min="11268" max="11268" width="12.85546875" style="4" hidden="1"/>
    <col min="11269" max="11270" width="13.28515625" style="4" hidden="1"/>
    <col min="11271" max="11517" width="10.42578125" style="4" hidden="1"/>
    <col min="11518" max="11518" width="8.42578125" style="4" hidden="1"/>
    <col min="11519" max="11520" width="12.85546875" style="4" hidden="1"/>
    <col min="11521" max="11521" width="9.7109375" style="4" hidden="1"/>
    <col min="11522" max="11522" width="7.28515625" style="4" hidden="1"/>
    <col min="11523" max="11523" width="8.140625" style="4" hidden="1"/>
    <col min="11524" max="11524" width="12.85546875" style="4" hidden="1"/>
    <col min="11525" max="11526" width="13.28515625" style="4" hidden="1"/>
    <col min="11527" max="11773" width="10.42578125" style="4" hidden="1"/>
    <col min="11774" max="11774" width="8.42578125" style="4" hidden="1"/>
    <col min="11775" max="11776" width="12.85546875" style="4" hidden="1"/>
    <col min="11777" max="11777" width="9.7109375" style="4" hidden="1"/>
    <col min="11778" max="11778" width="7.28515625" style="4" hidden="1"/>
    <col min="11779" max="11779" width="8.140625" style="4" hidden="1"/>
    <col min="11780" max="11780" width="12.85546875" style="4" hidden="1"/>
    <col min="11781" max="11782" width="13.28515625" style="4" hidden="1"/>
    <col min="11783" max="12029" width="10.42578125" style="4" hidden="1"/>
    <col min="12030" max="12030" width="8.42578125" style="4" hidden="1"/>
    <col min="12031" max="12032" width="12.85546875" style="4" hidden="1"/>
    <col min="12033" max="12033" width="9.7109375" style="4" hidden="1"/>
    <col min="12034" max="12034" width="7.28515625" style="4" hidden="1"/>
    <col min="12035" max="12035" width="8.140625" style="4" hidden="1"/>
    <col min="12036" max="12036" width="12.85546875" style="4" hidden="1"/>
    <col min="12037" max="12038" width="13.28515625" style="4" hidden="1"/>
    <col min="12039" max="12285" width="10.42578125" style="4" hidden="1"/>
    <col min="12286" max="12286" width="8.42578125" style="4" hidden="1"/>
    <col min="12287" max="12288" width="12.85546875" style="4" hidden="1"/>
    <col min="12289" max="12289" width="9.7109375" style="4" hidden="1"/>
    <col min="12290" max="12290" width="7.28515625" style="4" hidden="1"/>
    <col min="12291" max="12291" width="8.140625" style="4" hidden="1"/>
    <col min="12292" max="12292" width="12.85546875" style="4" hidden="1"/>
    <col min="12293" max="12294" width="13.28515625" style="4" hidden="1"/>
    <col min="12295" max="12541" width="10.42578125" style="4" hidden="1"/>
    <col min="12542" max="12542" width="8.42578125" style="4" hidden="1"/>
    <col min="12543" max="12544" width="12.85546875" style="4" hidden="1"/>
    <col min="12545" max="12545" width="9.7109375" style="4" hidden="1"/>
    <col min="12546" max="12546" width="7.28515625" style="4" hidden="1"/>
    <col min="12547" max="12547" width="8.140625" style="4" hidden="1"/>
    <col min="12548" max="12548" width="12.85546875" style="4" hidden="1"/>
    <col min="12549" max="12550" width="13.28515625" style="4" hidden="1"/>
    <col min="12551" max="12797" width="10.42578125" style="4" hidden="1"/>
    <col min="12798" max="12798" width="8.42578125" style="4" hidden="1"/>
    <col min="12799" max="12800" width="12.85546875" style="4" hidden="1"/>
    <col min="12801" max="12801" width="9.7109375" style="4" hidden="1"/>
    <col min="12802" max="12802" width="7.28515625" style="4" hidden="1"/>
    <col min="12803" max="12803" width="8.140625" style="4" hidden="1"/>
    <col min="12804" max="12804" width="12.85546875" style="4" hidden="1"/>
    <col min="12805" max="12806" width="13.28515625" style="4" hidden="1"/>
    <col min="12807" max="13053" width="10.42578125" style="4" hidden="1"/>
    <col min="13054" max="13054" width="8.42578125" style="4" hidden="1"/>
    <col min="13055" max="13056" width="12.85546875" style="4" hidden="1"/>
    <col min="13057" max="13057" width="9.7109375" style="4" hidden="1"/>
    <col min="13058" max="13058" width="7.28515625" style="4" hidden="1"/>
    <col min="13059" max="13059" width="8.140625" style="4" hidden="1"/>
    <col min="13060" max="13060" width="12.85546875" style="4" hidden="1"/>
    <col min="13061" max="13062" width="13.28515625" style="4" hidden="1"/>
    <col min="13063" max="13309" width="10.42578125" style="4" hidden="1"/>
    <col min="13310" max="13310" width="8.42578125" style="4" hidden="1"/>
    <col min="13311" max="13312" width="12.85546875" style="4" hidden="1"/>
    <col min="13313" max="13313" width="9.7109375" style="4" hidden="1"/>
    <col min="13314" max="13314" width="7.28515625" style="4" hidden="1"/>
    <col min="13315" max="13315" width="8.140625" style="4" hidden="1"/>
    <col min="13316" max="13316" width="12.85546875" style="4" hidden="1"/>
    <col min="13317" max="13318" width="13.28515625" style="4" hidden="1"/>
    <col min="13319" max="13565" width="10.42578125" style="4" hidden="1"/>
    <col min="13566" max="13566" width="8.42578125" style="4" hidden="1"/>
    <col min="13567" max="13568" width="12.85546875" style="4" hidden="1"/>
    <col min="13569" max="13569" width="9.7109375" style="4" hidden="1"/>
    <col min="13570" max="13570" width="7.28515625" style="4" hidden="1"/>
    <col min="13571" max="13571" width="8.140625" style="4" hidden="1"/>
    <col min="13572" max="13572" width="12.85546875" style="4" hidden="1"/>
    <col min="13573" max="13574" width="13.28515625" style="4" hidden="1"/>
    <col min="13575" max="13821" width="10.42578125" style="4" hidden="1"/>
    <col min="13822" max="13822" width="8.42578125" style="4" hidden="1"/>
    <col min="13823" max="13824" width="12.85546875" style="4" hidden="1"/>
    <col min="13825" max="13825" width="9.7109375" style="4" hidden="1"/>
    <col min="13826" max="13826" width="7.28515625" style="4" hidden="1"/>
    <col min="13827" max="13827" width="8.140625" style="4" hidden="1"/>
    <col min="13828" max="13828" width="12.85546875" style="4" hidden="1"/>
    <col min="13829" max="13830" width="13.28515625" style="4" hidden="1"/>
    <col min="13831" max="14077" width="10.42578125" style="4" hidden="1"/>
    <col min="14078" max="14078" width="8.42578125" style="4" hidden="1"/>
    <col min="14079" max="14080" width="12.85546875" style="4" hidden="1"/>
    <col min="14081" max="14081" width="9.7109375" style="4" hidden="1"/>
    <col min="14082" max="14082" width="7.28515625" style="4" hidden="1"/>
    <col min="14083" max="14083" width="8.140625" style="4" hidden="1"/>
    <col min="14084" max="14084" width="12.85546875" style="4" hidden="1"/>
    <col min="14085" max="14086" width="13.28515625" style="4" hidden="1"/>
    <col min="14087" max="14333" width="10.42578125" style="4" hidden="1"/>
    <col min="14334" max="14334" width="8.42578125" style="4" hidden="1"/>
    <col min="14335" max="14336" width="12.85546875" style="4" hidden="1"/>
    <col min="14337" max="14337" width="9.7109375" style="4" hidden="1"/>
    <col min="14338" max="14338" width="7.28515625" style="4" hidden="1"/>
    <col min="14339" max="14339" width="8.140625" style="4" hidden="1"/>
    <col min="14340" max="14340" width="12.85546875" style="4" hidden="1"/>
    <col min="14341" max="14342" width="13.28515625" style="4" hidden="1"/>
    <col min="14343" max="14589" width="10.42578125" style="4" hidden="1"/>
    <col min="14590" max="14590" width="8.42578125" style="4" hidden="1"/>
    <col min="14591" max="14592" width="12.85546875" style="4" hidden="1"/>
    <col min="14593" max="14593" width="9.7109375" style="4" hidden="1"/>
    <col min="14594" max="14594" width="7.28515625" style="4" hidden="1"/>
    <col min="14595" max="14595" width="8.140625" style="4" hidden="1"/>
    <col min="14596" max="14596" width="12.85546875" style="4" hidden="1"/>
    <col min="14597" max="14598" width="13.28515625" style="4" hidden="1"/>
    <col min="14599" max="14845" width="10.42578125" style="4" hidden="1"/>
    <col min="14846" max="14846" width="8.42578125" style="4" hidden="1"/>
    <col min="14847" max="14848" width="12.85546875" style="4" hidden="1"/>
    <col min="14849" max="14849" width="9.7109375" style="4" hidden="1"/>
    <col min="14850" max="14850" width="7.28515625" style="4" hidden="1"/>
    <col min="14851" max="14851" width="8.140625" style="4" hidden="1"/>
    <col min="14852" max="14852" width="12.85546875" style="4" hidden="1"/>
    <col min="14853" max="14854" width="13.28515625" style="4" hidden="1"/>
    <col min="14855" max="15101" width="10.42578125" style="4" hidden="1"/>
    <col min="15102" max="15102" width="8.42578125" style="4" hidden="1"/>
    <col min="15103" max="15104" width="12.85546875" style="4" hidden="1"/>
    <col min="15105" max="15105" width="9.7109375" style="4" hidden="1"/>
    <col min="15106" max="15106" width="7.28515625" style="4" hidden="1"/>
    <col min="15107" max="15107" width="8.140625" style="4" hidden="1"/>
    <col min="15108" max="15108" width="12.85546875" style="4" hidden="1"/>
    <col min="15109" max="15110" width="13.28515625" style="4" hidden="1"/>
    <col min="15111" max="15357" width="10.42578125" style="4" hidden="1"/>
    <col min="15358" max="15358" width="8.42578125" style="4" hidden="1"/>
    <col min="15359" max="15360" width="12.85546875" style="4" hidden="1"/>
    <col min="15361" max="15361" width="9.7109375" style="4" hidden="1"/>
    <col min="15362" max="15362" width="7.28515625" style="4" hidden="1"/>
    <col min="15363" max="15363" width="8.140625" style="4" hidden="1"/>
    <col min="15364" max="15364" width="12.85546875" style="4" hidden="1"/>
    <col min="15365" max="15366" width="13.28515625" style="4" hidden="1"/>
    <col min="15367" max="15613" width="10.42578125" style="4" hidden="1"/>
    <col min="15614" max="15614" width="8.42578125" style="4" hidden="1"/>
    <col min="15615" max="15616" width="12.85546875" style="4" hidden="1"/>
    <col min="15617" max="15617" width="9.7109375" style="4" hidden="1"/>
    <col min="15618" max="15618" width="7.28515625" style="4" hidden="1"/>
    <col min="15619" max="15619" width="8.140625" style="4" hidden="1"/>
    <col min="15620" max="15620" width="12.85546875" style="4" hidden="1"/>
    <col min="15621" max="15622" width="13.28515625" style="4" hidden="1"/>
    <col min="15623" max="15869" width="10.42578125" style="4" hidden="1"/>
    <col min="15870" max="15870" width="8.42578125" style="4" hidden="1"/>
    <col min="15871" max="15872" width="12.85546875" style="4" hidden="1"/>
    <col min="15873" max="15873" width="9.7109375" style="4" hidden="1"/>
    <col min="15874" max="15874" width="7.28515625" style="4" hidden="1"/>
    <col min="15875" max="15875" width="8.140625" style="4" hidden="1"/>
    <col min="15876" max="15876" width="12.85546875" style="4" hidden="1"/>
    <col min="15877" max="15878" width="13.28515625" style="4" hidden="1"/>
    <col min="15879" max="16125" width="10.42578125" style="4" hidden="1"/>
    <col min="16126" max="16126" width="8.42578125" style="4" hidden="1"/>
    <col min="16127" max="16128" width="12.85546875" style="4" hidden="1"/>
    <col min="16129" max="16129" width="9.7109375" style="4" hidden="1"/>
    <col min="16130" max="16130" width="7.28515625" style="4" hidden="1"/>
    <col min="16131" max="16131" width="8.140625" style="4" hidden="1"/>
    <col min="16132" max="16132" width="12.85546875" style="4" hidden="1"/>
    <col min="16133" max="16134" width="13.28515625" style="4" hidden="1"/>
    <col min="16135" max="16384" width="10.42578125" style="4" hidden="1"/>
  </cols>
  <sheetData>
    <row r="1" spans="2:6" x14ac:dyDescent="0.3">
      <c r="B1" s="83" t="s">
        <v>62</v>
      </c>
      <c r="C1" s="84"/>
      <c r="D1" s="2"/>
      <c r="E1" s="1"/>
      <c r="F1" s="3" t="s">
        <v>51</v>
      </c>
    </row>
    <row r="2" spans="2:6" x14ac:dyDescent="0.3">
      <c r="B2" s="83" t="s">
        <v>63</v>
      </c>
      <c r="C2" s="84"/>
      <c r="D2" s="2"/>
      <c r="E2" s="1"/>
    </row>
    <row r="3" spans="2:6" x14ac:dyDescent="0.3">
      <c r="B3" s="84"/>
      <c r="C3" s="84"/>
      <c r="D3" s="2"/>
      <c r="E3" s="1"/>
      <c r="F3" s="5"/>
    </row>
    <row r="4" spans="2:6" x14ac:dyDescent="0.25">
      <c r="B4" s="85" t="s">
        <v>0</v>
      </c>
      <c r="C4" s="86" t="s">
        <v>64</v>
      </c>
      <c r="D4" s="8"/>
      <c r="E4" s="87" t="s">
        <v>10</v>
      </c>
      <c r="F4" s="88"/>
    </row>
    <row r="5" spans="2:6" x14ac:dyDescent="0.25">
      <c r="B5" s="85" t="s">
        <v>1</v>
      </c>
      <c r="C5" s="86" t="s">
        <v>65</v>
      </c>
      <c r="D5" s="9"/>
      <c r="E5" s="87" t="s">
        <v>66</v>
      </c>
      <c r="F5" s="89"/>
    </row>
    <row r="6" spans="2:6" x14ac:dyDescent="0.25">
      <c r="B6" s="85" t="s">
        <v>2</v>
      </c>
      <c r="C6" s="10" t="s">
        <v>49</v>
      </c>
      <c r="D6" s="9"/>
      <c r="E6" s="87" t="s">
        <v>11</v>
      </c>
      <c r="F6" s="90"/>
    </row>
    <row r="7" spans="2:6" x14ac:dyDescent="0.25">
      <c r="E7" s="87" t="s">
        <v>67</v>
      </c>
      <c r="F7" s="89"/>
    </row>
    <row r="8" spans="2:6" x14ac:dyDescent="0.25">
      <c r="B8" s="91" t="s">
        <v>5</v>
      </c>
      <c r="C8" s="91"/>
      <c r="D8" s="91"/>
      <c r="E8" s="91"/>
      <c r="F8" s="91"/>
    </row>
    <row r="9" spans="2:6" x14ac:dyDescent="0.25">
      <c r="B9" s="12"/>
      <c r="C9" s="12"/>
      <c r="D9" s="12"/>
      <c r="E9" s="12"/>
      <c r="F9" s="12"/>
    </row>
    <row r="10" spans="2:6" ht="30" x14ac:dyDescent="0.25">
      <c r="B10" s="66" t="s">
        <v>6</v>
      </c>
      <c r="C10" s="66" t="s">
        <v>21</v>
      </c>
      <c r="D10" s="67" t="s">
        <v>20</v>
      </c>
      <c r="E10" s="67" t="s">
        <v>7</v>
      </c>
      <c r="F10" s="67" t="s">
        <v>8</v>
      </c>
    </row>
    <row r="11" spans="2:6" x14ac:dyDescent="0.3">
      <c r="B11" s="68"/>
      <c r="C11" s="69"/>
      <c r="D11" s="68"/>
      <c r="E11" s="69"/>
      <c r="F11" s="70"/>
    </row>
    <row r="12" spans="2:6" x14ac:dyDescent="0.3">
      <c r="B12" s="13">
        <v>1</v>
      </c>
      <c r="C12" s="14" t="s">
        <v>18</v>
      </c>
      <c r="D12" s="13" t="str">
        <f>$F$1&amp;" - "&amp;B12</f>
        <v>B.S.23 - 1</v>
      </c>
      <c r="E12" s="14"/>
      <c r="F12" s="15"/>
    </row>
    <row r="13" spans="2:6" x14ac:dyDescent="0.3">
      <c r="B13" s="13"/>
      <c r="C13" s="14"/>
      <c r="D13" s="13"/>
      <c r="E13" s="14"/>
      <c r="F13" s="15"/>
    </row>
    <row r="14" spans="2:6" x14ac:dyDescent="0.3">
      <c r="B14" s="13">
        <f>B12+1</f>
        <v>2</v>
      </c>
      <c r="C14" s="14" t="s">
        <v>19</v>
      </c>
      <c r="D14" s="13" t="str">
        <f>$F$1&amp;" - "&amp;B14</f>
        <v>B.S.23 - 2</v>
      </c>
      <c r="E14" s="14"/>
      <c r="F14" s="15"/>
    </row>
    <row r="15" spans="2:6" x14ac:dyDescent="0.3">
      <c r="B15" s="13"/>
      <c r="C15" s="14"/>
      <c r="D15" s="13"/>
      <c r="E15" s="14"/>
      <c r="F15" s="15"/>
    </row>
    <row r="16" spans="2:6" x14ac:dyDescent="0.3">
      <c r="B16" s="13">
        <f>B14+1</f>
        <v>3</v>
      </c>
      <c r="C16" s="14" t="s">
        <v>34</v>
      </c>
      <c r="D16" s="13" t="str">
        <f>$F$1&amp;" - "&amp;B16</f>
        <v>B.S.23 - 3</v>
      </c>
      <c r="E16" s="14"/>
      <c r="F16" s="15"/>
    </row>
    <row r="17" spans="2:6" x14ac:dyDescent="0.3">
      <c r="B17" s="13"/>
      <c r="C17" s="14"/>
      <c r="D17" s="13"/>
      <c r="E17" s="14"/>
      <c r="F17" s="15"/>
    </row>
    <row r="18" spans="2:6" x14ac:dyDescent="0.3">
      <c r="B18" s="13">
        <f>B16+1</f>
        <v>4</v>
      </c>
      <c r="C18" s="16" t="s">
        <v>40</v>
      </c>
      <c r="D18" s="13" t="str">
        <f>$F$1&amp;" - "&amp;B18</f>
        <v>B.S.23 - 4</v>
      </c>
      <c r="E18" s="14"/>
      <c r="F18" s="15"/>
    </row>
    <row r="19" spans="2:6" x14ac:dyDescent="0.3">
      <c r="B19" s="13"/>
      <c r="C19" s="14"/>
      <c r="D19" s="13"/>
      <c r="E19" s="14"/>
      <c r="F19" s="15"/>
    </row>
    <row r="20" spans="2:6" x14ac:dyDescent="0.3">
      <c r="B20" s="13"/>
      <c r="C20" s="16"/>
      <c r="D20" s="13"/>
      <c r="E20" s="14"/>
      <c r="F20" s="15"/>
    </row>
    <row r="21" spans="2:6" x14ac:dyDescent="0.3">
      <c r="B21" s="13"/>
      <c r="C21" s="16"/>
      <c r="D21" s="13"/>
      <c r="E21" s="14"/>
      <c r="F21" s="15"/>
    </row>
    <row r="22" spans="2:6" x14ac:dyDescent="0.3">
      <c r="B22" s="13"/>
      <c r="C22" s="16"/>
      <c r="D22" s="13"/>
      <c r="E22" s="14"/>
      <c r="F22" s="15"/>
    </row>
    <row r="23" spans="2:6" x14ac:dyDescent="0.3">
      <c r="B23" s="13"/>
      <c r="C23" s="14"/>
      <c r="D23" s="13"/>
      <c r="E23" s="14"/>
      <c r="F23" s="15"/>
    </row>
    <row r="24" spans="2:6" x14ac:dyDescent="0.3">
      <c r="B24" s="13"/>
      <c r="C24" s="14"/>
      <c r="D24" s="13"/>
      <c r="E24" s="14"/>
      <c r="F24" s="15"/>
    </row>
    <row r="25" spans="2:6" x14ac:dyDescent="0.3">
      <c r="B25" s="13"/>
      <c r="C25" s="14"/>
      <c r="D25" s="13"/>
      <c r="E25" s="14"/>
      <c r="F25" s="15"/>
    </row>
    <row r="26" spans="2:6" x14ac:dyDescent="0.25"/>
    <row r="33" x14ac:dyDescent="0.25"/>
    <row r="34" x14ac:dyDescent="0.25"/>
    <row r="35" x14ac:dyDescent="0.25"/>
    <row r="36" x14ac:dyDescent="0.25"/>
    <row r="37" x14ac:dyDescent="0.25"/>
    <row r="38" x14ac:dyDescent="0.25"/>
  </sheetData>
  <printOptions horizontalCentered="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30"/>
  <sheetViews>
    <sheetView showGridLines="0" topLeftCell="A15" zoomScaleNormal="100" zoomScaleSheetLayoutView="100" workbookViewId="0">
      <selection activeCell="B27" sqref="B27"/>
    </sheetView>
  </sheetViews>
  <sheetFormatPr defaultColWidth="0" defaultRowHeight="16.5" zeroHeight="1" x14ac:dyDescent="0.25"/>
  <cols>
    <col min="1" max="1" width="1" style="5" customWidth="1"/>
    <col min="2" max="2" width="10" style="5" customWidth="1"/>
    <col min="3" max="3" width="62.5703125" style="5" customWidth="1"/>
    <col min="4" max="5" width="13.5703125" style="5" customWidth="1"/>
    <col min="6" max="6" width="1" style="5" customWidth="1"/>
    <col min="7" max="7" width="9.140625" style="5" hidden="1" customWidth="1"/>
    <col min="8" max="9" width="0" style="5" hidden="1" customWidth="1"/>
    <col min="10" max="16384" width="9.140625" style="5" hidden="1"/>
  </cols>
  <sheetData>
    <row r="1" spans="2:10" s="4" customFormat="1" x14ac:dyDescent="0.25">
      <c r="B1" s="17" t="str">
        <f>Index!B1</f>
        <v>ABC &amp; Co.</v>
      </c>
      <c r="D1" s="18"/>
      <c r="E1" s="19" t="str">
        <f>Index!D12</f>
        <v>B.S.23 - 1</v>
      </c>
    </row>
    <row r="2" spans="2:10" s="4" customFormat="1" x14ac:dyDescent="0.25">
      <c r="B2" s="4" t="str">
        <f>Index!B2</f>
        <v>(Chartered Accountants)</v>
      </c>
      <c r="D2" s="18"/>
    </row>
    <row r="3" spans="2:10" s="4" customFormat="1" x14ac:dyDescent="0.25">
      <c r="E3" s="5"/>
      <c r="F3" s="5"/>
    </row>
    <row r="4" spans="2:10" s="4" customFormat="1" x14ac:dyDescent="0.25">
      <c r="B4" s="6" t="str">
        <f>Index!B4</f>
        <v xml:space="preserve">Client: </v>
      </c>
      <c r="C4" s="7" t="str">
        <f>Index!C4</f>
        <v>ABC Limited</v>
      </c>
      <c r="D4" s="87" t="str">
        <f>Index!$E$4</f>
        <v>Prepared by:</v>
      </c>
      <c r="E4" s="92" t="str">
        <f>IF(Index!$F$4="","",Index!$F$4)</f>
        <v/>
      </c>
    </row>
    <row r="5" spans="2:10" s="4" customFormat="1" x14ac:dyDescent="0.25">
      <c r="B5" s="6" t="str">
        <f>Index!B5</f>
        <v>Period:</v>
      </c>
      <c r="C5" s="7" t="str">
        <f>Index!C5</f>
        <v>Year ended June 30, 2023</v>
      </c>
      <c r="D5" s="87" t="str">
        <f>Index!$E$5</f>
        <v>Date prepared:</v>
      </c>
      <c r="E5" s="93" t="str">
        <f>IF(Index!$F$5="","",Index!$F$5)</f>
        <v/>
      </c>
    </row>
    <row r="6" spans="2:10" s="4" customFormat="1" x14ac:dyDescent="0.25">
      <c r="B6" s="6" t="str">
        <f>Index!B6</f>
        <v>Head:</v>
      </c>
      <c r="C6" s="7" t="str">
        <f>Index!C6</f>
        <v>Staff Retirement Benefits</v>
      </c>
      <c r="D6" s="87" t="str">
        <f>Index!$E$6</f>
        <v>Reviewed by:</v>
      </c>
      <c r="E6" s="90" t="str">
        <f>IF(Index!$F$6="","",Index!$F$6)</f>
        <v/>
      </c>
    </row>
    <row r="7" spans="2:10" x14ac:dyDescent="0.25">
      <c r="B7" s="4"/>
      <c r="C7" s="4"/>
      <c r="D7" s="87" t="str">
        <f>Index!$E$7</f>
        <v>Date reviewed:</v>
      </c>
      <c r="E7" s="93" t="str">
        <f>IF(Index!$F$7="","",Index!$F$7)</f>
        <v/>
      </c>
      <c r="F7" s="4"/>
    </row>
    <row r="8" spans="2:10" s="4" customFormat="1" x14ac:dyDescent="0.25">
      <c r="B8" s="17" t="str">
        <f>UPPER("Audit Objectives and Conclusions")</f>
        <v>AUDIT OBJECTIVES AND CONCLUSIONS</v>
      </c>
      <c r="C8" s="17"/>
      <c r="D8" s="17"/>
      <c r="E8" s="96"/>
      <c r="F8" s="17"/>
    </row>
    <row r="9" spans="2:10" x14ac:dyDescent="0.25"/>
    <row r="10" spans="2:10" s="21" customFormat="1" ht="14.25" customHeight="1" x14ac:dyDescent="0.25">
      <c r="B10" s="59" t="s">
        <v>6</v>
      </c>
      <c r="C10" s="59" t="s">
        <v>14</v>
      </c>
      <c r="D10" s="60" t="s">
        <v>24</v>
      </c>
      <c r="E10" s="60"/>
      <c r="F10" s="20"/>
    </row>
    <row r="11" spans="2:10" x14ac:dyDescent="0.25">
      <c r="B11" s="59"/>
      <c r="C11" s="59"/>
      <c r="D11" s="61" t="s">
        <v>27</v>
      </c>
      <c r="E11" s="62" t="s">
        <v>28</v>
      </c>
      <c r="F11" s="22"/>
    </row>
    <row r="12" spans="2:10" x14ac:dyDescent="0.25">
      <c r="B12" s="77"/>
      <c r="C12" s="77"/>
      <c r="D12" s="78"/>
      <c r="E12" s="79"/>
      <c r="F12" s="22"/>
    </row>
    <row r="13" spans="2:10" ht="30.75" customHeight="1" x14ac:dyDescent="0.25">
      <c r="B13" s="23">
        <v>1</v>
      </c>
      <c r="C13" s="47" t="s">
        <v>50</v>
      </c>
      <c r="D13" s="24"/>
      <c r="E13" s="24"/>
    </row>
    <row r="14" spans="2:10" s="27" customFormat="1" ht="31.5" customHeight="1" x14ac:dyDescent="0.25">
      <c r="B14" s="25">
        <f>B13+1</f>
        <v>2</v>
      </c>
      <c r="C14" s="28" t="s">
        <v>52</v>
      </c>
      <c r="D14" s="26"/>
      <c r="E14" s="26"/>
      <c r="F14" s="5"/>
      <c r="G14" s="5"/>
      <c r="H14" s="5"/>
      <c r="I14" s="5"/>
      <c r="J14" s="5"/>
    </row>
    <row r="15" spans="2:10" s="27" customFormat="1" ht="30.75" customHeight="1" x14ac:dyDescent="0.25">
      <c r="B15" s="25">
        <f>B14+1</f>
        <v>3</v>
      </c>
      <c r="C15" s="28" t="s">
        <v>53</v>
      </c>
      <c r="D15" s="26"/>
      <c r="E15" s="26"/>
      <c r="F15" s="5"/>
      <c r="G15" s="5"/>
      <c r="H15" s="5"/>
      <c r="I15" s="5"/>
      <c r="J15" s="5"/>
    </row>
    <row r="16" spans="2:10" s="27" customFormat="1" ht="74.25" customHeight="1" x14ac:dyDescent="0.25">
      <c r="B16" s="25">
        <f>B15+1</f>
        <v>4</v>
      </c>
      <c r="C16" s="28" t="s">
        <v>54</v>
      </c>
      <c r="D16" s="30"/>
      <c r="E16" s="30"/>
    </row>
    <row r="17" spans="2:10" s="33" customFormat="1" ht="14.25" customHeight="1" x14ac:dyDescent="0.3">
      <c r="B17" s="31"/>
      <c r="C17" s="32"/>
      <c r="D17" s="32"/>
      <c r="E17" s="32"/>
      <c r="F17" s="32"/>
      <c r="G17" s="32"/>
      <c r="H17" s="32"/>
      <c r="I17" s="32"/>
      <c r="J17" s="32"/>
    </row>
    <row r="18" spans="2:10" s="33" customFormat="1" x14ac:dyDescent="0.25">
      <c r="B18" s="31"/>
      <c r="C18" s="48"/>
    </row>
    <row r="19" spans="2:10" s="33" customFormat="1" ht="14.25" customHeight="1" x14ac:dyDescent="0.25">
      <c r="B19" s="59" t="s">
        <v>6</v>
      </c>
      <c r="C19" s="59" t="s">
        <v>26</v>
      </c>
      <c r="D19" s="65" t="s">
        <v>25</v>
      </c>
      <c r="E19" s="65"/>
    </row>
    <row r="20" spans="2:10" s="34" customFormat="1" x14ac:dyDescent="0.25">
      <c r="B20" s="59"/>
      <c r="C20" s="59"/>
      <c r="D20" s="61" t="s">
        <v>27</v>
      </c>
      <c r="E20" s="62" t="s">
        <v>28</v>
      </c>
    </row>
    <row r="21" spans="2:10" s="34" customFormat="1" x14ac:dyDescent="0.25">
      <c r="B21" s="77"/>
      <c r="C21" s="77"/>
      <c r="D21" s="78"/>
      <c r="E21" s="79"/>
    </row>
    <row r="22" spans="2:10" s="51" customFormat="1" ht="36" customHeight="1" x14ac:dyDescent="0.25">
      <c r="B22" s="49">
        <v>1</v>
      </c>
      <c r="C22" s="50" t="s">
        <v>22</v>
      </c>
      <c r="D22" s="50"/>
      <c r="E22" s="50"/>
    </row>
    <row r="23" spans="2:10" s="51" customFormat="1" ht="32.25" customHeight="1" x14ac:dyDescent="0.25">
      <c r="B23" s="25">
        <f>B22+1</f>
        <v>2</v>
      </c>
      <c r="C23" s="52" t="s">
        <v>23</v>
      </c>
      <c r="D23" s="52"/>
      <c r="E23" s="52"/>
    </row>
    <row r="24" spans="2:10" s="51" customFormat="1" ht="49.5" customHeight="1" x14ac:dyDescent="0.25">
      <c r="B24" s="25">
        <f>B23+1</f>
        <v>3</v>
      </c>
      <c r="C24" s="52" t="s">
        <v>32</v>
      </c>
      <c r="D24" s="52"/>
      <c r="E24" s="52"/>
    </row>
    <row r="25" spans="2:10" s="51" customFormat="1" ht="30" customHeight="1" x14ac:dyDescent="0.25">
      <c r="B25" s="25">
        <f>B24+1</f>
        <v>4</v>
      </c>
      <c r="C25" s="52" t="s">
        <v>33</v>
      </c>
      <c r="D25" s="52"/>
      <c r="E25" s="52"/>
    </row>
    <row r="26" spans="2:10" s="27" customFormat="1" x14ac:dyDescent="0.25">
      <c r="B26" s="30"/>
      <c r="C26" s="28"/>
      <c r="D26" s="28"/>
      <c r="E26" s="28"/>
    </row>
    <row r="27" spans="2:10" s="34" customFormat="1" x14ac:dyDescent="0.25">
      <c r="B27" s="53"/>
      <c r="C27" s="54"/>
    </row>
    <row r="28" spans="2:10" s="34" customFormat="1" hidden="1" x14ac:dyDescent="0.25"/>
    <row r="29" spans="2:10" s="34" customFormat="1" hidden="1" x14ac:dyDescent="0.25">
      <c r="D29" s="35"/>
      <c r="E29" s="35"/>
      <c r="F29" s="35"/>
      <c r="G29" s="35"/>
      <c r="H29" s="35"/>
      <c r="I29" s="35"/>
    </row>
    <row r="30" spans="2:10" s="34" customFormat="1" hidden="1" x14ac:dyDescent="0.25"/>
  </sheetData>
  <mergeCells count="6">
    <mergeCell ref="D10:E10"/>
    <mergeCell ref="D19:E19"/>
    <mergeCell ref="C10:C11"/>
    <mergeCell ref="B10:B11"/>
    <mergeCell ref="B19:B20"/>
    <mergeCell ref="C19:C20"/>
  </mergeCells>
  <printOptions horizontalCentered="1"/>
  <pageMargins left="0.25" right="0.25"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92"/>
  <sheetViews>
    <sheetView showGridLines="0" tabSelected="1" topLeftCell="A39" zoomScaleNormal="100" zoomScaleSheetLayoutView="100" workbookViewId="0">
      <selection activeCell="E70" sqref="E70"/>
    </sheetView>
  </sheetViews>
  <sheetFormatPr defaultColWidth="0" defaultRowHeight="16.5" zeroHeight="1" x14ac:dyDescent="0.25"/>
  <cols>
    <col min="1" max="1" width="1" style="5" customWidth="1"/>
    <col min="2" max="2" width="7.7109375" style="34" customWidth="1"/>
    <col min="3" max="3" width="43.140625" style="34" customWidth="1"/>
    <col min="4" max="4" width="11.7109375" style="34" bestFit="1" customWidth="1"/>
    <col min="5" max="8" width="14.42578125" style="34" customWidth="1"/>
    <col min="9" max="9" width="21.7109375" style="34" bestFit="1" customWidth="1"/>
    <col min="10" max="10" width="1" style="5" customWidth="1"/>
    <col min="11" max="16384" width="9.140625" style="34" hidden="1"/>
  </cols>
  <sheetData>
    <row r="1" spans="1:10" x14ac:dyDescent="0.25">
      <c r="A1" s="4"/>
      <c r="B1" s="17" t="str">
        <f>Index!B1</f>
        <v>ABC &amp; Co.</v>
      </c>
      <c r="C1" s="4"/>
      <c r="E1" s="35"/>
      <c r="H1" s="4"/>
      <c r="I1" s="36" t="str">
        <f>Index!D14</f>
        <v>B.S.23 - 2</v>
      </c>
      <c r="J1" s="34"/>
    </row>
    <row r="2" spans="1:10" x14ac:dyDescent="0.25">
      <c r="A2" s="4"/>
      <c r="B2" s="4" t="str">
        <f>Index!B2</f>
        <v>(Chartered Accountants)</v>
      </c>
      <c r="C2" s="4"/>
      <c r="D2" s="37"/>
      <c r="E2" s="5"/>
      <c r="H2" s="4"/>
      <c r="J2" s="34"/>
    </row>
    <row r="3" spans="1:10" x14ac:dyDescent="0.25">
      <c r="A3" s="4"/>
      <c r="B3" s="4"/>
      <c r="C3" s="4"/>
      <c r="I3" s="95"/>
      <c r="J3" s="4"/>
    </row>
    <row r="4" spans="1:10" s="1" customFormat="1" x14ac:dyDescent="0.3">
      <c r="A4" s="5"/>
      <c r="B4" s="6" t="str">
        <f>Index!B4</f>
        <v xml:space="preserve">Client: </v>
      </c>
      <c r="C4" s="7" t="str">
        <f>Index!C4</f>
        <v>ABC Limited</v>
      </c>
      <c r="H4" s="87" t="str">
        <f>Index!$E$4</f>
        <v>Prepared by:</v>
      </c>
      <c r="I4" s="92" t="str">
        <f>IF(Index!$F$4="","",Index!$F$4)</f>
        <v/>
      </c>
      <c r="J4" s="5"/>
    </row>
    <row r="5" spans="1:10" s="1" customFormat="1" x14ac:dyDescent="0.3">
      <c r="A5" s="4"/>
      <c r="B5" s="6" t="str">
        <f>Index!B5</f>
        <v>Period:</v>
      </c>
      <c r="C5" s="7" t="str">
        <f>Index!C5</f>
        <v>Year ended June 30, 2023</v>
      </c>
      <c r="H5" s="87" t="str">
        <f>Index!$E$5</f>
        <v>Date prepared:</v>
      </c>
      <c r="I5" s="93" t="str">
        <f>IF(Index!$F$5="","",Index!$F$5)</f>
        <v/>
      </c>
      <c r="J5" s="4"/>
    </row>
    <row r="6" spans="1:10" s="1" customFormat="1" x14ac:dyDescent="0.3">
      <c r="A6" s="4"/>
      <c r="B6" s="6" t="str">
        <f>Index!B6</f>
        <v>Head:</v>
      </c>
      <c r="C6" s="7" t="str">
        <f>Index!C6</f>
        <v>Staff Retirement Benefits</v>
      </c>
      <c r="H6" s="87" t="str">
        <f>Index!$E$6</f>
        <v>Reviewed by:</v>
      </c>
      <c r="I6" s="90" t="str">
        <f>IF(Index!$F$6="","",Index!$F$6)</f>
        <v/>
      </c>
      <c r="J6" s="4"/>
    </row>
    <row r="7" spans="1:10" s="1" customFormat="1" ht="18" customHeight="1" x14ac:dyDescent="0.3">
      <c r="A7" s="4"/>
      <c r="B7" s="38"/>
      <c r="C7" s="7"/>
      <c r="H7" s="87" t="str">
        <f>Index!$E$7</f>
        <v>Date reviewed:</v>
      </c>
      <c r="I7" s="93" t="str">
        <f>IF(Index!$F$7="","",Index!$F$7)</f>
        <v/>
      </c>
      <c r="J7" s="4"/>
    </row>
    <row r="8" spans="1:10" x14ac:dyDescent="0.25">
      <c r="B8" s="35" t="s">
        <v>9</v>
      </c>
      <c r="C8" s="35"/>
      <c r="D8" s="35"/>
      <c r="E8" s="35"/>
      <c r="F8" s="35"/>
      <c r="G8" s="35"/>
      <c r="H8" s="35"/>
      <c r="I8" s="35"/>
    </row>
    <row r="9" spans="1:10" x14ac:dyDescent="0.25">
      <c r="A9" s="34"/>
      <c r="B9" s="35" t="s">
        <v>17</v>
      </c>
      <c r="J9" s="34"/>
    </row>
    <row r="10" spans="1:10" x14ac:dyDescent="0.25">
      <c r="A10" s="34"/>
      <c r="B10" s="39" t="s">
        <v>41</v>
      </c>
      <c r="J10" s="34"/>
    </row>
    <row r="11" spans="1:10" ht="14.25" customHeight="1" x14ac:dyDescent="0.25">
      <c r="B11" s="80" t="s">
        <v>29</v>
      </c>
      <c r="C11" s="80"/>
      <c r="D11" s="80"/>
      <c r="E11" s="80"/>
      <c r="F11" s="80"/>
      <c r="G11" s="80"/>
      <c r="H11" s="80"/>
      <c r="I11" s="80"/>
    </row>
    <row r="12" spans="1:10" ht="14.25" customHeight="1" x14ac:dyDescent="0.25">
      <c r="B12" s="80" t="s">
        <v>45</v>
      </c>
      <c r="C12" s="80"/>
      <c r="D12" s="80"/>
      <c r="E12" s="80"/>
      <c r="F12" s="80"/>
      <c r="G12" s="80"/>
      <c r="H12" s="80"/>
      <c r="I12" s="80"/>
    </row>
    <row r="13" spans="1:10" x14ac:dyDescent="0.25">
      <c r="A13" s="34"/>
      <c r="B13" s="39" t="s">
        <v>16</v>
      </c>
      <c r="C13" s="40"/>
      <c r="D13" s="40"/>
      <c r="E13" s="40"/>
      <c r="F13" s="40"/>
      <c r="G13" s="40"/>
      <c r="H13" s="40"/>
      <c r="I13" s="40"/>
      <c r="J13" s="34"/>
    </row>
    <row r="14" spans="1:10" ht="14.25" customHeight="1" x14ac:dyDescent="0.25">
      <c r="A14" s="34"/>
      <c r="B14" s="80" t="s">
        <v>46</v>
      </c>
      <c r="C14" s="80"/>
      <c r="D14" s="80"/>
      <c r="E14" s="80"/>
      <c r="F14" s="80"/>
      <c r="G14" s="80"/>
      <c r="H14" s="80"/>
      <c r="I14" s="80"/>
      <c r="J14" s="41"/>
    </row>
    <row r="15" spans="1:10" x14ac:dyDescent="0.25">
      <c r="B15" s="81" t="s">
        <v>47</v>
      </c>
      <c r="C15" s="81"/>
      <c r="D15" s="81"/>
      <c r="E15" s="81"/>
      <c r="F15" s="81"/>
      <c r="G15" s="81"/>
      <c r="H15" s="81"/>
      <c r="I15" s="81"/>
      <c r="J15" s="42"/>
    </row>
    <row r="16" spans="1:10" x14ac:dyDescent="0.25">
      <c r="B16" s="81" t="s">
        <v>55</v>
      </c>
      <c r="C16" s="81"/>
      <c r="D16" s="81"/>
      <c r="E16" s="81"/>
      <c r="F16" s="81"/>
      <c r="G16" s="81"/>
      <c r="H16" s="81"/>
      <c r="I16" s="81"/>
      <c r="J16" s="42"/>
    </row>
    <row r="17" spans="1:10" x14ac:dyDescent="0.25">
      <c r="B17" s="81" t="s">
        <v>56</v>
      </c>
      <c r="C17" s="81"/>
      <c r="D17" s="81"/>
      <c r="E17" s="81"/>
      <c r="F17" s="81"/>
      <c r="G17" s="81"/>
      <c r="H17" s="81"/>
      <c r="I17" s="81"/>
      <c r="J17" s="42"/>
    </row>
    <row r="18" spans="1:10" x14ac:dyDescent="0.25">
      <c r="B18" s="81" t="s">
        <v>57</v>
      </c>
      <c r="C18" s="81"/>
      <c r="D18" s="81"/>
      <c r="E18" s="81"/>
      <c r="F18" s="81"/>
      <c r="G18" s="81"/>
      <c r="H18" s="81"/>
      <c r="I18" s="81"/>
      <c r="J18" s="42"/>
    </row>
    <row r="19" spans="1:10" x14ac:dyDescent="0.25">
      <c r="B19" s="81" t="s">
        <v>58</v>
      </c>
      <c r="C19" s="81"/>
      <c r="D19" s="81"/>
      <c r="E19" s="81"/>
      <c r="F19" s="81"/>
      <c r="G19" s="81"/>
      <c r="H19" s="81"/>
      <c r="I19" s="81"/>
      <c r="J19" s="42"/>
    </row>
    <row r="20" spans="1:10" x14ac:dyDescent="0.25">
      <c r="B20" s="81" t="s">
        <v>59</v>
      </c>
      <c r="C20" s="81"/>
      <c r="D20" s="81"/>
      <c r="E20" s="81"/>
      <c r="F20" s="81"/>
      <c r="G20" s="81"/>
      <c r="H20" s="81"/>
      <c r="I20" s="81"/>
      <c r="J20" s="42"/>
    </row>
    <row r="21" spans="1:10" x14ac:dyDescent="0.25">
      <c r="B21" s="81" t="s">
        <v>60</v>
      </c>
      <c r="C21" s="81"/>
      <c r="D21" s="81"/>
      <c r="E21" s="81"/>
      <c r="F21" s="81"/>
      <c r="G21" s="81"/>
      <c r="H21" s="81"/>
      <c r="I21" s="81"/>
      <c r="J21" s="42"/>
    </row>
    <row r="22" spans="1:10" ht="14.25" customHeight="1" x14ac:dyDescent="0.25">
      <c r="B22" s="80" t="s">
        <v>48</v>
      </c>
      <c r="C22" s="80"/>
      <c r="D22" s="80"/>
      <c r="E22" s="80"/>
      <c r="F22" s="80"/>
      <c r="G22" s="80"/>
      <c r="H22" s="80"/>
      <c r="I22" s="80"/>
    </row>
    <row r="23" spans="1:10" x14ac:dyDescent="0.25">
      <c r="B23" s="82" t="s">
        <v>42</v>
      </c>
      <c r="C23" s="82"/>
      <c r="D23" s="82"/>
      <c r="E23" s="82"/>
      <c r="F23" s="82"/>
      <c r="G23" s="82"/>
      <c r="H23" s="82"/>
      <c r="I23" s="82"/>
    </row>
    <row r="24" spans="1:10" x14ac:dyDescent="0.25">
      <c r="B24" s="82"/>
      <c r="C24" s="82"/>
      <c r="D24" s="82"/>
      <c r="E24" s="82"/>
      <c r="F24" s="82"/>
      <c r="G24" s="82"/>
      <c r="H24" s="82"/>
      <c r="I24" s="82"/>
    </row>
    <row r="25" spans="1:10" x14ac:dyDescent="0.3">
      <c r="B25" s="97" t="s">
        <v>68</v>
      </c>
      <c r="C25" s="82"/>
      <c r="D25" s="82"/>
      <c r="E25" s="82"/>
      <c r="F25" s="82"/>
      <c r="G25" s="82"/>
      <c r="H25" s="82"/>
      <c r="I25" s="82"/>
    </row>
    <row r="26" spans="1:10" x14ac:dyDescent="0.25">
      <c r="B26" s="98" t="s">
        <v>69</v>
      </c>
      <c r="C26" s="82"/>
      <c r="D26" s="82"/>
      <c r="E26" s="82"/>
      <c r="F26" s="82"/>
      <c r="G26" s="82"/>
      <c r="H26" s="82"/>
      <c r="I26" s="82"/>
    </row>
    <row r="27" spans="1:10" x14ac:dyDescent="0.25">
      <c r="B27" s="99"/>
      <c r="C27" s="82"/>
      <c r="D27" s="82"/>
      <c r="E27" s="82"/>
      <c r="F27" s="82"/>
      <c r="G27" s="82"/>
      <c r="H27" s="82"/>
      <c r="I27" s="82"/>
    </row>
    <row r="28" spans="1:10" x14ac:dyDescent="0.3">
      <c r="B28" s="97" t="s">
        <v>26</v>
      </c>
      <c r="C28" s="82"/>
      <c r="D28" s="82"/>
      <c r="E28" s="82"/>
      <c r="F28" s="82"/>
      <c r="G28" s="82"/>
      <c r="H28" s="82"/>
      <c r="I28" s="82"/>
    </row>
    <row r="29" spans="1:10" x14ac:dyDescent="0.25">
      <c r="B29" s="98" t="s">
        <v>25</v>
      </c>
      <c r="C29" s="82"/>
      <c r="D29" s="82"/>
      <c r="E29" s="82"/>
      <c r="F29" s="82"/>
      <c r="G29" s="82"/>
      <c r="H29" s="82"/>
      <c r="I29" s="82"/>
    </row>
    <row r="30" spans="1:10" x14ac:dyDescent="0.25">
      <c r="B30" s="82"/>
      <c r="C30" s="82"/>
      <c r="D30" s="82"/>
      <c r="E30" s="82"/>
      <c r="F30" s="82"/>
      <c r="G30" s="82"/>
      <c r="H30" s="82"/>
      <c r="I30" s="82"/>
    </row>
    <row r="31" spans="1:10" x14ac:dyDescent="0.25">
      <c r="A31" s="4"/>
      <c r="B31" s="34" t="s">
        <v>3</v>
      </c>
      <c r="J31" s="4"/>
    </row>
    <row r="32" spans="1:10" ht="15" customHeight="1" x14ac:dyDescent="0.25">
      <c r="B32" s="63" t="s">
        <v>21</v>
      </c>
      <c r="C32" s="63"/>
      <c r="D32" s="63" t="s">
        <v>20</v>
      </c>
      <c r="E32" s="64">
        <v>2021</v>
      </c>
      <c r="F32" s="64">
        <f>E32-1</f>
        <v>2020</v>
      </c>
      <c r="G32" s="64" t="s">
        <v>12</v>
      </c>
      <c r="H32" s="64" t="s">
        <v>12</v>
      </c>
      <c r="I32" s="63" t="s">
        <v>13</v>
      </c>
    </row>
    <row r="33" spans="1:10" x14ac:dyDescent="0.25">
      <c r="A33" s="21"/>
      <c r="B33" s="63"/>
      <c r="C33" s="63"/>
      <c r="D33" s="63"/>
      <c r="E33" s="64" t="s">
        <v>30</v>
      </c>
      <c r="F33" s="64" t="s">
        <v>30</v>
      </c>
      <c r="G33" s="64" t="s">
        <v>30</v>
      </c>
      <c r="H33" s="64" t="s">
        <v>15</v>
      </c>
      <c r="I33" s="63"/>
      <c r="J33" s="21"/>
    </row>
    <row r="34" spans="1:10" x14ac:dyDescent="0.25">
      <c r="B34" s="71"/>
      <c r="C34" s="71"/>
      <c r="D34" s="72"/>
      <c r="E34" s="73"/>
      <c r="F34" s="74"/>
      <c r="G34" s="74"/>
      <c r="H34" s="74"/>
      <c r="I34" s="74"/>
    </row>
    <row r="35" spans="1:10" x14ac:dyDescent="0.25">
      <c r="A35" s="21"/>
      <c r="B35" s="57" t="str">
        <f>Index!C6</f>
        <v>Staff Retirement Benefits</v>
      </c>
      <c r="C35" s="57"/>
      <c r="D35" s="43"/>
      <c r="E35" s="44"/>
      <c r="F35" s="44"/>
      <c r="G35" s="44"/>
      <c r="H35" s="44"/>
      <c r="I35" s="44"/>
      <c r="J35" s="21"/>
    </row>
    <row r="36" spans="1:10" x14ac:dyDescent="0.25">
      <c r="A36" s="33"/>
      <c r="B36" s="55" t="s">
        <v>31</v>
      </c>
      <c r="C36" s="55"/>
      <c r="D36" s="43"/>
      <c r="E36" s="45"/>
      <c r="F36" s="44"/>
      <c r="G36" s="44">
        <f t="shared" ref="G36" si="0">E36-F36</f>
        <v>0</v>
      </c>
      <c r="H36" s="46" t="str">
        <f>IFERROR(G36/F36,"")</f>
        <v/>
      </c>
      <c r="I36" s="44"/>
      <c r="J36" s="33"/>
    </row>
    <row r="37" spans="1:10" x14ac:dyDescent="0.25">
      <c r="A37" s="33"/>
      <c r="B37" s="55" t="s">
        <v>43</v>
      </c>
      <c r="C37" s="55"/>
      <c r="D37" s="43"/>
      <c r="E37" s="45"/>
      <c r="F37" s="44"/>
      <c r="G37" s="44">
        <f t="shared" ref="G37:G38" si="1">E37-F37</f>
        <v>0</v>
      </c>
      <c r="H37" s="46" t="str">
        <f>IFERROR(G37/F37,"")</f>
        <v/>
      </c>
      <c r="I37" s="44"/>
      <c r="J37" s="33"/>
    </row>
    <row r="38" spans="1:10" x14ac:dyDescent="0.25">
      <c r="A38" s="33"/>
      <c r="B38" s="55" t="s">
        <v>44</v>
      </c>
      <c r="C38" s="55"/>
      <c r="D38" s="43"/>
      <c r="E38" s="44"/>
      <c r="F38" s="44"/>
      <c r="G38" s="44">
        <f t="shared" si="1"/>
        <v>0</v>
      </c>
      <c r="H38" s="46" t="str">
        <f>IFERROR(G38/F38,"")</f>
        <v/>
      </c>
      <c r="I38" s="44"/>
      <c r="J38" s="33"/>
    </row>
    <row r="39" spans="1:10" x14ac:dyDescent="0.25">
      <c r="A39" s="33"/>
      <c r="B39" s="55" t="s">
        <v>61</v>
      </c>
      <c r="C39" s="55"/>
      <c r="D39" s="43"/>
      <c r="E39" s="44"/>
      <c r="F39" s="44"/>
      <c r="G39" s="44"/>
      <c r="H39" s="46"/>
      <c r="I39" s="44"/>
      <c r="J39" s="33"/>
    </row>
    <row r="40" spans="1:10" x14ac:dyDescent="0.25">
      <c r="A40" s="33"/>
      <c r="B40" s="55"/>
      <c r="C40" s="55"/>
      <c r="D40" s="43"/>
      <c r="E40" s="44"/>
      <c r="F40" s="44"/>
      <c r="G40" s="44"/>
      <c r="H40" s="44"/>
      <c r="I40" s="44"/>
      <c r="J40" s="33"/>
    </row>
    <row r="41" spans="1:10" x14ac:dyDescent="0.25">
      <c r="A41" s="34"/>
      <c r="B41" s="56"/>
      <c r="C41" s="56"/>
      <c r="D41" s="43"/>
      <c r="E41" s="44"/>
      <c r="F41" s="44"/>
      <c r="G41" s="44"/>
      <c r="H41" s="44"/>
      <c r="I41" s="44"/>
      <c r="J41" s="34"/>
    </row>
    <row r="42" spans="1:10" x14ac:dyDescent="0.25">
      <c r="A42" s="34"/>
      <c r="B42" s="58" t="s">
        <v>4</v>
      </c>
      <c r="C42" s="58"/>
      <c r="D42" s="43"/>
      <c r="E42" s="44">
        <f>SUM(E34:E41)</f>
        <v>0</v>
      </c>
      <c r="F42" s="44">
        <f>SUM(F34:F38)</f>
        <v>0</v>
      </c>
      <c r="G42" s="44">
        <f>SUM(G34:G38)</f>
        <v>0</v>
      </c>
      <c r="H42" s="44"/>
      <c r="I42" s="44"/>
      <c r="J42" s="34"/>
    </row>
    <row r="43" spans="1:10" x14ac:dyDescent="0.25">
      <c r="A43" s="34"/>
      <c r="J43" s="34"/>
    </row>
    <row r="44" spans="1:10" x14ac:dyDescent="0.25"/>
    <row r="65" x14ac:dyDescent="0.25"/>
    <row r="66" x14ac:dyDescent="0.25"/>
    <row r="67" x14ac:dyDescent="0.25"/>
    <row r="68" x14ac:dyDescent="0.25"/>
    <row r="69" x14ac:dyDescent="0.25"/>
    <row r="70"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sheetData>
  <mergeCells count="12">
    <mergeCell ref="B42:C42"/>
    <mergeCell ref="B41:C41"/>
    <mergeCell ref="B40:C40"/>
    <mergeCell ref="B35:C35"/>
    <mergeCell ref="B39:C39"/>
    <mergeCell ref="B34:C34"/>
    <mergeCell ref="I32:I33"/>
    <mergeCell ref="B32:C33"/>
    <mergeCell ref="D32:D33"/>
    <mergeCell ref="B38:C38"/>
    <mergeCell ref="B36:C36"/>
    <mergeCell ref="B37:C37"/>
  </mergeCells>
  <printOptions horizontalCentered="1"/>
  <pageMargins left="0.25" right="0.25" top="0.75" bottom="0.75" header="0.3" footer="0.3"/>
  <pageSetup scale="9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
  <sheetViews>
    <sheetView showGridLines="0" zoomScaleNormal="100" zoomScaleSheetLayoutView="100" workbookViewId="0">
      <selection activeCell="A5" sqref="A5"/>
    </sheetView>
  </sheetViews>
  <sheetFormatPr defaultColWidth="0" defaultRowHeight="16.5" zeroHeight="1" x14ac:dyDescent="0.25"/>
  <cols>
    <col min="1" max="1" width="1" style="5" customWidth="1"/>
    <col min="2" max="2" width="10" style="5" customWidth="1"/>
    <col min="3" max="3" width="61.42578125" style="5" customWidth="1"/>
    <col min="4" max="5" width="13.5703125" style="5" customWidth="1"/>
    <col min="6" max="6" width="1" style="5" customWidth="1"/>
    <col min="7" max="7" width="9.140625" style="5" hidden="1" customWidth="1"/>
    <col min="8" max="9" width="0" style="5" hidden="1" customWidth="1"/>
    <col min="10" max="16384" width="9.140625" style="5" hidden="1"/>
  </cols>
  <sheetData>
    <row r="1" spans="2:10" s="4" customFormat="1" x14ac:dyDescent="0.25">
      <c r="B1" s="17" t="str">
        <f>Index!B1</f>
        <v>ABC &amp; Co.</v>
      </c>
      <c r="D1" s="18"/>
      <c r="E1" s="19" t="str">
        <f>Index!D18</f>
        <v>B.S.23 - 4</v>
      </c>
    </row>
    <row r="2" spans="2:10" s="4" customFormat="1" x14ac:dyDescent="0.25">
      <c r="B2" s="4" t="str">
        <f>Index!B2</f>
        <v>(Chartered Accountants)</v>
      </c>
      <c r="D2" s="18"/>
    </row>
    <row r="3" spans="2:10" s="4" customFormat="1" x14ac:dyDescent="0.25">
      <c r="E3" s="94"/>
      <c r="F3" s="5"/>
    </row>
    <row r="4" spans="2:10" s="4" customFormat="1" x14ac:dyDescent="0.25">
      <c r="B4" s="6" t="str">
        <f>Index!B4</f>
        <v xml:space="preserve">Client: </v>
      </c>
      <c r="C4" s="7" t="str">
        <f>Index!C4</f>
        <v>ABC Limited</v>
      </c>
      <c r="D4" s="87" t="str">
        <f>Index!$E$4</f>
        <v>Prepared by:</v>
      </c>
      <c r="E4" s="92" t="str">
        <f>IF(Index!$F$4="","",Index!$F$4)</f>
        <v/>
      </c>
    </row>
    <row r="5" spans="2:10" s="4" customFormat="1" x14ac:dyDescent="0.25">
      <c r="B5" s="6" t="str">
        <f>Index!B5</f>
        <v>Period:</v>
      </c>
      <c r="C5" s="7" t="str">
        <f>Index!C5</f>
        <v>Year ended June 30, 2023</v>
      </c>
      <c r="D5" s="87" t="str">
        <f>Index!$E$5</f>
        <v>Date prepared:</v>
      </c>
      <c r="E5" s="93" t="str">
        <f>IF(Index!$F$5="","",Index!$F$5)</f>
        <v/>
      </c>
    </row>
    <row r="6" spans="2:10" s="4" customFormat="1" x14ac:dyDescent="0.25">
      <c r="B6" s="6" t="str">
        <f>Index!B6</f>
        <v>Head:</v>
      </c>
      <c r="C6" s="7" t="str">
        <f>Index!C6</f>
        <v>Staff Retirement Benefits</v>
      </c>
      <c r="D6" s="87" t="str">
        <f>Index!$E$6</f>
        <v>Reviewed by:</v>
      </c>
      <c r="E6" s="90" t="str">
        <f>IF(Index!$F$6="","",Index!$F$6)</f>
        <v/>
      </c>
    </row>
    <row r="7" spans="2:10" x14ac:dyDescent="0.25">
      <c r="B7" s="4"/>
      <c r="C7" s="4"/>
      <c r="D7" s="87" t="str">
        <f>Index!$E$7</f>
        <v>Date reviewed:</v>
      </c>
      <c r="E7" s="93" t="str">
        <f>IF(Index!$F$7="","",Index!$F$7)</f>
        <v/>
      </c>
      <c r="F7" s="4"/>
    </row>
    <row r="8" spans="2:10" s="4" customFormat="1" x14ac:dyDescent="0.25">
      <c r="B8" s="17" t="s">
        <v>35</v>
      </c>
      <c r="C8" s="17"/>
      <c r="D8" s="17"/>
      <c r="E8" s="17"/>
      <c r="F8" s="17"/>
    </row>
    <row r="9" spans="2:10" x14ac:dyDescent="0.25"/>
    <row r="10" spans="2:10" s="21" customFormat="1" ht="14.25" customHeight="1" x14ac:dyDescent="0.25">
      <c r="B10" s="59" t="s">
        <v>6</v>
      </c>
      <c r="C10" s="59" t="s">
        <v>39</v>
      </c>
      <c r="D10" s="60" t="s">
        <v>36</v>
      </c>
      <c r="E10" s="60"/>
      <c r="F10" s="20"/>
    </row>
    <row r="11" spans="2:10" x14ac:dyDescent="0.25">
      <c r="B11" s="59"/>
      <c r="C11" s="59"/>
      <c r="D11" s="61" t="s">
        <v>37</v>
      </c>
      <c r="E11" s="62" t="s">
        <v>38</v>
      </c>
      <c r="F11" s="22"/>
    </row>
    <row r="12" spans="2:10" x14ac:dyDescent="0.25">
      <c r="B12" s="75"/>
      <c r="C12" s="76"/>
      <c r="D12" s="76"/>
      <c r="E12" s="76"/>
    </row>
    <row r="13" spans="2:10" s="27" customFormat="1" x14ac:dyDescent="0.25">
      <c r="B13" s="25"/>
      <c r="C13" s="26"/>
      <c r="D13" s="26"/>
      <c r="E13" s="26"/>
      <c r="F13" s="5"/>
      <c r="G13" s="5"/>
      <c r="H13" s="5"/>
      <c r="I13" s="5"/>
      <c r="J13" s="5"/>
    </row>
    <row r="14" spans="2:10" s="27" customFormat="1" x14ac:dyDescent="0.25">
      <c r="B14" s="25"/>
      <c r="C14" s="26"/>
      <c r="D14" s="26"/>
      <c r="E14" s="26"/>
      <c r="F14" s="5"/>
      <c r="G14" s="5"/>
      <c r="H14" s="5"/>
      <c r="I14" s="5"/>
      <c r="J14" s="5"/>
    </row>
    <row r="15" spans="2:10" s="27" customFormat="1" x14ac:dyDescent="0.25">
      <c r="B15" s="25"/>
      <c r="C15" s="26"/>
      <c r="D15" s="26"/>
      <c r="E15" s="26"/>
      <c r="F15" s="5"/>
      <c r="G15" s="5"/>
      <c r="H15" s="5"/>
      <c r="I15" s="5"/>
      <c r="J15" s="5"/>
    </row>
    <row r="16" spans="2:10" s="27" customFormat="1" x14ac:dyDescent="0.25">
      <c r="B16" s="25"/>
      <c r="C16" s="26"/>
      <c r="D16" s="26"/>
      <c r="E16" s="26"/>
      <c r="F16" s="5"/>
      <c r="G16" s="5"/>
      <c r="H16" s="5"/>
      <c r="I16" s="5"/>
      <c r="J16" s="5"/>
    </row>
    <row r="17" spans="2:10" s="27" customFormat="1" x14ac:dyDescent="0.25">
      <c r="B17" s="25"/>
      <c r="C17" s="26"/>
      <c r="D17" s="26"/>
      <c r="E17" s="26"/>
      <c r="F17" s="5"/>
      <c r="G17" s="5"/>
      <c r="H17" s="5"/>
      <c r="I17" s="5"/>
      <c r="J17" s="5"/>
    </row>
    <row r="18" spans="2:10" s="27" customFormat="1" x14ac:dyDescent="0.25">
      <c r="B18" s="25"/>
      <c r="C18" s="26"/>
      <c r="D18" s="26"/>
      <c r="E18" s="26"/>
      <c r="F18" s="5"/>
      <c r="G18" s="5"/>
      <c r="H18" s="5"/>
      <c r="I18" s="5"/>
      <c r="J18" s="5"/>
    </row>
    <row r="19" spans="2:10" s="27" customFormat="1" x14ac:dyDescent="0.25">
      <c r="B19" s="25"/>
      <c r="C19" s="26"/>
      <c r="D19" s="26"/>
      <c r="E19" s="26"/>
      <c r="F19" s="5"/>
      <c r="G19" s="5"/>
      <c r="H19" s="5"/>
      <c r="I19" s="5"/>
      <c r="J19" s="5"/>
    </row>
    <row r="20" spans="2:10" s="27" customFormat="1" x14ac:dyDescent="0.25">
      <c r="B20" s="25"/>
      <c r="C20" s="26"/>
      <c r="D20" s="26"/>
      <c r="E20" s="26"/>
      <c r="F20" s="5"/>
      <c r="G20" s="5"/>
      <c r="H20" s="5"/>
      <c r="I20" s="5"/>
      <c r="J20" s="5"/>
    </row>
    <row r="21" spans="2:10" s="27" customFormat="1" x14ac:dyDescent="0.25">
      <c r="B21" s="25"/>
      <c r="C21" s="26"/>
      <c r="D21" s="26"/>
      <c r="E21" s="26"/>
      <c r="F21" s="5"/>
      <c r="G21" s="5"/>
      <c r="H21" s="5"/>
      <c r="I21" s="5"/>
      <c r="J21" s="5"/>
    </row>
    <row r="22" spans="2:10" s="27" customFormat="1" x14ac:dyDescent="0.25">
      <c r="B22" s="25"/>
      <c r="C22" s="28"/>
      <c r="D22" s="29"/>
      <c r="E22" s="29"/>
      <c r="F22" s="5"/>
      <c r="G22" s="5"/>
      <c r="H22" s="5"/>
      <c r="I22" s="5"/>
      <c r="J22" s="5"/>
    </row>
    <row r="23" spans="2:10" s="27" customFormat="1" x14ac:dyDescent="0.25">
      <c r="B23" s="25"/>
      <c r="C23" s="28"/>
      <c r="D23" s="30"/>
      <c r="E23" s="30"/>
    </row>
    <row r="24" spans="2:10" s="27" customFormat="1" x14ac:dyDescent="0.25">
      <c r="B24" s="25"/>
      <c r="C24" s="28"/>
      <c r="D24" s="28"/>
      <c r="E24" s="28"/>
    </row>
    <row r="25" spans="2:10" s="33" customFormat="1" ht="14.25" customHeight="1" x14ac:dyDescent="0.3">
      <c r="B25" s="31"/>
      <c r="C25" s="32"/>
      <c r="D25" s="32"/>
      <c r="E25" s="32"/>
      <c r="F25" s="32"/>
      <c r="G25" s="32"/>
      <c r="H25" s="32"/>
      <c r="I25" s="32"/>
      <c r="J25" s="32"/>
    </row>
    <row r="26" spans="2:10" s="34" customFormat="1" hidden="1" x14ac:dyDescent="0.25"/>
    <row r="27" spans="2:10" s="34" customFormat="1" hidden="1" x14ac:dyDescent="0.25">
      <c r="D27" s="35"/>
      <c r="E27" s="35"/>
      <c r="F27" s="35"/>
      <c r="G27" s="35"/>
      <c r="H27" s="35"/>
      <c r="I27" s="35"/>
    </row>
    <row r="28" spans="2:10" s="34" customFormat="1" hidden="1" x14ac:dyDescent="0.25"/>
  </sheetData>
  <mergeCells count="3">
    <mergeCell ref="B10:B11"/>
    <mergeCell ref="C10:C11"/>
    <mergeCell ref="D10:E10"/>
  </mergeCells>
  <printOptions horizontalCentered="1"/>
  <pageMargins left="0.25" right="0.25"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Index</vt:lpstr>
      <vt:lpstr>AOC</vt:lpstr>
      <vt:lpstr>Lead</vt:lpstr>
      <vt:lpstr>Adjusting Entries</vt:lpstr>
      <vt:lpstr>'Adjusting Entries'!Print_Area</vt:lpstr>
      <vt:lpstr>AOC!Print_Area</vt:lpstr>
      <vt:lpstr>Index!Print_Area</vt:lpstr>
      <vt:lpstr>Lead!Print_Area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Manager</dc:creator>
  <cp:lastModifiedBy>Hamid Ali</cp:lastModifiedBy>
  <cp:lastPrinted>2017-07-05T14:34:38Z</cp:lastPrinted>
  <dcterms:created xsi:type="dcterms:W3CDTF">2013-09-04T12:17:25Z</dcterms:created>
  <dcterms:modified xsi:type="dcterms:W3CDTF">2023-06-27T05:47:53Z</dcterms:modified>
</cp:coreProperties>
</file>