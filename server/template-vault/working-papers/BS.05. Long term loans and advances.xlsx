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ffice\Templates\Audit Working Papers\2023\"/>
    </mc:Choice>
  </mc:AlternateContent>
  <xr:revisionPtr revIDLastSave="0" documentId="13_ncr:1_{D93BA575-9701-4170-86BD-A29583700331}" xr6:coauthVersionLast="47" xr6:coauthVersionMax="47" xr10:uidLastSave="{00000000-0000-0000-0000-000000000000}"/>
  <bookViews>
    <workbookView xWindow="-120" yWindow="-120" windowWidth="20730" windowHeight="11040" tabRatio="857" activeTab="5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Vouching-Additions" sheetId="23" r:id="rId5"/>
    <sheet name="Vouching-Deletion" sheetId="25" r:id="rId6"/>
    <sheet name="Impairnment" sheetId="22" r:id="rId7"/>
    <sheet name="Adjusting Entries" sheetId="24" r:id="rId8"/>
  </sheets>
  <definedNames>
    <definedName name="_Fill" localSheetId="7" hidden="1">#REF!</definedName>
    <definedName name="_Fill" localSheetId="4" hidden="1">#REF!</definedName>
    <definedName name="_Fill" localSheetId="5" hidden="1">#REF!</definedName>
    <definedName name="_Fill" hidden="1">#REF!</definedName>
    <definedName name="_Key1" localSheetId="7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7" hidden="1">#REF!</definedName>
    <definedName name="_Key2" localSheetId="4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localSheetId="7" hidden="1">#REF!</definedName>
    <definedName name="_Sort" localSheetId="4" hidden="1">#REF!</definedName>
    <definedName name="_Sort" localSheetId="5" hidden="1">#REF!</definedName>
    <definedName name="_Sort" hidden="1">#REF!</definedName>
    <definedName name="_xlnm.Print_Area" localSheetId="7">'Adjusting Entries'!$A$1:$F$25</definedName>
    <definedName name="_xlnm.Print_Area" localSheetId="1">AOC!$A$1:$H$28</definedName>
    <definedName name="_xlnm.Print_Area" localSheetId="6">Impairnment!$A$1:$J$37</definedName>
    <definedName name="_xlnm.Print_Area" localSheetId="0">Index!$A$1:$K$40</definedName>
    <definedName name="_xlnm.Print_Area" localSheetId="2">Lead!$A$1:$N$37</definedName>
    <definedName name="_xlnm.Print_Area" localSheetId="3">SubLead!$A$1:$N$56</definedName>
    <definedName name="_xlnm.Print_Area" localSheetId="4">'Vouching-Additions'!$A$1:$J$54</definedName>
    <definedName name="_xlnm.Print_Area" localSheetId="5">'Vouching-Deletion'!$A$1:$J$50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7" l="1"/>
  <c r="F4" i="7"/>
  <c r="E4" i="24" l="1"/>
  <c r="D4" i="24"/>
  <c r="C6" i="24" l="1"/>
  <c r="C5" i="24"/>
  <c r="C4" i="24"/>
  <c r="B2" i="24"/>
  <c r="B1" i="24"/>
  <c r="C6" i="22"/>
  <c r="C5" i="22"/>
  <c r="C4" i="22"/>
  <c r="B2" i="22"/>
  <c r="B1" i="22"/>
  <c r="C6" i="25"/>
  <c r="C5" i="25"/>
  <c r="C4" i="25"/>
  <c r="B2" i="25"/>
  <c r="B1" i="25"/>
  <c r="C6" i="23"/>
  <c r="C5" i="23"/>
  <c r="C4" i="23"/>
  <c r="B2" i="23"/>
  <c r="B1" i="23"/>
  <c r="C6" i="20"/>
  <c r="C5" i="20"/>
  <c r="C4" i="20"/>
  <c r="B2" i="20"/>
  <c r="B1" i="20"/>
  <c r="E7" i="24"/>
  <c r="D7" i="24"/>
  <c r="E6" i="24"/>
  <c r="D6" i="24"/>
  <c r="E5" i="24"/>
  <c r="D5" i="24"/>
  <c r="I7" i="22"/>
  <c r="H7" i="22"/>
  <c r="I6" i="22"/>
  <c r="H6" i="22"/>
  <c r="I5" i="22"/>
  <c r="H5" i="22"/>
  <c r="I4" i="22"/>
  <c r="H4" i="22"/>
  <c r="I7" i="25"/>
  <c r="H7" i="25"/>
  <c r="I6" i="25"/>
  <c r="H6" i="25"/>
  <c r="I5" i="25"/>
  <c r="H5" i="25"/>
  <c r="I4" i="25"/>
  <c r="H4" i="25"/>
  <c r="I7" i="23"/>
  <c r="H7" i="23"/>
  <c r="I6" i="23"/>
  <c r="H6" i="23"/>
  <c r="I5" i="23"/>
  <c r="H5" i="23"/>
  <c r="I4" i="23"/>
  <c r="H4" i="23"/>
  <c r="M7" i="20"/>
  <c r="K7" i="20"/>
  <c r="M6" i="20"/>
  <c r="K6" i="20"/>
  <c r="M5" i="20"/>
  <c r="K5" i="20"/>
  <c r="M4" i="20"/>
  <c r="K4" i="20"/>
  <c r="M7" i="3"/>
  <c r="K7" i="3"/>
  <c r="M6" i="3"/>
  <c r="K6" i="3"/>
  <c r="M5" i="3"/>
  <c r="K5" i="3"/>
  <c r="M4" i="3"/>
  <c r="K4" i="3"/>
  <c r="F7" i="7"/>
  <c r="F6" i="7"/>
  <c r="F5" i="7"/>
  <c r="C6" i="3"/>
  <c r="C5" i="3"/>
  <c r="C4" i="3"/>
  <c r="B2" i="3"/>
  <c r="B1" i="3"/>
  <c r="G5" i="7"/>
  <c r="G7" i="7"/>
  <c r="G6" i="7"/>
  <c r="B25" i="7"/>
  <c r="B26" i="7" s="1"/>
  <c r="B27" i="7" s="1"/>
  <c r="B14" i="7"/>
  <c r="B15" i="7" s="1"/>
  <c r="B16" i="7" s="1"/>
  <c r="B17" i="7" s="1"/>
  <c r="B18" i="7" s="1"/>
  <c r="B14" i="6"/>
  <c r="F14" i="6" s="1"/>
  <c r="F12" i="6"/>
  <c r="B1" i="7"/>
  <c r="G40" i="20"/>
  <c r="H40" i="20"/>
  <c r="B16" i="6" l="1"/>
  <c r="B18" i="6" l="1"/>
  <c r="B20" i="6" s="1"/>
  <c r="F16" i="6"/>
  <c r="D5" i="7"/>
  <c r="F20" i="6" l="1"/>
  <c r="B22" i="6"/>
  <c r="F18" i="6"/>
  <c r="J44" i="20"/>
  <c r="K44" i="20" s="1"/>
  <c r="J45" i="20"/>
  <c r="K45" i="20" s="1"/>
  <c r="J46" i="20"/>
  <c r="K46" i="20" s="1"/>
  <c r="J43" i="20"/>
  <c r="K43" i="20" s="1"/>
  <c r="J28" i="3"/>
  <c r="K28" i="3" s="1"/>
  <c r="J29" i="3"/>
  <c r="K29" i="3" s="1"/>
  <c r="J30" i="3"/>
  <c r="K30" i="3" s="1"/>
  <c r="J31" i="3"/>
  <c r="K31" i="3" s="1"/>
  <c r="B24" i="6" l="1"/>
  <c r="F22" i="6"/>
  <c r="J54" i="20"/>
  <c r="H54" i="20"/>
  <c r="G54" i="20"/>
  <c r="B43" i="20"/>
  <c r="F24" i="6" l="1"/>
  <c r="B26" i="6"/>
  <c r="I1" i="25"/>
  <c r="M1" i="20"/>
  <c r="M1" i="3"/>
  <c r="G1" i="7"/>
  <c r="F26" i="6" l="1"/>
  <c r="I1" i="22" s="1"/>
  <c r="B28" i="6"/>
  <c r="F28" i="6" s="1"/>
  <c r="E1" i="24" s="1"/>
  <c r="I1" i="23"/>
  <c r="B8" i="7" l="1"/>
  <c r="B6" i="7" l="1"/>
  <c r="B5" i="7"/>
  <c r="B4" i="7"/>
  <c r="B2" i="7" l="1"/>
  <c r="D6" i="7" l="1"/>
  <c r="D4" i="7"/>
  <c r="J35" i="3"/>
  <c r="B27" i="3" l="1"/>
  <c r="G35" i="3" l="1"/>
  <c r="H35" i="3" l="1"/>
</calcChain>
</file>

<file path=xl/sharedStrings.xml><?xml version="1.0" encoding="utf-8"?>
<sst xmlns="http://schemas.openxmlformats.org/spreadsheetml/2006/main" count="185" uniqueCount="118">
  <si>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</si>
  <si>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</si>
  <si>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</si>
  <si>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</si>
  <si>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</si>
  <si>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</si>
  <si>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</si>
  <si>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</si>
  <si>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</si>
  <si>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</si>
  <si>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</si>
  <si>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</si>
  <si>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</si>
  <si>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</si>
  <si>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</si>
  <si>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</si>
  <si>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</si>
  <si>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</si>
  <si>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</si>
  <si>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Audit Objectives and Conclusions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</si>
  <si>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</si>
  <si>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</si>
  <si>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</si>
  <si>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</si>
  <si>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</si>
  <si>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</si>
  <si>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</si>
  <si>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</si>
  <si>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</si>
  <si>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</si>
  <si>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</si>
  <si>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</si>
  <si>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Sub-Lead Schedule</t>
  </si>
  <si>
    <t>Confirmation summary, reconciliation</t>
  </si>
  <si>
    <t>Copies of Documents/Summary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</si>
  <si>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</si>
  <si>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</si>
  <si>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</si>
  <si>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Impairment Testing</t>
  </si>
  <si>
    <t>IMPAIRNMENT TESTING</t>
  </si>
  <si>
    <t>(b) Current maturity had been appropriately identified and separately disclosed</t>
  </si>
  <si>
    <t>Total closing balance</t>
  </si>
  <si>
    <t>VOUCHING - ADDITIONS</t>
  </si>
  <si>
    <t>Date</t>
  </si>
  <si>
    <t>Voucher #</t>
  </si>
  <si>
    <t xml:space="preserve">Amount </t>
  </si>
  <si>
    <t>Cheque #</t>
  </si>
  <si>
    <t>Proper Classification</t>
  </si>
  <si>
    <t>Traced into Bank Statement</t>
  </si>
  <si>
    <t>Approved By</t>
  </si>
  <si>
    <t>Vouching - Additions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</si>
  <si>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</si>
  <si>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</si>
  <si>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</si>
  <si>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</si>
  <si>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</si>
  <si>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</si>
  <si>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</si>
  <si>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</si>
  <si>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</si>
  <si>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</si>
  <si>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</si>
  <si>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</si>
  <si>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- In Subsidiary Companies</t>
  </si>
  <si>
    <t>- In Controlled Firms</t>
  </si>
  <si>
    <t>- In Managed Modarabas</t>
  </si>
  <si>
    <t>Long term loans and advances are completely and accurately recorded</t>
  </si>
  <si>
    <t>All recorded long term loans and advances actually exist</t>
  </si>
  <si>
    <t>Long term loans and advances are recorded at appropriate values and all bad and doubtful balances have been provided for/ written off</t>
  </si>
  <si>
    <t>Long term loans and advances recorded are the right of the company</t>
  </si>
  <si>
    <t>Long-term loans and advances to associated undertaking were in accordance with legal requirements</t>
  </si>
  <si>
    <t>- Other Associated Undertakings</t>
  </si>
  <si>
    <t>Opening balance</t>
  </si>
  <si>
    <t>Add: Disbursement during the year</t>
  </si>
  <si>
    <t>Less: Repayments during the year</t>
  </si>
  <si>
    <t>For disbursements made during the year checked disbursements of funds with disbursement register and bank statement</t>
  </si>
  <si>
    <t>For a sample of repayments made during the year:</t>
  </si>
  <si>
    <t>(a) Ensured that amount and date of repayment was accordance with repayment schedule or agreement.</t>
  </si>
  <si>
    <t>(b) Checked receipt of funds with receipt records and bank statement.</t>
  </si>
  <si>
    <t>(c) Checked the recovery of interest is in accordance with the policy (i.e. along with principal or after recovery of full principal, as the case may be)</t>
  </si>
  <si>
    <t>Circularized confirmations to selected parties. Matched replies with the amounts outstanding against each party</t>
  </si>
  <si>
    <t>Obtained age-analysis of long-term loans and advances and perform the following:</t>
  </si>
  <si>
    <t>(a) Verified that loans have been classified in correct categories.</t>
  </si>
  <si>
    <t>(b) Current maturity has been appropriately calculated and separately disclosed.</t>
  </si>
  <si>
    <t>(c) Considered the value of securities available against each loan for the purpose of calculation of provision for doubtful loans and advances</t>
  </si>
  <si>
    <t>Checked subsequent recovery of loans etc.</t>
  </si>
  <si>
    <t>Ensured that all loans and advances to associated undertakings are granted after due compliance with legal requirements.</t>
  </si>
  <si>
    <t xml:space="preserve">For items stucked-up for considerable period of time, inquired about its status from the management. </t>
  </si>
  <si>
    <t>Re-performed calculation of interest income on test basis:</t>
  </si>
  <si>
    <t>(a) Verified rate of interest from agreement/ policy.</t>
  </si>
  <si>
    <t>(b) Checked the number of days for which interest is to be charged.</t>
  </si>
  <si>
    <t>(c) Also considered the repayment of loans</t>
  </si>
  <si>
    <t>Checked loan agreement and legal documents to verify the terms and conditions of the advances</t>
  </si>
  <si>
    <t>Obtained age-analysis of long-term loans and advances and performed the following:</t>
  </si>
  <si>
    <t>(a) Verified that loans and advances had been classified in correct categories.</t>
  </si>
  <si>
    <t>BS.05</t>
  </si>
  <si>
    <t>Analytical Procedures:</t>
  </si>
  <si>
    <t>Computed provisions (if required) and asked for management representations</t>
  </si>
  <si>
    <t>Ensured that loans and advances should be measured at amortized cost using the effective interest rate method</t>
  </si>
  <si>
    <t>Subhead:</t>
  </si>
  <si>
    <t>Long term loans and advances are presented and all disclosures have been given in accordance with the Fifth Schedule of the Companies Act, 2017 and relevant IASs/IFRSs.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</si>
  <si>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</si>
  <si>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</si>
  <si>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</si>
  <si>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</si>
  <si>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</si>
  <si>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</si>
  <si>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</si>
  <si>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Long term loans and advances</t>
  </si>
  <si>
    <t>Observations</t>
  </si>
  <si>
    <t>None.</t>
  </si>
  <si>
    <t>Ensured that none of the loans and advances are impaired or the recoverable amount of a loan or advance is not less than its carrying amount.</t>
  </si>
  <si>
    <t>If the carrying amount of a loan/ advance is the reduction as impairment loss.</t>
  </si>
  <si>
    <t>Ensured that none of the  loans and advances are impaired or the recoverable amount of same is not less than its carrying amount.</t>
  </si>
  <si>
    <t>Vouching - Deletions</t>
  </si>
  <si>
    <t>VOUCHING - DELETIONS</t>
  </si>
  <si>
    <t>Point discussed with the engagement team: What if the carrying amount of  loans and advances is more than its recoverable amount?</t>
  </si>
  <si>
    <t>In that case, same should be reduced to recoverable amount. The reduction is recognized as impairment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</si>
</sst>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Book Antiqua"/>
      <family val="1"/>
    </font>
    <font>
      <sz val="12"/>
      <name val="Book Antiqua"/>
      <family val="1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2"/>
      <color theme="1"/>
      <name val="Book Antiqua"/>
      <family val="1"/>
    </font>
    <font>
      <sz val="11"/>
      <color indexed="8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  <font>
      <b/>
      <sz val="12"/>
      <color theme="1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/>
      <right/>
      <top/>
      <bottom style="dotted">
        <color rgb="FFC00000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25" fillId="0" borderId="0" xfId="4" applyFont="1"/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6" fillId="0" borderId="0" xfId="4" applyFont="1"/>
    <xf numFmtId="0" fontId="26" fillId="0" borderId="0" xfId="4" applyFont="1" applyAlignment="1">
      <alignment horizontal="center"/>
    </xf>
    <xf numFmtId="0" fontId="27" fillId="0" borderId="0" xfId="0" applyFont="1" applyAlignment="1">
      <alignment vertical="center"/>
    </xf>
    <xf numFmtId="0" fontId="26" fillId="0" borderId="0" xfId="4" applyFont="1" applyAlignment="1">
      <alignment vertical="center"/>
    </xf>
    <xf numFmtId="0" fontId="28" fillId="0" borderId="0" xfId="3" applyNumberFormat="1" applyFont="1" applyFill="1" applyBorder="1" applyAlignment="1" applyProtection="1">
      <alignment vertical="center"/>
    </xf>
    <xf numFmtId="0" fontId="28" fillId="0" borderId="0" xfId="3" applyNumberFormat="1" applyFont="1" applyAlignment="1">
      <alignment vertical="center"/>
    </xf>
    <xf numFmtId="0" fontId="28" fillId="0" borderId="0" xfId="3" applyNumberFormat="1" applyFont="1" applyAlignment="1">
      <alignment horizontal="center" vertical="center"/>
    </xf>
    <xf numFmtId="0" fontId="29" fillId="0" borderId="0" xfId="3" applyNumberFormat="1" applyFont="1" applyAlignment="1">
      <alignment horizontal="center" vertical="center"/>
    </xf>
    <xf numFmtId="0" fontId="26" fillId="0" borderId="0" xfId="4" applyFont="1" applyAlignment="1">
      <alignment horizontal="center" vertical="center"/>
    </xf>
    <xf numFmtId="0" fontId="29" fillId="0" borderId="0" xfId="4" applyFont="1" applyAlignment="1">
      <alignment horizontal="center"/>
    </xf>
    <xf numFmtId="0" fontId="26" fillId="0" borderId="12" xfId="4" applyFont="1" applyBorder="1" applyAlignment="1">
      <alignment horizontal="center" vertical="center"/>
    </xf>
    <xf numFmtId="0" fontId="26" fillId="0" borderId="12" xfId="4" applyFont="1" applyBorder="1" applyAlignment="1">
      <alignment vertical="center"/>
    </xf>
    <xf numFmtId="0" fontId="26" fillId="0" borderId="12" xfId="4" applyFont="1" applyBorder="1"/>
    <xf numFmtId="0" fontId="26" fillId="0" borderId="12" xfId="4" applyFont="1" applyBorder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9" fillId="0" borderId="0" xfId="4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vertical="top"/>
    </xf>
    <xf numFmtId="0" fontId="27" fillId="0" borderId="12" xfId="0" quotePrefix="1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vertical="top" wrapText="1"/>
    </xf>
    <xf numFmtId="0" fontId="26" fillId="2" borderId="0" xfId="2" applyFont="1" applyFill="1" applyAlignment="1">
      <alignment vertical="center"/>
    </xf>
    <xf numFmtId="0" fontId="27" fillId="0" borderId="12" xfId="0" applyFont="1" applyBorder="1" applyAlignment="1">
      <alignment horizontal="center" vertical="center" wrapText="1"/>
    </xf>
    <xf numFmtId="0" fontId="26" fillId="2" borderId="0" xfId="2" quotePrefix="1" applyFont="1" applyFill="1" applyAlignment="1">
      <alignment horizontal="center" vertical="center"/>
    </xf>
    <xf numFmtId="0" fontId="26" fillId="2" borderId="0" xfId="2" applyFont="1" applyFill="1" applyAlignment="1">
      <alignment vertical="justify"/>
    </xf>
    <xf numFmtId="0" fontId="29" fillId="2" borderId="0" xfId="2" applyFont="1" applyFill="1" applyAlignment="1">
      <alignment vertical="center"/>
    </xf>
    <xf numFmtId="0" fontId="30" fillId="0" borderId="0" xfId="0" applyFont="1" applyAlignment="1">
      <alignment horizontal="center" vertical="top"/>
    </xf>
    <xf numFmtId="0" fontId="27" fillId="0" borderId="12" xfId="0" applyFont="1" applyBorder="1" applyAlignment="1">
      <alignment vertical="center"/>
    </xf>
    <xf numFmtId="0" fontId="27" fillId="0" borderId="12" xfId="0" applyFont="1" applyBorder="1" applyAlignment="1">
      <alignment horizontal="center" vertical="center"/>
    </xf>
    <xf numFmtId="0" fontId="25" fillId="2" borderId="0" xfId="2" applyFont="1" applyFill="1" applyAlignment="1">
      <alignment vertical="center"/>
    </xf>
    <xf numFmtId="0" fontId="24" fillId="2" borderId="0" xfId="2" applyFont="1" applyFill="1" applyAlignment="1">
      <alignment vertical="center"/>
    </xf>
    <xf numFmtId="0" fontId="27" fillId="0" borderId="0" xfId="0" applyFont="1"/>
    <xf numFmtId="0" fontId="25" fillId="2" borderId="0" xfId="2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29" fillId="2" borderId="0" xfId="2" applyFont="1" applyFill="1" applyAlignment="1">
      <alignment horizontal="center" vertical="center"/>
    </xf>
    <xf numFmtId="0" fontId="27" fillId="25" borderId="0" xfId="0" applyFont="1" applyFill="1" applyAlignment="1">
      <alignment horizontal="left" vertical="top" wrapText="1" indent="3"/>
    </xf>
    <xf numFmtId="0" fontId="26" fillId="2" borderId="12" xfId="2" applyFont="1" applyFill="1" applyBorder="1" applyAlignment="1">
      <alignment vertical="center"/>
    </xf>
    <xf numFmtId="165" fontId="26" fillId="2" borderId="12" xfId="1" applyNumberFormat="1" applyFont="1" applyFill="1" applyBorder="1" applyAlignment="1">
      <alignment horizontal="right" vertical="center"/>
    </xf>
    <xf numFmtId="165" fontId="26" fillId="2" borderId="12" xfId="1" applyNumberFormat="1" applyFont="1" applyFill="1" applyBorder="1" applyAlignment="1">
      <alignment horizontal="center" vertical="center"/>
    </xf>
    <xf numFmtId="0" fontId="24" fillId="2" borderId="0" xfId="2" applyFont="1" applyFill="1" applyAlignment="1">
      <alignment horizontal="right" vertical="center"/>
    </xf>
    <xf numFmtId="0" fontId="29" fillId="2" borderId="12" xfId="2" applyFont="1" applyFill="1" applyBorder="1" applyAlignment="1">
      <alignment horizontal="left" vertical="center" indent="1"/>
    </xf>
    <xf numFmtId="0" fontId="26" fillId="2" borderId="12" xfId="2" applyFont="1" applyFill="1" applyBorder="1" applyAlignment="1">
      <alignment horizontal="left" vertical="center" indent="1"/>
    </xf>
    <xf numFmtId="0" fontId="26" fillId="2" borderId="12" xfId="2" applyFont="1" applyFill="1" applyBorder="1" applyAlignment="1">
      <alignment horizontal="left" vertical="center" indent="2"/>
    </xf>
    <xf numFmtId="0" fontId="29" fillId="2" borderId="12" xfId="2" applyFont="1" applyFill="1" applyBorder="1" applyAlignment="1">
      <alignment horizontal="center" vertical="center"/>
    </xf>
    <xf numFmtId="0" fontId="32" fillId="0" borderId="0" xfId="3" applyNumberFormat="1" applyFont="1" applyFill="1" applyBorder="1" applyAlignment="1" applyProtection="1">
      <alignment vertical="center"/>
    </xf>
    <xf numFmtId="0" fontId="29" fillId="2" borderId="0" xfId="2" applyFont="1" applyFill="1" applyAlignment="1">
      <alignment horizontal="left" vertical="center" indent="1"/>
    </xf>
    <xf numFmtId="0" fontId="27" fillId="25" borderId="0" xfId="0" applyFont="1" applyFill="1" applyAlignment="1">
      <alignment horizontal="left" vertical="top" indent="2"/>
    </xf>
    <xf numFmtId="9" fontId="26" fillId="2" borderId="12" xfId="74" applyFont="1" applyFill="1" applyBorder="1" applyAlignment="1">
      <alignment horizontal="center" vertical="center"/>
    </xf>
    <xf numFmtId="0" fontId="30" fillId="0" borderId="15" xfId="4" applyFont="1" applyBorder="1" applyAlignment="1">
      <alignment horizontal="center" vertical="center"/>
    </xf>
    <xf numFmtId="0" fontId="30" fillId="0" borderId="15" xfId="4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30" fillId="0" borderId="15" xfId="2" applyFont="1" applyBorder="1" applyAlignment="1">
      <alignment horizontal="center" vertical="center" wrapText="1"/>
    </xf>
    <xf numFmtId="0" fontId="30" fillId="0" borderId="15" xfId="2" applyFont="1" applyBorder="1" applyAlignment="1">
      <alignment horizontal="center" vertical="center"/>
    </xf>
    <xf numFmtId="0" fontId="26" fillId="0" borderId="16" xfId="4" applyFont="1" applyBorder="1" applyAlignment="1">
      <alignment horizontal="center" vertical="center"/>
    </xf>
    <xf numFmtId="0" fontId="26" fillId="0" borderId="16" xfId="4" applyFont="1" applyBorder="1" applyAlignment="1">
      <alignment vertical="center"/>
    </xf>
    <xf numFmtId="0" fontId="26" fillId="0" borderId="16" xfId="4" applyFont="1" applyBorder="1"/>
    <xf numFmtId="0" fontId="33" fillId="0" borderId="0" xfId="4" applyFont="1"/>
    <xf numFmtId="0" fontId="34" fillId="0" borderId="0" xfId="4" applyFont="1"/>
    <xf numFmtId="0" fontId="35" fillId="0" borderId="0" xfId="3" applyNumberFormat="1" applyFont="1" applyFill="1" applyBorder="1" applyAlignment="1" applyProtection="1">
      <alignment vertical="center"/>
    </xf>
    <xf numFmtId="0" fontId="35" fillId="0" borderId="0" xfId="3" applyNumberFormat="1" applyFont="1" applyFill="1" applyAlignment="1">
      <alignment vertical="center"/>
    </xf>
    <xf numFmtId="0" fontId="33" fillId="0" borderId="0" xfId="0" applyFont="1" applyAlignment="1">
      <alignment vertical="center"/>
    </xf>
    <xf numFmtId="0" fontId="26" fillId="2" borderId="16" xfId="2" applyFont="1" applyFill="1" applyBorder="1" applyAlignment="1">
      <alignment vertical="center"/>
    </xf>
    <xf numFmtId="0" fontId="35" fillId="0" borderId="0" xfId="4" applyFont="1" applyAlignment="1">
      <alignment horizontal="left" vertical="center"/>
    </xf>
    <xf numFmtId="0" fontId="34" fillId="0" borderId="0" xfId="4" applyFont="1" applyAlignment="1">
      <alignment horizontal="center" vertical="center"/>
    </xf>
    <xf numFmtId="169" fontId="34" fillId="0" borderId="1" xfId="4" applyNumberFormat="1" applyFont="1" applyBorder="1" applyAlignment="1">
      <alignment horizontal="center" vertical="center"/>
    </xf>
    <xf numFmtId="0" fontId="34" fillId="0" borderId="1" xfId="4" applyFont="1" applyBorder="1" applyAlignment="1">
      <alignment horizontal="center" vertical="center"/>
    </xf>
    <xf numFmtId="0" fontId="34" fillId="0" borderId="11" xfId="4" applyFont="1" applyBorder="1" applyAlignment="1">
      <alignment horizontal="center" vertical="center"/>
    </xf>
    <xf numFmtId="0" fontId="24" fillId="0" borderId="0" xfId="4" applyFont="1" applyAlignment="1">
      <alignment horizontal="left" vertical="center"/>
    </xf>
    <xf numFmtId="0" fontId="33" fillId="0" borderId="0" xfId="4" applyFont="1" applyAlignment="1">
      <alignment vertical="center"/>
    </xf>
    <xf numFmtId="0" fontId="34" fillId="0" borderId="0" xfId="4" applyFont="1" applyAlignment="1">
      <alignment vertical="center"/>
    </xf>
    <xf numFmtId="0" fontId="33" fillId="2" borderId="0" xfId="2" applyFont="1" applyFill="1" applyAlignment="1">
      <alignment horizontal="left" vertical="center"/>
    </xf>
    <xf numFmtId="0" fontId="33" fillId="0" borderId="0" xfId="4" applyFont="1" applyAlignment="1">
      <alignment horizontal="right" vertical="center"/>
    </xf>
    <xf numFmtId="0" fontId="36" fillId="0" borderId="1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5" fillId="0" borderId="0" xfId="3" applyNumberFormat="1" applyFont="1" applyAlignment="1">
      <alignment vertical="center"/>
    </xf>
    <xf numFmtId="0" fontId="35" fillId="0" borderId="0" xfId="4" applyFont="1" applyAlignment="1">
      <alignment vertical="center"/>
    </xf>
    <xf numFmtId="0" fontId="34" fillId="0" borderId="11" xfId="4" applyFont="1" applyBorder="1" applyAlignment="1">
      <alignment vertical="center"/>
    </xf>
    <xf numFmtId="0" fontId="33" fillId="0" borderId="0" xfId="4" applyFont="1" applyAlignment="1">
      <alignment horizontal="left" vertical="center"/>
    </xf>
    <xf numFmtId="0" fontId="37" fillId="0" borderId="1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0" fontId="37" fillId="0" borderId="16" xfId="0" applyFont="1" applyBorder="1" applyAlignment="1">
      <alignment vertical="top"/>
    </xf>
    <xf numFmtId="0" fontId="36" fillId="0" borderId="16" xfId="0" applyFont="1" applyBorder="1" applyAlignment="1">
      <alignment vertical="top"/>
    </xf>
    <xf numFmtId="0" fontId="36" fillId="0" borderId="0" xfId="0" applyFont="1" applyAlignment="1">
      <alignment vertical="top"/>
    </xf>
    <xf numFmtId="0" fontId="36" fillId="0" borderId="12" xfId="0" quotePrefix="1" applyFont="1" applyBorder="1" applyAlignment="1">
      <alignment horizontal="center" vertical="center" wrapText="1"/>
    </xf>
    <xf numFmtId="0" fontId="36" fillId="0" borderId="12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top" wrapText="1"/>
    </xf>
    <xf numFmtId="0" fontId="34" fillId="2" borderId="0" xfId="2" applyFont="1" applyFill="1" applyAlignment="1">
      <alignment vertical="center"/>
    </xf>
    <xf numFmtId="0" fontId="34" fillId="2" borderId="16" xfId="2" applyFont="1" applyFill="1" applyBorder="1" applyAlignment="1">
      <alignment vertical="center"/>
    </xf>
    <xf numFmtId="0" fontId="34" fillId="2" borderId="12" xfId="2" quotePrefix="1" applyFont="1" applyFill="1" applyBorder="1" applyAlignment="1">
      <alignment horizontal="center" vertical="center" wrapText="1"/>
    </xf>
    <xf numFmtId="0" fontId="34" fillId="2" borderId="12" xfId="2" applyFont="1" applyFill="1" applyBorder="1" applyAlignment="1">
      <alignment vertical="center" wrapText="1"/>
    </xf>
    <xf numFmtId="0" fontId="34" fillId="2" borderId="0" xfId="2" applyFont="1" applyFill="1" applyAlignment="1">
      <alignment vertical="center" wrapText="1"/>
    </xf>
    <xf numFmtId="0" fontId="36" fillId="0" borderId="12" xfId="0" applyFont="1" applyBorder="1" applyAlignment="1">
      <alignment horizontal="center" vertical="center" wrapText="1"/>
    </xf>
    <xf numFmtId="0" fontId="33" fillId="2" borderId="0" xfId="2" applyFont="1" applyFill="1" applyAlignment="1">
      <alignment vertical="center"/>
    </xf>
    <xf numFmtId="0" fontId="33" fillId="2" borderId="0" xfId="2" applyFont="1" applyFill="1" applyAlignment="1">
      <alignment horizontal="right" vertical="center"/>
    </xf>
    <xf numFmtId="0" fontId="34" fillId="2" borderId="0" xfId="2" applyFont="1" applyFill="1" applyAlignment="1">
      <alignment horizontal="center" vertical="center"/>
    </xf>
    <xf numFmtId="0" fontId="38" fillId="0" borderId="0" xfId="3" applyNumberFormat="1" applyFont="1" applyFill="1" applyBorder="1" applyAlignment="1" applyProtection="1">
      <alignment vertical="center"/>
    </xf>
    <xf numFmtId="0" fontId="33" fillId="2" borderId="0" xfId="2" applyFont="1" applyFill="1" applyAlignment="1">
      <alignment horizontal="left" vertical="center" indent="1"/>
    </xf>
    <xf numFmtId="0" fontId="34" fillId="2" borderId="0" xfId="2" applyFont="1" applyFill="1" applyAlignment="1">
      <alignment horizontal="left" vertical="top" wrapText="1" indent="2"/>
    </xf>
    <xf numFmtId="0" fontId="34" fillId="2" borderId="0" xfId="2" applyFont="1" applyFill="1" applyAlignment="1">
      <alignment horizontal="left" vertical="top" wrapText="1"/>
    </xf>
    <xf numFmtId="0" fontId="34" fillId="2" borderId="0" xfId="2" applyFont="1" applyFill="1" applyAlignment="1">
      <alignment horizontal="left" vertical="center" indent="2"/>
    </xf>
    <xf numFmtId="0" fontId="34" fillId="2" borderId="0" xfId="2" applyFont="1" applyFill="1" applyAlignment="1">
      <alignment horizontal="left" vertical="center" wrapText="1" indent="2"/>
    </xf>
    <xf numFmtId="0" fontId="37" fillId="0" borderId="15" xfId="2" applyFont="1" applyBorder="1" applyAlignment="1">
      <alignment horizontal="center" vertical="center"/>
    </xf>
    <xf numFmtId="0" fontId="34" fillId="2" borderId="12" xfId="2" applyFont="1" applyFill="1" applyBorder="1" applyAlignment="1">
      <alignment vertical="center"/>
    </xf>
    <xf numFmtId="165" fontId="34" fillId="2" borderId="12" xfId="1" applyNumberFormat="1" applyFont="1" applyFill="1" applyBorder="1" applyAlignment="1">
      <alignment horizontal="center" vertical="center"/>
    </xf>
    <xf numFmtId="165" fontId="34" fillId="2" borderId="12" xfId="1" applyNumberFormat="1" applyFont="1" applyFill="1" applyBorder="1" applyAlignment="1">
      <alignment horizontal="right" vertical="center"/>
    </xf>
    <xf numFmtId="9" fontId="34" fillId="2" borderId="12" xfId="74" applyFont="1" applyFill="1" applyBorder="1" applyAlignment="1">
      <alignment horizontal="center" vertical="center"/>
    </xf>
    <xf numFmtId="0" fontId="34" fillId="2" borderId="0" xfId="2" applyFont="1" applyFill="1" applyAlignment="1">
      <alignment vertical="top"/>
    </xf>
    <xf numFmtId="165" fontId="34" fillId="2" borderId="16" xfId="1" applyNumberFormat="1" applyFont="1" applyFill="1" applyBorder="1" applyAlignment="1">
      <alignment horizontal="right" vertical="center"/>
    </xf>
    <xf numFmtId="9" fontId="34" fillId="2" borderId="16" xfId="74" applyFont="1" applyFill="1" applyBorder="1" applyAlignment="1">
      <alignment horizontal="center" vertical="center"/>
    </xf>
    <xf numFmtId="0" fontId="35" fillId="0" borderId="0" xfId="3" applyNumberFormat="1" applyFont="1" applyBorder="1" applyAlignment="1">
      <alignment vertical="center"/>
    </xf>
    <xf numFmtId="0" fontId="37" fillId="0" borderId="17" xfId="2" applyFont="1" applyBorder="1" applyAlignment="1">
      <alignment horizontal="center" vertical="center" wrapText="1"/>
    </xf>
    <xf numFmtId="0" fontId="34" fillId="2" borderId="0" xfId="2" applyFont="1" applyFill="1" applyAlignment="1">
      <alignment horizontal="left" vertical="center" indent="1"/>
    </xf>
    <xf numFmtId="0" fontId="33" fillId="2" borderId="18" xfId="2" applyFont="1" applyFill="1" applyBorder="1" applyAlignment="1">
      <alignment horizontal="left" vertical="center" indent="1"/>
    </xf>
    <xf numFmtId="0" fontId="34" fillId="0" borderId="18" xfId="3" applyNumberFormat="1" applyFont="1" applyFill="1" applyBorder="1" applyAlignment="1">
      <alignment horizontal="left" vertical="center" indent="3"/>
    </xf>
    <xf numFmtId="0" fontId="34" fillId="2" borderId="18" xfId="2" applyFont="1" applyFill="1" applyBorder="1" applyAlignment="1">
      <alignment horizontal="left" vertical="center" indent="3"/>
    </xf>
    <xf numFmtId="0" fontId="34" fillId="2" borderId="18" xfId="2" applyFont="1" applyFill="1" applyBorder="1" applyAlignment="1">
      <alignment horizontal="left" vertical="center" indent="1"/>
    </xf>
    <xf numFmtId="0" fontId="33" fillId="2" borderId="18" xfId="2" applyFont="1" applyFill="1" applyBorder="1" applyAlignment="1">
      <alignment horizontal="center" vertical="center"/>
    </xf>
    <xf numFmtId="0" fontId="34" fillId="2" borderId="18" xfId="2" applyFont="1" applyFill="1" applyBorder="1" applyAlignment="1">
      <alignment vertical="center"/>
    </xf>
    <xf numFmtId="0" fontId="37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6" fillId="25" borderId="0" xfId="0" applyFont="1" applyFill="1" applyAlignment="1">
      <alignment horizontal="left" vertical="top"/>
    </xf>
    <xf numFmtId="0" fontId="29" fillId="2" borderId="0" xfId="2" applyFont="1" applyFill="1" applyAlignment="1">
      <alignment horizontal="left" vertical="center"/>
    </xf>
    <xf numFmtId="0" fontId="27" fillId="25" borderId="0" xfId="0" applyFont="1" applyFill="1" applyAlignment="1">
      <alignment vertical="top"/>
    </xf>
    <xf numFmtId="165" fontId="26" fillId="2" borderId="16" xfId="1" applyNumberFormat="1" applyFont="1" applyFill="1" applyBorder="1" applyAlignment="1">
      <alignment horizontal="right" vertical="center"/>
    </xf>
    <xf numFmtId="9" fontId="26" fillId="2" borderId="16" xfId="74" applyFont="1" applyFill="1" applyBorder="1" applyAlignment="1">
      <alignment horizontal="center" vertical="center"/>
    </xf>
    <xf numFmtId="0" fontId="28" fillId="0" borderId="0" xfId="3" applyNumberFormat="1" applyFont="1" applyBorder="1" applyAlignment="1">
      <alignment vertical="center"/>
    </xf>
    <xf numFmtId="0" fontId="30" fillId="0" borderId="17" xfId="2" applyFont="1" applyBorder="1" applyAlignment="1">
      <alignment horizontal="center" vertical="center" wrapText="1"/>
    </xf>
    <xf numFmtId="0" fontId="26" fillId="2" borderId="0" xfId="2" applyFont="1" applyFill="1" applyAlignment="1">
      <alignment horizontal="center" vertical="center"/>
    </xf>
    <xf numFmtId="0" fontId="26" fillId="2" borderId="18" xfId="2" applyFont="1" applyFill="1" applyBorder="1" applyAlignment="1">
      <alignment horizontal="left" vertical="center" indent="1"/>
    </xf>
    <xf numFmtId="0" fontId="26" fillId="2" borderId="18" xfId="2" applyFont="1" applyFill="1" applyBorder="1" applyAlignment="1">
      <alignment horizontal="left" vertical="center" indent="3"/>
    </xf>
    <xf numFmtId="0" fontId="26" fillId="2" borderId="18" xfId="2" applyFont="1" applyFill="1" applyBorder="1" applyAlignment="1">
      <alignment horizontal="left" vertical="center" indent="2"/>
    </xf>
    <xf numFmtId="0" fontId="29" fillId="2" borderId="18" xfId="2" applyFont="1" applyFill="1" applyBorder="1" applyAlignment="1">
      <alignment horizontal="center" vertical="center"/>
    </xf>
    <xf numFmtId="0" fontId="26" fillId="2" borderId="18" xfId="2" applyFont="1" applyFill="1" applyBorder="1" applyAlignment="1">
      <alignment vertical="center"/>
    </xf>
    <xf numFmtId="165" fontId="29" fillId="2" borderId="16" xfId="1" applyNumberFormat="1" applyFont="1" applyFill="1" applyBorder="1" applyAlignment="1">
      <alignment horizontal="right" vertical="center"/>
    </xf>
    <xf numFmtId="0" fontId="26" fillId="2" borderId="19" xfId="2" applyFont="1" applyFill="1" applyBorder="1" applyAlignment="1">
      <alignment vertical="center"/>
    </xf>
    <xf numFmtId="165" fontId="29" fillId="2" borderId="19" xfId="1" applyNumberFormat="1" applyFont="1" applyFill="1" applyBorder="1" applyAlignment="1">
      <alignment horizontal="right" vertical="center"/>
    </xf>
    <xf numFmtId="165" fontId="26" fillId="2" borderId="19" xfId="1" applyNumberFormat="1" applyFont="1" applyFill="1" applyBorder="1" applyAlignment="1">
      <alignment horizontal="right" vertical="center"/>
    </xf>
    <xf numFmtId="0" fontId="27" fillId="0" borderId="19" xfId="0" quotePrefix="1" applyFont="1" applyBorder="1" applyAlignment="1">
      <alignment horizontal="center" vertical="center" wrapText="1"/>
    </xf>
    <xf numFmtId="0" fontId="27" fillId="0" borderId="19" xfId="0" applyFont="1" applyBorder="1" applyAlignment="1">
      <alignment vertical="center"/>
    </xf>
    <xf numFmtId="0" fontId="29" fillId="0" borderId="0" xfId="4" applyFont="1" applyAlignment="1">
      <alignment horizontal="left"/>
    </xf>
    <xf numFmtId="0" fontId="35" fillId="0" borderId="0" xfId="3" applyNumberFormat="1" applyFont="1" applyFill="1" applyBorder="1" applyAlignment="1">
      <alignment vertical="center"/>
    </xf>
    <xf numFmtId="0" fontId="30" fillId="0" borderId="17" xfId="4" applyFont="1" applyBorder="1" applyAlignment="1">
      <alignment horizontal="center" vertical="center"/>
    </xf>
    <xf numFmtId="0" fontId="26" fillId="0" borderId="18" xfId="4" applyFont="1" applyBorder="1" applyAlignment="1">
      <alignment vertical="center"/>
    </xf>
    <xf numFmtId="0" fontId="26" fillId="0" borderId="18" xfId="4" applyFont="1" applyBorder="1" applyAlignment="1">
      <alignment horizontal="left" vertical="center"/>
    </xf>
    <xf numFmtId="0" fontId="28" fillId="0" borderId="0" xfId="3" applyNumberFormat="1" applyFont="1" applyBorder="1" applyAlignment="1">
      <alignment horizontal="center" vertical="center"/>
    </xf>
    <xf numFmtId="0" fontId="29" fillId="0" borderId="0" xfId="3" applyNumberFormat="1" applyFont="1" applyBorder="1" applyAlignment="1">
      <alignment horizontal="center" vertical="center"/>
    </xf>
    <xf numFmtId="0" fontId="30" fillId="0" borderId="17" xfId="4" applyFont="1" applyBorder="1" applyAlignment="1">
      <alignment horizontal="center" vertical="center" wrapText="1"/>
    </xf>
    <xf numFmtId="0" fontId="26" fillId="0" borderId="18" xfId="4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0" fontId="37" fillId="0" borderId="15" xfId="0" quotePrefix="1" applyFont="1" applyBorder="1" applyAlignment="1">
      <alignment horizontal="center" vertical="center" wrapText="1"/>
    </xf>
    <xf numFmtId="0" fontId="37" fillId="0" borderId="15" xfId="2" applyFont="1" applyBorder="1" applyAlignment="1">
      <alignment horizontal="center" vertical="center" wrapText="1"/>
    </xf>
    <xf numFmtId="0" fontId="34" fillId="2" borderId="12" xfId="2" applyFont="1" applyFill="1" applyBorder="1" applyAlignment="1">
      <alignment horizontal="left" vertical="center" indent="3"/>
    </xf>
    <xf numFmtId="0" fontId="34" fillId="2" borderId="16" xfId="2" applyFont="1" applyFill="1" applyBorder="1" applyAlignment="1">
      <alignment horizontal="left" vertical="center" indent="1"/>
    </xf>
    <xf numFmtId="0" fontId="33" fillId="2" borderId="12" xfId="2" applyFont="1" applyFill="1" applyBorder="1" applyAlignment="1">
      <alignment horizontal="left" vertical="center" indent="1"/>
    </xf>
    <xf numFmtId="0" fontId="34" fillId="0" borderId="12" xfId="3" applyNumberFormat="1" applyFont="1" applyFill="1" applyBorder="1" applyAlignment="1">
      <alignment horizontal="left" vertical="center" indent="3"/>
    </xf>
    <xf numFmtId="0" fontId="34" fillId="2" borderId="12" xfId="2" quotePrefix="1" applyFont="1" applyFill="1" applyBorder="1" applyAlignment="1">
      <alignment horizontal="left" vertical="center" indent="3"/>
    </xf>
    <xf numFmtId="0" fontId="33" fillId="2" borderId="12" xfId="2" applyFont="1" applyFill="1" applyBorder="1" applyAlignment="1">
      <alignment horizontal="center" vertical="center"/>
    </xf>
    <xf numFmtId="0" fontId="34" fillId="2" borderId="12" xfId="2" applyFont="1" applyFill="1" applyBorder="1" applyAlignment="1">
      <alignment horizontal="left" vertical="center" indent="1"/>
    </xf>
    <xf numFmtId="0" fontId="30" fillId="0" borderId="15" xfId="2" applyFont="1" applyBorder="1" applyAlignment="1">
      <alignment horizontal="center" vertical="center" wrapText="1"/>
    </xf>
    <xf numFmtId="0" fontId="26" fillId="2" borderId="12" xfId="2" applyFont="1" applyFill="1" applyBorder="1" applyAlignment="1">
      <alignment horizontal="left" vertical="center" indent="3"/>
    </xf>
    <xf numFmtId="0" fontId="26" fillId="2" borderId="16" xfId="2" applyFont="1" applyFill="1" applyBorder="1" applyAlignment="1">
      <alignment horizontal="center" vertical="center"/>
    </xf>
    <xf numFmtId="0" fontId="29" fillId="2" borderId="12" xfId="2" applyFont="1" applyFill="1" applyBorder="1" applyAlignment="1">
      <alignment horizontal="center" vertical="center"/>
    </xf>
    <xf numFmtId="0" fontId="26" fillId="2" borderId="12" xfId="2" applyFont="1" applyFill="1" applyBorder="1" applyAlignment="1">
      <alignment horizontal="left" vertical="center" indent="1"/>
    </xf>
    <xf numFmtId="0" fontId="26" fillId="2" borderId="12" xfId="2" applyFont="1" applyFill="1" applyBorder="1" applyAlignment="1">
      <alignment horizontal="left" vertical="center" indent="2"/>
    </xf>
    <xf numFmtId="0" fontId="26" fillId="0" borderId="12" xfId="3" applyNumberFormat="1" applyFont="1" applyFill="1" applyBorder="1" applyAlignment="1">
      <alignment horizontal="left" vertical="center" indent="3"/>
    </xf>
    <xf numFmtId="0" fontId="30" fillId="0" borderId="15" xfId="2" applyFont="1" applyBorder="1" applyAlignment="1">
      <alignment horizontal="center" vertical="center"/>
    </xf>
    <xf numFmtId="0" fontId="26" fillId="2" borderId="13" xfId="2" applyFont="1" applyFill="1" applyBorder="1" applyAlignment="1">
      <alignment horizontal="center" vertical="center"/>
    </xf>
    <xf numFmtId="0" fontId="26" fillId="2" borderId="14" xfId="2" applyFont="1" applyFill="1" applyBorder="1" applyAlignment="1">
      <alignment horizontal="center" vertical="center"/>
    </xf>
    <xf numFmtId="0" fontId="30" fillId="0" borderId="15" xfId="0" quotePrefix="1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top"/>
    </xf>
    <xf numFmtId="0" fontId="34" fillId="2" borderId="0" xfId="2" applyFont="1" applyFill="1" applyAlignment="1">
      <alignment horizontal="left" vertical="top" indent="2"/>
    </xf>
    <xf numFmtId="0" fontId="27" fillId="25" borderId="0" xfId="0" applyFont="1" applyFill="1" applyAlignment="1">
      <alignment horizontal="left" vertical="top" indent="1"/>
    </xf>
    <xf numFmtId="0" fontId="27" fillId="25" borderId="0" xfId="0" applyFont="1" applyFill="1" applyAlignment="1">
      <alignment horizontal="left" vertical="top" indent="3"/>
    </xf>
    <xf numFmtId="0" fontId="27" fillId="25" borderId="0" xfId="0" quotePrefix="1" applyFont="1" applyFill="1" applyAlignment="1">
      <alignment horizontal="left" vertical="top" indent="3"/>
    </xf>
    <xf numFmtId="0" fontId="34" fillId="0" borderId="0" xfId="4" applyFont="1" applyBorder="1" applyAlignment="1">
      <alignment vertical="center"/>
    </xf>
    <xf numFmtId="0" fontId="24" fillId="0" borderId="0" xfId="4" applyFont="1" applyAlignment="1">
      <alignment vertical="center"/>
    </xf>
    <xf numFmtId="0" fontId="24" fillId="2" borderId="0" xfId="2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6" fillId="0" borderId="0" xfId="0" quotePrefix="1" applyFont="1" applyBorder="1" applyAlignment="1">
      <alignment horizontal="center" vertical="top" wrapText="1"/>
    </xf>
    <xf numFmtId="0" fontId="36" fillId="0" borderId="0" xfId="0" applyFont="1" applyBorder="1" applyAlignment="1">
      <alignment vertical="justify" wrapText="1"/>
    </xf>
    <xf numFmtId="0" fontId="36" fillId="0" borderId="0" xfId="0" applyFont="1" applyBorder="1" applyAlignment="1">
      <alignment vertical="top" wrapText="1"/>
    </xf>
    <xf numFmtId="0" fontId="26" fillId="0" borderId="0" xfId="4" applyFont="1" applyBorder="1" applyAlignment="1">
      <alignment vertical="center"/>
    </xf>
    <xf numFmtId="0" fontId="34" fillId="2" borderId="0" xfId="2" applyFont="1" applyFill="1" applyBorder="1" applyAlignment="1">
      <alignment vertical="center"/>
    </xf>
    <xf numFmtId="0" fontId="33" fillId="2" borderId="0" xfId="2" applyFont="1" applyFill="1" applyBorder="1" applyAlignment="1">
      <alignment vertical="center"/>
    </xf>
    <xf numFmtId="0" fontId="33" fillId="2" borderId="0" xfId="2" applyFont="1" applyFill="1" applyBorder="1" applyAlignment="1">
      <alignment horizontal="center" vertical="center"/>
    </xf>
    <xf numFmtId="0" fontId="33" fillId="2" borderId="0" xfId="2" applyFont="1" applyFill="1" applyBorder="1" applyAlignment="1">
      <alignment horizontal="left" vertical="center"/>
    </xf>
    <xf numFmtId="0" fontId="35" fillId="0" borderId="0" xfId="4" applyFont="1" applyBorder="1" applyAlignment="1">
      <alignment vertical="center"/>
    </xf>
    <xf numFmtId="0" fontId="34" fillId="2" borderId="0" xfId="2" applyFont="1" applyFill="1" applyBorder="1" applyAlignment="1">
      <alignment vertical="top"/>
    </xf>
    <xf numFmtId="0" fontId="34" fillId="2" borderId="0" xfId="2" applyFont="1" applyFill="1" applyBorder="1" applyAlignment="1">
      <alignment horizontal="left" vertical="top" wrapText="1" indent="2"/>
    </xf>
    <xf numFmtId="0" fontId="34" fillId="2" borderId="0" xfId="2" applyFont="1" applyFill="1" applyBorder="1" applyAlignment="1">
      <alignment horizontal="left" vertical="top" wrapText="1"/>
    </xf>
    <xf numFmtId="0" fontId="37" fillId="0" borderId="0" xfId="2" applyFont="1" applyBorder="1" applyAlignment="1">
      <alignment horizontal="center" vertical="center"/>
    </xf>
    <xf numFmtId="9" fontId="34" fillId="2" borderId="0" xfId="74" applyFont="1" applyFill="1" applyBorder="1" applyAlignment="1">
      <alignment horizontal="center" vertical="center"/>
    </xf>
    <xf numFmtId="165" fontId="34" fillId="2" borderId="0" xfId="1" applyNumberFormat="1" applyFont="1" applyFill="1" applyBorder="1" applyAlignment="1">
      <alignment horizontal="right"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R40"/>
  <sheetViews>
    <sheetView showGridLines="0" topLeftCell="A9" zoomScaleSheetLayoutView="100" workbookViewId="0">
      <selection activeCell="C19" sqref="C19"/>
    </sheetView>
  </sheetViews>
  <sheetFormatPr defaultColWidth="0" defaultRowHeight="16.5" zeroHeight="1" x14ac:dyDescent="0.25"/>
  <cols>
    <col min="1" max="1" width="1.28515625" style="8" customWidth="1"/>
    <col min="2" max="2" width="8.42578125" style="8" customWidth="1"/>
    <col min="3" max="3" width="0.5703125" style="8" customWidth="1"/>
    <col min="4" max="4" width="44" style="8" customWidth="1"/>
    <col min="5" max="5" width="0.5703125" style="8" customWidth="1"/>
    <col min="6" max="6" width="12.140625" style="13" customWidth="1"/>
    <col min="7" max="7" width="0.5703125" style="13" customWidth="1"/>
    <col min="8" max="8" width="14.5703125" style="8" bestFit="1" customWidth="1"/>
    <col min="9" max="9" width="0.5703125" style="8" customWidth="1"/>
    <col min="10" max="10" width="18.85546875" style="8" customWidth="1"/>
    <col min="11" max="11" width="1.42578125" style="8" customWidth="1"/>
    <col min="12" max="257" width="10.42578125" style="8" hidden="1"/>
    <col min="258" max="258" width="8.42578125" style="8" hidden="1"/>
    <col min="259" max="260" width="12.85546875" style="8" hidden="1"/>
    <col min="261" max="261" width="9.7109375" style="8" hidden="1"/>
    <col min="262" max="262" width="7.28515625" style="8" hidden="1"/>
    <col min="263" max="263" width="8.140625" style="8" hidden="1"/>
    <col min="264" max="264" width="12.85546875" style="8" hidden="1"/>
    <col min="265" max="266" width="13.28515625" style="8" hidden="1"/>
    <col min="267" max="513" width="10.42578125" style="8" hidden="1"/>
    <col min="514" max="514" width="8.42578125" style="8" hidden="1"/>
    <col min="515" max="516" width="12.85546875" style="8" hidden="1"/>
    <col min="517" max="517" width="9.7109375" style="8" hidden="1"/>
    <col min="518" max="518" width="7.28515625" style="8" hidden="1"/>
    <col min="519" max="519" width="8.140625" style="8" hidden="1"/>
    <col min="520" max="520" width="12.85546875" style="8" hidden="1"/>
    <col min="521" max="522" width="13.28515625" style="8" hidden="1"/>
    <col min="523" max="769" width="10.42578125" style="8" hidden="1"/>
    <col min="770" max="770" width="8.42578125" style="8" hidden="1"/>
    <col min="771" max="772" width="12.85546875" style="8" hidden="1"/>
    <col min="773" max="773" width="9.7109375" style="8" hidden="1"/>
    <col min="774" max="774" width="7.28515625" style="8" hidden="1"/>
    <col min="775" max="775" width="8.140625" style="8" hidden="1"/>
    <col min="776" max="776" width="12.85546875" style="8" hidden="1"/>
    <col min="777" max="778" width="13.28515625" style="8" hidden="1"/>
    <col min="779" max="1025" width="10.42578125" style="8" hidden="1"/>
    <col min="1026" max="1026" width="8.42578125" style="8" hidden="1"/>
    <col min="1027" max="1028" width="12.85546875" style="8" hidden="1"/>
    <col min="1029" max="1029" width="9.7109375" style="8" hidden="1"/>
    <col min="1030" max="1030" width="7.28515625" style="8" hidden="1"/>
    <col min="1031" max="1031" width="8.140625" style="8" hidden="1"/>
    <col min="1032" max="1032" width="12.85546875" style="8" hidden="1"/>
    <col min="1033" max="1034" width="13.28515625" style="8" hidden="1"/>
    <col min="1035" max="1281" width="10.42578125" style="8" hidden="1"/>
    <col min="1282" max="1282" width="8.42578125" style="8" hidden="1"/>
    <col min="1283" max="1284" width="12.85546875" style="8" hidden="1"/>
    <col min="1285" max="1285" width="9.7109375" style="8" hidden="1"/>
    <col min="1286" max="1286" width="7.28515625" style="8" hidden="1"/>
    <col min="1287" max="1287" width="8.140625" style="8" hidden="1"/>
    <col min="1288" max="1288" width="12.85546875" style="8" hidden="1"/>
    <col min="1289" max="1290" width="13.28515625" style="8" hidden="1"/>
    <col min="1291" max="1537" width="10.42578125" style="8" hidden="1"/>
    <col min="1538" max="1538" width="8.42578125" style="8" hidden="1"/>
    <col min="1539" max="1540" width="12.85546875" style="8" hidden="1"/>
    <col min="1541" max="1541" width="9.7109375" style="8" hidden="1"/>
    <col min="1542" max="1542" width="7.28515625" style="8" hidden="1"/>
    <col min="1543" max="1543" width="8.140625" style="8" hidden="1"/>
    <col min="1544" max="1544" width="12.85546875" style="8" hidden="1"/>
    <col min="1545" max="1546" width="13.28515625" style="8" hidden="1"/>
    <col min="1547" max="1793" width="10.42578125" style="8" hidden="1"/>
    <col min="1794" max="1794" width="8.42578125" style="8" hidden="1"/>
    <col min="1795" max="1796" width="12.85546875" style="8" hidden="1"/>
    <col min="1797" max="1797" width="9.7109375" style="8" hidden="1"/>
    <col min="1798" max="1798" width="7.28515625" style="8" hidden="1"/>
    <col min="1799" max="1799" width="8.140625" style="8" hidden="1"/>
    <col min="1800" max="1800" width="12.85546875" style="8" hidden="1"/>
    <col min="1801" max="1802" width="13.28515625" style="8" hidden="1"/>
    <col min="1803" max="2049" width="10.42578125" style="8" hidden="1"/>
    <col min="2050" max="2050" width="8.42578125" style="8" hidden="1"/>
    <col min="2051" max="2052" width="12.85546875" style="8" hidden="1"/>
    <col min="2053" max="2053" width="9.7109375" style="8" hidden="1"/>
    <col min="2054" max="2054" width="7.28515625" style="8" hidden="1"/>
    <col min="2055" max="2055" width="8.140625" style="8" hidden="1"/>
    <col min="2056" max="2056" width="12.85546875" style="8" hidden="1"/>
    <col min="2057" max="2058" width="13.28515625" style="8" hidden="1"/>
    <col min="2059" max="2305" width="10.42578125" style="8" hidden="1"/>
    <col min="2306" max="2306" width="8.42578125" style="8" hidden="1"/>
    <col min="2307" max="2308" width="12.85546875" style="8" hidden="1"/>
    <col min="2309" max="2309" width="9.7109375" style="8" hidden="1"/>
    <col min="2310" max="2310" width="7.28515625" style="8" hidden="1"/>
    <col min="2311" max="2311" width="8.140625" style="8" hidden="1"/>
    <col min="2312" max="2312" width="12.85546875" style="8" hidden="1"/>
    <col min="2313" max="2314" width="13.28515625" style="8" hidden="1"/>
    <col min="2315" max="2561" width="10.42578125" style="8" hidden="1"/>
    <col min="2562" max="2562" width="8.42578125" style="8" hidden="1"/>
    <col min="2563" max="2564" width="12.85546875" style="8" hidden="1"/>
    <col min="2565" max="2565" width="9.7109375" style="8" hidden="1"/>
    <col min="2566" max="2566" width="7.28515625" style="8" hidden="1"/>
    <col min="2567" max="2567" width="8.140625" style="8" hidden="1"/>
    <col min="2568" max="2568" width="12.85546875" style="8" hidden="1"/>
    <col min="2569" max="2570" width="13.28515625" style="8" hidden="1"/>
    <col min="2571" max="2817" width="10.42578125" style="8" hidden="1"/>
    <col min="2818" max="2818" width="8.42578125" style="8" hidden="1"/>
    <col min="2819" max="2820" width="12.85546875" style="8" hidden="1"/>
    <col min="2821" max="2821" width="9.7109375" style="8" hidden="1"/>
    <col min="2822" max="2822" width="7.28515625" style="8" hidden="1"/>
    <col min="2823" max="2823" width="8.140625" style="8" hidden="1"/>
    <col min="2824" max="2824" width="12.85546875" style="8" hidden="1"/>
    <col min="2825" max="2826" width="13.28515625" style="8" hidden="1"/>
    <col min="2827" max="3073" width="10.42578125" style="8" hidden="1"/>
    <col min="3074" max="3074" width="8.42578125" style="8" hidden="1"/>
    <col min="3075" max="3076" width="12.85546875" style="8" hidden="1"/>
    <col min="3077" max="3077" width="9.7109375" style="8" hidden="1"/>
    <col min="3078" max="3078" width="7.28515625" style="8" hidden="1"/>
    <col min="3079" max="3079" width="8.140625" style="8" hidden="1"/>
    <col min="3080" max="3080" width="12.85546875" style="8" hidden="1"/>
    <col min="3081" max="3082" width="13.28515625" style="8" hidden="1"/>
    <col min="3083" max="3329" width="10.42578125" style="8" hidden="1"/>
    <col min="3330" max="3330" width="8.42578125" style="8" hidden="1"/>
    <col min="3331" max="3332" width="12.85546875" style="8" hidden="1"/>
    <col min="3333" max="3333" width="9.7109375" style="8" hidden="1"/>
    <col min="3334" max="3334" width="7.28515625" style="8" hidden="1"/>
    <col min="3335" max="3335" width="8.140625" style="8" hidden="1"/>
    <col min="3336" max="3336" width="12.85546875" style="8" hidden="1"/>
    <col min="3337" max="3338" width="13.28515625" style="8" hidden="1"/>
    <col min="3339" max="3585" width="10.42578125" style="8" hidden="1"/>
    <col min="3586" max="3586" width="8.42578125" style="8" hidden="1"/>
    <col min="3587" max="3588" width="12.85546875" style="8" hidden="1"/>
    <col min="3589" max="3589" width="9.7109375" style="8" hidden="1"/>
    <col min="3590" max="3590" width="7.28515625" style="8" hidden="1"/>
    <col min="3591" max="3591" width="8.140625" style="8" hidden="1"/>
    <col min="3592" max="3592" width="12.85546875" style="8" hidden="1"/>
    <col min="3593" max="3594" width="13.28515625" style="8" hidden="1"/>
    <col min="3595" max="3841" width="10.42578125" style="8" hidden="1"/>
    <col min="3842" max="3842" width="8.42578125" style="8" hidden="1"/>
    <col min="3843" max="3844" width="12.85546875" style="8" hidden="1"/>
    <col min="3845" max="3845" width="9.7109375" style="8" hidden="1"/>
    <col min="3846" max="3846" width="7.28515625" style="8" hidden="1"/>
    <col min="3847" max="3847" width="8.140625" style="8" hidden="1"/>
    <col min="3848" max="3848" width="12.85546875" style="8" hidden="1"/>
    <col min="3849" max="3850" width="13.28515625" style="8" hidden="1"/>
    <col min="3851" max="4097" width="10.42578125" style="8" hidden="1"/>
    <col min="4098" max="4098" width="8.42578125" style="8" hidden="1"/>
    <col min="4099" max="4100" width="12.85546875" style="8" hidden="1"/>
    <col min="4101" max="4101" width="9.7109375" style="8" hidden="1"/>
    <col min="4102" max="4102" width="7.28515625" style="8" hidden="1"/>
    <col min="4103" max="4103" width="8.140625" style="8" hidden="1"/>
    <col min="4104" max="4104" width="12.85546875" style="8" hidden="1"/>
    <col min="4105" max="4106" width="13.28515625" style="8" hidden="1"/>
    <col min="4107" max="4353" width="10.42578125" style="8" hidden="1"/>
    <col min="4354" max="4354" width="8.42578125" style="8" hidden="1"/>
    <col min="4355" max="4356" width="12.85546875" style="8" hidden="1"/>
    <col min="4357" max="4357" width="9.7109375" style="8" hidden="1"/>
    <col min="4358" max="4358" width="7.28515625" style="8" hidden="1"/>
    <col min="4359" max="4359" width="8.140625" style="8" hidden="1"/>
    <col min="4360" max="4360" width="12.85546875" style="8" hidden="1"/>
    <col min="4361" max="4362" width="13.28515625" style="8" hidden="1"/>
    <col min="4363" max="4609" width="10.42578125" style="8" hidden="1"/>
    <col min="4610" max="4610" width="8.42578125" style="8" hidden="1"/>
    <col min="4611" max="4612" width="12.85546875" style="8" hidden="1"/>
    <col min="4613" max="4613" width="9.7109375" style="8" hidden="1"/>
    <col min="4614" max="4614" width="7.28515625" style="8" hidden="1"/>
    <col min="4615" max="4615" width="8.140625" style="8" hidden="1"/>
    <col min="4616" max="4616" width="12.85546875" style="8" hidden="1"/>
    <col min="4617" max="4618" width="13.28515625" style="8" hidden="1"/>
    <col min="4619" max="4865" width="10.42578125" style="8" hidden="1"/>
    <col min="4866" max="4866" width="8.42578125" style="8" hidden="1"/>
    <col min="4867" max="4868" width="12.85546875" style="8" hidden="1"/>
    <col min="4869" max="4869" width="9.7109375" style="8" hidden="1"/>
    <col min="4870" max="4870" width="7.28515625" style="8" hidden="1"/>
    <col min="4871" max="4871" width="8.140625" style="8" hidden="1"/>
    <col min="4872" max="4872" width="12.85546875" style="8" hidden="1"/>
    <col min="4873" max="4874" width="13.28515625" style="8" hidden="1"/>
    <col min="4875" max="5121" width="10.42578125" style="8" hidden="1"/>
    <col min="5122" max="5122" width="8.42578125" style="8" hidden="1"/>
    <col min="5123" max="5124" width="12.85546875" style="8" hidden="1"/>
    <col min="5125" max="5125" width="9.7109375" style="8" hidden="1"/>
    <col min="5126" max="5126" width="7.28515625" style="8" hidden="1"/>
    <col min="5127" max="5127" width="8.140625" style="8" hidden="1"/>
    <col min="5128" max="5128" width="12.85546875" style="8" hidden="1"/>
    <col min="5129" max="5130" width="13.28515625" style="8" hidden="1"/>
    <col min="5131" max="5377" width="10.42578125" style="8" hidden="1"/>
    <col min="5378" max="5378" width="8.42578125" style="8" hidden="1"/>
    <col min="5379" max="5380" width="12.85546875" style="8" hidden="1"/>
    <col min="5381" max="5381" width="9.7109375" style="8" hidden="1"/>
    <col min="5382" max="5382" width="7.28515625" style="8" hidden="1"/>
    <col min="5383" max="5383" width="8.140625" style="8" hidden="1"/>
    <col min="5384" max="5384" width="12.85546875" style="8" hidden="1"/>
    <col min="5385" max="5386" width="13.28515625" style="8" hidden="1"/>
    <col min="5387" max="5633" width="10.42578125" style="8" hidden="1"/>
    <col min="5634" max="5634" width="8.42578125" style="8" hidden="1"/>
    <col min="5635" max="5636" width="12.85546875" style="8" hidden="1"/>
    <col min="5637" max="5637" width="9.7109375" style="8" hidden="1"/>
    <col min="5638" max="5638" width="7.28515625" style="8" hidden="1"/>
    <col min="5639" max="5639" width="8.140625" style="8" hidden="1"/>
    <col min="5640" max="5640" width="12.85546875" style="8" hidden="1"/>
    <col min="5641" max="5642" width="13.28515625" style="8" hidden="1"/>
    <col min="5643" max="5889" width="10.42578125" style="8" hidden="1"/>
    <col min="5890" max="5890" width="8.42578125" style="8" hidden="1"/>
    <col min="5891" max="5892" width="12.85546875" style="8" hidden="1"/>
    <col min="5893" max="5893" width="9.7109375" style="8" hidden="1"/>
    <col min="5894" max="5894" width="7.28515625" style="8" hidden="1"/>
    <col min="5895" max="5895" width="8.140625" style="8" hidden="1"/>
    <col min="5896" max="5896" width="12.85546875" style="8" hidden="1"/>
    <col min="5897" max="5898" width="13.28515625" style="8" hidden="1"/>
    <col min="5899" max="6145" width="10.42578125" style="8" hidden="1"/>
    <col min="6146" max="6146" width="8.42578125" style="8" hidden="1"/>
    <col min="6147" max="6148" width="12.85546875" style="8" hidden="1"/>
    <col min="6149" max="6149" width="9.7109375" style="8" hidden="1"/>
    <col min="6150" max="6150" width="7.28515625" style="8" hidden="1"/>
    <col min="6151" max="6151" width="8.140625" style="8" hidden="1"/>
    <col min="6152" max="6152" width="12.85546875" style="8" hidden="1"/>
    <col min="6153" max="6154" width="13.28515625" style="8" hidden="1"/>
    <col min="6155" max="6401" width="10.42578125" style="8" hidden="1"/>
    <col min="6402" max="6402" width="8.42578125" style="8" hidden="1"/>
    <col min="6403" max="6404" width="12.85546875" style="8" hidden="1"/>
    <col min="6405" max="6405" width="9.7109375" style="8" hidden="1"/>
    <col min="6406" max="6406" width="7.28515625" style="8" hidden="1"/>
    <col min="6407" max="6407" width="8.140625" style="8" hidden="1"/>
    <col min="6408" max="6408" width="12.85546875" style="8" hidden="1"/>
    <col min="6409" max="6410" width="13.28515625" style="8" hidden="1"/>
    <col min="6411" max="6657" width="10.42578125" style="8" hidden="1"/>
    <col min="6658" max="6658" width="8.42578125" style="8" hidden="1"/>
    <col min="6659" max="6660" width="12.85546875" style="8" hidden="1"/>
    <col min="6661" max="6661" width="9.7109375" style="8" hidden="1"/>
    <col min="6662" max="6662" width="7.28515625" style="8" hidden="1"/>
    <col min="6663" max="6663" width="8.140625" style="8" hidden="1"/>
    <col min="6664" max="6664" width="12.85546875" style="8" hidden="1"/>
    <col min="6665" max="6666" width="13.28515625" style="8" hidden="1"/>
    <col min="6667" max="6913" width="10.42578125" style="8" hidden="1"/>
    <col min="6914" max="6914" width="8.42578125" style="8" hidden="1"/>
    <col min="6915" max="6916" width="12.85546875" style="8" hidden="1"/>
    <col min="6917" max="6917" width="9.7109375" style="8" hidden="1"/>
    <col min="6918" max="6918" width="7.28515625" style="8" hidden="1"/>
    <col min="6919" max="6919" width="8.140625" style="8" hidden="1"/>
    <col min="6920" max="6920" width="12.85546875" style="8" hidden="1"/>
    <col min="6921" max="6922" width="13.28515625" style="8" hidden="1"/>
    <col min="6923" max="7169" width="10.42578125" style="8" hidden="1"/>
    <col min="7170" max="7170" width="8.42578125" style="8" hidden="1"/>
    <col min="7171" max="7172" width="12.85546875" style="8" hidden="1"/>
    <col min="7173" max="7173" width="9.7109375" style="8" hidden="1"/>
    <col min="7174" max="7174" width="7.28515625" style="8" hidden="1"/>
    <col min="7175" max="7175" width="8.140625" style="8" hidden="1"/>
    <col min="7176" max="7176" width="12.85546875" style="8" hidden="1"/>
    <col min="7177" max="7178" width="13.28515625" style="8" hidden="1"/>
    <col min="7179" max="7425" width="10.42578125" style="8" hidden="1"/>
    <col min="7426" max="7426" width="8.42578125" style="8" hidden="1"/>
    <col min="7427" max="7428" width="12.85546875" style="8" hidden="1"/>
    <col min="7429" max="7429" width="9.7109375" style="8" hidden="1"/>
    <col min="7430" max="7430" width="7.28515625" style="8" hidden="1"/>
    <col min="7431" max="7431" width="8.140625" style="8" hidden="1"/>
    <col min="7432" max="7432" width="12.85546875" style="8" hidden="1"/>
    <col min="7433" max="7434" width="13.28515625" style="8" hidden="1"/>
    <col min="7435" max="7681" width="10.42578125" style="8" hidden="1"/>
    <col min="7682" max="7682" width="8.42578125" style="8" hidden="1"/>
    <col min="7683" max="7684" width="12.85546875" style="8" hidden="1"/>
    <col min="7685" max="7685" width="9.7109375" style="8" hidden="1"/>
    <col min="7686" max="7686" width="7.28515625" style="8" hidden="1"/>
    <col min="7687" max="7687" width="8.140625" style="8" hidden="1"/>
    <col min="7688" max="7688" width="12.85546875" style="8" hidden="1"/>
    <col min="7689" max="7690" width="13.28515625" style="8" hidden="1"/>
    <col min="7691" max="7937" width="10.42578125" style="8" hidden="1"/>
    <col min="7938" max="7938" width="8.42578125" style="8" hidden="1"/>
    <col min="7939" max="7940" width="12.85546875" style="8" hidden="1"/>
    <col min="7941" max="7941" width="9.7109375" style="8" hidden="1"/>
    <col min="7942" max="7942" width="7.28515625" style="8" hidden="1"/>
    <col min="7943" max="7943" width="8.140625" style="8" hidden="1"/>
    <col min="7944" max="7944" width="12.85546875" style="8" hidden="1"/>
    <col min="7945" max="7946" width="13.28515625" style="8" hidden="1"/>
    <col min="7947" max="8193" width="10.42578125" style="8" hidden="1"/>
    <col min="8194" max="8194" width="8.42578125" style="8" hidden="1"/>
    <col min="8195" max="8196" width="12.85546875" style="8" hidden="1"/>
    <col min="8197" max="8197" width="9.7109375" style="8" hidden="1"/>
    <col min="8198" max="8198" width="7.28515625" style="8" hidden="1"/>
    <col min="8199" max="8199" width="8.140625" style="8" hidden="1"/>
    <col min="8200" max="8200" width="12.85546875" style="8" hidden="1"/>
    <col min="8201" max="8202" width="13.28515625" style="8" hidden="1"/>
    <col min="8203" max="8449" width="10.42578125" style="8" hidden="1"/>
    <col min="8450" max="8450" width="8.42578125" style="8" hidden="1"/>
    <col min="8451" max="8452" width="12.85546875" style="8" hidden="1"/>
    <col min="8453" max="8453" width="9.7109375" style="8" hidden="1"/>
    <col min="8454" max="8454" width="7.28515625" style="8" hidden="1"/>
    <col min="8455" max="8455" width="8.140625" style="8" hidden="1"/>
    <col min="8456" max="8456" width="12.85546875" style="8" hidden="1"/>
    <col min="8457" max="8458" width="13.28515625" style="8" hidden="1"/>
    <col min="8459" max="8705" width="10.42578125" style="8" hidden="1"/>
    <col min="8706" max="8706" width="8.42578125" style="8" hidden="1"/>
    <col min="8707" max="8708" width="12.85546875" style="8" hidden="1"/>
    <col min="8709" max="8709" width="9.7109375" style="8" hidden="1"/>
    <col min="8710" max="8710" width="7.28515625" style="8" hidden="1"/>
    <col min="8711" max="8711" width="8.140625" style="8" hidden="1"/>
    <col min="8712" max="8712" width="12.85546875" style="8" hidden="1"/>
    <col min="8713" max="8714" width="13.28515625" style="8" hidden="1"/>
    <col min="8715" max="8961" width="10.42578125" style="8" hidden="1"/>
    <col min="8962" max="8962" width="8.42578125" style="8" hidden="1"/>
    <col min="8963" max="8964" width="12.85546875" style="8" hidden="1"/>
    <col min="8965" max="8965" width="9.7109375" style="8" hidden="1"/>
    <col min="8966" max="8966" width="7.28515625" style="8" hidden="1"/>
    <col min="8967" max="8967" width="8.140625" style="8" hidden="1"/>
    <col min="8968" max="8968" width="12.85546875" style="8" hidden="1"/>
    <col min="8969" max="8970" width="13.28515625" style="8" hidden="1"/>
    <col min="8971" max="9217" width="10.42578125" style="8" hidden="1"/>
    <col min="9218" max="9218" width="8.42578125" style="8" hidden="1"/>
    <col min="9219" max="9220" width="12.85546875" style="8" hidden="1"/>
    <col min="9221" max="9221" width="9.7109375" style="8" hidden="1"/>
    <col min="9222" max="9222" width="7.28515625" style="8" hidden="1"/>
    <col min="9223" max="9223" width="8.140625" style="8" hidden="1"/>
    <col min="9224" max="9224" width="12.85546875" style="8" hidden="1"/>
    <col min="9225" max="9226" width="13.28515625" style="8" hidden="1"/>
    <col min="9227" max="9473" width="10.42578125" style="8" hidden="1"/>
    <col min="9474" max="9474" width="8.42578125" style="8" hidden="1"/>
    <col min="9475" max="9476" width="12.85546875" style="8" hidden="1"/>
    <col min="9477" max="9477" width="9.7109375" style="8" hidden="1"/>
    <col min="9478" max="9478" width="7.28515625" style="8" hidden="1"/>
    <col min="9479" max="9479" width="8.140625" style="8" hidden="1"/>
    <col min="9480" max="9480" width="12.85546875" style="8" hidden="1"/>
    <col min="9481" max="9482" width="13.28515625" style="8" hidden="1"/>
    <col min="9483" max="9729" width="10.42578125" style="8" hidden="1"/>
    <col min="9730" max="9730" width="8.42578125" style="8" hidden="1"/>
    <col min="9731" max="9732" width="12.85546875" style="8" hidden="1"/>
    <col min="9733" max="9733" width="9.7109375" style="8" hidden="1"/>
    <col min="9734" max="9734" width="7.28515625" style="8" hidden="1"/>
    <col min="9735" max="9735" width="8.140625" style="8" hidden="1"/>
    <col min="9736" max="9736" width="12.85546875" style="8" hidden="1"/>
    <col min="9737" max="9738" width="13.28515625" style="8" hidden="1"/>
    <col min="9739" max="9985" width="10.42578125" style="8" hidden="1"/>
    <col min="9986" max="9986" width="8.42578125" style="8" hidden="1"/>
    <col min="9987" max="9988" width="12.85546875" style="8" hidden="1"/>
    <col min="9989" max="9989" width="9.7109375" style="8" hidden="1"/>
    <col min="9990" max="9990" width="7.28515625" style="8" hidden="1"/>
    <col min="9991" max="9991" width="8.140625" style="8" hidden="1"/>
    <col min="9992" max="9992" width="12.85546875" style="8" hidden="1"/>
    <col min="9993" max="9994" width="13.28515625" style="8" hidden="1"/>
    <col min="9995" max="10241" width="10.42578125" style="8" hidden="1"/>
    <col min="10242" max="10242" width="8.42578125" style="8" hidden="1"/>
    <col min="10243" max="10244" width="12.85546875" style="8" hidden="1"/>
    <col min="10245" max="10245" width="9.7109375" style="8" hidden="1"/>
    <col min="10246" max="10246" width="7.28515625" style="8" hidden="1"/>
    <col min="10247" max="10247" width="8.140625" style="8" hidden="1"/>
    <col min="10248" max="10248" width="12.85546875" style="8" hidden="1"/>
    <col min="10249" max="10250" width="13.28515625" style="8" hidden="1"/>
    <col min="10251" max="10497" width="10.42578125" style="8" hidden="1"/>
    <col min="10498" max="10498" width="8.42578125" style="8" hidden="1"/>
    <col min="10499" max="10500" width="12.85546875" style="8" hidden="1"/>
    <col min="10501" max="10501" width="9.7109375" style="8" hidden="1"/>
    <col min="10502" max="10502" width="7.28515625" style="8" hidden="1"/>
    <col min="10503" max="10503" width="8.140625" style="8" hidden="1"/>
    <col min="10504" max="10504" width="12.85546875" style="8" hidden="1"/>
    <col min="10505" max="10506" width="13.28515625" style="8" hidden="1"/>
    <col min="10507" max="10753" width="10.42578125" style="8" hidden="1"/>
    <col min="10754" max="10754" width="8.42578125" style="8" hidden="1"/>
    <col min="10755" max="10756" width="12.85546875" style="8" hidden="1"/>
    <col min="10757" max="10757" width="9.7109375" style="8" hidden="1"/>
    <col min="10758" max="10758" width="7.28515625" style="8" hidden="1"/>
    <col min="10759" max="10759" width="8.140625" style="8" hidden="1"/>
    <col min="10760" max="10760" width="12.85546875" style="8" hidden="1"/>
    <col min="10761" max="10762" width="13.28515625" style="8" hidden="1"/>
    <col min="10763" max="11009" width="10.42578125" style="8" hidden="1"/>
    <col min="11010" max="11010" width="8.42578125" style="8" hidden="1"/>
    <col min="11011" max="11012" width="12.85546875" style="8" hidden="1"/>
    <col min="11013" max="11013" width="9.7109375" style="8" hidden="1"/>
    <col min="11014" max="11014" width="7.28515625" style="8" hidden="1"/>
    <col min="11015" max="11015" width="8.140625" style="8" hidden="1"/>
    <col min="11016" max="11016" width="12.85546875" style="8" hidden="1"/>
    <col min="11017" max="11018" width="13.28515625" style="8" hidden="1"/>
    <col min="11019" max="11265" width="10.42578125" style="8" hidden="1"/>
    <col min="11266" max="11266" width="8.42578125" style="8" hidden="1"/>
    <col min="11267" max="11268" width="12.85546875" style="8" hidden="1"/>
    <col min="11269" max="11269" width="9.7109375" style="8" hidden="1"/>
    <col min="11270" max="11270" width="7.28515625" style="8" hidden="1"/>
    <col min="11271" max="11271" width="8.140625" style="8" hidden="1"/>
    <col min="11272" max="11272" width="12.85546875" style="8" hidden="1"/>
    <col min="11273" max="11274" width="13.28515625" style="8" hidden="1"/>
    <col min="11275" max="11521" width="10.42578125" style="8" hidden="1"/>
    <col min="11522" max="11522" width="8.42578125" style="8" hidden="1"/>
    <col min="11523" max="11524" width="12.85546875" style="8" hidden="1"/>
    <col min="11525" max="11525" width="9.7109375" style="8" hidden="1"/>
    <col min="11526" max="11526" width="7.28515625" style="8" hidden="1"/>
    <col min="11527" max="11527" width="8.140625" style="8" hidden="1"/>
    <col min="11528" max="11528" width="12.85546875" style="8" hidden="1"/>
    <col min="11529" max="11530" width="13.28515625" style="8" hidden="1"/>
    <col min="11531" max="11777" width="10.42578125" style="8" hidden="1"/>
    <col min="11778" max="11778" width="8.42578125" style="8" hidden="1"/>
    <col min="11779" max="11780" width="12.85546875" style="8" hidden="1"/>
    <col min="11781" max="11781" width="9.7109375" style="8" hidden="1"/>
    <col min="11782" max="11782" width="7.28515625" style="8" hidden="1"/>
    <col min="11783" max="11783" width="8.140625" style="8" hidden="1"/>
    <col min="11784" max="11784" width="12.85546875" style="8" hidden="1"/>
    <col min="11785" max="11786" width="13.28515625" style="8" hidden="1"/>
    <col min="11787" max="12033" width="10.42578125" style="8" hidden="1"/>
    <col min="12034" max="12034" width="8.42578125" style="8" hidden="1"/>
    <col min="12035" max="12036" width="12.85546875" style="8" hidden="1"/>
    <col min="12037" max="12037" width="9.7109375" style="8" hidden="1"/>
    <col min="12038" max="12038" width="7.28515625" style="8" hidden="1"/>
    <col min="12039" max="12039" width="8.140625" style="8" hidden="1"/>
    <col min="12040" max="12040" width="12.85546875" style="8" hidden="1"/>
    <col min="12041" max="12042" width="13.28515625" style="8" hidden="1"/>
    <col min="12043" max="12289" width="10.42578125" style="8" hidden="1"/>
    <col min="12290" max="12290" width="8.42578125" style="8" hidden="1"/>
    <col min="12291" max="12292" width="12.85546875" style="8" hidden="1"/>
    <col min="12293" max="12293" width="9.7109375" style="8" hidden="1"/>
    <col min="12294" max="12294" width="7.28515625" style="8" hidden="1"/>
    <col min="12295" max="12295" width="8.140625" style="8" hidden="1"/>
    <col min="12296" max="12296" width="12.85546875" style="8" hidden="1"/>
    <col min="12297" max="12298" width="13.28515625" style="8" hidden="1"/>
    <col min="12299" max="12545" width="10.42578125" style="8" hidden="1"/>
    <col min="12546" max="12546" width="8.42578125" style="8" hidden="1"/>
    <col min="12547" max="12548" width="12.85546875" style="8" hidden="1"/>
    <col min="12549" max="12549" width="9.7109375" style="8" hidden="1"/>
    <col min="12550" max="12550" width="7.28515625" style="8" hidden="1"/>
    <col min="12551" max="12551" width="8.140625" style="8" hidden="1"/>
    <col min="12552" max="12552" width="12.85546875" style="8" hidden="1"/>
    <col min="12553" max="12554" width="13.28515625" style="8" hidden="1"/>
    <col min="12555" max="12801" width="10.42578125" style="8" hidden="1"/>
    <col min="12802" max="12802" width="8.42578125" style="8" hidden="1"/>
    <col min="12803" max="12804" width="12.85546875" style="8" hidden="1"/>
    <col min="12805" max="12805" width="9.7109375" style="8" hidden="1"/>
    <col min="12806" max="12806" width="7.28515625" style="8" hidden="1"/>
    <col min="12807" max="12807" width="8.140625" style="8" hidden="1"/>
    <col min="12808" max="12808" width="12.85546875" style="8" hidden="1"/>
    <col min="12809" max="12810" width="13.28515625" style="8" hidden="1"/>
    <col min="12811" max="13057" width="10.42578125" style="8" hidden="1"/>
    <col min="13058" max="13058" width="8.42578125" style="8" hidden="1"/>
    <col min="13059" max="13060" width="12.85546875" style="8" hidden="1"/>
    <col min="13061" max="13061" width="9.7109375" style="8" hidden="1"/>
    <col min="13062" max="13062" width="7.28515625" style="8" hidden="1"/>
    <col min="13063" max="13063" width="8.140625" style="8" hidden="1"/>
    <col min="13064" max="13064" width="12.85546875" style="8" hidden="1"/>
    <col min="13065" max="13066" width="13.28515625" style="8" hidden="1"/>
    <col min="13067" max="13313" width="10.42578125" style="8" hidden="1"/>
    <col min="13314" max="13314" width="8.42578125" style="8" hidden="1"/>
    <col min="13315" max="13316" width="12.85546875" style="8" hidden="1"/>
    <col min="13317" max="13317" width="9.7109375" style="8" hidden="1"/>
    <col min="13318" max="13318" width="7.28515625" style="8" hidden="1"/>
    <col min="13319" max="13319" width="8.140625" style="8" hidden="1"/>
    <col min="13320" max="13320" width="12.85546875" style="8" hidden="1"/>
    <col min="13321" max="13322" width="13.28515625" style="8" hidden="1"/>
    <col min="13323" max="13569" width="10.42578125" style="8" hidden="1"/>
    <col min="13570" max="13570" width="8.42578125" style="8" hidden="1"/>
    <col min="13571" max="13572" width="12.85546875" style="8" hidden="1"/>
    <col min="13573" max="13573" width="9.7109375" style="8" hidden="1"/>
    <col min="13574" max="13574" width="7.28515625" style="8" hidden="1"/>
    <col min="13575" max="13575" width="8.140625" style="8" hidden="1"/>
    <col min="13576" max="13576" width="12.85546875" style="8" hidden="1"/>
    <col min="13577" max="13578" width="13.28515625" style="8" hidden="1"/>
    <col min="13579" max="13825" width="10.42578125" style="8" hidden="1"/>
    <col min="13826" max="13826" width="8.42578125" style="8" hidden="1"/>
    <col min="13827" max="13828" width="12.85546875" style="8" hidden="1"/>
    <col min="13829" max="13829" width="9.7109375" style="8" hidden="1"/>
    <col min="13830" max="13830" width="7.28515625" style="8" hidden="1"/>
    <col min="13831" max="13831" width="8.140625" style="8" hidden="1"/>
    <col min="13832" max="13832" width="12.85546875" style="8" hidden="1"/>
    <col min="13833" max="13834" width="13.28515625" style="8" hidden="1"/>
    <col min="13835" max="14081" width="10.42578125" style="8" hidden="1"/>
    <col min="14082" max="14082" width="8.42578125" style="8" hidden="1"/>
    <col min="14083" max="14084" width="12.85546875" style="8" hidden="1"/>
    <col min="14085" max="14085" width="9.7109375" style="8" hidden="1"/>
    <col min="14086" max="14086" width="7.28515625" style="8" hidden="1"/>
    <col min="14087" max="14087" width="8.140625" style="8" hidden="1"/>
    <col min="14088" max="14088" width="12.85546875" style="8" hidden="1"/>
    <col min="14089" max="14090" width="13.28515625" style="8" hidden="1"/>
    <col min="14091" max="14337" width="10.42578125" style="8" hidden="1"/>
    <col min="14338" max="14338" width="8.42578125" style="8" hidden="1"/>
    <col min="14339" max="14340" width="12.85546875" style="8" hidden="1"/>
    <col min="14341" max="14341" width="9.7109375" style="8" hidden="1"/>
    <col min="14342" max="14342" width="7.28515625" style="8" hidden="1"/>
    <col min="14343" max="14343" width="8.140625" style="8" hidden="1"/>
    <col min="14344" max="14344" width="12.85546875" style="8" hidden="1"/>
    <col min="14345" max="14346" width="13.28515625" style="8" hidden="1"/>
    <col min="14347" max="14593" width="10.42578125" style="8" hidden="1"/>
    <col min="14594" max="14594" width="8.42578125" style="8" hidden="1"/>
    <col min="14595" max="14596" width="12.85546875" style="8" hidden="1"/>
    <col min="14597" max="14597" width="9.7109375" style="8" hidden="1"/>
    <col min="14598" max="14598" width="7.28515625" style="8" hidden="1"/>
    <col min="14599" max="14599" width="8.140625" style="8" hidden="1"/>
    <col min="14600" max="14600" width="12.85546875" style="8" hidden="1"/>
    <col min="14601" max="14602" width="13.28515625" style="8" hidden="1"/>
    <col min="14603" max="14849" width="10.42578125" style="8" hidden="1"/>
    <col min="14850" max="14850" width="8.42578125" style="8" hidden="1"/>
    <col min="14851" max="14852" width="12.85546875" style="8" hidden="1"/>
    <col min="14853" max="14853" width="9.7109375" style="8" hidden="1"/>
    <col min="14854" max="14854" width="7.28515625" style="8" hidden="1"/>
    <col min="14855" max="14855" width="8.140625" style="8" hidden="1"/>
    <col min="14856" max="14856" width="12.85546875" style="8" hidden="1"/>
    <col min="14857" max="14858" width="13.28515625" style="8" hidden="1"/>
    <col min="14859" max="15105" width="10.42578125" style="8" hidden="1"/>
    <col min="15106" max="15106" width="8.42578125" style="8" hidden="1"/>
    <col min="15107" max="15108" width="12.85546875" style="8" hidden="1"/>
    <col min="15109" max="15109" width="9.7109375" style="8" hidden="1"/>
    <col min="15110" max="15110" width="7.28515625" style="8" hidden="1"/>
    <col min="15111" max="15111" width="8.140625" style="8" hidden="1"/>
    <col min="15112" max="15112" width="12.85546875" style="8" hidden="1"/>
    <col min="15113" max="15114" width="13.28515625" style="8" hidden="1"/>
    <col min="15115" max="15361" width="10.42578125" style="8" hidden="1"/>
    <col min="15362" max="15362" width="8.42578125" style="8" hidden="1"/>
    <col min="15363" max="15364" width="12.85546875" style="8" hidden="1"/>
    <col min="15365" max="15365" width="9.7109375" style="8" hidden="1"/>
    <col min="15366" max="15366" width="7.28515625" style="8" hidden="1"/>
    <col min="15367" max="15367" width="8.140625" style="8" hidden="1"/>
    <col min="15368" max="15368" width="12.85546875" style="8" hidden="1"/>
    <col min="15369" max="15370" width="13.28515625" style="8" hidden="1"/>
    <col min="15371" max="15617" width="10.42578125" style="8" hidden="1"/>
    <col min="15618" max="15618" width="8.42578125" style="8" hidden="1"/>
    <col min="15619" max="15620" width="12.85546875" style="8" hidden="1"/>
    <col min="15621" max="15621" width="9.7109375" style="8" hidden="1"/>
    <col min="15622" max="15622" width="7.28515625" style="8" hidden="1"/>
    <col min="15623" max="15623" width="8.140625" style="8" hidden="1"/>
    <col min="15624" max="15624" width="12.85546875" style="8" hidden="1"/>
    <col min="15625" max="15626" width="13.28515625" style="8" hidden="1"/>
    <col min="15627" max="15873" width="10.42578125" style="8" hidden="1"/>
    <col min="15874" max="15874" width="8.42578125" style="8" hidden="1"/>
    <col min="15875" max="15876" width="12.85546875" style="8" hidden="1"/>
    <col min="15877" max="15877" width="9.7109375" style="8" hidden="1"/>
    <col min="15878" max="15878" width="7.28515625" style="8" hidden="1"/>
    <col min="15879" max="15879" width="8.140625" style="8" hidden="1"/>
    <col min="15880" max="15880" width="12.85546875" style="8" hidden="1"/>
    <col min="15881" max="15882" width="13.28515625" style="8" hidden="1"/>
    <col min="15883" max="16129" width="10.42578125" style="8" hidden="1"/>
    <col min="16130" max="16130" width="8.42578125" style="8" hidden="1"/>
    <col min="16131" max="16132" width="12.85546875" style="8" hidden="1"/>
    <col min="16133" max="16133" width="9.7109375" style="8" hidden="1"/>
    <col min="16134" max="16134" width="7.28515625" style="8" hidden="1"/>
    <col min="16135" max="16135" width="8.140625" style="8" hidden="1"/>
    <col min="16136" max="16136" width="12.85546875" style="8" hidden="1"/>
    <col min="16137" max="16138" width="13.28515625" style="8" hidden="1"/>
    <col min="16139" max="16384" width="10.42578125" style="8" hidden="1"/>
  </cols>
  <sheetData>
    <row r="1" spans="2:10" s="4" customFormat="1" x14ac:dyDescent="0.3">
      <c r="B1" s="64" t="s">
        <v>102</v>
      </c>
      <c r="C1" s="65"/>
      <c r="D1" s="65"/>
      <c r="E1" s="65"/>
      <c r="F1" s="2"/>
      <c r="G1" s="2"/>
      <c r="H1" s="1"/>
      <c r="I1" s="65"/>
      <c r="J1" s="3" t="s">
        <v>95</v>
      </c>
    </row>
    <row r="2" spans="2:10" s="4" customFormat="1" x14ac:dyDescent="0.3">
      <c r="B2" s="64" t="s">
        <v>103</v>
      </c>
      <c r="C2" s="65"/>
      <c r="D2" s="65"/>
      <c r="E2" s="65"/>
      <c r="F2" s="2"/>
      <c r="G2" s="2"/>
      <c r="H2" s="1"/>
      <c r="I2" s="65"/>
    </row>
    <row r="3" spans="2:10" x14ac:dyDescent="0.3">
      <c r="B3" s="65"/>
      <c r="C3" s="65"/>
      <c r="D3" s="65"/>
      <c r="E3" s="65"/>
      <c r="F3" s="6"/>
      <c r="G3" s="6"/>
      <c r="I3" s="65"/>
    </row>
    <row r="4" spans="2:10" x14ac:dyDescent="0.25">
      <c r="B4" s="66" t="s">
        <v>0</v>
      </c>
      <c r="C4" s="150"/>
      <c r="D4" s="67" t="s">
        <v>104</v>
      </c>
      <c r="E4" s="150"/>
      <c r="F4" s="11"/>
      <c r="G4" s="154"/>
      <c r="H4" s="70" t="s">
        <v>10</v>
      </c>
      <c r="I4" s="150"/>
      <c r="J4" s="71"/>
    </row>
    <row r="5" spans="2:10" x14ac:dyDescent="0.25">
      <c r="B5" s="66" t="s">
        <v>1</v>
      </c>
      <c r="C5" s="150"/>
      <c r="D5" s="67" t="s">
        <v>105</v>
      </c>
      <c r="E5" s="150"/>
      <c r="F5" s="12"/>
      <c r="G5" s="155"/>
      <c r="H5" s="70" t="s">
        <v>106</v>
      </c>
      <c r="I5" s="150"/>
      <c r="J5" s="72"/>
    </row>
    <row r="6" spans="2:10" x14ac:dyDescent="0.25">
      <c r="B6" s="66" t="s">
        <v>2</v>
      </c>
      <c r="C6" s="68"/>
      <c r="D6" s="68" t="s">
        <v>108</v>
      </c>
      <c r="E6" s="68"/>
      <c r="F6" s="12"/>
      <c r="G6" s="155"/>
      <c r="H6" s="70" t="s">
        <v>11</v>
      </c>
      <c r="I6" s="68"/>
      <c r="J6" s="73"/>
    </row>
    <row r="7" spans="2:10" x14ac:dyDescent="0.25">
      <c r="H7" s="70" t="s">
        <v>107</v>
      </c>
      <c r="J7" s="72"/>
    </row>
    <row r="8" spans="2:10" x14ac:dyDescent="0.25">
      <c r="B8" s="149" t="s">
        <v>5</v>
      </c>
      <c r="C8" s="149"/>
      <c r="D8" s="149"/>
      <c r="E8" s="149"/>
      <c r="F8" s="149"/>
      <c r="G8" s="149"/>
      <c r="H8" s="149"/>
      <c r="I8" s="149"/>
      <c r="J8" s="149"/>
    </row>
    <row r="9" spans="2:10" x14ac:dyDescent="0.25">
      <c r="B9" s="14"/>
      <c r="C9" s="14"/>
      <c r="D9" s="14"/>
      <c r="E9" s="14"/>
      <c r="F9" s="14"/>
      <c r="G9" s="14"/>
      <c r="H9" s="14"/>
      <c r="I9" s="14"/>
      <c r="J9" s="14"/>
    </row>
    <row r="10" spans="2:10" ht="30" x14ac:dyDescent="0.25">
      <c r="B10" s="55" t="s">
        <v>6</v>
      </c>
      <c r="C10" s="151"/>
      <c r="D10" s="55" t="s">
        <v>22</v>
      </c>
      <c r="E10" s="151"/>
      <c r="F10" s="56" t="s">
        <v>21</v>
      </c>
      <c r="G10" s="156"/>
      <c r="H10" s="56" t="s">
        <v>7</v>
      </c>
      <c r="I10" s="151"/>
      <c r="J10" s="56" t="s">
        <v>8</v>
      </c>
    </row>
    <row r="11" spans="2:10" x14ac:dyDescent="0.3">
      <c r="B11" s="61"/>
      <c r="D11" s="62"/>
      <c r="F11" s="61"/>
      <c r="H11" s="62"/>
      <c r="J11" s="63"/>
    </row>
    <row r="12" spans="2:10" x14ac:dyDescent="0.3">
      <c r="B12" s="15">
        <v>1</v>
      </c>
      <c r="C12" s="152"/>
      <c r="D12" s="16" t="s">
        <v>19</v>
      </c>
      <c r="E12" s="152"/>
      <c r="F12" s="15" t="str">
        <f>$J$1&amp;" - "&amp;B12</f>
        <v>BS.05 - 1</v>
      </c>
      <c r="G12" s="157"/>
      <c r="H12" s="16"/>
      <c r="I12" s="152"/>
      <c r="J12" s="17"/>
    </row>
    <row r="13" spans="2:10" x14ac:dyDescent="0.3">
      <c r="B13" s="15"/>
      <c r="C13" s="152"/>
      <c r="D13" s="16"/>
      <c r="E13" s="152"/>
      <c r="F13" s="15"/>
      <c r="G13" s="157"/>
      <c r="H13" s="16"/>
      <c r="I13" s="152"/>
      <c r="J13" s="17"/>
    </row>
    <row r="14" spans="2:10" x14ac:dyDescent="0.3">
      <c r="B14" s="15">
        <f>B12+1</f>
        <v>2</v>
      </c>
      <c r="C14" s="152"/>
      <c r="D14" s="16" t="s">
        <v>20</v>
      </c>
      <c r="E14" s="152"/>
      <c r="F14" s="15" t="str">
        <f>$J$1&amp;" - "&amp;B14</f>
        <v>BS.05 - 2</v>
      </c>
      <c r="G14" s="157"/>
      <c r="H14" s="16"/>
      <c r="I14" s="152"/>
      <c r="J14" s="17"/>
    </row>
    <row r="15" spans="2:10" x14ac:dyDescent="0.3">
      <c r="B15" s="15"/>
      <c r="C15" s="152"/>
      <c r="D15" s="16"/>
      <c r="E15" s="152"/>
      <c r="F15" s="15"/>
      <c r="G15" s="157"/>
      <c r="H15" s="16"/>
      <c r="I15" s="152"/>
      <c r="J15" s="17"/>
    </row>
    <row r="16" spans="2:10" x14ac:dyDescent="0.3">
      <c r="B16" s="15">
        <f>B14+1</f>
        <v>3</v>
      </c>
      <c r="C16" s="152"/>
      <c r="D16" s="16" t="s">
        <v>32</v>
      </c>
      <c r="E16" s="152"/>
      <c r="F16" s="15" t="str">
        <f>$J$1&amp;" - "&amp;B16</f>
        <v>BS.05 - 3</v>
      </c>
      <c r="G16" s="157"/>
      <c r="H16" s="16"/>
      <c r="I16" s="152"/>
      <c r="J16" s="17"/>
    </row>
    <row r="17" spans="2:10" x14ac:dyDescent="0.3">
      <c r="B17" s="15"/>
      <c r="C17" s="152"/>
      <c r="D17" s="16"/>
      <c r="E17" s="152"/>
      <c r="F17" s="15"/>
      <c r="G17" s="157"/>
      <c r="H17" s="16"/>
      <c r="I17" s="152"/>
      <c r="J17" s="17"/>
    </row>
    <row r="18" spans="2:10" x14ac:dyDescent="0.3">
      <c r="B18" s="15">
        <f>B16+1</f>
        <v>4</v>
      </c>
      <c r="C18" s="152"/>
      <c r="D18" s="16" t="s">
        <v>50</v>
      </c>
      <c r="E18" s="152"/>
      <c r="F18" s="15" t="str">
        <f>$J$1&amp;" - "&amp;B18</f>
        <v>BS.05 - 4</v>
      </c>
      <c r="G18" s="157"/>
      <c r="H18" s="16"/>
      <c r="I18" s="152"/>
      <c r="J18" s="17"/>
    </row>
    <row r="19" spans="2:10" x14ac:dyDescent="0.3">
      <c r="B19" s="15"/>
      <c r="C19" s="152"/>
      <c r="D19" s="16"/>
      <c r="E19" s="152"/>
      <c r="F19" s="15"/>
      <c r="G19" s="157"/>
      <c r="H19" s="16"/>
      <c r="I19" s="152"/>
      <c r="J19" s="17"/>
    </row>
    <row r="20" spans="2:10" x14ac:dyDescent="0.3">
      <c r="B20" s="15">
        <f>B18+1</f>
        <v>5</v>
      </c>
      <c r="C20" s="152"/>
      <c r="D20" s="16" t="s">
        <v>114</v>
      </c>
      <c r="E20" s="152"/>
      <c r="F20" s="15" t="str">
        <f>$J$1&amp;" - "&amp;B20</f>
        <v>BS.05 - 5</v>
      </c>
      <c r="G20" s="157"/>
      <c r="H20" s="16"/>
      <c r="I20" s="152"/>
      <c r="J20" s="17"/>
    </row>
    <row r="21" spans="2:10" x14ac:dyDescent="0.3">
      <c r="B21" s="15"/>
      <c r="C21" s="152"/>
      <c r="D21" s="16"/>
      <c r="E21" s="152"/>
      <c r="F21" s="15"/>
      <c r="G21" s="157"/>
      <c r="H21" s="16"/>
      <c r="I21" s="152"/>
      <c r="J21" s="17"/>
    </row>
    <row r="22" spans="2:10" x14ac:dyDescent="0.3">
      <c r="B22" s="15">
        <f>B20+1</f>
        <v>6</v>
      </c>
      <c r="C22" s="152"/>
      <c r="D22" s="16" t="s">
        <v>33</v>
      </c>
      <c r="E22" s="152"/>
      <c r="F22" s="15" t="str">
        <f>$J$1&amp;" - "&amp;B22</f>
        <v>BS.05 - 6</v>
      </c>
      <c r="G22" s="157"/>
      <c r="H22" s="16"/>
      <c r="I22" s="152"/>
      <c r="J22" s="17"/>
    </row>
    <row r="23" spans="2:10" x14ac:dyDescent="0.3">
      <c r="B23" s="15"/>
      <c r="C23" s="152"/>
      <c r="D23" s="16"/>
      <c r="E23" s="152"/>
      <c r="F23" s="15"/>
      <c r="G23" s="157"/>
      <c r="H23" s="16"/>
      <c r="I23" s="152"/>
      <c r="J23" s="17"/>
    </row>
    <row r="24" spans="2:10" x14ac:dyDescent="0.3">
      <c r="B24" s="15">
        <f>B22+1</f>
        <v>7</v>
      </c>
      <c r="C24" s="152"/>
      <c r="D24" s="16" t="s">
        <v>34</v>
      </c>
      <c r="E24" s="152"/>
      <c r="F24" s="15" t="str">
        <f>$J$1&amp;" - "&amp;B24</f>
        <v>BS.05 - 7</v>
      </c>
      <c r="G24" s="157"/>
      <c r="H24" s="16"/>
      <c r="I24" s="152"/>
      <c r="J24" s="17"/>
    </row>
    <row r="25" spans="2:10" x14ac:dyDescent="0.3">
      <c r="B25" s="15"/>
      <c r="C25" s="152"/>
      <c r="D25" s="16"/>
      <c r="E25" s="152"/>
      <c r="F25" s="15"/>
      <c r="G25" s="157"/>
      <c r="H25" s="16"/>
      <c r="I25" s="152"/>
      <c r="J25" s="17"/>
    </row>
    <row r="26" spans="2:10" x14ac:dyDescent="0.3">
      <c r="B26" s="15">
        <f>B24+1</f>
        <v>8</v>
      </c>
      <c r="C26" s="152"/>
      <c r="D26" s="16" t="s">
        <v>38</v>
      </c>
      <c r="E26" s="152"/>
      <c r="F26" s="15" t="str">
        <f>$J$1&amp;" - "&amp;B26</f>
        <v>BS.05 - 8</v>
      </c>
      <c r="G26" s="157"/>
      <c r="H26" s="16"/>
      <c r="I26" s="152"/>
      <c r="J26" s="17"/>
    </row>
    <row r="27" spans="2:10" x14ac:dyDescent="0.3">
      <c r="B27" s="15"/>
      <c r="C27" s="152"/>
      <c r="D27" s="16"/>
      <c r="E27" s="152"/>
      <c r="F27" s="15"/>
      <c r="G27" s="157"/>
      <c r="H27" s="16"/>
      <c r="I27" s="152"/>
      <c r="J27" s="17"/>
    </row>
    <row r="28" spans="2:10" x14ac:dyDescent="0.3">
      <c r="B28" s="15">
        <f>B26+1</f>
        <v>9</v>
      </c>
      <c r="C28" s="152"/>
      <c r="D28" s="16" t="s">
        <v>51</v>
      </c>
      <c r="E28" s="152"/>
      <c r="F28" s="15" t="str">
        <f>$J$1&amp;" - "&amp;B28</f>
        <v>BS.05 - 9</v>
      </c>
      <c r="G28" s="157"/>
      <c r="H28" s="16"/>
      <c r="I28" s="152"/>
      <c r="J28" s="17"/>
    </row>
    <row r="29" spans="2:10" x14ac:dyDescent="0.3">
      <c r="B29" s="15"/>
      <c r="C29" s="152"/>
      <c r="D29" s="16"/>
      <c r="E29" s="152"/>
      <c r="F29" s="15"/>
      <c r="G29" s="157"/>
      <c r="H29" s="16"/>
      <c r="I29" s="152"/>
      <c r="J29" s="17"/>
    </row>
    <row r="30" spans="2:10" x14ac:dyDescent="0.3">
      <c r="B30" s="15"/>
      <c r="C30" s="152"/>
      <c r="D30" s="16"/>
      <c r="E30" s="152"/>
      <c r="F30" s="15"/>
      <c r="G30" s="157"/>
      <c r="H30" s="16"/>
      <c r="I30" s="152"/>
      <c r="J30" s="17"/>
    </row>
    <row r="31" spans="2:10" x14ac:dyDescent="0.3">
      <c r="B31" s="15"/>
      <c r="C31" s="153"/>
      <c r="D31" s="18"/>
      <c r="E31" s="153"/>
      <c r="F31" s="15"/>
      <c r="G31" s="157"/>
      <c r="H31" s="16"/>
      <c r="I31" s="153"/>
      <c r="J31" s="17"/>
    </row>
    <row r="32" spans="2:10" x14ac:dyDescent="0.3">
      <c r="B32" s="15"/>
      <c r="C32" s="152"/>
      <c r="D32" s="16"/>
      <c r="E32" s="152"/>
      <c r="F32" s="15"/>
      <c r="G32" s="157"/>
      <c r="H32" s="16"/>
      <c r="I32" s="152"/>
      <c r="J32" s="17"/>
    </row>
    <row r="33" spans="2:10" x14ac:dyDescent="0.3">
      <c r="B33" s="15"/>
      <c r="C33" s="152"/>
      <c r="D33" s="16"/>
      <c r="E33" s="152"/>
      <c r="F33" s="15"/>
      <c r="G33" s="157"/>
      <c r="H33" s="16"/>
      <c r="I33" s="152"/>
      <c r="J33" s="17"/>
    </row>
    <row r="34" spans="2:10" x14ac:dyDescent="0.3">
      <c r="B34" s="15"/>
      <c r="C34" s="153"/>
      <c r="D34" s="18"/>
      <c r="E34" s="153"/>
      <c r="F34" s="15"/>
      <c r="G34" s="157"/>
      <c r="H34" s="16"/>
      <c r="I34" s="153"/>
      <c r="J34" s="17"/>
    </row>
    <row r="35" spans="2:10" x14ac:dyDescent="0.3">
      <c r="B35" s="15"/>
      <c r="C35" s="153"/>
      <c r="D35" s="18"/>
      <c r="E35" s="153"/>
      <c r="F35" s="15"/>
      <c r="G35" s="157"/>
      <c r="H35" s="16"/>
      <c r="I35" s="153"/>
      <c r="J35" s="17"/>
    </row>
    <row r="36" spans="2:10" x14ac:dyDescent="0.3">
      <c r="B36" s="15"/>
      <c r="C36" s="153"/>
      <c r="D36" s="18"/>
      <c r="E36" s="153"/>
      <c r="F36" s="15"/>
      <c r="G36" s="157"/>
      <c r="H36" s="16"/>
      <c r="I36" s="153"/>
      <c r="J36" s="17"/>
    </row>
    <row r="37" spans="2:10" x14ac:dyDescent="0.3">
      <c r="B37" s="15"/>
      <c r="C37" s="152"/>
      <c r="D37" s="16"/>
      <c r="E37" s="152"/>
      <c r="F37" s="15"/>
      <c r="G37" s="157"/>
      <c r="H37" s="16"/>
      <c r="I37" s="152"/>
      <c r="J37" s="17"/>
    </row>
    <row r="38" spans="2:10" x14ac:dyDescent="0.3">
      <c r="B38" s="15"/>
      <c r="C38" s="152"/>
      <c r="D38" s="16"/>
      <c r="E38" s="152"/>
      <c r="F38" s="15"/>
      <c r="G38" s="157"/>
      <c r="H38" s="16"/>
      <c r="I38" s="152"/>
      <c r="J38" s="17"/>
    </row>
    <row r="39" spans="2:10" x14ac:dyDescent="0.3">
      <c r="B39" s="15"/>
      <c r="C39" s="152"/>
      <c r="D39" s="16"/>
      <c r="E39" s="152"/>
      <c r="F39" s="15"/>
      <c r="G39" s="157"/>
      <c r="H39" s="16"/>
      <c r="I39" s="152"/>
      <c r="J39" s="17"/>
    </row>
    <row r="40" spans="2:10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3"/>
  <sheetViews>
    <sheetView showGridLines="0" topLeftCell="B1" zoomScaleSheetLayoutView="100" workbookViewId="0">
      <selection activeCell="E12" sqref="E12"/>
    </sheetView>
  </sheetViews>
  <sheetFormatPr defaultColWidth="0" defaultRowHeight="16.5" zeroHeight="1" x14ac:dyDescent="0.25"/>
  <cols>
    <col min="1" max="1" width="1" style="81" customWidth="1"/>
    <col min="2" max="2" width="10" style="81" customWidth="1"/>
    <col min="3" max="3" width="0.5703125" style="8" customWidth="1"/>
    <col min="4" max="4" width="61.42578125" style="81" customWidth="1"/>
    <col min="5" max="5" width="0.5703125" style="8" customWidth="1"/>
    <col min="6" max="6" width="15.7109375" style="81" customWidth="1"/>
    <col min="7" max="7" width="13.5703125" style="81" customWidth="1"/>
    <col min="8" max="8" width="1" style="81" customWidth="1"/>
    <col min="9" max="9" width="9.140625" style="81" hidden="1" customWidth="1"/>
    <col min="10" max="11" width="0" style="81" hidden="1" customWidth="1"/>
    <col min="12" max="16384" width="9.140625" style="81" hidden="1"/>
  </cols>
  <sheetData>
    <row r="1" spans="2:8" s="77" customFormat="1" ht="15" x14ac:dyDescent="0.25">
      <c r="B1" s="76" t="str">
        <f>Index!B1</f>
        <v>ABC &amp; Co.</v>
      </c>
      <c r="C1" s="65"/>
      <c r="E1" s="65"/>
      <c r="F1" s="78"/>
      <c r="G1" s="79" t="str">
        <f>Index!F12</f>
        <v>BS.05 - 1</v>
      </c>
    </row>
    <row r="2" spans="2:8" s="77" customFormat="1" ht="13.5" x14ac:dyDescent="0.25">
      <c r="B2" s="77" t="str">
        <f>Index!B2</f>
        <v>(Chartered Accountants)</v>
      </c>
      <c r="C2" s="65"/>
      <c r="E2" s="65"/>
    </row>
    <row r="3" spans="2:8" s="77" customFormat="1" ht="13.5" x14ac:dyDescent="0.25">
      <c r="C3" s="65"/>
      <c r="E3" s="65"/>
      <c r="H3" s="81"/>
    </row>
    <row r="4" spans="2:8" s="77" customFormat="1" ht="15" x14ac:dyDescent="0.25">
      <c r="B4" s="66" t="str">
        <f>Index!B4</f>
        <v xml:space="preserve">Client: </v>
      </c>
      <c r="C4" s="150"/>
      <c r="D4" s="82" t="str">
        <f>Index!D4</f>
        <v>ABC Limited</v>
      </c>
      <c r="E4" s="150"/>
      <c r="F4" s="78" t="str">
        <f>Index!$H$4</f>
        <v>Prepared by:</v>
      </c>
      <c r="G4" s="74" t="str">
        <f>IF(Index!$J$4="","",Index!$J$4)</f>
        <v/>
      </c>
    </row>
    <row r="5" spans="2:8" s="77" customFormat="1" ht="15" x14ac:dyDescent="0.25">
      <c r="B5" s="66" t="str">
        <f>Index!B5</f>
        <v>Period:</v>
      </c>
      <c r="C5" s="150"/>
      <c r="D5" s="82" t="str">
        <f>Index!D5</f>
        <v>Year ended June 30, 2023</v>
      </c>
      <c r="E5" s="150"/>
      <c r="F5" s="77" t="str">
        <f>Index!$H$5</f>
        <v>Date prepared:</v>
      </c>
      <c r="G5" s="80" t="str">
        <f>IF(Index!$J$5="","",Index!$J$5)</f>
        <v/>
      </c>
    </row>
    <row r="6" spans="2:8" s="77" customFormat="1" ht="15" x14ac:dyDescent="0.25">
      <c r="B6" s="66" t="str">
        <f>Index!B6</f>
        <v>Head:</v>
      </c>
      <c r="C6" s="68"/>
      <c r="D6" s="82" t="str">
        <f>Index!D6</f>
        <v>Long term loans and advances</v>
      </c>
      <c r="E6" s="68"/>
      <c r="F6" s="83" t="str">
        <f>Index!$H$6</f>
        <v>Reviewed by:</v>
      </c>
      <c r="G6" s="84" t="str">
        <f>IF(Index!$J$6="","",Index!$J$6)</f>
        <v/>
      </c>
    </row>
    <row r="7" spans="2:8" x14ac:dyDescent="0.25">
      <c r="B7" s="77"/>
      <c r="D7" s="77"/>
      <c r="F7" s="83" t="str">
        <f>Index!$H$7</f>
        <v>Date reviewed:</v>
      </c>
      <c r="G7" s="84" t="str">
        <f>IF(Index!$J$7="","",Index!$J$7)</f>
        <v/>
      </c>
      <c r="H7" s="77"/>
    </row>
    <row r="8" spans="2:8" s="77" customFormat="1" ht="15" x14ac:dyDescent="0.25">
      <c r="B8" s="85" t="str">
        <f>UPPER("Audit Objectives and Conclusions")</f>
        <v>AUDIT OBJECTIVES AND CONCLUSIONS</v>
      </c>
      <c r="C8" s="149"/>
      <c r="D8" s="85"/>
      <c r="E8" s="149"/>
      <c r="F8" s="85"/>
      <c r="G8" s="85"/>
      <c r="H8" s="76"/>
    </row>
    <row r="9" spans="2:8" ht="15" x14ac:dyDescent="0.25">
      <c r="C9" s="14"/>
      <c r="E9" s="14"/>
    </row>
    <row r="10" spans="2:8" ht="20.25" customHeight="1" x14ac:dyDescent="0.25">
      <c r="B10" s="160" t="s">
        <v>6</v>
      </c>
      <c r="C10" s="151"/>
      <c r="D10" s="160" t="s">
        <v>14</v>
      </c>
      <c r="E10" s="151"/>
      <c r="F10" s="158" t="s">
        <v>25</v>
      </c>
      <c r="G10" s="158"/>
      <c r="H10" s="87"/>
    </row>
    <row r="11" spans="2:8" ht="20.25" customHeight="1" x14ac:dyDescent="0.25">
      <c r="B11" s="160"/>
      <c r="D11" s="160"/>
      <c r="F11" s="86" t="s">
        <v>28</v>
      </c>
      <c r="G11" s="88" t="s">
        <v>29</v>
      </c>
      <c r="H11" s="87"/>
    </row>
    <row r="12" spans="2:8" s="91" customFormat="1" x14ac:dyDescent="0.25">
      <c r="B12" s="89"/>
      <c r="C12" s="152"/>
      <c r="D12" s="89"/>
      <c r="E12" s="152"/>
      <c r="F12" s="90"/>
      <c r="G12" s="90"/>
    </row>
    <row r="13" spans="2:8" s="94" customFormat="1" ht="29.25" customHeight="1" x14ac:dyDescent="0.25">
      <c r="B13" s="92">
        <v>1</v>
      </c>
      <c r="C13" s="152"/>
      <c r="D13" s="93" t="s">
        <v>66</v>
      </c>
      <c r="E13" s="152"/>
      <c r="F13" s="93"/>
      <c r="G13" s="93"/>
    </row>
    <row r="14" spans="2:8" s="94" customFormat="1" ht="24" customHeight="1" x14ac:dyDescent="0.25">
      <c r="B14" s="92">
        <f>B13+1</f>
        <v>2</v>
      </c>
      <c r="C14" s="152"/>
      <c r="D14" s="93" t="s">
        <v>67</v>
      </c>
      <c r="E14" s="152"/>
      <c r="F14" s="93"/>
      <c r="G14" s="93"/>
    </row>
    <row r="15" spans="2:8" s="94" customFormat="1" ht="27" x14ac:dyDescent="0.25">
      <c r="B15" s="92">
        <f>B14+1</f>
        <v>3</v>
      </c>
      <c r="C15" s="152"/>
      <c r="D15" s="93" t="s">
        <v>68</v>
      </c>
      <c r="E15" s="152"/>
      <c r="F15" s="93"/>
      <c r="G15" s="93"/>
    </row>
    <row r="16" spans="2:8" s="94" customFormat="1" x14ac:dyDescent="0.25">
      <c r="B16" s="92">
        <f>B15+1</f>
        <v>4</v>
      </c>
      <c r="C16" s="152"/>
      <c r="D16" s="93" t="s">
        <v>69</v>
      </c>
      <c r="E16" s="152"/>
      <c r="F16" s="93"/>
      <c r="G16" s="93"/>
    </row>
    <row r="17" spans="2:11" s="94" customFormat="1" ht="27" x14ac:dyDescent="0.25">
      <c r="B17" s="92">
        <f>B16+1</f>
        <v>5</v>
      </c>
      <c r="C17" s="152"/>
      <c r="D17" s="93" t="s">
        <v>70</v>
      </c>
      <c r="E17" s="152"/>
      <c r="F17" s="93"/>
      <c r="G17" s="93"/>
    </row>
    <row r="18" spans="2:11" s="94" customFormat="1" ht="40.5" x14ac:dyDescent="0.25">
      <c r="B18" s="92">
        <f>B17+1</f>
        <v>6</v>
      </c>
      <c r="C18" s="152"/>
      <c r="D18" s="93" t="s">
        <v>100</v>
      </c>
      <c r="E18" s="152"/>
      <c r="F18" s="93"/>
      <c r="G18" s="93"/>
    </row>
    <row r="19" spans="2:11" s="94" customFormat="1" x14ac:dyDescent="0.25">
      <c r="B19" s="92"/>
      <c r="C19" s="152"/>
      <c r="D19" s="93"/>
      <c r="E19" s="152"/>
      <c r="F19" s="93"/>
      <c r="G19" s="93"/>
    </row>
    <row r="20" spans="2:11" s="191" customFormat="1" x14ac:dyDescent="0.25">
      <c r="B20" s="189"/>
      <c r="C20" s="192"/>
      <c r="D20" s="190"/>
      <c r="E20" s="192"/>
    </row>
    <row r="21" spans="2:11" s="94" customFormat="1" ht="19.5" customHeight="1" x14ac:dyDescent="0.25">
      <c r="B21" s="160" t="s">
        <v>6</v>
      </c>
      <c r="C21" s="152"/>
      <c r="D21" s="160" t="s">
        <v>27</v>
      </c>
      <c r="E21" s="152"/>
      <c r="F21" s="159" t="s">
        <v>26</v>
      </c>
      <c r="G21" s="159"/>
    </row>
    <row r="22" spans="2:11" s="96" customFormat="1" ht="19.5" customHeight="1" x14ac:dyDescent="0.25">
      <c r="B22" s="160"/>
      <c r="C22" s="152"/>
      <c r="D22" s="160"/>
      <c r="E22" s="152"/>
      <c r="F22" s="86" t="s">
        <v>28</v>
      </c>
      <c r="G22" s="88" t="s">
        <v>29</v>
      </c>
    </row>
    <row r="23" spans="2:11" s="193" customFormat="1" x14ac:dyDescent="0.25">
      <c r="B23" s="194"/>
      <c r="C23" s="192"/>
      <c r="E23" s="192"/>
      <c r="F23" s="195"/>
      <c r="G23" s="195"/>
    </row>
    <row r="24" spans="2:11" s="100" customFormat="1" ht="34.5" customHeight="1" x14ac:dyDescent="0.25">
      <c r="B24" s="98">
        <v>1</v>
      </c>
      <c r="C24" s="152"/>
      <c r="D24" s="99" t="s">
        <v>23</v>
      </c>
      <c r="E24" s="152"/>
      <c r="F24" s="99"/>
      <c r="G24" s="99"/>
    </row>
    <row r="25" spans="2:11" s="100" customFormat="1" ht="34.5" customHeight="1" x14ac:dyDescent="0.25">
      <c r="B25" s="98">
        <f>B24+1</f>
        <v>2</v>
      </c>
      <c r="C25" s="152"/>
      <c r="D25" s="99" t="s">
        <v>24</v>
      </c>
      <c r="E25" s="152"/>
      <c r="F25" s="99"/>
      <c r="G25" s="99"/>
    </row>
    <row r="26" spans="2:11" s="100" customFormat="1" ht="48.75" customHeight="1" x14ac:dyDescent="0.25">
      <c r="B26" s="98">
        <f>B25+1</f>
        <v>3</v>
      </c>
      <c r="C26" s="152"/>
      <c r="D26" s="99" t="s">
        <v>36</v>
      </c>
      <c r="E26" s="152"/>
      <c r="F26" s="99"/>
      <c r="G26" s="99"/>
    </row>
    <row r="27" spans="2:11" s="100" customFormat="1" ht="34.5" customHeight="1" x14ac:dyDescent="0.25">
      <c r="B27" s="98">
        <f>B26+1</f>
        <v>4</v>
      </c>
      <c r="C27" s="152"/>
      <c r="D27" s="99" t="s">
        <v>37</v>
      </c>
      <c r="E27" s="152"/>
      <c r="F27" s="99"/>
      <c r="G27" s="99"/>
    </row>
    <row r="28" spans="2:11" s="94" customFormat="1" x14ac:dyDescent="0.25">
      <c r="B28" s="101"/>
      <c r="C28" s="152"/>
      <c r="D28" s="93"/>
      <c r="E28" s="152"/>
      <c r="F28" s="93"/>
      <c r="G28" s="93"/>
    </row>
    <row r="29" spans="2:11" s="96" customFormat="1" hidden="1" x14ac:dyDescent="0.25">
      <c r="C29" s="152"/>
      <c r="E29" s="152"/>
    </row>
    <row r="30" spans="2:11" s="96" customFormat="1" hidden="1" x14ac:dyDescent="0.25">
      <c r="C30" s="153"/>
      <c r="E30" s="153"/>
      <c r="F30" s="102"/>
      <c r="G30" s="102"/>
      <c r="H30" s="102"/>
      <c r="I30" s="102"/>
      <c r="J30" s="102"/>
      <c r="K30" s="102"/>
    </row>
    <row r="31" spans="2:11" s="96" customFormat="1" hidden="1" x14ac:dyDescent="0.25">
      <c r="C31" s="152"/>
      <c r="E31" s="152"/>
    </row>
    <row r="32" spans="2:11" hidden="1" x14ac:dyDescent="0.25">
      <c r="C32" s="152"/>
      <c r="E32" s="152"/>
    </row>
    <row r="33" spans="3:5" hidden="1" x14ac:dyDescent="0.25">
      <c r="C33" s="153"/>
      <c r="E33" s="153"/>
    </row>
    <row r="34" spans="3:5" hidden="1" x14ac:dyDescent="0.25">
      <c r="C34" s="153"/>
      <c r="E34" s="153"/>
    </row>
    <row r="35" spans="3:5" hidden="1" x14ac:dyDescent="0.25">
      <c r="C35" s="153"/>
      <c r="E35" s="153"/>
    </row>
    <row r="36" spans="3:5" hidden="1" x14ac:dyDescent="0.25">
      <c r="C36" s="152"/>
      <c r="E36" s="152"/>
    </row>
    <row r="37" spans="3:5" hidden="1" x14ac:dyDescent="0.25">
      <c r="C37" s="152"/>
      <c r="E37" s="152"/>
    </row>
    <row r="38" spans="3:5" hidden="1" x14ac:dyDescent="0.25">
      <c r="C38" s="152"/>
      <c r="E38" s="152"/>
    </row>
    <row r="40" spans="3:5" x14ac:dyDescent="0.25"/>
    <row r="41" spans="3:5" x14ac:dyDescent="0.25"/>
    <row r="42" spans="3:5" x14ac:dyDescent="0.25"/>
    <row r="43" spans="3:5" x14ac:dyDescent="0.25"/>
  </sheetData>
  <mergeCells count="6">
    <mergeCell ref="F10:G10"/>
    <mergeCell ref="F21:G21"/>
    <mergeCell ref="D10:D11"/>
    <mergeCell ref="B10:B11"/>
    <mergeCell ref="B21:B22"/>
    <mergeCell ref="D21:D22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90"/>
  <sheetViews>
    <sheetView showGridLines="0" zoomScaleSheetLayoutView="100" workbookViewId="0">
      <selection activeCell="I1" sqref="I1"/>
    </sheetView>
  </sheetViews>
  <sheetFormatPr defaultColWidth="0" defaultRowHeight="13.5" zeroHeight="1" x14ac:dyDescent="0.25"/>
  <cols>
    <col min="1" max="1" width="1" style="81" customWidth="1"/>
    <col min="2" max="2" width="7.7109375" style="96" customWidth="1"/>
    <col min="3" max="3" width="33" style="96" customWidth="1"/>
    <col min="4" max="4" width="0.7109375" style="96" customWidth="1"/>
    <col min="5" max="5" width="11.7109375" style="96" bestFit="1" customWidth="1"/>
    <col min="6" max="6" width="0.7109375" style="96" customWidth="1"/>
    <col min="7" max="8" width="14.42578125" style="96" customWidth="1"/>
    <col min="9" max="9" width="0.5703125" style="193" customWidth="1"/>
    <col min="10" max="11" width="14.42578125" style="96" customWidth="1"/>
    <col min="12" max="12" width="0.5703125" style="193" customWidth="1"/>
    <col min="13" max="13" width="21.7109375" style="96" bestFit="1" customWidth="1"/>
    <col min="14" max="14" width="1" style="81" customWidth="1"/>
    <col min="15" max="16384" width="9.140625" style="96" hidden="1"/>
  </cols>
  <sheetData>
    <row r="1" spans="1:17" ht="15" x14ac:dyDescent="0.3">
      <c r="A1" s="77"/>
      <c r="B1" s="64" t="str">
        <f>Index!$B$1</f>
        <v>ABC &amp; Co.</v>
      </c>
      <c r="G1" s="102"/>
      <c r="I1" s="185"/>
      <c r="K1" s="77"/>
      <c r="L1" s="185"/>
      <c r="M1" s="103" t="str">
        <f>Index!F14</f>
        <v>BS.05 - 2</v>
      </c>
      <c r="N1" s="96"/>
    </row>
    <row r="2" spans="1:17" x14ac:dyDescent="0.25">
      <c r="A2" s="77"/>
      <c r="B2" s="65" t="str">
        <f>Index!$B$2</f>
        <v>(Chartered Accountants)</v>
      </c>
      <c r="E2" s="104"/>
      <c r="F2" s="104"/>
      <c r="G2" s="81"/>
      <c r="I2" s="185"/>
      <c r="K2" s="77"/>
      <c r="L2" s="185"/>
      <c r="N2" s="96"/>
    </row>
    <row r="3" spans="1:17" x14ac:dyDescent="0.25">
      <c r="A3" s="77"/>
      <c r="N3" s="77"/>
    </row>
    <row r="4" spans="1:17" s="65" customFormat="1" ht="15" x14ac:dyDescent="0.25">
      <c r="A4" s="81"/>
      <c r="B4" s="66" t="s">
        <v>0</v>
      </c>
      <c r="C4" s="82" t="str">
        <f>Index!$D$4</f>
        <v>ABC Limited</v>
      </c>
      <c r="D4" s="119"/>
      <c r="I4" s="196"/>
      <c r="K4" s="78" t="str">
        <f>Index!$H$4</f>
        <v>Prepared by:</v>
      </c>
      <c r="L4" s="196"/>
      <c r="M4" s="74" t="str">
        <f>IF(Index!$J$4="","",Index!$J$4)</f>
        <v/>
      </c>
      <c r="N4" s="81"/>
    </row>
    <row r="5" spans="1:17" s="65" customFormat="1" ht="15" x14ac:dyDescent="0.25">
      <c r="A5" s="77"/>
      <c r="B5" s="66" t="s">
        <v>1</v>
      </c>
      <c r="C5" s="82" t="str">
        <f>Index!$D$5</f>
        <v>Year ended June 30, 2023</v>
      </c>
      <c r="D5" s="119"/>
      <c r="I5" s="185"/>
      <c r="K5" s="77" t="str">
        <f>Index!$H$5</f>
        <v>Date prepared:</v>
      </c>
      <c r="L5" s="185"/>
      <c r="M5" s="80" t="str">
        <f>IF(Index!$J$5="","",Index!$J$5)</f>
        <v/>
      </c>
      <c r="N5" s="77"/>
    </row>
    <row r="6" spans="1:17" s="65" customFormat="1" ht="15" x14ac:dyDescent="0.25">
      <c r="A6" s="77"/>
      <c r="B6" s="66" t="s">
        <v>2</v>
      </c>
      <c r="C6" s="82" t="str">
        <f>Index!$D$6</f>
        <v>Long term loans and advances</v>
      </c>
      <c r="D6" s="119"/>
      <c r="I6" s="197"/>
      <c r="K6" s="83" t="str">
        <f>Index!$H$6</f>
        <v>Reviewed by:</v>
      </c>
      <c r="L6" s="197"/>
      <c r="M6" s="84" t="str">
        <f>IF(Index!$J$6="","",Index!$J$6)</f>
        <v/>
      </c>
      <c r="N6" s="77"/>
    </row>
    <row r="7" spans="1:17" s="65" customFormat="1" ht="15" x14ac:dyDescent="0.25">
      <c r="A7" s="77"/>
      <c r="B7" s="105"/>
      <c r="C7" s="82"/>
      <c r="D7" s="119"/>
      <c r="I7" s="197"/>
      <c r="K7" s="83" t="str">
        <f>Index!$H$7</f>
        <v>Date reviewed:</v>
      </c>
      <c r="L7" s="197"/>
      <c r="M7" s="84" t="str">
        <f>IF(Index!$J$7="","",Index!$J$7)</f>
        <v/>
      </c>
      <c r="N7" s="77"/>
    </row>
    <row r="8" spans="1:17" ht="15" x14ac:dyDescent="0.25">
      <c r="B8" s="78" t="s">
        <v>9</v>
      </c>
      <c r="C8" s="78"/>
      <c r="D8" s="78"/>
      <c r="E8" s="78"/>
      <c r="F8" s="78"/>
      <c r="G8" s="78"/>
      <c r="H8" s="78"/>
      <c r="I8" s="196"/>
      <c r="J8" s="78"/>
      <c r="K8" s="78"/>
      <c r="L8" s="196"/>
      <c r="M8" s="78"/>
    </row>
    <row r="9" spans="1:17" ht="15" x14ac:dyDescent="0.25">
      <c r="A9" s="96"/>
      <c r="B9" s="102" t="s">
        <v>18</v>
      </c>
      <c r="N9" s="96"/>
    </row>
    <row r="10" spans="1:17" ht="15" x14ac:dyDescent="0.25">
      <c r="A10" s="96"/>
      <c r="B10" s="106" t="s">
        <v>96</v>
      </c>
      <c r="N10" s="96"/>
    </row>
    <row r="11" spans="1:17" ht="14.25" customHeight="1" x14ac:dyDescent="0.25">
      <c r="B11" s="181" t="s">
        <v>30</v>
      </c>
      <c r="C11" s="116"/>
      <c r="D11" s="116"/>
      <c r="E11" s="116"/>
      <c r="F11" s="116"/>
      <c r="G11" s="116"/>
      <c r="H11" s="116"/>
      <c r="I11" s="198"/>
      <c r="J11" s="116"/>
      <c r="K11" s="116"/>
      <c r="L11" s="198"/>
      <c r="M11" s="116"/>
      <c r="N11" s="116"/>
    </row>
    <row r="12" spans="1:17" ht="14.25" customHeight="1" x14ac:dyDescent="0.25">
      <c r="B12" s="107"/>
      <c r="C12" s="107"/>
      <c r="D12" s="107"/>
      <c r="E12" s="107"/>
      <c r="F12" s="107"/>
      <c r="G12" s="107"/>
      <c r="H12" s="107"/>
      <c r="I12" s="199"/>
      <c r="J12" s="107"/>
      <c r="K12" s="107"/>
      <c r="L12" s="199"/>
      <c r="M12" s="107"/>
      <c r="N12" s="107"/>
    </row>
    <row r="13" spans="1:17" ht="15" x14ac:dyDescent="0.25">
      <c r="A13" s="96"/>
      <c r="B13" s="106" t="s">
        <v>17</v>
      </c>
      <c r="C13" s="108"/>
      <c r="D13" s="108"/>
      <c r="E13" s="108"/>
      <c r="F13" s="108"/>
      <c r="G13" s="108"/>
      <c r="H13" s="108"/>
      <c r="I13" s="200"/>
      <c r="J13" s="108"/>
      <c r="K13" s="108"/>
      <c r="L13" s="200"/>
      <c r="M13" s="108"/>
      <c r="N13" s="96"/>
    </row>
    <row r="14" spans="1:17" ht="14.25" customHeight="1" x14ac:dyDescent="0.25">
      <c r="A14" s="96"/>
      <c r="B14" s="181" t="s">
        <v>35</v>
      </c>
      <c r="C14" s="116"/>
      <c r="D14" s="116"/>
      <c r="E14" s="116"/>
      <c r="F14" s="116"/>
      <c r="G14" s="116"/>
      <c r="H14" s="116"/>
      <c r="I14" s="198"/>
      <c r="J14" s="116"/>
      <c r="K14" s="116"/>
      <c r="L14" s="198"/>
      <c r="M14" s="116"/>
      <c r="N14" s="109"/>
      <c r="O14" s="109"/>
      <c r="P14" s="109"/>
      <c r="Q14" s="109"/>
    </row>
    <row r="15" spans="1:17" ht="14.25" customHeight="1" x14ac:dyDescent="0.25">
      <c r="A15" s="96"/>
      <c r="B15" s="181" t="s">
        <v>101</v>
      </c>
      <c r="C15" s="116"/>
      <c r="D15" s="116"/>
      <c r="E15" s="116"/>
      <c r="F15" s="116"/>
      <c r="G15" s="116"/>
      <c r="H15" s="116"/>
      <c r="I15" s="198"/>
      <c r="J15" s="116"/>
      <c r="K15" s="116"/>
      <c r="L15" s="198"/>
      <c r="M15" s="116"/>
      <c r="N15" s="110"/>
      <c r="O15" s="110"/>
      <c r="P15" s="110"/>
      <c r="Q15" s="110"/>
    </row>
    <row r="16" spans="1:17" ht="14.25" customHeight="1" x14ac:dyDescent="0.25">
      <c r="A16" s="96"/>
      <c r="B16" s="116"/>
      <c r="C16" s="116"/>
      <c r="D16" s="116"/>
      <c r="E16" s="116"/>
      <c r="F16" s="116"/>
      <c r="G16" s="116"/>
      <c r="H16" s="116"/>
      <c r="I16" s="198"/>
      <c r="J16" s="116"/>
      <c r="K16" s="116"/>
      <c r="L16" s="198"/>
      <c r="M16" s="116"/>
      <c r="N16" s="110"/>
      <c r="O16" s="110"/>
      <c r="P16" s="110"/>
      <c r="Q16" s="110"/>
    </row>
    <row r="17" spans="1:17" ht="14.25" customHeight="1" x14ac:dyDescent="0.3">
      <c r="A17" s="96"/>
      <c r="B17" s="128" t="s">
        <v>109</v>
      </c>
      <c r="C17" s="116"/>
      <c r="D17" s="116"/>
      <c r="E17" s="116"/>
      <c r="F17" s="116"/>
      <c r="G17" s="116"/>
      <c r="H17" s="116"/>
      <c r="I17" s="198"/>
      <c r="J17" s="116"/>
      <c r="K17" s="116"/>
      <c r="L17" s="198"/>
      <c r="M17" s="116"/>
      <c r="N17" s="110"/>
      <c r="O17" s="110"/>
      <c r="P17" s="110"/>
      <c r="Q17" s="110"/>
    </row>
    <row r="18" spans="1:17" ht="14.25" customHeight="1" x14ac:dyDescent="0.25">
      <c r="A18" s="96"/>
      <c r="B18" s="129" t="s">
        <v>110</v>
      </c>
      <c r="C18" s="116"/>
      <c r="D18" s="116"/>
      <c r="E18" s="116"/>
      <c r="F18" s="116"/>
      <c r="G18" s="116"/>
      <c r="H18" s="116"/>
      <c r="I18" s="198"/>
      <c r="J18" s="116"/>
      <c r="K18" s="116"/>
      <c r="L18" s="198"/>
      <c r="M18" s="116"/>
      <c r="N18" s="110"/>
      <c r="O18" s="110"/>
      <c r="P18" s="110"/>
      <c r="Q18" s="110"/>
    </row>
    <row r="19" spans="1:17" ht="14.25" customHeight="1" x14ac:dyDescent="0.25">
      <c r="A19" s="96"/>
      <c r="B19" s="130"/>
      <c r="C19" s="116"/>
      <c r="D19" s="116"/>
      <c r="E19" s="116"/>
      <c r="F19" s="116"/>
      <c r="G19" s="116"/>
      <c r="H19" s="116"/>
      <c r="I19" s="198"/>
      <c r="J19" s="116"/>
      <c r="K19" s="116"/>
      <c r="L19" s="198"/>
      <c r="M19" s="116"/>
      <c r="N19" s="110"/>
      <c r="O19" s="110"/>
      <c r="P19" s="110"/>
      <c r="Q19" s="110"/>
    </row>
    <row r="20" spans="1:17" ht="14.25" customHeight="1" x14ac:dyDescent="0.3">
      <c r="A20" s="96"/>
      <c r="B20" s="128" t="s">
        <v>27</v>
      </c>
      <c r="C20" s="116"/>
      <c r="D20" s="116"/>
      <c r="E20" s="116"/>
      <c r="F20" s="116"/>
      <c r="G20" s="116"/>
      <c r="H20" s="116"/>
      <c r="I20" s="198"/>
      <c r="J20" s="116"/>
      <c r="K20" s="116"/>
      <c r="L20" s="198"/>
      <c r="M20" s="116"/>
      <c r="N20" s="110"/>
      <c r="O20" s="110"/>
      <c r="P20" s="110"/>
      <c r="Q20" s="110"/>
    </row>
    <row r="21" spans="1:17" ht="14.25" customHeight="1" x14ac:dyDescent="0.25">
      <c r="A21" s="96"/>
      <c r="B21" s="129" t="s">
        <v>26</v>
      </c>
      <c r="C21" s="116"/>
      <c r="D21" s="116"/>
      <c r="E21" s="116"/>
      <c r="F21" s="116"/>
      <c r="G21" s="116"/>
      <c r="H21" s="116"/>
      <c r="I21" s="198"/>
      <c r="J21" s="116"/>
      <c r="K21" s="116"/>
      <c r="L21" s="198"/>
      <c r="M21" s="116"/>
      <c r="N21" s="110"/>
      <c r="O21" s="110"/>
      <c r="P21" s="110"/>
      <c r="Q21" s="110"/>
    </row>
    <row r="22" spans="1:17" ht="14.25" customHeight="1" x14ac:dyDescent="0.25">
      <c r="A22" s="96"/>
      <c r="B22" s="116"/>
      <c r="C22" s="116"/>
      <c r="D22" s="116"/>
      <c r="E22" s="116"/>
      <c r="F22" s="116"/>
      <c r="G22" s="116"/>
      <c r="H22" s="116"/>
      <c r="I22" s="198"/>
      <c r="J22" s="116"/>
      <c r="K22" s="116"/>
      <c r="L22" s="198"/>
      <c r="M22" s="116"/>
      <c r="N22" s="110"/>
      <c r="O22" s="110"/>
      <c r="P22" s="110"/>
      <c r="Q22" s="110"/>
    </row>
    <row r="23" spans="1:17" x14ac:dyDescent="0.25">
      <c r="A23" s="77"/>
      <c r="B23" s="96" t="s">
        <v>3</v>
      </c>
      <c r="N23" s="77"/>
    </row>
    <row r="24" spans="1:17" ht="15" customHeight="1" x14ac:dyDescent="0.25">
      <c r="B24" s="161" t="s">
        <v>22</v>
      </c>
      <c r="C24" s="161"/>
      <c r="D24" s="120"/>
      <c r="E24" s="161" t="s">
        <v>21</v>
      </c>
      <c r="F24" s="120"/>
      <c r="G24" s="111">
        <v>2022</v>
      </c>
      <c r="H24" s="111">
        <v>2021</v>
      </c>
      <c r="I24" s="201"/>
      <c r="J24" s="111" t="s">
        <v>12</v>
      </c>
      <c r="K24" s="111" t="s">
        <v>12</v>
      </c>
      <c r="L24" s="201"/>
      <c r="M24" s="161" t="s">
        <v>13</v>
      </c>
    </row>
    <row r="25" spans="1:17" ht="15" x14ac:dyDescent="0.25">
      <c r="A25" s="91"/>
      <c r="B25" s="161"/>
      <c r="C25" s="161"/>
      <c r="D25" s="120"/>
      <c r="E25" s="161"/>
      <c r="F25" s="120"/>
      <c r="G25" s="111" t="s">
        <v>31</v>
      </c>
      <c r="H25" s="111" t="s">
        <v>31</v>
      </c>
      <c r="I25" s="201"/>
      <c r="J25" s="111" t="s">
        <v>31</v>
      </c>
      <c r="K25" s="111" t="s">
        <v>15</v>
      </c>
      <c r="L25" s="201"/>
      <c r="M25" s="161"/>
      <c r="N25" s="91"/>
    </row>
    <row r="26" spans="1:17" x14ac:dyDescent="0.25">
      <c r="B26" s="163"/>
      <c r="C26" s="163"/>
      <c r="D26" s="121"/>
      <c r="E26" s="97"/>
      <c r="G26" s="117"/>
      <c r="H26" s="117"/>
      <c r="I26" s="202"/>
      <c r="J26" s="117"/>
      <c r="K26" s="118"/>
      <c r="L26" s="202"/>
      <c r="M26" s="117"/>
    </row>
    <row r="27" spans="1:17" ht="15" x14ac:dyDescent="0.25">
      <c r="A27" s="91"/>
      <c r="B27" s="164" t="str">
        <f>C6</f>
        <v>Long term loans and advances</v>
      </c>
      <c r="C27" s="164"/>
      <c r="D27" s="122"/>
      <c r="E27" s="112"/>
      <c r="F27" s="127"/>
      <c r="G27" s="113"/>
      <c r="H27" s="114"/>
      <c r="I27" s="202"/>
      <c r="J27" s="114"/>
      <c r="K27" s="115"/>
      <c r="L27" s="202"/>
      <c r="M27" s="114"/>
      <c r="N27" s="91"/>
    </row>
    <row r="28" spans="1:17" x14ac:dyDescent="0.25">
      <c r="A28" s="95"/>
      <c r="B28" s="165" t="s">
        <v>63</v>
      </c>
      <c r="C28" s="165"/>
      <c r="D28" s="123"/>
      <c r="E28" s="112"/>
      <c r="F28" s="127"/>
      <c r="G28" s="113"/>
      <c r="H28" s="114"/>
      <c r="I28" s="202"/>
      <c r="J28" s="114">
        <f t="shared" ref="J28:J31" si="0">G28-H28</f>
        <v>0</v>
      </c>
      <c r="K28" s="115" t="str">
        <f>IFERROR(J28/H28,"")</f>
        <v/>
      </c>
      <c r="L28" s="202"/>
      <c r="M28" s="114"/>
      <c r="N28" s="95"/>
    </row>
    <row r="29" spans="1:17" x14ac:dyDescent="0.25">
      <c r="A29" s="95"/>
      <c r="B29" s="162" t="s">
        <v>64</v>
      </c>
      <c r="C29" s="162"/>
      <c r="D29" s="124"/>
      <c r="E29" s="112"/>
      <c r="F29" s="127"/>
      <c r="G29" s="113"/>
      <c r="H29" s="114"/>
      <c r="I29" s="202"/>
      <c r="J29" s="114">
        <f t="shared" si="0"/>
        <v>0</v>
      </c>
      <c r="K29" s="115" t="str">
        <f t="shared" ref="K29:K31" si="1">IFERROR(J29/H29,"")</f>
        <v/>
      </c>
      <c r="L29" s="202"/>
      <c r="M29" s="114"/>
      <c r="N29" s="95"/>
    </row>
    <row r="30" spans="1:17" x14ac:dyDescent="0.25">
      <c r="A30" s="95"/>
      <c r="B30" s="162" t="s">
        <v>65</v>
      </c>
      <c r="C30" s="162"/>
      <c r="D30" s="124"/>
      <c r="E30" s="112"/>
      <c r="F30" s="127"/>
      <c r="G30" s="113"/>
      <c r="H30" s="114"/>
      <c r="I30" s="202"/>
      <c r="J30" s="114">
        <f t="shared" si="0"/>
        <v>0</v>
      </c>
      <c r="K30" s="115" t="str">
        <f t="shared" si="1"/>
        <v/>
      </c>
      <c r="L30" s="202"/>
      <c r="M30" s="114"/>
      <c r="N30" s="95"/>
    </row>
    <row r="31" spans="1:17" x14ac:dyDescent="0.25">
      <c r="A31" s="95"/>
      <c r="B31" s="166" t="s">
        <v>71</v>
      </c>
      <c r="C31" s="162"/>
      <c r="D31" s="124"/>
      <c r="E31" s="112"/>
      <c r="F31" s="127"/>
      <c r="G31" s="113"/>
      <c r="H31" s="114"/>
      <c r="I31" s="202"/>
      <c r="J31" s="114">
        <f t="shared" si="0"/>
        <v>0</v>
      </c>
      <c r="K31" s="115" t="str">
        <f t="shared" si="1"/>
        <v/>
      </c>
      <c r="L31" s="202"/>
      <c r="M31" s="114"/>
      <c r="N31" s="95"/>
    </row>
    <row r="32" spans="1:17" x14ac:dyDescent="0.25">
      <c r="A32" s="95"/>
      <c r="B32" s="162"/>
      <c r="C32" s="162"/>
      <c r="D32" s="124"/>
      <c r="E32" s="112"/>
      <c r="F32" s="127"/>
      <c r="G32" s="113"/>
      <c r="H32" s="114"/>
      <c r="I32" s="202"/>
      <c r="J32" s="114"/>
      <c r="K32" s="115"/>
      <c r="L32" s="202"/>
      <c r="M32" s="114"/>
      <c r="N32" s="95"/>
    </row>
    <row r="33" spans="1:17" x14ac:dyDescent="0.25">
      <c r="A33" s="96"/>
      <c r="B33" s="162"/>
      <c r="C33" s="162"/>
      <c r="D33" s="124"/>
      <c r="E33" s="112"/>
      <c r="F33" s="127"/>
      <c r="G33" s="113"/>
      <c r="H33" s="114"/>
      <c r="I33" s="202"/>
      <c r="J33" s="114"/>
      <c r="K33" s="115"/>
      <c r="L33" s="202"/>
      <c r="M33" s="114"/>
      <c r="N33" s="96"/>
    </row>
    <row r="34" spans="1:17" x14ac:dyDescent="0.25">
      <c r="A34" s="96"/>
      <c r="B34" s="168"/>
      <c r="C34" s="168"/>
      <c r="D34" s="125"/>
      <c r="E34" s="112"/>
      <c r="F34" s="127"/>
      <c r="G34" s="113"/>
      <c r="H34" s="114"/>
      <c r="I34" s="202"/>
      <c r="J34" s="114"/>
      <c r="K34" s="115"/>
      <c r="L34" s="202"/>
      <c r="M34" s="114"/>
      <c r="N34" s="96"/>
    </row>
    <row r="35" spans="1:17" ht="15" x14ac:dyDescent="0.25">
      <c r="A35" s="96"/>
      <c r="B35" s="167" t="s">
        <v>4</v>
      </c>
      <c r="C35" s="167"/>
      <c r="D35" s="126"/>
      <c r="E35" s="112"/>
      <c r="F35" s="127"/>
      <c r="G35" s="114">
        <f>SUM(G26:G34)</f>
        <v>0</v>
      </c>
      <c r="H35" s="114">
        <f>SUM(H26:H33)</f>
        <v>0</v>
      </c>
      <c r="I35" s="203"/>
      <c r="J35" s="114">
        <f>SUM(J26:J33)</f>
        <v>0</v>
      </c>
      <c r="K35" s="114"/>
      <c r="L35" s="203"/>
      <c r="M35" s="114"/>
      <c r="N35" s="96"/>
    </row>
    <row r="36" spans="1:17" x14ac:dyDescent="0.25">
      <c r="A36" s="96"/>
      <c r="N36" s="96"/>
    </row>
    <row r="37" spans="1:17" ht="14.25" customHeight="1" x14ac:dyDescent="0.25">
      <c r="A37" s="96"/>
      <c r="B37" s="107"/>
      <c r="C37" s="107"/>
      <c r="D37" s="107"/>
      <c r="E37" s="107"/>
      <c r="F37" s="107"/>
      <c r="G37" s="107"/>
      <c r="H37" s="107"/>
      <c r="I37" s="199"/>
      <c r="J37" s="107"/>
      <c r="K37" s="107"/>
      <c r="L37" s="199"/>
      <c r="M37" s="107"/>
      <c r="N37" s="110"/>
      <c r="O37" s="110"/>
      <c r="P37" s="110"/>
      <c r="Q37" s="110"/>
    </row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</sheetData>
  <mergeCells count="13">
    <mergeCell ref="B35:C35"/>
    <mergeCell ref="B34:C34"/>
    <mergeCell ref="M24:M25"/>
    <mergeCell ref="B24:C25"/>
    <mergeCell ref="E24:E25"/>
    <mergeCell ref="B33:C33"/>
    <mergeCell ref="B32:C32"/>
    <mergeCell ref="B26:C26"/>
    <mergeCell ref="B27:C27"/>
    <mergeCell ref="B28:C28"/>
    <mergeCell ref="B29:C29"/>
    <mergeCell ref="B30:C30"/>
    <mergeCell ref="B31:C31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9"/>
  <sheetViews>
    <sheetView showGridLines="0" zoomScaleSheetLayoutView="100" workbookViewId="0">
      <selection activeCell="L1" sqref="L1"/>
    </sheetView>
  </sheetViews>
  <sheetFormatPr defaultColWidth="0" defaultRowHeight="16.5" zeroHeight="1" x14ac:dyDescent="0.25"/>
  <cols>
    <col min="1" max="1" width="1" style="7" customWidth="1"/>
    <col min="2" max="2" width="12" style="28" customWidth="1"/>
    <col min="3" max="3" width="33" style="28" customWidth="1"/>
    <col min="4" max="4" width="0.85546875" style="28" customWidth="1"/>
    <col min="5" max="5" width="11.7109375" style="28" bestFit="1" customWidth="1"/>
    <col min="6" max="6" width="0.7109375" style="28" customWidth="1"/>
    <col min="7" max="8" width="14.42578125" style="28" customWidth="1"/>
    <col min="9" max="9" width="0.7109375" style="28" customWidth="1"/>
    <col min="10" max="11" width="14.42578125" style="28" customWidth="1"/>
    <col min="12" max="12" width="0.7109375" style="28" customWidth="1"/>
    <col min="13" max="13" width="21.7109375" style="28" bestFit="1" customWidth="1"/>
    <col min="14" max="14" width="4" style="7" customWidth="1"/>
    <col min="15" max="16384" width="9.140625" style="28" hidden="1"/>
  </cols>
  <sheetData>
    <row r="1" spans="1:18" s="36" customFormat="1" x14ac:dyDescent="0.3">
      <c r="A1" s="4"/>
      <c r="B1" s="64" t="str">
        <f>Index!$B$1</f>
        <v>ABC &amp; Co.</v>
      </c>
      <c r="C1" s="96"/>
      <c r="D1" s="96"/>
      <c r="G1" s="37"/>
      <c r="K1" s="4"/>
      <c r="M1" s="46" t="str">
        <f>Index!F16</f>
        <v>BS.05 - 3</v>
      </c>
    </row>
    <row r="2" spans="1:18" s="36" customFormat="1" ht="15.75" x14ac:dyDescent="0.25">
      <c r="A2" s="4"/>
      <c r="B2" s="65" t="str">
        <f>Index!$B$2</f>
        <v>(Chartered Accountants)</v>
      </c>
      <c r="C2" s="96"/>
      <c r="D2" s="96"/>
      <c r="E2" s="39"/>
      <c r="F2" s="39"/>
      <c r="G2" s="40"/>
      <c r="I2" s="39"/>
      <c r="K2" s="4"/>
      <c r="L2" s="39"/>
    </row>
    <row r="3" spans="1:18" x14ac:dyDescent="0.25">
      <c r="A3" s="8"/>
      <c r="B3" s="96"/>
      <c r="C3" s="96"/>
      <c r="D3" s="96"/>
      <c r="N3" s="8"/>
    </row>
    <row r="4" spans="1:18" s="5" customFormat="1" x14ac:dyDescent="0.3">
      <c r="A4" s="7"/>
      <c r="B4" s="66" t="s">
        <v>0</v>
      </c>
      <c r="C4" s="82" t="str">
        <f>Index!$D$4</f>
        <v>ABC Limited</v>
      </c>
      <c r="D4" s="119"/>
      <c r="K4" s="78" t="str">
        <f>Index!$H$4</f>
        <v>Prepared by:</v>
      </c>
      <c r="M4" s="74" t="str">
        <f>IF(Index!$J$4="","",Index!$J$4)</f>
        <v/>
      </c>
      <c r="N4" s="7"/>
    </row>
    <row r="5" spans="1:18" s="5" customFormat="1" x14ac:dyDescent="0.3">
      <c r="A5" s="8"/>
      <c r="B5" s="66" t="s">
        <v>1</v>
      </c>
      <c r="C5" s="82" t="str">
        <f>Index!$D$5</f>
        <v>Year ended June 30, 2023</v>
      </c>
      <c r="D5" s="119"/>
      <c r="K5" s="77" t="str">
        <f>Index!$H$5</f>
        <v>Date prepared:</v>
      </c>
      <c r="M5" s="80" t="str">
        <f>IF(Index!$J$5="","",Index!$J$5)</f>
        <v/>
      </c>
      <c r="N5" s="8"/>
    </row>
    <row r="6" spans="1:18" s="5" customFormat="1" x14ac:dyDescent="0.3">
      <c r="A6" s="8"/>
      <c r="B6" s="66" t="s">
        <v>2</v>
      </c>
      <c r="C6" s="82" t="str">
        <f>Index!$D$6</f>
        <v>Long term loans and advances</v>
      </c>
      <c r="D6" s="119"/>
      <c r="K6" s="83" t="str">
        <f>Index!$H$6</f>
        <v>Reviewed by:</v>
      </c>
      <c r="M6" s="84" t="str">
        <f>IF(Index!$J$6="","",Index!$J$6)</f>
        <v/>
      </c>
      <c r="N6" s="8"/>
    </row>
    <row r="7" spans="1:18" s="5" customFormat="1" x14ac:dyDescent="0.3">
      <c r="A7" s="8"/>
      <c r="B7" s="51"/>
      <c r="C7" s="10"/>
      <c r="D7" s="135"/>
      <c r="K7" s="83" t="str">
        <f>Index!$H$7</f>
        <v>Date reviewed:</v>
      </c>
      <c r="M7" s="84" t="str">
        <f>IF(Index!$J$7="","",Index!$J$7)</f>
        <v/>
      </c>
      <c r="N7" s="8"/>
    </row>
    <row r="8" spans="1:18" x14ac:dyDescent="0.25">
      <c r="B8" s="131" t="s">
        <v>16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</row>
    <row r="9" spans="1:18" x14ac:dyDescent="0.25">
      <c r="A9" s="28"/>
      <c r="B9" s="32" t="s">
        <v>18</v>
      </c>
      <c r="N9" s="28"/>
    </row>
    <row r="10" spans="1:18" x14ac:dyDescent="0.25">
      <c r="A10" s="28"/>
      <c r="B10" s="52" t="s">
        <v>17</v>
      </c>
      <c r="N10" s="28"/>
    </row>
    <row r="11" spans="1:18" ht="16.5" customHeight="1" x14ac:dyDescent="0.25">
      <c r="A11" s="28"/>
      <c r="B11" s="53" t="s">
        <v>75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53"/>
      <c r="O11" s="53"/>
      <c r="P11" s="53"/>
      <c r="Q11" s="53"/>
      <c r="R11" s="53"/>
    </row>
    <row r="12" spans="1:18" x14ac:dyDescent="0.25">
      <c r="A12" s="28"/>
      <c r="B12" s="53" t="s">
        <v>76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53"/>
      <c r="O12" s="53"/>
      <c r="P12" s="53"/>
      <c r="Q12" s="53"/>
      <c r="R12" s="53"/>
    </row>
    <row r="13" spans="1:18" x14ac:dyDescent="0.25">
      <c r="A13" s="28"/>
      <c r="B13" s="183" t="s">
        <v>77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53"/>
      <c r="O13" s="53"/>
      <c r="P13" s="53"/>
      <c r="Q13" s="53"/>
      <c r="R13" s="53"/>
    </row>
    <row r="14" spans="1:18" x14ac:dyDescent="0.25">
      <c r="A14" s="28"/>
      <c r="B14" s="183" t="s">
        <v>78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53"/>
      <c r="O14" s="53"/>
      <c r="P14" s="53"/>
      <c r="Q14" s="53"/>
      <c r="R14" s="53"/>
    </row>
    <row r="15" spans="1:18" x14ac:dyDescent="0.25">
      <c r="A15" s="28"/>
      <c r="B15" s="184" t="s">
        <v>79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53"/>
      <c r="O15" s="53"/>
      <c r="P15" s="53"/>
      <c r="Q15" s="53"/>
      <c r="R15" s="53"/>
    </row>
    <row r="16" spans="1:18" x14ac:dyDescent="0.25">
      <c r="B16" s="53" t="s">
        <v>80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</row>
    <row r="17" spans="2:13" ht="16.5" customHeight="1" x14ac:dyDescent="0.25">
      <c r="B17" s="53" t="s">
        <v>81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</row>
    <row r="18" spans="2:13" x14ac:dyDescent="0.25">
      <c r="B18" s="183" t="s">
        <v>82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</row>
    <row r="19" spans="2:13" x14ac:dyDescent="0.25">
      <c r="B19" s="183" t="s">
        <v>83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</row>
    <row r="20" spans="2:13" x14ac:dyDescent="0.25">
      <c r="B20" s="183" t="s">
        <v>84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</row>
    <row r="21" spans="2:13" x14ac:dyDescent="0.25">
      <c r="B21" s="53" t="s">
        <v>85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  <row r="22" spans="2:13" ht="16.5" customHeight="1" x14ac:dyDescent="0.25">
      <c r="B22" s="53" t="s">
        <v>86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</row>
    <row r="23" spans="2:13" x14ac:dyDescent="0.25">
      <c r="B23" s="53" t="s">
        <v>111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</row>
    <row r="24" spans="2:13" x14ac:dyDescent="0.25">
      <c r="B24" s="53" t="s">
        <v>112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x14ac:dyDescent="0.25">
      <c r="B25" s="53" t="s">
        <v>87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</row>
    <row r="26" spans="2:13" x14ac:dyDescent="0.25">
      <c r="B26" s="53" t="s">
        <v>97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</row>
    <row r="27" spans="2:13" x14ac:dyDescent="0.25">
      <c r="B27" s="53" t="s">
        <v>98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</row>
    <row r="28" spans="2:13" x14ac:dyDescent="0.25">
      <c r="B28" s="53" t="s">
        <v>88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</row>
    <row r="29" spans="2:13" ht="14.25" customHeight="1" x14ac:dyDescent="0.25">
      <c r="B29" s="183" t="s">
        <v>89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</row>
    <row r="30" spans="2:13" ht="14.25" customHeight="1" x14ac:dyDescent="0.25">
      <c r="B30" s="183" t="s">
        <v>90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</row>
    <row r="31" spans="2:13" ht="14.25" customHeight="1" x14ac:dyDescent="0.25">
      <c r="B31" s="183" t="s">
        <v>91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</row>
    <row r="32" spans="2:13" x14ac:dyDescent="0.25">
      <c r="B32" s="53" t="s">
        <v>92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</row>
    <row r="33" spans="1:14" x14ac:dyDescent="0.25"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</row>
    <row r="34" spans="1:14" x14ac:dyDescent="0.3">
      <c r="B34" s="128" t="s">
        <v>109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</row>
    <row r="35" spans="1:14" x14ac:dyDescent="0.25">
      <c r="B35" s="129" t="s">
        <v>110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</row>
    <row r="36" spans="1:14" x14ac:dyDescent="0.25"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</row>
    <row r="37" spans="1:14" x14ac:dyDescent="0.3">
      <c r="B37" s="128" t="s">
        <v>27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</row>
    <row r="38" spans="1:14" x14ac:dyDescent="0.25">
      <c r="B38" s="129" t="s">
        <v>26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</row>
    <row r="39" spans="1:14" x14ac:dyDescent="0.25">
      <c r="A39" s="8"/>
      <c r="B39" s="28" t="s">
        <v>3</v>
      </c>
      <c r="N39" s="8"/>
    </row>
    <row r="40" spans="1:14" ht="15" customHeight="1" x14ac:dyDescent="0.25">
      <c r="B40" s="169" t="s">
        <v>22</v>
      </c>
      <c r="C40" s="169"/>
      <c r="D40" s="136"/>
      <c r="E40" s="169" t="s">
        <v>21</v>
      </c>
      <c r="F40" s="136"/>
      <c r="G40" s="60">
        <f>Lead!G24</f>
        <v>2022</v>
      </c>
      <c r="H40" s="60">
        <f>Lead!H24</f>
        <v>2021</v>
      </c>
      <c r="I40" s="136"/>
      <c r="J40" s="60" t="s">
        <v>12</v>
      </c>
      <c r="K40" s="60" t="s">
        <v>12</v>
      </c>
      <c r="L40" s="136"/>
      <c r="M40" s="169" t="s">
        <v>13</v>
      </c>
    </row>
    <row r="41" spans="1:14" x14ac:dyDescent="0.25">
      <c r="A41" s="23"/>
      <c r="B41" s="169"/>
      <c r="C41" s="169"/>
      <c r="D41" s="136"/>
      <c r="E41" s="169"/>
      <c r="F41" s="136"/>
      <c r="G41" s="60" t="s">
        <v>31</v>
      </c>
      <c r="H41" s="60" t="s">
        <v>31</v>
      </c>
      <c r="I41" s="136"/>
      <c r="J41" s="60" t="s">
        <v>31</v>
      </c>
      <c r="K41" s="60" t="s">
        <v>15</v>
      </c>
      <c r="L41" s="136"/>
      <c r="M41" s="169"/>
      <c r="N41" s="23"/>
    </row>
    <row r="42" spans="1:14" x14ac:dyDescent="0.25">
      <c r="B42" s="171"/>
      <c r="C42" s="171"/>
      <c r="D42" s="137"/>
      <c r="E42" s="69"/>
      <c r="G42" s="133"/>
      <c r="H42" s="133"/>
      <c r="J42" s="133"/>
      <c r="K42" s="134"/>
      <c r="M42" s="133"/>
    </row>
    <row r="43" spans="1:14" x14ac:dyDescent="0.25">
      <c r="A43" s="23"/>
      <c r="B43" s="47" t="str">
        <f>Lead!B28</f>
        <v>- In Subsidiary Companies</v>
      </c>
      <c r="C43" s="48"/>
      <c r="D43" s="138"/>
      <c r="E43" s="43"/>
      <c r="F43" s="142"/>
      <c r="G43" s="45"/>
      <c r="H43" s="44"/>
      <c r="I43" s="142"/>
      <c r="J43" s="44">
        <f>G43-H43</f>
        <v>0</v>
      </c>
      <c r="K43" s="54" t="str">
        <f>IFERROR(J43/H43,"")</f>
        <v/>
      </c>
      <c r="L43" s="142"/>
      <c r="M43" s="44"/>
      <c r="N43" s="23"/>
    </row>
    <row r="44" spans="1:14" x14ac:dyDescent="0.25">
      <c r="A44" s="23"/>
      <c r="B44" s="170" t="s">
        <v>72</v>
      </c>
      <c r="C44" s="170"/>
      <c r="D44" s="139"/>
      <c r="E44" s="43"/>
      <c r="F44" s="142"/>
      <c r="G44" s="45"/>
      <c r="H44" s="44"/>
      <c r="I44" s="142"/>
      <c r="J44" s="44">
        <f t="shared" ref="J44:J46" si="0">G44-H44</f>
        <v>0</v>
      </c>
      <c r="K44" s="54" t="str">
        <f t="shared" ref="K44:K46" si="1">IFERROR(J44/H44,"")</f>
        <v/>
      </c>
      <c r="L44" s="142"/>
      <c r="M44" s="44"/>
      <c r="N44" s="23"/>
    </row>
    <row r="45" spans="1:14" x14ac:dyDescent="0.25">
      <c r="A45" s="27"/>
      <c r="B45" s="170" t="s">
        <v>73</v>
      </c>
      <c r="C45" s="170"/>
      <c r="D45" s="139"/>
      <c r="E45" s="43"/>
      <c r="F45" s="142"/>
      <c r="G45" s="45"/>
      <c r="H45" s="44"/>
      <c r="I45" s="142"/>
      <c r="J45" s="44">
        <f t="shared" si="0"/>
        <v>0</v>
      </c>
      <c r="K45" s="54" t="str">
        <f t="shared" si="1"/>
        <v/>
      </c>
      <c r="L45" s="142"/>
      <c r="M45" s="44"/>
      <c r="N45" s="27"/>
    </row>
    <row r="46" spans="1:14" x14ac:dyDescent="0.25">
      <c r="A46" s="27"/>
      <c r="B46" s="170" t="s">
        <v>74</v>
      </c>
      <c r="C46" s="170"/>
      <c r="D46" s="139"/>
      <c r="E46" s="43"/>
      <c r="F46" s="142"/>
      <c r="G46" s="45"/>
      <c r="H46" s="44"/>
      <c r="I46" s="142"/>
      <c r="J46" s="44">
        <f t="shared" si="0"/>
        <v>0</v>
      </c>
      <c r="K46" s="54" t="str">
        <f t="shared" si="1"/>
        <v/>
      </c>
      <c r="L46" s="142"/>
      <c r="M46" s="44"/>
      <c r="N46" s="27"/>
    </row>
    <row r="47" spans="1:14" x14ac:dyDescent="0.25">
      <c r="A47" s="27"/>
      <c r="B47" s="170"/>
      <c r="C47" s="170"/>
      <c r="D47" s="139"/>
      <c r="E47" s="43"/>
      <c r="F47" s="142"/>
      <c r="G47" s="45"/>
      <c r="H47" s="44"/>
      <c r="I47" s="142"/>
      <c r="J47" s="44"/>
      <c r="K47" s="54"/>
      <c r="L47" s="142"/>
      <c r="M47" s="44"/>
      <c r="N47" s="27"/>
    </row>
    <row r="48" spans="1:14" x14ac:dyDescent="0.25">
      <c r="A48" s="27"/>
      <c r="B48" s="170"/>
      <c r="C48" s="170"/>
      <c r="D48" s="139"/>
      <c r="E48" s="43"/>
      <c r="F48" s="142"/>
      <c r="G48" s="45"/>
      <c r="H48" s="44"/>
      <c r="I48" s="142"/>
      <c r="J48" s="44"/>
      <c r="K48" s="54"/>
      <c r="L48" s="142"/>
      <c r="M48" s="44"/>
      <c r="N48" s="27"/>
    </row>
    <row r="49" spans="1:14" x14ac:dyDescent="0.25">
      <c r="A49" s="23"/>
      <c r="B49" s="170"/>
      <c r="C49" s="170"/>
      <c r="D49" s="139"/>
      <c r="E49" s="43"/>
      <c r="F49" s="142"/>
      <c r="G49" s="45"/>
      <c r="H49" s="44"/>
      <c r="I49" s="142"/>
      <c r="J49" s="44"/>
      <c r="K49" s="54"/>
      <c r="L49" s="142"/>
      <c r="M49" s="44"/>
      <c r="N49" s="23"/>
    </row>
    <row r="50" spans="1:14" x14ac:dyDescent="0.25">
      <c r="A50" s="23"/>
      <c r="B50" s="170"/>
      <c r="C50" s="170"/>
      <c r="D50" s="139"/>
      <c r="E50" s="43"/>
      <c r="F50" s="142"/>
      <c r="G50" s="45"/>
      <c r="H50" s="44"/>
      <c r="I50" s="142"/>
      <c r="J50" s="44"/>
      <c r="K50" s="54"/>
      <c r="L50" s="142"/>
      <c r="M50" s="44"/>
      <c r="N50" s="23"/>
    </row>
    <row r="51" spans="1:14" x14ac:dyDescent="0.25">
      <c r="A51" s="27"/>
      <c r="B51" s="174"/>
      <c r="C51" s="174"/>
      <c r="D51" s="140"/>
      <c r="E51" s="43"/>
      <c r="F51" s="142"/>
      <c r="G51" s="45"/>
      <c r="H51" s="44"/>
      <c r="I51" s="142"/>
      <c r="J51" s="44"/>
      <c r="K51" s="54"/>
      <c r="L51" s="142"/>
      <c r="M51" s="44"/>
      <c r="N51" s="27"/>
    </row>
    <row r="52" spans="1:14" x14ac:dyDescent="0.25">
      <c r="A52" s="27"/>
      <c r="B52" s="174"/>
      <c r="C52" s="174"/>
      <c r="D52" s="140"/>
      <c r="E52" s="43"/>
      <c r="F52" s="142"/>
      <c r="G52" s="45"/>
      <c r="H52" s="44"/>
      <c r="I52" s="142"/>
      <c r="J52" s="44"/>
      <c r="K52" s="54"/>
      <c r="L52" s="142"/>
      <c r="M52" s="44"/>
      <c r="N52" s="27"/>
    </row>
    <row r="53" spans="1:14" x14ac:dyDescent="0.25">
      <c r="A53" s="27"/>
      <c r="B53" s="173"/>
      <c r="C53" s="173"/>
      <c r="D53" s="138"/>
      <c r="E53" s="43"/>
      <c r="F53" s="142"/>
      <c r="G53" s="45"/>
      <c r="H53" s="44"/>
      <c r="I53" s="142"/>
      <c r="J53" s="44"/>
      <c r="K53" s="54"/>
      <c r="L53" s="142"/>
      <c r="M53" s="44"/>
      <c r="N53" s="27"/>
    </row>
    <row r="54" spans="1:14" x14ac:dyDescent="0.25">
      <c r="A54" s="28"/>
      <c r="B54" s="172" t="s">
        <v>41</v>
      </c>
      <c r="C54" s="172"/>
      <c r="D54" s="141"/>
      <c r="E54" s="43"/>
      <c r="F54" s="142"/>
      <c r="G54" s="44">
        <f>G52+G47</f>
        <v>0</v>
      </c>
      <c r="H54" s="44">
        <f>H52+H47</f>
        <v>0</v>
      </c>
      <c r="I54" s="142"/>
      <c r="J54" s="44">
        <f>J52+J47</f>
        <v>0</v>
      </c>
      <c r="K54" s="44"/>
      <c r="L54" s="142"/>
      <c r="M54" s="44"/>
      <c r="N54" s="28"/>
    </row>
    <row r="55" spans="1:14" x14ac:dyDescent="0.25">
      <c r="A55" s="28"/>
      <c r="N55" s="28"/>
    </row>
    <row r="56" spans="1:14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</sheetData>
  <mergeCells count="15">
    <mergeCell ref="B54:C54"/>
    <mergeCell ref="B45:C45"/>
    <mergeCell ref="B46:C46"/>
    <mergeCell ref="B47:C47"/>
    <mergeCell ref="B48:C48"/>
    <mergeCell ref="B53:C53"/>
    <mergeCell ref="B50:C50"/>
    <mergeCell ref="B51:C51"/>
    <mergeCell ref="B52:C52"/>
    <mergeCell ref="B49:C49"/>
    <mergeCell ref="B40:C41"/>
    <mergeCell ref="E40:E41"/>
    <mergeCell ref="M40:M41"/>
    <mergeCell ref="B44:C44"/>
    <mergeCell ref="B42:C42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2"/>
  <sheetViews>
    <sheetView showGridLines="0" topLeftCell="A4" zoomScaleSheetLayoutView="100" workbookViewId="0">
      <selection activeCell="B12" sqref="B12"/>
    </sheetView>
  </sheetViews>
  <sheetFormatPr defaultColWidth="0" defaultRowHeight="16.5" zeroHeight="1" x14ac:dyDescent="0.25"/>
  <cols>
    <col min="1" max="1" width="1" style="7" customWidth="1"/>
    <col min="2" max="2" width="12" style="28" customWidth="1"/>
    <col min="3" max="3" width="13.85546875" style="28" customWidth="1"/>
    <col min="4" max="4" width="35.85546875" style="28" customWidth="1"/>
    <col min="5" max="7" width="14.42578125" style="28" customWidth="1"/>
    <col min="8" max="8" width="15.5703125" style="28" customWidth="1"/>
    <col min="9" max="9" width="17.28515625" style="28" customWidth="1"/>
    <col min="10" max="10" width="1" style="7" customWidth="1"/>
    <col min="11" max="16384" width="9.140625" style="28" hidden="1"/>
  </cols>
  <sheetData>
    <row r="1" spans="1:10" s="36" customFormat="1" x14ac:dyDescent="0.3">
      <c r="A1" s="4"/>
      <c r="B1" s="64" t="str">
        <f>Index!$B$1</f>
        <v>ABC &amp; Co.</v>
      </c>
      <c r="C1" s="96"/>
      <c r="E1" s="37"/>
      <c r="H1" s="4"/>
      <c r="I1" s="46" t="str">
        <f>Index!F18</f>
        <v>BS.05 - 4</v>
      </c>
    </row>
    <row r="2" spans="1:10" s="36" customFormat="1" ht="15.75" x14ac:dyDescent="0.25">
      <c r="A2" s="4"/>
      <c r="B2" s="65" t="str">
        <f>Index!$B$2</f>
        <v>(Chartered Accountants)</v>
      </c>
      <c r="C2" s="96"/>
      <c r="D2" s="39"/>
      <c r="E2" s="40"/>
      <c r="H2" s="4"/>
    </row>
    <row r="3" spans="1:10" x14ac:dyDescent="0.25">
      <c r="A3" s="8"/>
      <c r="B3" s="96"/>
      <c r="C3" s="96"/>
      <c r="J3" s="8"/>
    </row>
    <row r="4" spans="1:10" s="5" customFormat="1" x14ac:dyDescent="0.3">
      <c r="A4" s="7"/>
      <c r="B4" s="66" t="s">
        <v>0</v>
      </c>
      <c r="C4" s="82" t="str">
        <f>Index!$D$4</f>
        <v>ABC Limited</v>
      </c>
      <c r="H4" s="78" t="str">
        <f>Index!$H$4</f>
        <v>Prepared by:</v>
      </c>
      <c r="I4" s="74" t="str">
        <f>IF(Index!$J$4="","",Index!$J$4)</f>
        <v/>
      </c>
      <c r="J4" s="7"/>
    </row>
    <row r="5" spans="1:10" s="5" customFormat="1" x14ac:dyDescent="0.3">
      <c r="A5" s="8"/>
      <c r="B5" s="66" t="s">
        <v>1</v>
      </c>
      <c r="C5" s="82" t="str">
        <f>Index!$D$5</f>
        <v>Year ended June 30, 2023</v>
      </c>
      <c r="H5" s="77" t="str">
        <f>Index!$H$5</f>
        <v>Date prepared:</v>
      </c>
      <c r="I5" s="80" t="str">
        <f>IF(Index!$J$5="","",Index!$J$5)</f>
        <v/>
      </c>
      <c r="J5" s="8"/>
    </row>
    <row r="6" spans="1:10" s="5" customFormat="1" x14ac:dyDescent="0.3">
      <c r="A6" s="8"/>
      <c r="B6" s="66" t="s">
        <v>2</v>
      </c>
      <c r="C6" s="82" t="str">
        <f>Index!$D$6</f>
        <v>Long term loans and advances</v>
      </c>
      <c r="H6" s="83" t="str">
        <f>Index!$H$6</f>
        <v>Reviewed by:</v>
      </c>
      <c r="I6" s="84" t="str">
        <f>IF(Index!$J$6="","",Index!$J$6)</f>
        <v/>
      </c>
      <c r="J6" s="8"/>
    </row>
    <row r="7" spans="1:10" s="5" customFormat="1" x14ac:dyDescent="0.3">
      <c r="A7" s="8"/>
      <c r="B7" s="9" t="s">
        <v>99</v>
      </c>
      <c r="C7" s="10"/>
      <c r="H7" s="83" t="str">
        <f>Index!$H$7</f>
        <v>Date reviewed:</v>
      </c>
      <c r="I7" s="84" t="str">
        <f>IF(Index!$J$7="","",Index!$J$7)</f>
        <v/>
      </c>
      <c r="J7" s="8"/>
    </row>
    <row r="8" spans="1:10" s="5" customFormat="1" x14ac:dyDescent="0.3">
      <c r="A8" s="8"/>
      <c r="B8" s="9"/>
      <c r="C8" s="10"/>
      <c r="H8" s="83"/>
      <c r="I8" s="185"/>
      <c r="J8" s="8"/>
    </row>
    <row r="9" spans="1:10" x14ac:dyDescent="0.25">
      <c r="B9" s="32" t="s">
        <v>42</v>
      </c>
      <c r="C9" s="32"/>
      <c r="D9" s="32"/>
      <c r="E9" s="32"/>
      <c r="F9" s="32"/>
      <c r="G9" s="32"/>
      <c r="H9" s="32"/>
      <c r="I9" s="32"/>
    </row>
    <row r="10" spans="1:10" x14ac:dyDescent="0.25">
      <c r="B10" s="32"/>
      <c r="C10" s="32"/>
      <c r="D10" s="32"/>
      <c r="E10" s="32"/>
      <c r="F10" s="32"/>
      <c r="G10" s="32"/>
      <c r="H10" s="32"/>
      <c r="I10" s="32"/>
    </row>
    <row r="11" spans="1:10" x14ac:dyDescent="0.25">
      <c r="B11" s="32" t="s">
        <v>18</v>
      </c>
    </row>
    <row r="12" spans="1:10" x14ac:dyDescent="0.25">
      <c r="B12" s="32"/>
    </row>
    <row r="13" spans="1:10" x14ac:dyDescent="0.25">
      <c r="B13" s="32"/>
    </row>
    <row r="14" spans="1:10" x14ac:dyDescent="0.25">
      <c r="B14" s="32"/>
    </row>
    <row r="15" spans="1:10" x14ac:dyDescent="0.25">
      <c r="B15" s="32"/>
    </row>
    <row r="16" spans="1:10" x14ac:dyDescent="0.25">
      <c r="B16" s="32"/>
    </row>
    <row r="17" spans="1:10" x14ac:dyDescent="0.25">
      <c r="B17" s="32"/>
    </row>
    <row r="18" spans="1:10" x14ac:dyDescent="0.25">
      <c r="B18" s="32"/>
    </row>
    <row r="19" spans="1:10" x14ac:dyDescent="0.25">
      <c r="B19" s="32"/>
    </row>
    <row r="20" spans="1:10" x14ac:dyDescent="0.25">
      <c r="B20" s="32"/>
    </row>
    <row r="21" spans="1:10" x14ac:dyDescent="0.25">
      <c r="B21" s="32"/>
    </row>
    <row r="22" spans="1:10" x14ac:dyDescent="0.25">
      <c r="B22" s="32"/>
    </row>
    <row r="23" spans="1:10" x14ac:dyDescent="0.25">
      <c r="B23" s="32"/>
    </row>
    <row r="24" spans="1:10" x14ac:dyDescent="0.25">
      <c r="B24" s="32"/>
    </row>
    <row r="25" spans="1:10" x14ac:dyDescent="0.25">
      <c r="B25" s="32"/>
    </row>
    <row r="26" spans="1:10" x14ac:dyDescent="0.25">
      <c r="B26" s="32"/>
    </row>
    <row r="27" spans="1:10" x14ac:dyDescent="0.25">
      <c r="A27" s="8"/>
      <c r="B27" s="28" t="s">
        <v>3</v>
      </c>
      <c r="J27" s="8"/>
    </row>
    <row r="28" spans="1:10" ht="45" x14ac:dyDescent="0.25">
      <c r="B28" s="59" t="s">
        <v>43</v>
      </c>
      <c r="C28" s="59" t="s">
        <v>44</v>
      </c>
      <c r="D28" s="59" t="s">
        <v>22</v>
      </c>
      <c r="E28" s="59" t="s">
        <v>49</v>
      </c>
      <c r="F28" s="59" t="s">
        <v>46</v>
      </c>
      <c r="G28" s="59" t="s">
        <v>45</v>
      </c>
      <c r="H28" s="59" t="s">
        <v>48</v>
      </c>
      <c r="I28" s="59" t="s">
        <v>47</v>
      </c>
    </row>
    <row r="29" spans="1:10" x14ac:dyDescent="0.25">
      <c r="B29" s="69"/>
      <c r="C29" s="69"/>
      <c r="D29" s="69"/>
      <c r="E29" s="143"/>
      <c r="F29" s="133"/>
      <c r="G29" s="133"/>
      <c r="H29" s="133"/>
      <c r="I29" s="133"/>
    </row>
    <row r="30" spans="1:10" x14ac:dyDescent="0.25">
      <c r="A30" s="23"/>
      <c r="B30" s="47"/>
      <c r="C30" s="48"/>
      <c r="D30" s="43"/>
      <c r="E30" s="44"/>
      <c r="F30" s="44"/>
      <c r="G30" s="44"/>
      <c r="H30" s="44"/>
      <c r="I30" s="44"/>
      <c r="J30" s="23"/>
    </row>
    <row r="31" spans="1:10" x14ac:dyDescent="0.25">
      <c r="A31" s="23"/>
      <c r="B31" s="49"/>
      <c r="C31" s="49"/>
      <c r="D31" s="43"/>
      <c r="E31" s="44"/>
      <c r="F31" s="44"/>
      <c r="G31" s="44"/>
      <c r="H31" s="44"/>
      <c r="I31" s="44"/>
      <c r="J31" s="23"/>
    </row>
    <row r="32" spans="1:10" x14ac:dyDescent="0.25">
      <c r="A32" s="27"/>
      <c r="B32" s="49"/>
      <c r="C32" s="49"/>
      <c r="D32" s="43"/>
      <c r="E32" s="45"/>
      <c r="F32" s="44"/>
      <c r="G32" s="44"/>
      <c r="H32" s="44"/>
      <c r="I32" s="44"/>
      <c r="J32" s="27"/>
    </row>
    <row r="33" spans="1:14" x14ac:dyDescent="0.25">
      <c r="A33" s="27"/>
      <c r="B33" s="49"/>
      <c r="C33" s="49"/>
      <c r="D33" s="43"/>
      <c r="E33" s="44"/>
      <c r="F33" s="44"/>
      <c r="G33" s="44"/>
      <c r="H33" s="44"/>
      <c r="I33" s="44"/>
      <c r="J33" s="27"/>
    </row>
    <row r="34" spans="1:14" x14ac:dyDescent="0.25">
      <c r="A34" s="27"/>
      <c r="B34" s="49"/>
      <c r="C34" s="49"/>
      <c r="D34" s="43"/>
      <c r="E34" s="44"/>
      <c r="F34" s="44"/>
      <c r="G34" s="44"/>
      <c r="H34" s="44"/>
      <c r="I34" s="44"/>
      <c r="J34" s="27"/>
    </row>
    <row r="35" spans="1:14" x14ac:dyDescent="0.25">
      <c r="A35" s="27"/>
      <c r="B35" s="48"/>
      <c r="C35" s="48"/>
      <c r="D35" s="43"/>
      <c r="E35" s="44"/>
      <c r="F35" s="44"/>
      <c r="G35" s="44"/>
      <c r="H35" s="44"/>
      <c r="I35" s="44"/>
      <c r="J35" s="27"/>
    </row>
    <row r="36" spans="1:14" x14ac:dyDescent="0.25">
      <c r="A36" s="23"/>
      <c r="B36" s="47"/>
      <c r="C36" s="48"/>
      <c r="D36" s="43"/>
      <c r="E36" s="44"/>
      <c r="F36" s="44"/>
      <c r="G36" s="44"/>
      <c r="H36" s="44"/>
      <c r="I36" s="44"/>
      <c r="J36" s="23"/>
    </row>
    <row r="37" spans="1:14" x14ac:dyDescent="0.25">
      <c r="A37" s="23"/>
      <c r="B37" s="49"/>
      <c r="C37" s="49"/>
      <c r="D37" s="43"/>
      <c r="E37" s="44"/>
      <c r="F37" s="44"/>
      <c r="G37" s="44"/>
      <c r="H37" s="44"/>
      <c r="I37" s="44"/>
      <c r="J37" s="23"/>
    </row>
    <row r="38" spans="1:14" x14ac:dyDescent="0.25">
      <c r="A38" s="27"/>
      <c r="B38" s="49"/>
      <c r="C38" s="49"/>
      <c r="D38" s="43"/>
      <c r="E38" s="45"/>
      <c r="F38" s="44"/>
      <c r="G38" s="44"/>
      <c r="H38" s="44"/>
      <c r="I38" s="44"/>
      <c r="J38" s="27"/>
    </row>
    <row r="39" spans="1:14" x14ac:dyDescent="0.25">
      <c r="A39" s="27"/>
      <c r="B39" s="49"/>
      <c r="C39" s="49"/>
      <c r="D39" s="43"/>
      <c r="E39" s="44"/>
      <c r="F39" s="44"/>
      <c r="G39" s="44"/>
      <c r="H39" s="44"/>
      <c r="I39" s="44"/>
      <c r="J39" s="27"/>
    </row>
    <row r="40" spans="1:14" x14ac:dyDescent="0.25">
      <c r="A40" s="27"/>
      <c r="B40" s="49"/>
      <c r="C40" s="49"/>
      <c r="D40" s="43"/>
      <c r="E40" s="44"/>
      <c r="F40" s="44"/>
      <c r="G40" s="44"/>
      <c r="H40" s="44"/>
      <c r="I40" s="44"/>
      <c r="J40" s="27"/>
    </row>
    <row r="41" spans="1:14" x14ac:dyDescent="0.25">
      <c r="A41" s="27"/>
      <c r="B41" s="48"/>
      <c r="C41" s="48"/>
      <c r="D41" s="43"/>
      <c r="E41" s="44"/>
      <c r="F41" s="44"/>
      <c r="G41" s="44"/>
      <c r="H41" s="44"/>
      <c r="I41" s="44"/>
      <c r="J41" s="27"/>
    </row>
    <row r="42" spans="1:14" x14ac:dyDescent="0.25">
      <c r="A42" s="28"/>
      <c r="B42" s="50"/>
      <c r="C42" s="50"/>
      <c r="D42" s="43"/>
      <c r="E42" s="44"/>
      <c r="F42" s="44"/>
      <c r="G42" s="44"/>
      <c r="H42" s="44"/>
      <c r="I42" s="44"/>
      <c r="J42" s="28"/>
    </row>
    <row r="43" spans="1:14" x14ac:dyDescent="0.25">
      <c r="A43" s="28"/>
      <c r="J43" s="28"/>
    </row>
    <row r="46" spans="1:14" s="7" customFormat="1" hidden="1" x14ac:dyDescent="0.25">
      <c r="B46" s="28"/>
      <c r="C46" s="28"/>
      <c r="D46" s="28"/>
      <c r="E46" s="28"/>
      <c r="F46" s="28"/>
      <c r="G46" s="28"/>
      <c r="H46" s="28"/>
      <c r="I46" s="28"/>
      <c r="K46" s="28"/>
      <c r="L46" s="28"/>
      <c r="M46" s="28"/>
      <c r="N46" s="28"/>
    </row>
    <row r="47" spans="1:14" s="7" customFormat="1" hidden="1" x14ac:dyDescent="0.25">
      <c r="B47" s="28"/>
      <c r="C47" s="28"/>
      <c r="D47" s="28"/>
      <c r="E47" s="28"/>
      <c r="F47" s="28"/>
      <c r="G47" s="28"/>
      <c r="H47" s="28"/>
      <c r="I47" s="28"/>
      <c r="K47" s="28"/>
      <c r="L47" s="28"/>
      <c r="M47" s="28"/>
      <c r="N47" s="28"/>
    </row>
    <row r="48" spans="1:14" s="7" customFormat="1" hidden="1" x14ac:dyDescent="0.25">
      <c r="B48" s="28"/>
      <c r="C48" s="28"/>
      <c r="D48" s="28"/>
      <c r="E48" s="28"/>
      <c r="F48" s="28"/>
      <c r="G48" s="28"/>
      <c r="H48" s="28"/>
      <c r="I48" s="28"/>
      <c r="K48" s="28"/>
      <c r="L48" s="28"/>
      <c r="M48" s="28"/>
      <c r="N48" s="28"/>
    </row>
    <row r="49" spans="2:14" s="7" customFormat="1" hidden="1" x14ac:dyDescent="0.25">
      <c r="B49" s="28"/>
      <c r="C49" s="28"/>
      <c r="D49" s="28"/>
      <c r="E49" s="28"/>
      <c r="F49" s="28"/>
      <c r="G49" s="28"/>
      <c r="H49" s="28"/>
      <c r="I49" s="28"/>
      <c r="K49" s="28"/>
      <c r="L49" s="28"/>
      <c r="M49" s="28"/>
      <c r="N49" s="28"/>
    </row>
    <row r="50" spans="2:14" s="7" customFormat="1" hidden="1" x14ac:dyDescent="0.25">
      <c r="B50" s="28"/>
      <c r="C50" s="28"/>
      <c r="D50" s="28"/>
      <c r="E50" s="28"/>
      <c r="F50" s="28"/>
      <c r="G50" s="28"/>
      <c r="H50" s="28"/>
      <c r="I50" s="28"/>
      <c r="K50" s="28"/>
      <c r="L50" s="28"/>
      <c r="M50" s="28"/>
      <c r="N50" s="28"/>
    </row>
    <row r="51" spans="2:14" s="7" customFormat="1" hidden="1" x14ac:dyDescent="0.25">
      <c r="B51" s="28"/>
      <c r="C51" s="28"/>
      <c r="D51" s="28"/>
      <c r="E51" s="28"/>
      <c r="F51" s="28"/>
      <c r="G51" s="28"/>
      <c r="H51" s="28"/>
      <c r="I51" s="28"/>
      <c r="K51" s="28"/>
      <c r="L51" s="28"/>
      <c r="M51" s="28"/>
      <c r="N51" s="28"/>
    </row>
    <row r="52" spans="2:14" x14ac:dyDescent="0.25"/>
    <row r="53" spans="2:14" x14ac:dyDescent="0.25"/>
    <row r="54" spans="2:14" x14ac:dyDescent="0.25"/>
    <row r="56" spans="2:14" x14ac:dyDescent="0.25"/>
    <row r="57" spans="2:14" x14ac:dyDescent="0.25"/>
    <row r="58" spans="2:14" x14ac:dyDescent="0.25"/>
    <row r="59" spans="2:14" x14ac:dyDescent="0.25"/>
    <row r="60" spans="2:14" x14ac:dyDescent="0.25"/>
    <row r="61" spans="2:14" x14ac:dyDescent="0.25"/>
    <row r="62" spans="2:14" x14ac:dyDescent="0.25"/>
    <row r="63" spans="2:14" x14ac:dyDescent="0.25"/>
    <row r="64" spans="2:1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8"/>
  <sheetViews>
    <sheetView showGridLines="0" tabSelected="1" zoomScaleSheetLayoutView="100" workbookViewId="0">
      <selection activeCell="B12" sqref="B12"/>
    </sheetView>
  </sheetViews>
  <sheetFormatPr defaultColWidth="0" defaultRowHeight="16.5" zeroHeight="1" x14ac:dyDescent="0.25"/>
  <cols>
    <col min="1" max="1" width="1" style="7" customWidth="1"/>
    <col min="2" max="2" width="12" style="28" customWidth="1"/>
    <col min="3" max="3" width="13.85546875" style="28" customWidth="1"/>
    <col min="4" max="4" width="35.85546875" style="28" customWidth="1"/>
    <col min="5" max="7" width="14.42578125" style="28" customWidth="1"/>
    <col min="8" max="8" width="15.5703125" style="28" customWidth="1"/>
    <col min="9" max="9" width="17.28515625" style="28" customWidth="1"/>
    <col min="10" max="10" width="1" style="7" customWidth="1"/>
    <col min="11" max="16384" width="9.140625" style="28" hidden="1"/>
  </cols>
  <sheetData>
    <row r="1" spans="1:10" s="37" customFormat="1" x14ac:dyDescent="0.3">
      <c r="A1" s="186"/>
      <c r="B1" s="64" t="str">
        <f>Index!$B$1</f>
        <v>ABC &amp; Co.</v>
      </c>
      <c r="C1" s="102"/>
      <c r="H1" s="186"/>
      <c r="I1" s="46" t="str">
        <f>Index!F18</f>
        <v>BS.05 - 4</v>
      </c>
    </row>
    <row r="2" spans="1:10" s="37" customFormat="1" x14ac:dyDescent="0.3">
      <c r="A2" s="186"/>
      <c r="B2" s="64" t="str">
        <f>Index!$B$2</f>
        <v>(Chartered Accountants)</v>
      </c>
      <c r="C2" s="102"/>
      <c r="D2" s="187"/>
      <c r="E2" s="188"/>
      <c r="H2" s="186"/>
    </row>
    <row r="3" spans="1:10" s="32" customFormat="1" ht="15" x14ac:dyDescent="0.25">
      <c r="A3" s="21"/>
      <c r="B3" s="102"/>
      <c r="C3" s="102"/>
      <c r="J3" s="21"/>
    </row>
    <row r="4" spans="1:10" s="5" customFormat="1" x14ac:dyDescent="0.3">
      <c r="A4" s="7"/>
      <c r="B4" s="66" t="s">
        <v>0</v>
      </c>
      <c r="C4" s="82" t="str">
        <f>Index!$D$4</f>
        <v>ABC Limited</v>
      </c>
      <c r="H4" s="78" t="str">
        <f>Index!$H$4</f>
        <v>Prepared by:</v>
      </c>
      <c r="I4" s="74" t="str">
        <f>IF(Index!$J$4="","",Index!$J$4)</f>
        <v/>
      </c>
      <c r="J4" s="7"/>
    </row>
    <row r="5" spans="1:10" s="5" customFormat="1" x14ac:dyDescent="0.3">
      <c r="A5" s="8"/>
      <c r="B5" s="66" t="s">
        <v>1</v>
      </c>
      <c r="C5" s="82" t="str">
        <f>Index!$D$5</f>
        <v>Year ended June 30, 2023</v>
      </c>
      <c r="H5" s="77" t="str">
        <f>Index!$H$5</f>
        <v>Date prepared:</v>
      </c>
      <c r="I5" s="80" t="str">
        <f>IF(Index!$J$5="","",Index!$J$5)</f>
        <v/>
      </c>
      <c r="J5" s="8"/>
    </row>
    <row r="6" spans="1:10" s="5" customFormat="1" x14ac:dyDescent="0.3">
      <c r="A6" s="8"/>
      <c r="B6" s="66" t="s">
        <v>2</v>
      </c>
      <c r="C6" s="82" t="str">
        <f>Index!$D$6</f>
        <v>Long term loans and advances</v>
      </c>
      <c r="H6" s="83" t="str">
        <f>Index!$H$6</f>
        <v>Reviewed by:</v>
      </c>
      <c r="I6" s="84" t="str">
        <f>IF(Index!$J$6="","",Index!$J$6)</f>
        <v/>
      </c>
      <c r="J6" s="8"/>
    </row>
    <row r="7" spans="1:10" s="5" customFormat="1" x14ac:dyDescent="0.3">
      <c r="A7" s="8"/>
      <c r="B7" s="9" t="s">
        <v>99</v>
      </c>
      <c r="C7" s="10"/>
      <c r="H7" s="83" t="str">
        <f>Index!$H$7</f>
        <v>Date reviewed:</v>
      </c>
      <c r="I7" s="84" t="str">
        <f>IF(Index!$J$7="","",Index!$J$7)</f>
        <v/>
      </c>
      <c r="J7" s="8"/>
    </row>
    <row r="8" spans="1:10" s="5" customFormat="1" x14ac:dyDescent="0.3">
      <c r="A8" s="8"/>
      <c r="B8" s="9"/>
      <c r="C8" s="10"/>
      <c r="H8" s="83"/>
      <c r="I8" s="185"/>
      <c r="J8" s="8"/>
    </row>
    <row r="9" spans="1:10" x14ac:dyDescent="0.25">
      <c r="B9" s="131" t="s">
        <v>115</v>
      </c>
      <c r="C9" s="41"/>
      <c r="D9" s="41"/>
      <c r="E9" s="41"/>
      <c r="F9" s="41"/>
      <c r="G9" s="41"/>
      <c r="H9" s="41"/>
      <c r="I9" s="41"/>
    </row>
    <row r="10" spans="1:10" x14ac:dyDescent="0.25">
      <c r="B10" s="131"/>
      <c r="C10" s="41"/>
      <c r="D10" s="41"/>
      <c r="E10" s="41"/>
      <c r="F10" s="41"/>
      <c r="G10" s="41"/>
      <c r="H10" s="41"/>
      <c r="I10" s="41"/>
    </row>
    <row r="11" spans="1:10" x14ac:dyDescent="0.25">
      <c r="B11" s="32" t="s">
        <v>18</v>
      </c>
    </row>
    <row r="12" spans="1:10" x14ac:dyDescent="0.25">
      <c r="B12" s="32"/>
    </row>
    <row r="13" spans="1:10" x14ac:dyDescent="0.25">
      <c r="B13" s="32"/>
    </row>
    <row r="14" spans="1:10" x14ac:dyDescent="0.25">
      <c r="B14" s="32"/>
    </row>
    <row r="15" spans="1:10" x14ac:dyDescent="0.25">
      <c r="B15" s="32"/>
    </row>
    <row r="16" spans="1:10" x14ac:dyDescent="0.25">
      <c r="B16" s="32"/>
    </row>
    <row r="17" spans="1:10" x14ac:dyDescent="0.25">
      <c r="B17" s="32"/>
    </row>
    <row r="18" spans="1:10" x14ac:dyDescent="0.25">
      <c r="B18" s="32"/>
    </row>
    <row r="19" spans="1:10" x14ac:dyDescent="0.25">
      <c r="B19" s="32"/>
    </row>
    <row r="20" spans="1:10" x14ac:dyDescent="0.25">
      <c r="B20" s="32"/>
    </row>
    <row r="21" spans="1:10" x14ac:dyDescent="0.25">
      <c r="B21" s="32"/>
    </row>
    <row r="22" spans="1:10" x14ac:dyDescent="0.25">
      <c r="B22" s="32"/>
    </row>
    <row r="23" spans="1:10" x14ac:dyDescent="0.25">
      <c r="A23" s="8"/>
      <c r="B23" s="28" t="s">
        <v>3</v>
      </c>
      <c r="J23" s="8"/>
    </row>
    <row r="24" spans="1:10" ht="45" x14ac:dyDescent="0.25">
      <c r="B24" s="59" t="s">
        <v>43</v>
      </c>
      <c r="C24" s="59" t="s">
        <v>44</v>
      </c>
      <c r="D24" s="59" t="s">
        <v>22</v>
      </c>
      <c r="E24" s="59" t="s">
        <v>49</v>
      </c>
      <c r="F24" s="59" t="s">
        <v>46</v>
      </c>
      <c r="G24" s="59" t="s">
        <v>45</v>
      </c>
      <c r="H24" s="59" t="s">
        <v>48</v>
      </c>
      <c r="I24" s="59" t="s">
        <v>47</v>
      </c>
    </row>
    <row r="25" spans="1:10" x14ac:dyDescent="0.25">
      <c r="B25" s="144"/>
      <c r="C25" s="144"/>
      <c r="D25" s="144"/>
      <c r="E25" s="145"/>
      <c r="F25" s="146"/>
      <c r="G25" s="146"/>
      <c r="H25" s="146"/>
      <c r="I25" s="146"/>
    </row>
    <row r="26" spans="1:10" x14ac:dyDescent="0.25">
      <c r="A26" s="23"/>
      <c r="B26" s="47"/>
      <c r="C26" s="48"/>
      <c r="D26" s="43"/>
      <c r="E26" s="44"/>
      <c r="F26" s="44"/>
      <c r="G26" s="44"/>
      <c r="H26" s="44"/>
      <c r="I26" s="44"/>
      <c r="J26" s="23"/>
    </row>
    <row r="27" spans="1:10" x14ac:dyDescent="0.25">
      <c r="A27" s="23"/>
      <c r="B27" s="49"/>
      <c r="C27" s="49"/>
      <c r="D27" s="43"/>
      <c r="E27" s="44"/>
      <c r="F27" s="44"/>
      <c r="G27" s="44"/>
      <c r="H27" s="44"/>
      <c r="I27" s="44"/>
      <c r="J27" s="23"/>
    </row>
    <row r="28" spans="1:10" x14ac:dyDescent="0.25">
      <c r="A28" s="27"/>
      <c r="B28" s="49"/>
      <c r="C28" s="49"/>
      <c r="D28" s="43"/>
      <c r="E28" s="45"/>
      <c r="F28" s="44"/>
      <c r="G28" s="44"/>
      <c r="H28" s="44"/>
      <c r="I28" s="44"/>
      <c r="J28" s="27"/>
    </row>
    <row r="29" spans="1:10" x14ac:dyDescent="0.25">
      <c r="A29" s="27"/>
      <c r="B29" s="49"/>
      <c r="C29" s="49"/>
      <c r="D29" s="43"/>
      <c r="E29" s="44"/>
      <c r="F29" s="44"/>
      <c r="G29" s="44"/>
      <c r="H29" s="44"/>
      <c r="I29" s="44"/>
      <c r="J29" s="27"/>
    </row>
    <row r="30" spans="1:10" x14ac:dyDescent="0.25">
      <c r="A30" s="27"/>
      <c r="B30" s="49"/>
      <c r="C30" s="49"/>
      <c r="D30" s="43"/>
      <c r="E30" s="44"/>
      <c r="F30" s="44"/>
      <c r="G30" s="44"/>
      <c r="H30" s="44"/>
      <c r="I30" s="44"/>
      <c r="J30" s="27"/>
    </row>
    <row r="31" spans="1:10" x14ac:dyDescent="0.25">
      <c r="A31" s="27"/>
      <c r="B31" s="48"/>
      <c r="C31" s="48"/>
      <c r="D31" s="43"/>
      <c r="E31" s="44"/>
      <c r="F31" s="44"/>
      <c r="G31" s="44"/>
      <c r="H31" s="44"/>
      <c r="I31" s="44"/>
      <c r="J31" s="27"/>
    </row>
    <row r="32" spans="1:10" x14ac:dyDescent="0.25">
      <c r="A32" s="23"/>
      <c r="B32" s="47"/>
      <c r="C32" s="48"/>
      <c r="D32" s="43"/>
      <c r="E32" s="44"/>
      <c r="F32" s="44"/>
      <c r="G32" s="44"/>
      <c r="H32" s="44"/>
      <c r="I32" s="44"/>
      <c r="J32" s="23"/>
    </row>
    <row r="33" spans="1:14" x14ac:dyDescent="0.25">
      <c r="A33" s="23"/>
      <c r="B33" s="49"/>
      <c r="C33" s="49"/>
      <c r="D33" s="43"/>
      <c r="E33" s="44"/>
      <c r="F33" s="44"/>
      <c r="G33" s="44"/>
      <c r="H33" s="44"/>
      <c r="I33" s="44"/>
      <c r="J33" s="23"/>
    </row>
    <row r="34" spans="1:14" x14ac:dyDescent="0.25">
      <c r="A34" s="27"/>
      <c r="B34" s="49"/>
      <c r="C34" s="49"/>
      <c r="D34" s="43"/>
      <c r="E34" s="45"/>
      <c r="F34" s="44"/>
      <c r="G34" s="44"/>
      <c r="H34" s="44"/>
      <c r="I34" s="44"/>
      <c r="J34" s="27"/>
    </row>
    <row r="35" spans="1:14" x14ac:dyDescent="0.25">
      <c r="A35" s="27"/>
      <c r="B35" s="49"/>
      <c r="C35" s="49"/>
      <c r="D35" s="43"/>
      <c r="E35" s="44"/>
      <c r="F35" s="44"/>
      <c r="G35" s="44"/>
      <c r="H35" s="44"/>
      <c r="I35" s="44"/>
      <c r="J35" s="27"/>
    </row>
    <row r="36" spans="1:14" x14ac:dyDescent="0.25">
      <c r="A36" s="27"/>
      <c r="B36" s="49"/>
      <c r="C36" s="49"/>
      <c r="D36" s="43"/>
      <c r="E36" s="44"/>
      <c r="F36" s="44"/>
      <c r="G36" s="44"/>
      <c r="H36" s="44"/>
      <c r="I36" s="44"/>
      <c r="J36" s="27"/>
    </row>
    <row r="37" spans="1:14" x14ac:dyDescent="0.25">
      <c r="A37" s="27"/>
      <c r="B37" s="48"/>
      <c r="C37" s="48"/>
      <c r="D37" s="43"/>
      <c r="E37" s="44"/>
      <c r="F37" s="44"/>
      <c r="G37" s="44"/>
      <c r="H37" s="44"/>
      <c r="I37" s="44"/>
      <c r="J37" s="27"/>
    </row>
    <row r="38" spans="1:14" x14ac:dyDescent="0.25">
      <c r="A38" s="28"/>
      <c r="B38" s="50"/>
      <c r="C38" s="50"/>
      <c r="D38" s="43"/>
      <c r="E38" s="44"/>
      <c r="F38" s="44"/>
      <c r="G38" s="44"/>
      <c r="H38" s="44"/>
      <c r="I38" s="44"/>
      <c r="J38" s="28"/>
    </row>
    <row r="39" spans="1:14" x14ac:dyDescent="0.25">
      <c r="A39" s="28"/>
      <c r="J39" s="28"/>
    </row>
    <row r="42" spans="1:14" s="7" customFormat="1" hidden="1" x14ac:dyDescent="0.25">
      <c r="B42" s="28"/>
      <c r="C42" s="28"/>
      <c r="D42" s="28"/>
      <c r="E42" s="28"/>
      <c r="F42" s="28"/>
      <c r="G42" s="28"/>
      <c r="H42" s="28"/>
      <c r="I42" s="28"/>
      <c r="K42" s="28"/>
      <c r="L42" s="28"/>
      <c r="M42" s="28"/>
      <c r="N42" s="28"/>
    </row>
    <row r="43" spans="1:14" s="7" customFormat="1" hidden="1" x14ac:dyDescent="0.25">
      <c r="B43" s="28"/>
      <c r="C43" s="28"/>
      <c r="D43" s="28"/>
      <c r="E43" s="28"/>
      <c r="F43" s="28"/>
      <c r="G43" s="28"/>
      <c r="H43" s="28"/>
      <c r="I43" s="28"/>
      <c r="K43" s="28"/>
      <c r="L43" s="28"/>
      <c r="M43" s="28"/>
      <c r="N43" s="28"/>
    </row>
    <row r="44" spans="1:14" s="7" customFormat="1" hidden="1" x14ac:dyDescent="0.25">
      <c r="B44" s="28"/>
      <c r="C44" s="28"/>
      <c r="D44" s="28"/>
      <c r="E44" s="28"/>
      <c r="F44" s="28"/>
      <c r="G44" s="28"/>
      <c r="H44" s="28"/>
      <c r="I44" s="28"/>
      <c r="K44" s="28"/>
      <c r="L44" s="28"/>
      <c r="M44" s="28"/>
      <c r="N44" s="28"/>
    </row>
    <row r="45" spans="1:14" s="7" customFormat="1" hidden="1" x14ac:dyDescent="0.25">
      <c r="B45" s="28"/>
      <c r="C45" s="28"/>
      <c r="D45" s="28"/>
      <c r="E45" s="28"/>
      <c r="F45" s="28"/>
      <c r="G45" s="28"/>
      <c r="H45" s="28"/>
      <c r="I45" s="28"/>
      <c r="K45" s="28"/>
      <c r="L45" s="28"/>
      <c r="M45" s="28"/>
      <c r="N45" s="28"/>
    </row>
    <row r="46" spans="1:14" s="7" customFormat="1" hidden="1" x14ac:dyDescent="0.25">
      <c r="B46" s="28"/>
      <c r="C46" s="28"/>
      <c r="D46" s="28"/>
      <c r="E46" s="28"/>
      <c r="F46" s="28"/>
      <c r="G46" s="28"/>
      <c r="H46" s="28"/>
      <c r="I46" s="28"/>
      <c r="K46" s="28"/>
      <c r="L46" s="28"/>
      <c r="M46" s="28"/>
      <c r="N46" s="28"/>
    </row>
    <row r="47" spans="1:14" s="7" customFormat="1" hidden="1" x14ac:dyDescent="0.25">
      <c r="B47" s="28"/>
      <c r="C47" s="28"/>
      <c r="D47" s="28"/>
      <c r="E47" s="28"/>
      <c r="F47" s="28"/>
      <c r="G47" s="28"/>
      <c r="H47" s="28"/>
      <c r="I47" s="28"/>
      <c r="K47" s="28"/>
      <c r="L47" s="28"/>
      <c r="M47" s="28"/>
      <c r="N47" s="28"/>
    </row>
    <row r="48" spans="1:14" x14ac:dyDescent="0.25"/>
    <row r="49" x14ac:dyDescent="0.25"/>
    <row r="50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5" x14ac:dyDescent="0.25"/>
    <row r="66" x14ac:dyDescent="0.25"/>
    <row r="67" x14ac:dyDescent="0.25"/>
    <row r="68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showGridLines="0" topLeftCell="A11" zoomScaleSheetLayoutView="100" workbookViewId="0">
      <selection activeCell="B29" sqref="B29:C29"/>
    </sheetView>
  </sheetViews>
  <sheetFormatPr defaultColWidth="0" defaultRowHeight="16.5" zeroHeight="1" x14ac:dyDescent="0.3"/>
  <cols>
    <col min="1" max="1" width="1" style="38" customWidth="1"/>
    <col min="2" max="2" width="12" style="38" customWidth="1"/>
    <col min="3" max="3" width="33" style="38" customWidth="1"/>
    <col min="4" max="4" width="11.7109375" style="38" bestFit="1" customWidth="1"/>
    <col min="5" max="8" width="14.42578125" style="38" customWidth="1"/>
    <col min="9" max="9" width="17.140625" style="38" customWidth="1"/>
    <col min="10" max="10" width="1" style="38" customWidth="1"/>
    <col min="11" max="13" width="0" style="38" hidden="1" customWidth="1"/>
    <col min="14" max="16384" width="9.140625" style="38" hidden="1"/>
  </cols>
  <sheetData>
    <row r="1" spans="2:10" x14ac:dyDescent="0.3">
      <c r="B1" s="64" t="str">
        <f>Index!$B$1</f>
        <v>ABC &amp; Co.</v>
      </c>
      <c r="C1" s="96"/>
      <c r="D1" s="36"/>
      <c r="E1" s="37"/>
      <c r="F1" s="36"/>
      <c r="G1" s="36"/>
      <c r="H1" s="4"/>
      <c r="I1" s="20" t="str">
        <f>Index!F26</f>
        <v>BS.05 - 8</v>
      </c>
      <c r="J1" s="36"/>
    </row>
    <row r="2" spans="2:10" x14ac:dyDescent="0.3">
      <c r="B2" s="65" t="str">
        <f>Index!$B$2</f>
        <v>(Chartered Accountants)</v>
      </c>
      <c r="C2" s="96"/>
      <c r="D2" s="39"/>
      <c r="E2" s="40"/>
      <c r="F2" s="36"/>
      <c r="G2" s="36"/>
      <c r="H2" s="4"/>
      <c r="J2" s="36"/>
    </row>
    <row r="3" spans="2:10" ht="15" customHeight="1" x14ac:dyDescent="0.3">
      <c r="B3" s="96"/>
      <c r="C3" s="96"/>
      <c r="D3" s="28"/>
      <c r="E3" s="28"/>
      <c r="F3" s="28"/>
      <c r="G3" s="28"/>
      <c r="H3" s="28"/>
      <c r="J3" s="28"/>
    </row>
    <row r="4" spans="2:10" x14ac:dyDescent="0.3">
      <c r="B4" s="66" t="s">
        <v>0</v>
      </c>
      <c r="C4" s="82" t="str">
        <f>Index!$D$4</f>
        <v>ABC Limited</v>
      </c>
      <c r="D4" s="5"/>
      <c r="E4" s="5"/>
      <c r="F4" s="5"/>
      <c r="G4" s="5"/>
      <c r="H4" s="78" t="str">
        <f>Index!$H$4</f>
        <v>Prepared by:</v>
      </c>
      <c r="I4" s="74" t="str">
        <f>IF(Index!$J$4="","",Index!$J$4)</f>
        <v/>
      </c>
    </row>
    <row r="5" spans="2:10" x14ac:dyDescent="0.3">
      <c r="B5" s="66" t="s">
        <v>1</v>
      </c>
      <c r="C5" s="82" t="str">
        <f>Index!$D$5</f>
        <v>Year ended June 30, 2023</v>
      </c>
      <c r="D5" s="5"/>
      <c r="E5" s="5"/>
      <c r="F5" s="5"/>
      <c r="G5" s="5"/>
      <c r="H5" s="77" t="str">
        <f>Index!$H$5</f>
        <v>Date prepared:</v>
      </c>
      <c r="I5" s="80" t="str">
        <f>IF(Index!$J$5="","",Index!$J$5)</f>
        <v/>
      </c>
    </row>
    <row r="6" spans="2:10" ht="15" customHeight="1" x14ac:dyDescent="0.3">
      <c r="B6" s="66" t="s">
        <v>2</v>
      </c>
      <c r="C6" s="82" t="str">
        <f>Index!$D$6</f>
        <v>Long term loans and advances</v>
      </c>
      <c r="D6" s="5"/>
      <c r="E6" s="5"/>
      <c r="F6" s="5"/>
      <c r="G6" s="5"/>
      <c r="H6" s="83" t="str">
        <f>Index!$H$6</f>
        <v>Reviewed by:</v>
      </c>
      <c r="I6" s="84" t="str">
        <f>IF(Index!$J$6="","",Index!$J$6)</f>
        <v/>
      </c>
    </row>
    <row r="7" spans="2:10" x14ac:dyDescent="0.3">
      <c r="B7" s="9"/>
      <c r="C7" s="10"/>
      <c r="D7" s="5"/>
      <c r="E7" s="5"/>
      <c r="F7" s="5"/>
      <c r="G7" s="5"/>
      <c r="H7" s="83" t="str">
        <f>Index!$H$7</f>
        <v>Date reviewed:</v>
      </c>
      <c r="I7" s="84" t="str">
        <f>IF(Index!$J$7="","",Index!$J$7)</f>
        <v/>
      </c>
      <c r="J7" s="5"/>
    </row>
    <row r="8" spans="2:10" x14ac:dyDescent="0.3">
      <c r="B8" s="131" t="s">
        <v>39</v>
      </c>
      <c r="C8" s="131"/>
      <c r="D8" s="131"/>
      <c r="E8" s="131"/>
      <c r="F8" s="131"/>
      <c r="G8" s="131"/>
      <c r="H8" s="131"/>
      <c r="I8" s="131"/>
      <c r="J8" s="131"/>
    </row>
    <row r="9" spans="2:10" x14ac:dyDescent="0.3">
      <c r="B9" s="131"/>
      <c r="C9" s="131"/>
      <c r="D9" s="131"/>
      <c r="E9" s="131"/>
      <c r="F9" s="131"/>
      <c r="G9" s="131"/>
      <c r="H9" s="131"/>
      <c r="I9" s="131"/>
      <c r="J9" s="131"/>
    </row>
    <row r="10" spans="2:10" x14ac:dyDescent="0.3">
      <c r="B10" s="32" t="s">
        <v>18</v>
      </c>
      <c r="C10" s="41"/>
      <c r="D10" s="41"/>
      <c r="E10" s="41"/>
      <c r="F10" s="41"/>
      <c r="G10" s="41"/>
      <c r="H10" s="41"/>
      <c r="J10" s="41"/>
    </row>
    <row r="11" spans="2:10" ht="15" customHeight="1" x14ac:dyDescent="0.3">
      <c r="B11" s="182" t="s">
        <v>93</v>
      </c>
      <c r="C11" s="132"/>
      <c r="D11" s="132"/>
      <c r="E11" s="132"/>
      <c r="F11" s="132"/>
      <c r="G11" s="132"/>
      <c r="H11" s="132"/>
      <c r="I11" s="132"/>
      <c r="J11" s="42"/>
    </row>
    <row r="12" spans="2:10" ht="15" customHeight="1" x14ac:dyDescent="0.3">
      <c r="B12" s="182" t="s">
        <v>94</v>
      </c>
      <c r="C12" s="132"/>
      <c r="D12" s="132"/>
      <c r="E12" s="132"/>
      <c r="F12" s="132"/>
      <c r="G12" s="132"/>
      <c r="H12" s="132"/>
      <c r="I12" s="132"/>
      <c r="J12" s="42"/>
    </row>
    <row r="13" spans="2:10" ht="15" customHeight="1" x14ac:dyDescent="0.3">
      <c r="B13" s="182" t="s">
        <v>40</v>
      </c>
      <c r="C13" s="132"/>
      <c r="D13" s="132"/>
      <c r="E13" s="132"/>
      <c r="F13" s="132"/>
      <c r="G13" s="132"/>
      <c r="H13" s="132"/>
      <c r="I13" s="132"/>
      <c r="J13" s="42"/>
    </row>
    <row r="14" spans="2:10" ht="15" customHeight="1" x14ac:dyDescent="0.3">
      <c r="B14" s="182" t="s">
        <v>113</v>
      </c>
      <c r="C14" s="132"/>
      <c r="D14" s="132"/>
      <c r="E14" s="132"/>
      <c r="F14" s="132"/>
      <c r="G14" s="132"/>
      <c r="H14" s="132"/>
      <c r="I14" s="132"/>
      <c r="J14" s="42"/>
    </row>
    <row r="15" spans="2:10" ht="15" customHeight="1" x14ac:dyDescent="0.3">
      <c r="B15" s="182"/>
      <c r="C15" s="132"/>
      <c r="D15" s="132"/>
      <c r="E15" s="132"/>
      <c r="F15" s="132"/>
      <c r="G15" s="132"/>
      <c r="H15" s="132"/>
      <c r="I15" s="132"/>
      <c r="J15" s="42"/>
    </row>
    <row r="16" spans="2:10" x14ac:dyDescent="0.3">
      <c r="B16" s="182" t="s">
        <v>116</v>
      </c>
      <c r="C16" s="132"/>
      <c r="D16" s="132"/>
      <c r="E16" s="132"/>
      <c r="F16" s="132"/>
      <c r="G16" s="132"/>
      <c r="H16" s="132"/>
      <c r="I16" s="132"/>
      <c r="J16" s="42"/>
    </row>
    <row r="17" spans="2:10" x14ac:dyDescent="0.3">
      <c r="B17" s="182" t="s">
        <v>117</v>
      </c>
      <c r="C17" s="132"/>
      <c r="D17" s="132"/>
      <c r="E17" s="132"/>
      <c r="F17" s="132"/>
      <c r="G17" s="132"/>
      <c r="H17" s="132"/>
      <c r="I17" s="132"/>
      <c r="J17" s="42"/>
    </row>
    <row r="18" spans="2:10" x14ac:dyDescent="0.3">
      <c r="B18" s="132"/>
      <c r="C18" s="132"/>
      <c r="D18" s="132"/>
      <c r="E18" s="132"/>
      <c r="F18" s="132"/>
      <c r="G18" s="132"/>
      <c r="H18" s="132"/>
      <c r="I18" s="132"/>
      <c r="J18" s="42"/>
    </row>
    <row r="19" spans="2:10" x14ac:dyDescent="0.3">
      <c r="B19" s="128" t="s">
        <v>109</v>
      </c>
      <c r="C19" s="132"/>
      <c r="D19" s="132"/>
      <c r="E19" s="132"/>
      <c r="F19" s="132"/>
      <c r="G19" s="132"/>
      <c r="H19" s="132"/>
      <c r="I19" s="132"/>
      <c r="J19" s="42"/>
    </row>
    <row r="20" spans="2:10" x14ac:dyDescent="0.3">
      <c r="B20" s="129" t="s">
        <v>110</v>
      </c>
      <c r="C20" s="132"/>
      <c r="D20" s="132"/>
      <c r="E20" s="132"/>
      <c r="F20" s="132"/>
      <c r="G20" s="132"/>
      <c r="H20" s="132"/>
      <c r="I20" s="132"/>
      <c r="J20" s="42"/>
    </row>
    <row r="21" spans="2:10" x14ac:dyDescent="0.3">
      <c r="B21" s="130"/>
      <c r="C21" s="132"/>
      <c r="D21" s="132"/>
      <c r="E21" s="132"/>
      <c r="F21" s="132"/>
      <c r="G21" s="132"/>
      <c r="H21" s="132"/>
      <c r="I21" s="132"/>
      <c r="J21" s="42"/>
    </row>
    <row r="22" spans="2:10" x14ac:dyDescent="0.3">
      <c r="B22" s="128" t="s">
        <v>27</v>
      </c>
      <c r="C22" s="132"/>
      <c r="D22" s="132"/>
      <c r="E22" s="132"/>
      <c r="F22" s="132"/>
      <c r="G22" s="132"/>
      <c r="H22" s="132"/>
      <c r="I22" s="132"/>
      <c r="J22" s="42"/>
    </row>
    <row r="23" spans="2:10" x14ac:dyDescent="0.3">
      <c r="B23" s="129" t="s">
        <v>26</v>
      </c>
      <c r="C23" s="132"/>
      <c r="D23" s="132"/>
      <c r="E23" s="132"/>
      <c r="F23" s="132"/>
      <c r="G23" s="132"/>
      <c r="H23" s="132"/>
      <c r="I23" s="132"/>
      <c r="J23" s="42"/>
    </row>
    <row r="24" spans="2:10" x14ac:dyDescent="0.3">
      <c r="B24" s="41"/>
      <c r="C24" s="41"/>
      <c r="D24" s="41"/>
      <c r="E24" s="41"/>
      <c r="F24" s="41"/>
      <c r="G24" s="41"/>
      <c r="H24" s="41"/>
      <c r="I24" s="41"/>
      <c r="J24" s="41"/>
    </row>
    <row r="25" spans="2:10" x14ac:dyDescent="0.3">
      <c r="B25" s="169" t="s">
        <v>22</v>
      </c>
      <c r="C25" s="169"/>
      <c r="D25" s="169" t="s">
        <v>52</v>
      </c>
      <c r="E25" s="176" t="s">
        <v>53</v>
      </c>
      <c r="F25" s="176"/>
      <c r="G25" s="176"/>
      <c r="H25" s="176"/>
      <c r="I25" s="169" t="s">
        <v>58</v>
      </c>
      <c r="J25" s="41"/>
    </row>
    <row r="26" spans="2:10" ht="30" x14ac:dyDescent="0.3">
      <c r="B26" s="169"/>
      <c r="C26" s="169"/>
      <c r="D26" s="169"/>
      <c r="E26" s="60" t="s">
        <v>54</v>
      </c>
      <c r="F26" s="60" t="s">
        <v>55</v>
      </c>
      <c r="G26" s="60" t="s">
        <v>56</v>
      </c>
      <c r="H26" s="59" t="s">
        <v>57</v>
      </c>
      <c r="I26" s="169"/>
      <c r="J26" s="41"/>
    </row>
    <row r="27" spans="2:10" x14ac:dyDescent="0.3">
      <c r="B27" s="144"/>
      <c r="C27" s="144"/>
      <c r="D27" s="144"/>
      <c r="E27" s="145"/>
      <c r="F27" s="146"/>
      <c r="G27" s="146"/>
      <c r="H27" s="146"/>
      <c r="I27" s="146"/>
      <c r="J27" s="41"/>
    </row>
    <row r="28" spans="2:10" x14ac:dyDescent="0.3">
      <c r="B28" s="177"/>
      <c r="C28" s="178"/>
      <c r="D28" s="43"/>
      <c r="E28" s="44"/>
      <c r="F28" s="44"/>
      <c r="G28" s="44"/>
      <c r="H28" s="44"/>
      <c r="I28" s="44"/>
      <c r="J28" s="41"/>
    </row>
    <row r="29" spans="2:10" x14ac:dyDescent="0.3">
      <c r="B29" s="177"/>
      <c r="C29" s="178"/>
      <c r="D29" s="43"/>
      <c r="E29" s="44"/>
      <c r="F29" s="44"/>
      <c r="G29" s="44"/>
      <c r="H29" s="44"/>
      <c r="I29" s="44"/>
      <c r="J29" s="41"/>
    </row>
    <row r="30" spans="2:10" x14ac:dyDescent="0.3">
      <c r="B30" s="177"/>
      <c r="C30" s="178"/>
      <c r="D30" s="43"/>
      <c r="E30" s="44"/>
      <c r="F30" s="44"/>
      <c r="G30" s="44"/>
      <c r="H30" s="44"/>
      <c r="I30" s="44"/>
      <c r="J30" s="41"/>
    </row>
    <row r="31" spans="2:10" x14ac:dyDescent="0.3">
      <c r="B31" s="177"/>
      <c r="C31" s="178"/>
      <c r="D31" s="43"/>
      <c r="E31" s="44"/>
      <c r="F31" s="44"/>
      <c r="G31" s="44"/>
      <c r="H31" s="44"/>
      <c r="I31" s="44"/>
      <c r="J31" s="41"/>
    </row>
    <row r="32" spans="2:10" x14ac:dyDescent="0.3">
      <c r="B32" s="177"/>
      <c r="C32" s="178"/>
      <c r="D32" s="43"/>
      <c r="E32" s="44"/>
      <c r="F32" s="44"/>
      <c r="G32" s="44"/>
      <c r="H32" s="44"/>
      <c r="I32" s="44"/>
      <c r="J32" s="41"/>
    </row>
    <row r="33" spans="2:10" x14ac:dyDescent="0.3">
      <c r="B33" s="177"/>
      <c r="C33" s="178"/>
      <c r="D33" s="43"/>
      <c r="E33" s="44"/>
      <c r="F33" s="44"/>
      <c r="G33" s="44"/>
      <c r="H33" s="44"/>
      <c r="I33" s="44"/>
      <c r="J33" s="41"/>
    </row>
    <row r="34" spans="2:10" x14ac:dyDescent="0.3">
      <c r="B34" s="175"/>
      <c r="C34" s="175"/>
      <c r="D34" s="43"/>
      <c r="E34" s="45"/>
      <c r="F34" s="44"/>
      <c r="G34" s="44"/>
      <c r="H34" s="44"/>
      <c r="I34" s="44"/>
      <c r="J34" s="41"/>
    </row>
    <row r="35" spans="2:10" x14ac:dyDescent="0.3">
      <c r="B35" s="175"/>
      <c r="C35" s="175"/>
      <c r="D35" s="43"/>
      <c r="E35" s="45"/>
      <c r="F35" s="44"/>
      <c r="G35" s="44"/>
      <c r="H35" s="44"/>
      <c r="I35" s="44"/>
      <c r="J35" s="41"/>
    </row>
    <row r="36" spans="2:10" x14ac:dyDescent="0.3">
      <c r="B36" s="41"/>
      <c r="C36" s="41"/>
      <c r="D36" s="41"/>
      <c r="E36" s="41"/>
      <c r="F36" s="41"/>
      <c r="G36" s="41"/>
      <c r="H36" s="41"/>
      <c r="I36" s="41"/>
      <c r="J36" s="41"/>
    </row>
    <row r="37" spans="2:10" x14ac:dyDescent="0.3">
      <c r="B37" s="42"/>
      <c r="C37" s="42"/>
      <c r="D37" s="42"/>
      <c r="E37" s="42"/>
      <c r="F37" s="42"/>
      <c r="G37" s="42"/>
      <c r="H37" s="42"/>
      <c r="J37" s="42"/>
    </row>
    <row r="38" spans="2:10" x14ac:dyDescent="0.3"/>
    <row r="39" spans="2:10" x14ac:dyDescent="0.3"/>
    <row r="40" spans="2:10" x14ac:dyDescent="0.3"/>
    <row r="45" spans="2:10" x14ac:dyDescent="0.3"/>
    <row r="46" spans="2:10" x14ac:dyDescent="0.3"/>
    <row r="47" spans="2:10" x14ac:dyDescent="0.3"/>
    <row r="48" spans="2:10" x14ac:dyDescent="0.3"/>
    <row r="49" x14ac:dyDescent="0.3"/>
    <row r="50" x14ac:dyDescent="0.3"/>
    <row r="51" x14ac:dyDescent="0.3"/>
  </sheetData>
  <mergeCells count="12">
    <mergeCell ref="I25:I26"/>
    <mergeCell ref="B34:C34"/>
    <mergeCell ref="B35:C35"/>
    <mergeCell ref="E25:H25"/>
    <mergeCell ref="B28:C28"/>
    <mergeCell ref="B29:C29"/>
    <mergeCell ref="B30:C30"/>
    <mergeCell ref="B31:C31"/>
    <mergeCell ref="B32:C32"/>
    <mergeCell ref="B33:C33"/>
    <mergeCell ref="B25:C26"/>
    <mergeCell ref="D25:D26"/>
  </mergeCells>
  <pageMargins left="0.7" right="0.7" top="0.75" bottom="0.75" header="0.3" footer="0.3"/>
  <pageSetup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showGridLines="0" zoomScaleSheetLayoutView="100" workbookViewId="0">
      <selection activeCell="B1" sqref="B1:C6"/>
    </sheetView>
  </sheetViews>
  <sheetFormatPr defaultColWidth="0" defaultRowHeight="16.5" zeroHeight="1" x14ac:dyDescent="0.25"/>
  <cols>
    <col min="1" max="1" width="1" style="7" customWidth="1"/>
    <col min="2" max="2" width="10" style="7" customWidth="1"/>
    <col min="3" max="3" width="61.42578125" style="7" customWidth="1"/>
    <col min="4" max="5" width="13.5703125" style="7" customWidth="1"/>
    <col min="6" max="6" width="1" style="7" customWidth="1"/>
    <col min="7" max="7" width="9.140625" style="7" hidden="1" customWidth="1"/>
    <col min="8" max="9" width="0" style="7" hidden="1" customWidth="1"/>
    <col min="10" max="16384" width="9.140625" style="7" hidden="1"/>
  </cols>
  <sheetData>
    <row r="1" spans="2:10" s="4" customFormat="1" x14ac:dyDescent="0.3">
      <c r="B1" s="64" t="str">
        <f>Index!$B$1</f>
        <v>ABC &amp; Co.</v>
      </c>
      <c r="C1" s="96"/>
      <c r="D1" s="19"/>
      <c r="E1" s="20" t="str">
        <f>Index!F28</f>
        <v>BS.05 - 9</v>
      </c>
    </row>
    <row r="2" spans="2:10" s="4" customFormat="1" x14ac:dyDescent="0.25">
      <c r="B2" s="65" t="str">
        <f>Index!$B$2</f>
        <v>(Chartered Accountants)</v>
      </c>
      <c r="C2" s="96"/>
      <c r="D2" s="19"/>
    </row>
    <row r="3" spans="2:10" s="8" customFormat="1" x14ac:dyDescent="0.25">
      <c r="B3" s="96"/>
      <c r="C3" s="96"/>
      <c r="E3" s="7"/>
      <c r="F3" s="7"/>
    </row>
    <row r="4" spans="2:10" s="8" customFormat="1" x14ac:dyDescent="0.25">
      <c r="B4" s="66" t="s">
        <v>0</v>
      </c>
      <c r="C4" s="82" t="str">
        <f>Index!$D$4</f>
        <v>ABC Limited</v>
      </c>
      <c r="D4" s="78" t="str">
        <f>Index!$H$4</f>
        <v>Prepared by:</v>
      </c>
      <c r="E4" s="74" t="str">
        <f>IF(Index!$J$4="","",Index!$J$4)</f>
        <v/>
      </c>
    </row>
    <row r="5" spans="2:10" s="8" customFormat="1" x14ac:dyDescent="0.25">
      <c r="B5" s="66" t="s">
        <v>1</v>
      </c>
      <c r="C5" s="82" t="str">
        <f>Index!$D$5</f>
        <v>Year ended June 30, 2023</v>
      </c>
      <c r="D5" s="77" t="str">
        <f>Index!$H$5</f>
        <v>Date prepared:</v>
      </c>
      <c r="E5" s="80" t="str">
        <f>IF(Index!$J$5="","",Index!$J$5)</f>
        <v/>
      </c>
    </row>
    <row r="6" spans="2:10" s="8" customFormat="1" x14ac:dyDescent="0.25">
      <c r="B6" s="66" t="s">
        <v>2</v>
      </c>
      <c r="C6" s="82" t="str">
        <f>Index!$D$6</f>
        <v>Long term loans and advances</v>
      </c>
      <c r="D6" s="83" t="str">
        <f>Index!$H$6</f>
        <v>Reviewed by:</v>
      </c>
      <c r="E6" s="84" t="str">
        <f>IF(Index!$J$6="","",Index!$J$6)</f>
        <v/>
      </c>
    </row>
    <row r="7" spans="2:10" x14ac:dyDescent="0.25">
      <c r="B7" s="8"/>
      <c r="C7" s="8"/>
      <c r="D7" s="83" t="str">
        <f>Index!$H$7</f>
        <v>Date reviewed:</v>
      </c>
      <c r="E7" s="84" t="str">
        <f>IF(Index!$J$7="","",Index!$J$7)</f>
        <v/>
      </c>
      <c r="F7" s="8"/>
    </row>
    <row r="8" spans="2:10" s="8" customFormat="1" x14ac:dyDescent="0.25">
      <c r="B8" s="75" t="s">
        <v>59</v>
      </c>
      <c r="C8" s="75"/>
      <c r="D8" s="75"/>
      <c r="E8" s="75"/>
      <c r="F8" s="21"/>
    </row>
    <row r="9" spans="2:10" x14ac:dyDescent="0.25"/>
    <row r="10" spans="2:10" s="23" customFormat="1" ht="14.25" customHeight="1" x14ac:dyDescent="0.25">
      <c r="B10" s="179" t="s">
        <v>6</v>
      </c>
      <c r="C10" s="179" t="s">
        <v>60</v>
      </c>
      <c r="D10" s="180" t="s">
        <v>52</v>
      </c>
      <c r="E10" s="180"/>
      <c r="F10" s="33"/>
    </row>
    <row r="11" spans="2:10" x14ac:dyDescent="0.25">
      <c r="B11" s="179"/>
      <c r="C11" s="179"/>
      <c r="D11" s="57" t="s">
        <v>61</v>
      </c>
      <c r="E11" s="58" t="s">
        <v>62</v>
      </c>
      <c r="F11" s="22"/>
    </row>
    <row r="12" spans="2:10" x14ac:dyDescent="0.25">
      <c r="B12" s="147"/>
      <c r="C12" s="148"/>
      <c r="D12" s="148"/>
      <c r="E12" s="148"/>
    </row>
    <row r="13" spans="2:10" s="26" customFormat="1" x14ac:dyDescent="0.25">
      <c r="B13" s="24"/>
      <c r="C13" s="34"/>
      <c r="D13" s="34"/>
      <c r="E13" s="34"/>
      <c r="F13" s="7"/>
      <c r="G13" s="7"/>
      <c r="H13" s="7"/>
      <c r="I13" s="7"/>
      <c r="J13" s="7"/>
    </row>
    <row r="14" spans="2:10" s="26" customFormat="1" x14ac:dyDescent="0.25">
      <c r="B14" s="24"/>
      <c r="C14" s="34"/>
      <c r="D14" s="34"/>
      <c r="E14" s="34"/>
      <c r="F14" s="7"/>
      <c r="G14" s="7"/>
      <c r="H14" s="7"/>
      <c r="I14" s="7"/>
      <c r="J14" s="7"/>
    </row>
    <row r="15" spans="2:10" s="26" customFormat="1" x14ac:dyDescent="0.25">
      <c r="B15" s="24"/>
      <c r="C15" s="34"/>
      <c r="D15" s="34"/>
      <c r="E15" s="34"/>
      <c r="F15" s="7"/>
      <c r="G15" s="7"/>
      <c r="H15" s="7"/>
      <c r="I15" s="7"/>
      <c r="J15" s="7"/>
    </row>
    <row r="16" spans="2:10" s="26" customFormat="1" x14ac:dyDescent="0.25">
      <c r="B16" s="24"/>
      <c r="C16" s="34"/>
      <c r="D16" s="34"/>
      <c r="E16" s="34"/>
      <c r="F16" s="7"/>
      <c r="G16" s="7"/>
      <c r="H16" s="7"/>
      <c r="I16" s="7"/>
      <c r="J16" s="7"/>
    </row>
    <row r="17" spans="2:10" s="26" customFormat="1" x14ac:dyDescent="0.25">
      <c r="B17" s="24"/>
      <c r="C17" s="34"/>
      <c r="D17" s="34"/>
      <c r="E17" s="34"/>
      <c r="F17" s="7"/>
      <c r="G17" s="7"/>
      <c r="H17" s="7"/>
      <c r="I17" s="7"/>
      <c r="J17" s="7"/>
    </row>
    <row r="18" spans="2:10" s="26" customFormat="1" x14ac:dyDescent="0.25">
      <c r="B18" s="24"/>
      <c r="C18" s="34"/>
      <c r="D18" s="34"/>
      <c r="E18" s="34"/>
      <c r="F18" s="7"/>
      <c r="G18" s="7"/>
      <c r="H18" s="7"/>
      <c r="I18" s="7"/>
      <c r="J18" s="7"/>
    </row>
    <row r="19" spans="2:10" s="26" customFormat="1" x14ac:dyDescent="0.25">
      <c r="B19" s="24"/>
      <c r="C19" s="34"/>
      <c r="D19" s="34"/>
      <c r="E19" s="34"/>
      <c r="F19" s="7"/>
      <c r="G19" s="7"/>
      <c r="H19" s="7"/>
      <c r="I19" s="7"/>
      <c r="J19" s="7"/>
    </row>
    <row r="20" spans="2:10" s="26" customFormat="1" x14ac:dyDescent="0.25">
      <c r="B20" s="24"/>
      <c r="C20" s="34"/>
      <c r="D20" s="34"/>
      <c r="E20" s="34"/>
      <c r="F20" s="7"/>
      <c r="G20" s="7"/>
      <c r="H20" s="7"/>
      <c r="I20" s="7"/>
      <c r="J20" s="7"/>
    </row>
    <row r="21" spans="2:10" s="26" customFormat="1" x14ac:dyDescent="0.25">
      <c r="B21" s="24"/>
      <c r="C21" s="34"/>
      <c r="D21" s="34"/>
      <c r="E21" s="34"/>
      <c r="F21" s="7"/>
      <c r="G21" s="7"/>
      <c r="H21" s="7"/>
      <c r="I21" s="7"/>
      <c r="J21" s="7"/>
    </row>
    <row r="22" spans="2:10" s="26" customFormat="1" x14ac:dyDescent="0.25">
      <c r="B22" s="24"/>
      <c r="C22" s="25"/>
      <c r="D22" s="35"/>
      <c r="E22" s="35"/>
      <c r="F22" s="7"/>
      <c r="G22" s="7"/>
      <c r="H22" s="7"/>
      <c r="I22" s="7"/>
      <c r="J22" s="7"/>
    </row>
    <row r="23" spans="2:10" s="26" customFormat="1" x14ac:dyDescent="0.25">
      <c r="B23" s="24"/>
      <c r="C23" s="25"/>
      <c r="D23" s="29"/>
      <c r="E23" s="29"/>
    </row>
    <row r="24" spans="2:10" s="26" customFormat="1" x14ac:dyDescent="0.25">
      <c r="B24" s="24"/>
      <c r="C24" s="25"/>
      <c r="D24" s="25"/>
      <c r="E24" s="25"/>
    </row>
    <row r="25" spans="2:10" s="28" customFormat="1" x14ac:dyDescent="0.25">
      <c r="B25" s="30"/>
      <c r="C25" s="31"/>
    </row>
    <row r="26" spans="2:10" s="28" customFormat="1" hidden="1" x14ac:dyDescent="0.25"/>
    <row r="27" spans="2:10" s="28" customFormat="1" hidden="1" x14ac:dyDescent="0.25">
      <c r="D27" s="32"/>
      <c r="E27" s="32"/>
      <c r="F27" s="32"/>
      <c r="G27" s="32"/>
      <c r="H27" s="32"/>
      <c r="I27" s="32"/>
    </row>
    <row r="28" spans="2:10" s="28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AOC</vt:lpstr>
      <vt:lpstr>Lead</vt:lpstr>
      <vt:lpstr>SubLead</vt:lpstr>
      <vt:lpstr>Vouching-Additions</vt:lpstr>
      <vt:lpstr>Vouching-Deletion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SubLead!Print_Area</vt:lpstr>
      <vt:lpstr>'Vouching-Additions'!Print_Area</vt:lpstr>
      <vt:lpstr>'Vouching-Deletion'!Print_Area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Zahid</cp:lastModifiedBy>
  <cp:lastPrinted>2017-06-03T21:23:18Z</cp:lastPrinted>
  <dcterms:created xsi:type="dcterms:W3CDTF">2013-09-04T12:17:25Z</dcterms:created>
  <dcterms:modified xsi:type="dcterms:W3CDTF">2023-06-24T10:40:53Z</dcterms:modified>
</cp:coreProperties>
</file>