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731"/>
  <workbookPr codeName="ThisWorkbook" defaultThemeVersion="124226"/>
  <mc:AlternateContent xmlns:mc="http://schemas.openxmlformats.org/markup-compatibility/2006">
    <mc:Choice Requires="x15">
      <x15ac:absPath xmlns:x15ac="http://schemas.microsoft.com/office/spreadsheetml/2010/11/ac" url="D:\Office\Templates\Audit Working Papers\2023\"/>
    </mc:Choice>
  </mc:AlternateContent>
  <xr:revisionPtr revIDLastSave="0" documentId="13_ncr:1_{D252070A-8D0A-4E37-B787-559239435598}" xr6:coauthVersionLast="47" xr6:coauthVersionMax="47" xr10:uidLastSave="{00000000-0000-0000-0000-000000000000}"/>
  <bookViews>
    <workbookView xWindow="-120" yWindow="-120" windowWidth="20730" windowHeight="11040" tabRatio="857" xr2:uid="{00000000-000D-0000-FFFF-FFFF00000000}"/>
  </bookViews>
  <sheets>
    <sheet name="Index" sheetId="6" r:id="rId1"/>
    <sheet name="AOC" sheetId="7" r:id="rId2"/>
    <sheet name="Lead" sheetId="3" r:id="rId3"/>
    <sheet name="SubLead" sheetId="10" r:id="rId4"/>
    <sheet name="Loan Obtained-Vouching" sheetId="12" r:id="rId5"/>
    <sheet name="Repayment-Vouching" sheetId="13" r:id="rId6"/>
    <sheet name="Markup Detailed" sheetId="23" r:id="rId7"/>
    <sheet name="Interest-AP" sheetId="14" r:id="rId8"/>
    <sheet name="Adjusting Entries" sheetId="22" r:id="rId9"/>
  </sheets>
  <definedNames>
    <definedName name="_xlnm.Print_Area" localSheetId="8">'Adjusting Entries'!$A$1:$F$25</definedName>
    <definedName name="_xlnm.Print_Area" localSheetId="1">AOC!$A$1:$F$28</definedName>
    <definedName name="_xlnm.Print_Area" localSheetId="0">Index!$A$1:$G$38</definedName>
    <definedName name="_xlnm.Print_Area" localSheetId="7">'Interest-AP'!$A$1:$J$42</definedName>
    <definedName name="_xlnm.Print_Area" localSheetId="2">Lead!$A$1:$J$58</definedName>
    <definedName name="_xlnm.Print_Area" localSheetId="4">'Loan Obtained-Vouching'!$A$1:$Q$50</definedName>
    <definedName name="_xlnm.Print_Area" localSheetId="5">'Repayment-Vouching'!$A$1:$P$48</definedName>
    <definedName name="_xlnm.Print_Area" localSheetId="3">SubLead!$A$1:$H$15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1" i="23" l="1"/>
  <c r="D24" i="6"/>
  <c r="B26" i="6"/>
  <c r="B24" i="6"/>
  <c r="L49" i="23"/>
  <c r="S8" i="23"/>
  <c r="R8" i="23"/>
  <c r="S7" i="23"/>
  <c r="R7" i="23"/>
  <c r="S6" i="23"/>
  <c r="R6" i="23"/>
  <c r="C6" i="23"/>
  <c r="B6" i="23"/>
  <c r="S5" i="23"/>
  <c r="R5" i="23"/>
  <c r="C5" i="23"/>
  <c r="B5" i="23"/>
  <c r="C4" i="23"/>
  <c r="B4" i="23"/>
  <c r="B2" i="23"/>
  <c r="B1" i="23"/>
  <c r="C6" i="7"/>
  <c r="E7" i="22" l="1"/>
  <c r="D7" i="22"/>
  <c r="E6" i="22"/>
  <c r="D6" i="22"/>
  <c r="E5" i="22"/>
  <c r="D5" i="22"/>
  <c r="E4" i="22"/>
  <c r="D4" i="22"/>
  <c r="G7" i="14"/>
  <c r="F7" i="14"/>
  <c r="G6" i="14"/>
  <c r="F6" i="14"/>
  <c r="G5" i="14"/>
  <c r="F5" i="14"/>
  <c r="G4" i="14"/>
  <c r="F4" i="14"/>
  <c r="L8" i="13"/>
  <c r="K8" i="13"/>
  <c r="L7" i="13"/>
  <c r="K7" i="13"/>
  <c r="L6" i="13"/>
  <c r="K6" i="13"/>
  <c r="L5" i="13"/>
  <c r="K5" i="13"/>
  <c r="N8" i="12"/>
  <c r="M8" i="12"/>
  <c r="N7" i="12"/>
  <c r="M7" i="12"/>
  <c r="N6" i="12"/>
  <c r="M6" i="12"/>
  <c r="N5" i="12"/>
  <c r="M5" i="12"/>
  <c r="F7" i="10"/>
  <c r="E7" i="10"/>
  <c r="F6" i="10"/>
  <c r="E6" i="10"/>
  <c r="F5" i="10"/>
  <c r="E5" i="10"/>
  <c r="F4" i="10"/>
  <c r="E4" i="10"/>
  <c r="I7" i="3"/>
  <c r="H7" i="3"/>
  <c r="I6" i="3"/>
  <c r="H6" i="3"/>
  <c r="I5" i="3"/>
  <c r="H5" i="3"/>
  <c r="I4" i="3"/>
  <c r="H4" i="3"/>
  <c r="C6" i="22"/>
  <c r="B6" i="22"/>
  <c r="C5" i="22"/>
  <c r="B5" i="22"/>
  <c r="C4" i="22"/>
  <c r="B4" i="22"/>
  <c r="B2" i="22"/>
  <c r="B1" i="22"/>
  <c r="C6" i="14"/>
  <c r="B6" i="14"/>
  <c r="C5" i="14"/>
  <c r="B5" i="14"/>
  <c r="C4" i="14"/>
  <c r="B4" i="14"/>
  <c r="B2" i="14"/>
  <c r="B1" i="14"/>
  <c r="C6" i="13"/>
  <c r="B6" i="13"/>
  <c r="C5" i="13"/>
  <c r="B5" i="13"/>
  <c r="C4" i="13"/>
  <c r="B4" i="13"/>
  <c r="B2" i="13"/>
  <c r="B1" i="13"/>
  <c r="C6" i="12"/>
  <c r="B6" i="12"/>
  <c r="C5" i="12"/>
  <c r="B5" i="12"/>
  <c r="C4" i="12"/>
  <c r="B4" i="12"/>
  <c r="B2" i="12"/>
  <c r="B1" i="12"/>
  <c r="C6" i="10"/>
  <c r="B6" i="10"/>
  <c r="C5" i="10"/>
  <c r="B5" i="10"/>
  <c r="C4" i="10"/>
  <c r="B4" i="10"/>
  <c r="B2" i="10"/>
  <c r="B1" i="10"/>
  <c r="C6" i="3"/>
  <c r="B6" i="3"/>
  <c r="C5" i="3"/>
  <c r="B5" i="3"/>
  <c r="C4" i="3"/>
  <c r="B4" i="3"/>
  <c r="B2" i="3"/>
  <c r="B1" i="3"/>
  <c r="B14" i="6"/>
  <c r="D14" i="6" s="1"/>
  <c r="D12" i="6"/>
  <c r="B24" i="7"/>
  <c r="B25" i="7" s="1"/>
  <c r="B26" i="7" s="1"/>
  <c r="B14" i="7"/>
  <c r="B15" i="7" s="1"/>
  <c r="B16" i="7" s="1"/>
  <c r="B17" i="7" s="1"/>
  <c r="E6" i="7"/>
  <c r="E5" i="7"/>
  <c r="E7" i="7"/>
  <c r="E4" i="7"/>
  <c r="D7" i="7"/>
  <c r="D6" i="7"/>
  <c r="D5" i="7"/>
  <c r="D4" i="7"/>
  <c r="C5" i="7"/>
  <c r="C4" i="7"/>
  <c r="B6" i="7"/>
  <c r="B5" i="7"/>
  <c r="B4" i="7"/>
  <c r="B2" i="7"/>
  <c r="B1" i="7"/>
  <c r="B16" i="6" l="1"/>
  <c r="D16" i="6" l="1"/>
  <c r="B18" i="6"/>
  <c r="B20" i="6" l="1"/>
  <c r="D18" i="6"/>
  <c r="D20" i="6" l="1"/>
  <c r="B22" i="6"/>
  <c r="D22" i="6" l="1"/>
  <c r="D26" i="6" l="1"/>
  <c r="B28" i="6"/>
  <c r="D28" i="6" l="1"/>
  <c r="B30" i="6"/>
  <c r="D30" i="6" s="1"/>
  <c r="F53" i="10" l="1"/>
  <c r="H53" i="10" s="1"/>
  <c r="F43" i="3"/>
  <c r="G51" i="3" l="1"/>
  <c r="H51" i="3" s="1"/>
  <c r="G49" i="3"/>
  <c r="H49" i="3" s="1"/>
  <c r="B61" i="10" l="1"/>
  <c r="E28" i="14" s="1"/>
  <c r="B55" i="10"/>
  <c r="D28" i="14" s="1"/>
  <c r="C7" i="14"/>
  <c r="E1" i="22" l="1"/>
  <c r="I1" i="14"/>
  <c r="L1" i="13"/>
  <c r="P1" i="12"/>
  <c r="H1" i="10"/>
  <c r="I1" i="3"/>
  <c r="E1" i="7"/>
  <c r="H43" i="13" l="1"/>
  <c r="B8" i="7"/>
  <c r="H43" i="12" l="1"/>
  <c r="G56" i="3" l="1"/>
  <c r="E56" i="3" l="1"/>
  <c r="F56" i="3" l="1"/>
</calcChain>
</file>

<file path=xl/sharedStrings.xml><?xml version="1.0" encoding="utf-8"?>
<sst xmlns="http://schemas.openxmlformats.org/spreadsheetml/2006/main" count="265" uniqueCount="206">
  <si>
    <t xml:space="preserve">Client: </t>
  </si>
  <si>
    <t>Period:</t>
  </si>
  <si>
    <t>Head:</t>
  </si>
  <si>
    <t xml:space="preserve"> </t>
  </si>
  <si>
    <t>T O T A L</t>
  </si>
  <si>
    <t>INDEX</t>
  </si>
  <si>
    <t>Sr. #</t>
  </si>
  <si>
    <t>Whether Placed in File</t>
  </si>
  <si>
    <t>Initials of Reviewer</t>
  </si>
  <si>
    <t>LEAD SCHEDULE</t>
  </si>
  <si>
    <t>Prepared by:</t>
  </si>
  <si>
    <t>Reviewed by:</t>
  </si>
  <si>
    <t>Variance</t>
  </si>
  <si>
    <t>Reason for Variance</t>
  </si>
  <si>
    <t>Audit Objectives</t>
  </si>
  <si>
    <t>%</t>
  </si>
  <si>
    <t>SUB-LEAD SCHEDULE</t>
  </si>
  <si>
    <t>Test of Details</t>
  </si>
  <si>
    <t>Work Performed</t>
  </si>
  <si>
    <t>Checked proper authorization and approval.</t>
  </si>
  <si>
    <t>Work performed</t>
  </si>
  <si>
    <t>Ensure that closing balances as per our working paper file are in match with closing balance as per general ledger.</t>
  </si>
  <si>
    <t>Audit Objectives and Conclusions</t>
  </si>
  <si>
    <t>Date</t>
  </si>
  <si>
    <t>Voucher #</t>
  </si>
  <si>
    <t>Description of Transaction</t>
  </si>
  <si>
    <t>Lead Schedule</t>
  </si>
  <si>
    <t>W.P. Ref.</t>
  </si>
  <si>
    <t>Description</t>
  </si>
  <si>
    <t>The audit has been completed in accordance with Audit program.</t>
  </si>
  <si>
    <t>The working papers demonstrate that adequate work has been undertaken.</t>
  </si>
  <si>
    <t>Objective Met</t>
  </si>
  <si>
    <t>Satisfactory</t>
  </si>
  <si>
    <t>Conclusion</t>
  </si>
  <si>
    <t>Yes/No</t>
  </si>
  <si>
    <t>Initials</t>
  </si>
  <si>
    <t>Compared current year balances with last year balances and ensured that any significant variation has been properly and logically reasoned.</t>
  </si>
  <si>
    <t>Rupees</t>
  </si>
  <si>
    <t>Sub Head:</t>
  </si>
  <si>
    <t>Proper Classification</t>
  </si>
  <si>
    <t>Cheque #</t>
  </si>
  <si>
    <t>Traced in Bank</t>
  </si>
  <si>
    <t>Performed the above mentioned procedures to ensure various assertions</t>
  </si>
  <si>
    <t>Difference</t>
  </si>
  <si>
    <t>Opening balance</t>
  </si>
  <si>
    <t>Closing balance</t>
  </si>
  <si>
    <t>Compare current year expenses with last year expenses and ensure that any significant variation should be properly and logically reasoned</t>
  </si>
  <si>
    <t>Analytical Procedures</t>
  </si>
  <si>
    <t xml:space="preserve">Ensured that none of the assets has been impaired or the recoverable amount of an asset is not less than its carrying amount. </t>
  </si>
  <si>
    <t>Checked proper posting in general ledger.</t>
  </si>
  <si>
    <t>Ensured receipts are reflected in the bank statements.</t>
  </si>
  <si>
    <t>Sub-Lead Schedule</t>
  </si>
  <si>
    <t>Determine that client's accounting policies for amortization are appropriate and applied consistently. See that intangible assets with indefinite life are subject to impairment review.</t>
  </si>
  <si>
    <t>The working papers contain sufficient information, details of significant features and notes of unusual matters to enable us to form an opinion on financial statements.</t>
  </si>
  <si>
    <t>In my opinion above amounts are fairly stated and on a consistent basis with the previous period.</t>
  </si>
  <si>
    <t>Total</t>
  </si>
  <si>
    <t>Determined the reasonableness of accounting policy and amortization method, rates and their consistency with prior years.</t>
  </si>
  <si>
    <t>Checked calculation of amortization of selected assets.</t>
  </si>
  <si>
    <t>Ensured that any subsequent addition has been amortized over remaining useful life and not simply depreciated by applying the amortization rate.</t>
  </si>
  <si>
    <t>Related information</t>
  </si>
  <si>
    <t>Board minutes for major additions/deletions</t>
  </si>
  <si>
    <t>ADJUSTING ENTRIES</t>
  </si>
  <si>
    <t>Amount</t>
  </si>
  <si>
    <t>Debit</t>
  </si>
  <si>
    <t>Credit</t>
  </si>
  <si>
    <t>Entry Proposed</t>
  </si>
  <si>
    <t>Adjusting Entries</t>
  </si>
  <si>
    <t>B.S.17</t>
  </si>
  <si>
    <t>Long term financing - Banking and other financial institutions</t>
  </si>
  <si>
    <t>All long term financing on the balance sheet represent valid claims by banks and other financial institutions.</t>
  </si>
  <si>
    <t>To ensure that all goods and services received by the entity have been accounted for in the books of the company on a timely basis.</t>
  </si>
  <si>
    <t>To ensure that liability is recorded at the correct amount.</t>
  </si>
  <si>
    <t>Interest and finance cost has been accurately calculated and appropriately disclosed.</t>
  </si>
  <si>
    <t>Banking Companies and Other Financial Institutions</t>
  </si>
  <si>
    <t>Obtained assurance about the completeness of the schedule:</t>
  </si>
  <si>
    <t>(a) Made inquiries of knowledgeable management.</t>
  </si>
  <si>
    <t>(b) Considered any evidence of additional debt obtained through examination of minutes of the board, (when testing payables), and other documents.</t>
  </si>
  <si>
    <t>Tested the summarization and traced the ending balances to the general ledger.</t>
  </si>
  <si>
    <t>For each lender (or, in some circumstances, selected lenders) with which the client had debt outstanding at the prior year end or during the current year, prepare, or have the client prepare, a confirmation request for the amount(s) owed to the lender, and performed the following:</t>
  </si>
  <si>
    <t>Sent second requests for non-replies.</t>
  </si>
  <si>
    <t>Compared replies to requests. Prepare, or have the client prepare, reconciliations of exceptions. Traced reconciling items to supporting documents.</t>
  </si>
  <si>
    <t>Bank A</t>
  </si>
  <si>
    <t>Bank B</t>
  </si>
  <si>
    <t>W.P. Ref</t>
  </si>
  <si>
    <t>Obtained during the period</t>
  </si>
  <si>
    <t>Less: Repaid during the period</t>
  </si>
  <si>
    <t>Interest accrued</t>
  </si>
  <si>
    <t>Traced opening balances from loan register, general ledger and last year’s working papers.</t>
  </si>
  <si>
    <t>Closing Total</t>
  </si>
  <si>
    <t>Made a selection of debt instruments tested in Procedure 1 and, for each item selected, performed the following:</t>
  </si>
  <si>
    <t>Based on the information in the confirmation concerning the date through which interest was paid and the applicable interest rate, recomputed the amount of accrued interest.</t>
  </si>
  <si>
    <t>If the information needed to re-compute the amount was not confirmed:</t>
  </si>
  <si>
    <t>Examined the debt agreement evidencing the interest rate.</t>
  </si>
  <si>
    <t>Obtained and examined cash disbursement records (usually the paid check) evidencing the most recent payment of interest.</t>
  </si>
  <si>
    <t>Re-computed the amount of accrued interest.</t>
  </si>
  <si>
    <t>Evaluated results of the tests.</t>
  </si>
  <si>
    <t>INTEREST EXPENSE - ANALYTICAL PROCEDURE</t>
  </si>
  <si>
    <t>Opening principal loan amount</t>
  </si>
  <si>
    <t>Opening accumulated interest cost</t>
  </si>
  <si>
    <t>Opening loan amount</t>
  </si>
  <si>
    <t>Rate of interest</t>
  </si>
  <si>
    <t>Interest on opening balance for the whole year</t>
  </si>
  <si>
    <t>Interest on loan obtained during the year</t>
  </si>
  <si>
    <t>Interest not charged on the loan repaid during the year</t>
  </si>
  <si>
    <t xml:space="preserve">Expected interest cost for the year </t>
  </si>
  <si>
    <t>Interest as per General Ledger</t>
  </si>
  <si>
    <t>Calculated overall interest expense on loans for the year, and compared with recorded interest expense.</t>
  </si>
  <si>
    <t>Determined that the following items, if any, are properly recorded, classified, and/or disclosed, as appropriate:</t>
  </si>
  <si>
    <t>Long-term debt and current portion of long term debt.</t>
  </si>
  <si>
    <t>Short-term obligations expected to be refinanced</t>
  </si>
  <si>
    <t>Imputed interest (e.g., when there is no stated interest rate).</t>
  </si>
  <si>
    <t>Read the provisions in loan and debt agreements (and update descriptions thereof contained in our permanent files, if applicable) and performed the following:</t>
  </si>
  <si>
    <t>Ensured that the debt agreement made between the Company and the lender is adequate and that:</t>
  </si>
  <si>
    <t>b) It is duly authorized by the notary public;</t>
  </si>
  <si>
    <t>c) It is signed by both the parties to the agreement and witnessed;</t>
  </si>
  <si>
    <t>d) Official stamp of both the parties to the agreement;</t>
  </si>
  <si>
    <t>e) Agreement is not expired during the period  under review;</t>
  </si>
  <si>
    <t>f) The terms and conditions of such loans are compatible with normal business norms;</t>
  </si>
  <si>
    <t>g) Adequate security is provided by the Company to the lender;</t>
  </si>
  <si>
    <t>h) The terms and conditions are not vague;</t>
  </si>
  <si>
    <t>i) It is approved by persons authorized by the Company to do so.</t>
  </si>
  <si>
    <t>If agreement contains security against mortgaged charges are:</t>
  </si>
  <si>
    <t>Tested that the client is in compliance with loan covenants and other significant provisions of the agreements.</t>
  </si>
  <si>
    <t>Reviewed refinancing/restructuring agreements subsequent to the balance sheet date to determine their effects on balance sheet classifications or on disclosures.</t>
  </si>
  <si>
    <t>Determined that the accounting policies and methods of recording debt are appropriate and applied consistently.</t>
  </si>
  <si>
    <t>----------- Rupees -----------</t>
  </si>
  <si>
    <t>VOUCHING FOR LOAN OBTAINED</t>
  </si>
  <si>
    <t>Bank Name</t>
  </si>
  <si>
    <t>Board Approval</t>
  </si>
  <si>
    <t>Minutes of Meetings</t>
  </si>
  <si>
    <t>Bank Letter #</t>
  </si>
  <si>
    <t>Loan Agreement</t>
  </si>
  <si>
    <t>Loan Amount as per Agreement</t>
  </si>
  <si>
    <t>Loan amount as per ledger</t>
  </si>
  <si>
    <t>Date of Receipt</t>
  </si>
  <si>
    <t>Interest charged?</t>
  </si>
  <si>
    <t>Interest amount</t>
  </si>
  <si>
    <t>Checked supporting documents like loan agreements, minutes of the meetings and other evidences.</t>
  </si>
  <si>
    <t>VOUCHING FOR LOAN REPAID</t>
  </si>
  <si>
    <t>Date of Payment</t>
  </si>
  <si>
    <t>Approved by</t>
  </si>
  <si>
    <t>Difference in A and B</t>
  </si>
  <si>
    <t>Repayment Amount (A)</t>
  </si>
  <si>
    <t>Cheque Amount (B)</t>
  </si>
  <si>
    <t>Ensured payments are reflected in the bank statements.</t>
  </si>
  <si>
    <t>Vouching for Loan obtained</t>
  </si>
  <si>
    <t>Vouching for Loan repaid</t>
  </si>
  <si>
    <t>Interest cost - Analytical procedures</t>
  </si>
  <si>
    <t>Analytical Procedures:</t>
  </si>
  <si>
    <t>a) It is made on the stamp paper; It is made on the stamp paper;</t>
  </si>
  <si>
    <t>Long term financing is presented and all disclosures have been given in accordance with the Fifth Schedules of the Companies Act, 2017 and relevant IASs/IFRSs.</t>
  </si>
  <si>
    <t>Determined and ensured that disclosures have been made in accordance with the requirements of Fifth Schedule to the Companies Act, 2017 and the applicable IASs / IFRSs.</t>
  </si>
  <si>
    <t>a) Recorded in register of mortgages charges under section 125 of the Companies Act, 2017; and</t>
  </si>
  <si>
    <t>b) Registered under certificate of registration of mortgages charges as per section 127 of the Companies Act, 2017.</t>
  </si>
  <si>
    <t>ABC &amp; Co.</t>
  </si>
  <si>
    <t>(Chartered Accountants)</t>
  </si>
  <si>
    <t>ABC Limited</t>
  </si>
  <si>
    <t>Year ended June 30, 2023</t>
  </si>
  <si>
    <t>Date prepared:</t>
  </si>
  <si>
    <t>Date reviewed:</t>
  </si>
  <si>
    <t>Obtained a schedule of accrued interest expense (which may be prepared in connection with the schedule of debt in Procedure 1 above).</t>
  </si>
  <si>
    <t xml:space="preserve"> Tested the summarization and trace the total or the individual amounts, as applicable, to the general ledger.</t>
  </si>
  <si>
    <t>Obtained a schedule(s) of amounts due to be repaid in the next five years under the terms of long-term debt agreements.</t>
  </si>
  <si>
    <t xml:space="preserve">This include separately amounts due under capitalized leases and/or unconditional purchase obligations, if any. </t>
  </si>
  <si>
    <t>Tested the summarization of the schedule and re-compute (possibly on test basis) the amounts.</t>
  </si>
  <si>
    <t>If there are any provisions with which the client is not in compliance, determined whether the debt should be classified as current.</t>
  </si>
  <si>
    <t xml:space="preserve"> If enforcement of the provisions has been waived by the lender, obtained confirmation of the waiver from the lender.</t>
  </si>
  <si>
    <t>Obtained a schedule of long term financing (including debt outstanding at the end of the prior year, as well as any new debt) and performed the following:</t>
  </si>
  <si>
    <t>Mailed the requests under our control to a person within the lending institution.</t>
  </si>
  <si>
    <t>The person who understands the client's obligations, such as contingent liabilities, guarantees, letters of credit, security agreements, and other related matters.</t>
  </si>
  <si>
    <t>Ascertained that the confirmation asks for all information likely to be relevant to our tests of debt and related interest balances.</t>
  </si>
  <si>
    <t>For Exaample applicable interest rates, due dates, the date to which interest has been paid, collateral and security interests).</t>
  </si>
  <si>
    <t>Observations</t>
  </si>
  <si>
    <t>None.</t>
  </si>
  <si>
    <t>Verified payment from bank statements.</t>
  </si>
  <si>
    <t>Reviewed calculation of financial charges.</t>
  </si>
  <si>
    <t>Reviewed bank facility letters for Interest rates working.</t>
  </si>
  <si>
    <t>Agreed with general ledger and final accounts.</t>
  </si>
  <si>
    <t>Checked the Declaration date, Maturity date and transaction amount from the bank debit advice.</t>
  </si>
  <si>
    <t>Recalculated the interest expense and Proposed the adjusting entry for the difference in expense as per ledger and as per our calculation.</t>
  </si>
  <si>
    <t>Declaration Date</t>
  </si>
  <si>
    <t>Maturity Date</t>
  </si>
  <si>
    <t>Year Ended (30 June 20XX)?</t>
  </si>
  <si>
    <t>Days Outstanding till Maturity</t>
  </si>
  <si>
    <t>Days Outstanding till  Year end date</t>
  </si>
  <si>
    <t>Transaction Amount</t>
  </si>
  <si>
    <t xml:space="preserve">KIBOR </t>
  </si>
  <si>
    <t>Factor</t>
  </si>
  <si>
    <t>Rate</t>
  </si>
  <si>
    <t>Floor</t>
  </si>
  <si>
    <t>Amount till Maturity</t>
  </si>
  <si>
    <t>Amount till year end date</t>
  </si>
  <si>
    <t>As per
 Ledger</t>
  </si>
  <si>
    <t>Difference as per our calculation</t>
  </si>
  <si>
    <t>Traced interest payment in bank statement</t>
  </si>
  <si>
    <t>Traced disbursement of funds in bank statement</t>
  </si>
  <si>
    <t>Traced repayment in bank statements</t>
  </si>
  <si>
    <t>C. Evaluate results of the tests.</t>
  </si>
  <si>
    <t xml:space="preserve">Opening Payable </t>
  </si>
  <si>
    <t>Profit Payable on Utilization during the year</t>
  </si>
  <si>
    <t>Payment During the year</t>
  </si>
  <si>
    <t>Closing Payable</t>
  </si>
  <si>
    <t>Calculation of Markup on Long Term Borrowings</t>
  </si>
  <si>
    <t>Ensured proper bifurcation of principal paid and finance charges paid.</t>
  </si>
  <si>
    <t>Verified the receipts of long term borrowings from bank statements.</t>
  </si>
  <si>
    <t>Obtained Kibor rates from www.sbp.org.pk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</si>
</sst>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_(* #,##0.00_);_(* \(#,##0.00\);_(* &quot;-&quot;??_);_(@_)"/>
    <numFmt numFmtId="165" formatCode="_(* #,##0_);_(* \(#,##0\);_(* &quot;-&quot;??_);_(@_)"/>
    <numFmt numFmtId="166" formatCode="&quot;Rs.&quot;#,##0"/>
    <numFmt numFmtId="167" formatCode="&quot;£&quot;#,##0_);\(&quot;£&quot;#,##0\)"/>
    <numFmt numFmtId="168" formatCode="[$-409]d/mmm/yy;@"/>
    <numFmt numFmtId="169" formatCode="[$]dd\-mmm\-yyyy;@" x16r2:formatCode16="[$-en-PK,1]dd\-mmm\-yyyy;@"/>
    <numFmt numFmtId="170" formatCode="[$]dd/mmm/yyyy;@" x16r2:formatCode16="[$-en-PK,1]dd/mmm/yyyy;@"/>
  </numFmts>
  <fonts count="41">
    <font>
      <sz val="11"/>
      <color theme="1"/>
      <name val="Calibri"/>
      <family val="2"/>
      <scheme val="minor"/>
    </font>
    <font>
      <sz val="11"/>
      <color theme="1"/>
      <name val="Calibri"/>
      <family val="2"/>
      <scheme val="minor"/>
    </font>
    <font>
      <sz val="10"/>
      <name val="Arial Narrow"/>
      <family val="2"/>
    </font>
    <font>
      <sz val="10"/>
      <name val="Arial"/>
      <family val="2"/>
    </font>
    <font>
      <sz val="11"/>
      <color indexed="8"/>
      <name val="Calibri"/>
      <family val="2"/>
    </font>
    <font>
      <sz val="12"/>
      <name val="Times New Roman"/>
      <family val="1"/>
    </font>
    <font>
      <sz val="11"/>
      <color indexed="9"/>
      <name val="Calibri"/>
      <family val="2"/>
    </font>
    <font>
      <sz val="11"/>
      <color indexed="20"/>
      <name val="Calibri"/>
      <family val="2"/>
    </font>
    <font>
      <b/>
      <sz val="11"/>
      <color indexed="52"/>
      <name val="Calibri"/>
      <family val="2"/>
    </font>
    <font>
      <b/>
      <sz val="11"/>
      <color indexed="9"/>
      <name val="Calibri"/>
      <family val="2"/>
    </font>
    <font>
      <sz val="8"/>
      <color theme="1"/>
      <name val="Arial"/>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sz val="10"/>
      <color indexed="8"/>
      <name val="MS Sans Serif"/>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12"/>
      <name val="SWISS"/>
    </font>
    <font>
      <b/>
      <sz val="12"/>
      <name val="Book Antiqua"/>
      <family val="1"/>
    </font>
    <font>
      <sz val="12"/>
      <name val="Book Antiqua"/>
      <family val="1"/>
    </font>
    <font>
      <sz val="11"/>
      <name val="Book Antiqua"/>
      <family val="1"/>
    </font>
    <font>
      <sz val="11"/>
      <color theme="1"/>
      <name val="Book Antiqua"/>
      <family val="1"/>
    </font>
    <font>
      <b/>
      <sz val="11"/>
      <name val="Book Antiqua"/>
      <family val="1"/>
    </font>
    <font>
      <b/>
      <sz val="11"/>
      <color theme="1"/>
      <name val="Book Antiqua"/>
      <family val="1"/>
    </font>
    <font>
      <b/>
      <sz val="10"/>
      <name val="Book Antiqua"/>
      <family val="1"/>
    </font>
    <font>
      <sz val="10"/>
      <name val="Book Antiqua"/>
      <family val="1"/>
    </font>
    <font>
      <b/>
      <sz val="10"/>
      <color indexed="8"/>
      <name val="Book Antiqua"/>
      <family val="1"/>
    </font>
    <font>
      <sz val="10"/>
      <color theme="1"/>
      <name val="Book Antiqua"/>
      <family val="1"/>
    </font>
    <font>
      <b/>
      <sz val="10"/>
      <color theme="1"/>
      <name val="Book Antiqua"/>
      <family val="1"/>
    </font>
    <font>
      <b/>
      <u/>
      <sz val="10"/>
      <color theme="1"/>
      <name val="Book Antiqua"/>
      <family val="1"/>
    </font>
    <font>
      <sz val="10"/>
      <color rgb="FF000000"/>
      <name val="Book Antiqua"/>
      <family val="1"/>
    </font>
    <font>
      <b/>
      <sz val="10"/>
      <color rgb="FF000000"/>
      <name val="Book Antiqua"/>
      <family val="1"/>
    </font>
    <font>
      <b/>
      <sz val="10"/>
      <color theme="0"/>
      <name val="Book Antiqua"/>
      <family val="1"/>
    </font>
    <font>
      <sz val="10"/>
      <color indexed="8"/>
      <name val="Book Antiqua"/>
      <family val="1"/>
    </font>
  </fonts>
  <fills count="26">
    <fill>
      <patternFill patternType="none"/>
    </fill>
    <fill>
      <patternFill patternType="gray125"/>
    </fill>
    <fill>
      <patternFill patternType="solid">
        <fgColor indexed="9"/>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theme="0"/>
        <bgColor indexed="64"/>
      </patternFill>
    </fill>
  </fills>
  <borders count="30">
    <border>
      <left/>
      <right/>
      <top/>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bottom style="thin">
        <color indexed="64"/>
      </bottom>
      <diagonal/>
    </border>
    <border>
      <left style="double">
        <color theme="0"/>
      </left>
      <right style="double">
        <color theme="0"/>
      </right>
      <top/>
      <bottom/>
      <diagonal/>
    </border>
    <border>
      <left style="double">
        <color theme="0"/>
      </left>
      <right/>
      <top/>
      <bottom/>
      <diagonal/>
    </border>
    <border>
      <left style="thin">
        <color rgb="FFC00000"/>
      </left>
      <right style="thin">
        <color rgb="FFC00000"/>
      </right>
      <top style="thin">
        <color rgb="FFC00000"/>
      </top>
      <bottom style="thin">
        <color rgb="FFC00000"/>
      </bottom>
      <diagonal/>
    </border>
    <border>
      <left style="dotted">
        <color rgb="FFC00000"/>
      </left>
      <right style="dotted">
        <color rgb="FFC00000"/>
      </right>
      <top style="thin">
        <color rgb="FFC00000"/>
      </top>
      <bottom style="dotted">
        <color rgb="FFC00000"/>
      </bottom>
      <diagonal/>
    </border>
    <border>
      <left style="dotted">
        <color rgb="FFC00000"/>
      </left>
      <right style="dotted">
        <color rgb="FFC00000"/>
      </right>
      <top style="dotted">
        <color rgb="FFC00000"/>
      </top>
      <bottom style="dotted">
        <color rgb="FFC00000"/>
      </bottom>
      <diagonal/>
    </border>
    <border>
      <left/>
      <right/>
      <top style="thin">
        <color rgb="FFC00000"/>
      </top>
      <bottom style="double">
        <color rgb="FFC00000"/>
      </bottom>
      <diagonal/>
    </border>
    <border>
      <left style="thin">
        <color rgb="FFC00000"/>
      </left>
      <right style="thin">
        <color rgb="FFC00000"/>
      </right>
      <top style="thin">
        <color rgb="FFC00000"/>
      </top>
      <bottom/>
      <diagonal/>
    </border>
    <border>
      <left style="thin">
        <color rgb="FFC00000"/>
      </left>
      <right style="thin">
        <color rgb="FFC00000"/>
      </right>
      <top/>
      <bottom/>
      <diagonal/>
    </border>
    <border>
      <left style="thin">
        <color rgb="FFC00000"/>
      </left>
      <right style="thin">
        <color rgb="FFC00000"/>
      </right>
      <top/>
      <bottom style="thin">
        <color rgb="FFC00000"/>
      </bottom>
      <diagonal/>
    </border>
    <border>
      <left style="dotted">
        <color rgb="FFC00000"/>
      </left>
      <right/>
      <top style="dotted">
        <color rgb="FFC00000"/>
      </top>
      <bottom style="dotted">
        <color rgb="FFC00000"/>
      </bottom>
      <diagonal/>
    </border>
    <border>
      <left/>
      <right style="dotted">
        <color rgb="FFC00000"/>
      </right>
      <top style="dotted">
        <color rgb="FFC00000"/>
      </top>
      <bottom style="dotted">
        <color rgb="FFC00000"/>
      </bottom>
      <diagonal/>
    </border>
    <border>
      <left/>
      <right/>
      <top style="thin">
        <color rgb="FFC00000"/>
      </top>
      <bottom style="thin">
        <color rgb="FFC00000"/>
      </bottom>
      <diagonal/>
    </border>
    <border>
      <left/>
      <right/>
      <top style="thin">
        <color rgb="FFC00000"/>
      </top>
      <bottom style="dotted">
        <color rgb="FFC00000"/>
      </bottom>
      <diagonal/>
    </border>
    <border>
      <left style="dotted">
        <color rgb="FFC00000"/>
      </left>
      <right style="dotted">
        <color rgb="FFC00000"/>
      </right>
      <top/>
      <bottom style="dotted">
        <color rgb="FFC00000"/>
      </bottom>
      <diagonal/>
    </border>
    <border>
      <left/>
      <right/>
      <top style="thin">
        <color rgb="FFC00000"/>
      </top>
      <bottom/>
      <diagonal/>
    </border>
    <border>
      <left/>
      <right/>
      <top style="dotted">
        <color rgb="FFC00000"/>
      </top>
      <bottom style="dotted">
        <color rgb="FFC00000"/>
      </bottom>
      <diagonal/>
    </border>
    <border>
      <left/>
      <right/>
      <top/>
      <bottom style="double">
        <color rgb="FFC00000"/>
      </bottom>
      <diagonal/>
    </border>
    <border>
      <left/>
      <right/>
      <top style="thin">
        <color indexed="64"/>
      </top>
      <bottom style="double">
        <color indexed="64"/>
      </bottom>
      <diagonal/>
    </border>
  </borders>
  <cellStyleXfs count="75">
    <xf numFmtId="0" fontId="0" fillId="0" borderId="0"/>
    <xf numFmtId="164" fontId="1" fillId="0" borderId="0" applyFont="0" applyFill="0" applyBorder="0" applyAlignment="0" applyProtection="0"/>
    <xf numFmtId="0" fontId="2" fillId="0" borderId="0"/>
    <xf numFmtId="164" fontId="2" fillId="0" borderId="0" applyFont="0" applyFill="0" applyBorder="0" applyAlignment="0" applyProtection="0"/>
    <xf numFmtId="0" fontId="2" fillId="0" borderId="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0" fontId="3" fillId="0" borderId="0"/>
    <xf numFmtId="0" fontId="4" fillId="0" borderId="0"/>
    <xf numFmtId="0" fontId="3" fillId="0" borderId="0"/>
    <xf numFmtId="0" fontId="3" fillId="0" borderId="0"/>
    <xf numFmtId="0" fontId="5" fillId="0" borderId="0"/>
    <xf numFmtId="0" fontId="4" fillId="3" borderId="0" applyNumberFormat="0" applyBorder="0" applyAlignment="0" applyProtection="0"/>
    <xf numFmtId="0" fontId="4" fillId="4"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1" borderId="0" applyNumberFormat="0" applyBorder="0" applyAlignment="0" applyProtection="0"/>
    <xf numFmtId="0" fontId="4" fillId="6" borderId="0" applyNumberFormat="0" applyBorder="0" applyAlignment="0" applyProtection="0"/>
    <xf numFmtId="0" fontId="4" fillId="9" borderId="0" applyNumberFormat="0" applyBorder="0" applyAlignment="0" applyProtection="0"/>
    <xf numFmtId="0" fontId="4" fillId="12" borderId="0" applyNumberFormat="0" applyBorder="0" applyAlignment="0" applyProtection="0"/>
    <xf numFmtId="0" fontId="6" fillId="13" borderId="0" applyNumberFormat="0" applyBorder="0" applyAlignment="0" applyProtection="0"/>
    <xf numFmtId="0" fontId="6" fillId="10" borderId="0" applyNumberFormat="0" applyBorder="0" applyAlignment="0" applyProtection="0"/>
    <xf numFmtId="0" fontId="6" fillId="11" borderId="0" applyNumberFormat="0" applyBorder="0" applyAlignment="0" applyProtection="0"/>
    <xf numFmtId="0" fontId="6" fillId="14"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6" fillId="17" borderId="0" applyNumberFormat="0" applyBorder="0" applyAlignment="0" applyProtection="0"/>
    <xf numFmtId="0" fontId="6" fillId="18" borderId="0" applyNumberFormat="0" applyBorder="0" applyAlignment="0" applyProtection="0"/>
    <xf numFmtId="0" fontId="6" fillId="19" borderId="0" applyNumberFormat="0" applyBorder="0" applyAlignment="0" applyProtection="0"/>
    <xf numFmtId="0" fontId="6" fillId="14" borderId="0" applyNumberFormat="0" applyBorder="0" applyAlignment="0" applyProtection="0"/>
    <xf numFmtId="0" fontId="6" fillId="15" borderId="0" applyNumberFormat="0" applyBorder="0" applyAlignment="0" applyProtection="0"/>
    <xf numFmtId="0" fontId="6" fillId="20" borderId="0" applyNumberFormat="0" applyBorder="0" applyAlignment="0" applyProtection="0"/>
    <xf numFmtId="0" fontId="7" fillId="4" borderId="0" applyNumberFormat="0" applyBorder="0" applyAlignment="0" applyProtection="0"/>
    <xf numFmtId="0" fontId="8" fillId="21" borderId="2" applyNumberFormat="0" applyAlignment="0" applyProtection="0"/>
    <xf numFmtId="0" fontId="9" fillId="22" borderId="3" applyNumberFormat="0" applyAlignment="0" applyProtection="0"/>
    <xf numFmtId="164" fontId="3" fillId="0" borderId="0" applyFont="0" applyFill="0" applyBorder="0" applyAlignment="0" applyProtection="0"/>
    <xf numFmtId="164" fontId="2" fillId="0" borderId="0" applyFont="0" applyFill="0" applyBorder="0" applyAlignment="0" applyProtection="0"/>
    <xf numFmtId="164" fontId="4" fillId="0" borderId="0" applyFont="0" applyFill="0" applyBorder="0" applyAlignment="0" applyProtection="0"/>
    <xf numFmtId="167" fontId="10" fillId="0" borderId="0" applyFont="0" applyFill="0" applyBorder="0" applyAlignment="0" applyProtection="0"/>
    <xf numFmtId="0" fontId="11" fillId="0" borderId="0" applyNumberFormat="0" applyFill="0" applyBorder="0" applyAlignment="0" applyProtection="0"/>
    <xf numFmtId="0" fontId="12" fillId="5" borderId="0" applyNumberFormat="0" applyBorder="0" applyAlignment="0" applyProtection="0"/>
    <xf numFmtId="0" fontId="13" fillId="0" borderId="4" applyNumberFormat="0" applyFill="0" applyAlignment="0" applyProtection="0"/>
    <xf numFmtId="0" fontId="14" fillId="0" borderId="5" applyNumberFormat="0" applyFill="0" applyAlignment="0" applyProtection="0"/>
    <xf numFmtId="0" fontId="15" fillId="0" borderId="6" applyNumberFormat="0" applyFill="0" applyAlignment="0" applyProtection="0"/>
    <xf numFmtId="0" fontId="15" fillId="0" borderId="0" applyNumberFormat="0" applyFill="0" applyBorder="0" applyAlignment="0" applyProtection="0"/>
    <xf numFmtId="0" fontId="16" fillId="8" borderId="2" applyNumberFormat="0" applyAlignment="0" applyProtection="0"/>
    <xf numFmtId="0" fontId="17" fillId="0" borderId="7" applyNumberFormat="0" applyFill="0" applyAlignment="0" applyProtection="0"/>
    <xf numFmtId="0" fontId="18" fillId="23" borderId="0" applyNumberFormat="0" applyBorder="0" applyAlignment="0" applyProtection="0"/>
    <xf numFmtId="0" fontId="19" fillId="0" borderId="0"/>
    <xf numFmtId="0" fontId="2" fillId="0" borderId="0"/>
    <xf numFmtId="0" fontId="2" fillId="0" borderId="0"/>
    <xf numFmtId="0" fontId="19" fillId="0" borderId="0"/>
    <xf numFmtId="0" fontId="1" fillId="0" borderId="0"/>
    <xf numFmtId="0" fontId="4" fillId="24" borderId="8" applyNumberFormat="0" applyFont="0" applyAlignment="0" applyProtection="0"/>
    <xf numFmtId="0" fontId="20" fillId="21" borderId="9" applyNumberFormat="0" applyAlignment="0" applyProtection="0"/>
    <xf numFmtId="9" fontId="4" fillId="0" borderId="0" applyFont="0" applyFill="0" applyBorder="0" applyAlignment="0" applyProtection="0"/>
    <xf numFmtId="0" fontId="21" fillId="0" borderId="0" applyNumberFormat="0" applyFill="0" applyBorder="0" applyAlignment="0" applyProtection="0"/>
    <xf numFmtId="0" fontId="22" fillId="0" borderId="10" applyNumberFormat="0" applyFill="0" applyAlignment="0" applyProtection="0"/>
    <xf numFmtId="0" fontId="23" fillId="0" borderId="0" applyNumberFormat="0" applyFill="0" applyBorder="0" applyAlignment="0" applyProtection="0"/>
    <xf numFmtId="164" fontId="3" fillId="0" borderId="0" applyFont="0" applyFill="0" applyBorder="0" applyAlignment="0" applyProtection="0"/>
    <xf numFmtId="166" fontId="2" fillId="0" borderId="0" applyFont="0" applyFill="0" applyBorder="0" applyAlignment="0" applyProtection="0"/>
    <xf numFmtId="164" fontId="3" fillId="0" borderId="0" applyFont="0" applyFill="0" applyBorder="0" applyAlignment="0" applyProtection="0"/>
    <xf numFmtId="164" fontId="3" fillId="0" borderId="0" applyFont="0" applyFill="0" applyBorder="0" applyAlignment="0" applyProtection="0"/>
    <xf numFmtId="9" fontId="1" fillId="0" borderId="0" applyFont="0" applyFill="0" applyBorder="0" applyAlignment="0" applyProtection="0"/>
    <xf numFmtId="168" fontId="3" fillId="0" borderId="0"/>
    <xf numFmtId="168" fontId="3" fillId="0" borderId="0"/>
    <xf numFmtId="37" fontId="24" fillId="0" borderId="0"/>
    <xf numFmtId="168" fontId="3" fillId="0" borderId="0"/>
  </cellStyleXfs>
  <cellXfs count="212">
    <xf numFmtId="0" fontId="0" fillId="0" borderId="0" xfId="0"/>
    <xf numFmtId="0" fontId="26" fillId="0" borderId="0" xfId="4" applyFont="1" applyAlignment="1">
      <alignment vertical="center"/>
    </xf>
    <xf numFmtId="0" fontId="28" fillId="0" borderId="0" xfId="0" applyFont="1" applyAlignment="1">
      <alignment vertical="center"/>
    </xf>
    <xf numFmtId="0" fontId="27" fillId="0" borderId="0" xfId="4" applyFont="1" applyAlignment="1">
      <alignment vertical="center"/>
    </xf>
    <xf numFmtId="0" fontId="25" fillId="0" borderId="0" xfId="4" applyFont="1" applyAlignment="1">
      <alignment vertical="center"/>
    </xf>
    <xf numFmtId="0" fontId="25" fillId="2" borderId="0" xfId="2" applyFont="1" applyFill="1" applyAlignment="1">
      <alignment horizontal="left" vertical="center"/>
    </xf>
    <xf numFmtId="0" fontId="25" fillId="0" borderId="0" xfId="4" applyFont="1" applyAlignment="1">
      <alignment horizontal="right" vertical="center"/>
    </xf>
    <xf numFmtId="0" fontId="29" fillId="0" borderId="0" xfId="4" applyFont="1" applyAlignment="1">
      <alignment vertical="center"/>
    </xf>
    <xf numFmtId="0" fontId="30" fillId="0" borderId="0" xfId="0" applyFont="1" applyAlignment="1">
      <alignment horizontal="center" vertical="top"/>
    </xf>
    <xf numFmtId="0" fontId="28" fillId="0" borderId="0" xfId="0" applyFont="1" applyAlignment="1">
      <alignment vertical="top"/>
    </xf>
    <xf numFmtId="0" fontId="30" fillId="0" borderId="0" xfId="0" applyFont="1" applyAlignment="1">
      <alignment horizontal="center" vertical="center"/>
    </xf>
    <xf numFmtId="0" fontId="28" fillId="0" borderId="16" xfId="0" quotePrefix="1" applyFont="1" applyBorder="1" applyAlignment="1">
      <alignment horizontal="center" vertical="center" wrapText="1"/>
    </xf>
    <xf numFmtId="0" fontId="28" fillId="0" borderId="16" xfId="0" applyFont="1" applyBorder="1" applyAlignment="1">
      <alignment vertical="center"/>
    </xf>
    <xf numFmtId="0" fontId="28" fillId="0" borderId="0" xfId="0" applyFont="1" applyAlignment="1">
      <alignment vertical="center" wrapText="1"/>
    </xf>
    <xf numFmtId="0" fontId="28" fillId="0" borderId="16" xfId="0" applyFont="1" applyBorder="1" applyAlignment="1">
      <alignment vertical="center" wrapText="1"/>
    </xf>
    <xf numFmtId="0" fontId="28" fillId="0" borderId="16" xfId="0" applyFont="1" applyBorder="1" applyAlignment="1">
      <alignment horizontal="center" vertical="center"/>
    </xf>
    <xf numFmtId="0" fontId="28" fillId="0" borderId="16" xfId="0" applyFont="1" applyBorder="1" applyAlignment="1">
      <alignment horizontal="center" vertical="center" wrapText="1"/>
    </xf>
    <xf numFmtId="0" fontId="28" fillId="0" borderId="0" xfId="0" quotePrefix="1" applyFont="1" applyAlignment="1">
      <alignment horizontal="center" vertical="top" wrapText="1"/>
    </xf>
    <xf numFmtId="0" fontId="28" fillId="0" borderId="0" xfId="0" applyFont="1" applyAlignment="1">
      <alignment wrapText="1"/>
    </xf>
    <xf numFmtId="0" fontId="28" fillId="0" borderId="0" xfId="0" applyFont="1" applyAlignment="1">
      <alignment vertical="top" wrapText="1"/>
    </xf>
    <xf numFmtId="0" fontId="27" fillId="2" borderId="0" xfId="2" applyFont="1" applyFill="1" applyAlignment="1">
      <alignment vertical="center"/>
    </xf>
    <xf numFmtId="0" fontId="29" fillId="2" borderId="0" xfId="2" applyFont="1" applyFill="1" applyAlignment="1">
      <alignment vertical="center"/>
    </xf>
    <xf numFmtId="0" fontId="28" fillId="0" borderId="24" xfId="0" quotePrefix="1" applyFont="1" applyBorder="1" applyAlignment="1">
      <alignment horizontal="center" vertical="center" wrapText="1"/>
    </xf>
    <xf numFmtId="0" fontId="28" fillId="0" borderId="24" xfId="0" applyFont="1" applyBorder="1" applyAlignment="1">
      <alignment vertical="center"/>
    </xf>
    <xf numFmtId="0" fontId="30" fillId="0" borderId="14" xfId="0" applyFont="1" applyBorder="1" applyAlignment="1">
      <alignment horizontal="center" vertical="center"/>
    </xf>
    <xf numFmtId="0" fontId="30" fillId="0" borderId="14" xfId="0" applyFont="1" applyBorder="1" applyAlignment="1">
      <alignment horizontal="center" vertical="center" wrapText="1"/>
    </xf>
    <xf numFmtId="0" fontId="31" fillId="0" borderId="0" xfId="4" applyFont="1"/>
    <xf numFmtId="0" fontId="32" fillId="0" borderId="0" xfId="4" applyFont="1"/>
    <xf numFmtId="0" fontId="33" fillId="0" borderId="0" xfId="3" applyNumberFormat="1" applyFont="1" applyFill="1" applyBorder="1" applyAlignment="1" applyProtection="1">
      <alignment vertical="center"/>
    </xf>
    <xf numFmtId="0" fontId="33" fillId="0" borderId="0" xfId="3" applyNumberFormat="1" applyFont="1" applyFill="1" applyAlignment="1">
      <alignment vertical="center"/>
    </xf>
    <xf numFmtId="0" fontId="31" fillId="0" borderId="0" xfId="0" applyFont="1" applyAlignment="1">
      <alignment vertical="center"/>
    </xf>
    <xf numFmtId="0" fontId="32" fillId="0" borderId="0" xfId="4" applyFont="1" applyAlignment="1">
      <alignment horizontal="center"/>
    </xf>
    <xf numFmtId="0" fontId="31" fillId="0" borderId="0" xfId="4" quotePrefix="1" applyFont="1" applyAlignment="1">
      <alignment horizontal="right" vertical="center"/>
    </xf>
    <xf numFmtId="0" fontId="32" fillId="0" borderId="0" xfId="4" applyFont="1" applyAlignment="1">
      <alignment vertical="center"/>
    </xf>
    <xf numFmtId="0" fontId="34" fillId="0" borderId="0" xfId="0" applyFont="1" applyAlignment="1">
      <alignment vertical="center"/>
    </xf>
    <xf numFmtId="0" fontId="33" fillId="0" borderId="0" xfId="3" applyNumberFormat="1" applyFont="1" applyAlignment="1">
      <alignment horizontal="center" vertical="center"/>
    </xf>
    <xf numFmtId="0" fontId="33" fillId="0" borderId="0" xfId="4" applyFont="1" applyAlignment="1">
      <alignment horizontal="left" vertical="center"/>
    </xf>
    <xf numFmtId="0" fontId="31" fillId="0" borderId="0" xfId="3" applyNumberFormat="1" applyFont="1" applyAlignment="1">
      <alignment horizontal="center" vertical="center"/>
    </xf>
    <xf numFmtId="0" fontId="32" fillId="0" borderId="0" xfId="4" applyFont="1" applyAlignment="1">
      <alignment horizontal="center" vertical="center"/>
    </xf>
    <xf numFmtId="0" fontId="31" fillId="0" borderId="0" xfId="4" applyFont="1" applyAlignment="1">
      <alignment horizontal="center"/>
    </xf>
    <xf numFmtId="0" fontId="35" fillId="0" borderId="14" xfId="4" applyFont="1" applyBorder="1" applyAlignment="1">
      <alignment horizontal="center" vertical="center"/>
    </xf>
    <xf numFmtId="0" fontId="35" fillId="0" borderId="14" xfId="4" applyFont="1" applyBorder="1" applyAlignment="1">
      <alignment horizontal="center" vertical="center" wrapText="1"/>
    </xf>
    <xf numFmtId="0" fontId="32" fillId="0" borderId="24" xfId="4" applyFont="1" applyBorder="1" applyAlignment="1">
      <alignment horizontal="center" vertical="center"/>
    </xf>
    <xf numFmtId="0" fontId="32" fillId="0" borderId="24" xfId="4" applyFont="1" applyBorder="1" applyAlignment="1">
      <alignment vertical="center"/>
    </xf>
    <xf numFmtId="0" fontId="32" fillId="0" borderId="24" xfId="4" applyFont="1" applyBorder="1"/>
    <xf numFmtId="0" fontId="32" fillId="0" borderId="16" xfId="4" applyFont="1" applyBorder="1" applyAlignment="1">
      <alignment horizontal="center" vertical="center"/>
    </xf>
    <xf numFmtId="0" fontId="32" fillId="0" borderId="16" xfId="4" applyFont="1" applyBorder="1" applyAlignment="1">
      <alignment vertical="center"/>
    </xf>
    <xf numFmtId="0" fontId="32" fillId="0" borderId="16" xfId="4" applyFont="1" applyBorder="1"/>
    <xf numFmtId="0" fontId="32" fillId="0" borderId="16" xfId="4" applyFont="1" applyBorder="1" applyAlignment="1">
      <alignment horizontal="left" vertical="center"/>
    </xf>
    <xf numFmtId="169" fontId="32" fillId="0" borderId="1" xfId="4" applyNumberFormat="1" applyFont="1" applyBorder="1" applyAlignment="1">
      <alignment horizontal="center" vertical="center"/>
    </xf>
    <xf numFmtId="0" fontId="32" fillId="0" borderId="1" xfId="4" applyFont="1" applyBorder="1" applyAlignment="1">
      <alignment horizontal="center" vertical="center"/>
    </xf>
    <xf numFmtId="0" fontId="31" fillId="0" borderId="0" xfId="4" applyFont="1" applyAlignment="1">
      <alignment vertical="center"/>
    </xf>
    <xf numFmtId="0" fontId="31" fillId="2" borderId="0" xfId="2" applyFont="1" applyFill="1" applyAlignment="1">
      <alignment horizontal="left" vertical="center"/>
    </xf>
    <xf numFmtId="0" fontId="31" fillId="0" borderId="0" xfId="4" applyFont="1" applyAlignment="1">
      <alignment horizontal="right" vertical="center"/>
    </xf>
    <xf numFmtId="0" fontId="33" fillId="0" borderId="0" xfId="3" applyNumberFormat="1" applyFont="1" applyAlignment="1">
      <alignment vertical="center"/>
    </xf>
    <xf numFmtId="0" fontId="35" fillId="0" borderId="0" xfId="0" applyFont="1" applyAlignment="1">
      <alignment horizontal="center" vertical="top"/>
    </xf>
    <xf numFmtId="0" fontId="34" fillId="0" borderId="0" xfId="0" applyFont="1" applyAlignment="1">
      <alignment vertical="top"/>
    </xf>
    <xf numFmtId="0" fontId="35" fillId="0" borderId="14" xfId="0" applyFont="1" applyBorder="1" applyAlignment="1">
      <alignment horizontal="center" vertical="center"/>
    </xf>
    <xf numFmtId="0" fontId="35" fillId="0" borderId="14" xfId="0" applyFont="1" applyBorder="1" applyAlignment="1">
      <alignment horizontal="center" vertical="center" wrapText="1"/>
    </xf>
    <xf numFmtId="0" fontId="35" fillId="0" borderId="0" xfId="0" applyFont="1" applyAlignment="1">
      <alignment horizontal="center" vertical="center"/>
    </xf>
    <xf numFmtId="0" fontId="34" fillId="0" borderId="15" xfId="0" quotePrefix="1" applyFont="1" applyBorder="1" applyAlignment="1">
      <alignment horizontal="center" vertical="center" wrapText="1"/>
    </xf>
    <xf numFmtId="0" fontId="34" fillId="0" borderId="15" xfId="0" applyFont="1" applyBorder="1" applyAlignment="1">
      <alignment vertical="center" wrapText="1"/>
    </xf>
    <xf numFmtId="0" fontId="34" fillId="0" borderId="15" xfId="0" applyFont="1" applyBorder="1" applyAlignment="1">
      <alignment vertical="center"/>
    </xf>
    <xf numFmtId="0" fontId="34" fillId="0" borderId="16" xfId="0" quotePrefix="1" applyFont="1" applyBorder="1" applyAlignment="1">
      <alignment horizontal="center" vertical="center" wrapText="1"/>
    </xf>
    <xf numFmtId="0" fontId="34" fillId="0" borderId="16" xfId="0" applyFont="1" applyBorder="1" applyAlignment="1">
      <alignment vertical="center" wrapText="1"/>
    </xf>
    <xf numFmtId="0" fontId="34" fillId="0" borderId="16" xfId="0" applyFont="1" applyBorder="1" applyAlignment="1">
      <alignment vertical="center"/>
    </xf>
    <xf numFmtId="0" fontId="34" fillId="0" borderId="0" xfId="0" applyFont="1" applyAlignment="1">
      <alignment vertical="center" wrapText="1"/>
    </xf>
    <xf numFmtId="0" fontId="34" fillId="0" borderId="16" xfId="0" applyFont="1" applyBorder="1" applyAlignment="1">
      <alignment horizontal="center" vertical="center" wrapText="1"/>
    </xf>
    <xf numFmtId="0" fontId="34" fillId="0" borderId="0" xfId="0" quotePrefix="1" applyFont="1" applyAlignment="1">
      <alignment horizontal="center" vertical="top" wrapText="1"/>
    </xf>
    <xf numFmtId="0" fontId="34" fillId="0" borderId="0" xfId="0" applyFont="1" applyAlignment="1">
      <alignment wrapText="1"/>
    </xf>
    <xf numFmtId="0" fontId="34" fillId="0" borderId="0" xfId="0" applyFont="1" applyAlignment="1">
      <alignment vertical="top" wrapText="1"/>
    </xf>
    <xf numFmtId="0" fontId="34" fillId="0" borderId="0" xfId="0" applyFont="1" applyAlignment="1">
      <alignment vertical="justify" wrapText="1"/>
    </xf>
    <xf numFmtId="0" fontId="32" fillId="2" borderId="0" xfId="2" applyFont="1" applyFill="1" applyAlignment="1">
      <alignment vertical="center"/>
    </xf>
    <xf numFmtId="0" fontId="32" fillId="2" borderId="15" xfId="2" quotePrefix="1" applyFont="1" applyFill="1" applyBorder="1" applyAlignment="1">
      <alignment horizontal="center" vertical="center" wrapText="1"/>
    </xf>
    <xf numFmtId="0" fontId="32" fillId="2" borderId="15" xfId="2" applyFont="1" applyFill="1" applyBorder="1" applyAlignment="1">
      <alignment vertical="center" wrapText="1"/>
    </xf>
    <xf numFmtId="0" fontId="32" fillId="2" borderId="0" xfId="2" applyFont="1" applyFill="1" applyAlignment="1">
      <alignment vertical="center" wrapText="1"/>
    </xf>
    <xf numFmtId="0" fontId="32" fillId="2" borderId="16" xfId="2" applyFont="1" applyFill="1" applyBorder="1" applyAlignment="1">
      <alignment vertical="center" wrapText="1"/>
    </xf>
    <xf numFmtId="0" fontId="32" fillId="2" borderId="0" xfId="2" quotePrefix="1" applyFont="1" applyFill="1" applyAlignment="1">
      <alignment horizontal="center" vertical="center"/>
    </xf>
    <xf numFmtId="0" fontId="32" fillId="2" borderId="0" xfId="2" applyFont="1" applyFill="1" applyAlignment="1">
      <alignment vertical="justify"/>
    </xf>
    <xf numFmtId="0" fontId="31" fillId="2" borderId="0" xfId="2" applyFont="1" applyFill="1" applyAlignment="1">
      <alignment vertical="center"/>
    </xf>
    <xf numFmtId="0" fontId="35" fillId="0" borderId="26" xfId="0" quotePrefix="1" applyFont="1" applyBorder="1" applyAlignment="1">
      <alignment horizontal="center" vertical="center" wrapText="1"/>
    </xf>
    <xf numFmtId="0" fontId="35" fillId="0" borderId="26" xfId="0" applyFont="1" applyBorder="1" applyAlignment="1">
      <alignment horizontal="center" vertical="center"/>
    </xf>
    <xf numFmtId="0" fontId="35" fillId="0" borderId="26" xfId="0" applyFont="1" applyBorder="1" applyAlignment="1">
      <alignment horizontal="center" vertical="center" wrapText="1"/>
    </xf>
    <xf numFmtId="0" fontId="34" fillId="0" borderId="0" xfId="2" applyFont="1" applyAlignment="1">
      <alignment vertical="center"/>
    </xf>
    <xf numFmtId="0" fontId="35" fillId="0" borderId="0" xfId="2" applyFont="1" applyAlignment="1">
      <alignment horizontal="right" vertical="center"/>
    </xf>
    <xf numFmtId="0" fontId="34" fillId="0" borderId="0" xfId="2" applyFont="1" applyAlignment="1">
      <alignment horizontal="center" vertical="center"/>
    </xf>
    <xf numFmtId="9" fontId="34" fillId="0" borderId="0" xfId="70" applyFont="1" applyFill="1" applyBorder="1" applyAlignment="1">
      <alignment vertical="center"/>
    </xf>
    <xf numFmtId="0" fontId="34" fillId="0" borderId="0" xfId="4" applyFont="1"/>
    <xf numFmtId="164" fontId="35" fillId="0" borderId="0" xfId="3" applyFont="1" applyFill="1" applyAlignment="1">
      <alignment vertical="center"/>
    </xf>
    <xf numFmtId="0" fontId="34" fillId="0" borderId="11" xfId="0" applyFont="1" applyBorder="1" applyAlignment="1">
      <alignment horizontal="center" vertical="center" wrapText="1"/>
    </xf>
    <xf numFmtId="164" fontId="35" fillId="0" borderId="0" xfId="3" applyFont="1" applyFill="1" applyAlignment="1"/>
    <xf numFmtId="0" fontId="36" fillId="0" borderId="0" xfId="0" applyFont="1" applyAlignment="1">
      <alignment vertical="center"/>
    </xf>
    <xf numFmtId="9" fontId="34" fillId="0" borderId="0" xfId="70" applyFont="1" applyFill="1" applyBorder="1"/>
    <xf numFmtId="0" fontId="35" fillId="0" borderId="0" xfId="3" applyNumberFormat="1" applyFont="1" applyFill="1" applyBorder="1" applyAlignment="1" applyProtection="1">
      <alignment vertical="center"/>
    </xf>
    <xf numFmtId="0" fontId="35" fillId="0" borderId="0" xfId="3" applyNumberFormat="1" applyFont="1" applyFill="1" applyAlignment="1">
      <alignment horizontal="left" vertical="center"/>
    </xf>
    <xf numFmtId="0" fontId="34" fillId="0" borderId="0" xfId="0" applyFont="1"/>
    <xf numFmtId="9" fontId="34" fillId="0" borderId="0" xfId="70" applyFont="1" applyFill="1"/>
    <xf numFmtId="0" fontId="35" fillId="0" borderId="0" xfId="0" applyFont="1"/>
    <xf numFmtId="0" fontId="35" fillId="0" borderId="0" xfId="0" applyFont="1" applyAlignment="1">
      <alignment horizontal="left" indent="1"/>
    </xf>
    <xf numFmtId="0" fontId="32" fillId="2" borderId="0" xfId="2" applyFont="1" applyFill="1" applyAlignment="1">
      <alignment horizontal="left" vertical="center" indent="2"/>
    </xf>
    <xf numFmtId="0" fontId="35" fillId="0" borderId="0" xfId="2" applyFont="1" applyAlignment="1">
      <alignment horizontal="left" vertical="center" indent="1"/>
    </xf>
    <xf numFmtId="0" fontId="37" fillId="0" borderId="0" xfId="0" applyFont="1" applyAlignment="1">
      <alignment horizontal="left" vertical="center" indent="2"/>
    </xf>
    <xf numFmtId="0" fontId="35" fillId="0" borderId="0" xfId="2" applyFont="1" applyAlignment="1">
      <alignment horizontal="center" vertical="center" wrapText="1"/>
    </xf>
    <xf numFmtId="0" fontId="35" fillId="0" borderId="0" xfId="10" applyFont="1" applyAlignment="1">
      <alignment horizontal="left" vertical="center"/>
    </xf>
    <xf numFmtId="0" fontId="35" fillId="0" borderId="14" xfId="10" applyFont="1" applyBorder="1" applyAlignment="1">
      <alignment horizontal="center" vertical="center" wrapText="1"/>
    </xf>
    <xf numFmtId="37" fontId="35" fillId="0" borderId="14" xfId="10" applyNumberFormat="1" applyFont="1" applyBorder="1" applyAlignment="1">
      <alignment horizontal="center" vertical="center" wrapText="1"/>
    </xf>
    <xf numFmtId="0" fontId="35" fillId="0" borderId="18" xfId="0" applyFont="1" applyBorder="1"/>
    <xf numFmtId="0" fontId="35" fillId="0" borderId="20" xfId="0" applyFont="1" applyBorder="1"/>
    <xf numFmtId="0" fontId="35" fillId="0" borderId="23" xfId="0" applyFont="1" applyBorder="1"/>
    <xf numFmtId="0" fontId="35" fillId="0" borderId="19" xfId="0" applyFont="1" applyBorder="1"/>
    <xf numFmtId="0" fontId="35" fillId="0" borderId="17" xfId="0" applyFont="1" applyBorder="1"/>
    <xf numFmtId="0" fontId="38" fillId="0" borderId="0" xfId="0" applyFont="1" applyAlignment="1">
      <alignment horizontal="left" vertical="center" indent="2"/>
    </xf>
    <xf numFmtId="0" fontId="32" fillId="0" borderId="11" xfId="4" applyFont="1" applyBorder="1" applyAlignment="1">
      <alignment horizontal="center" vertical="center"/>
    </xf>
    <xf numFmtId="170" fontId="32" fillId="0" borderId="11" xfId="4" applyNumberFormat="1" applyFont="1" applyBorder="1" applyAlignment="1">
      <alignment horizontal="center" vertical="center"/>
    </xf>
    <xf numFmtId="0" fontId="35" fillId="0" borderId="19" xfId="10" applyFont="1" applyBorder="1" applyAlignment="1">
      <alignment horizontal="center" vertical="center" wrapText="1"/>
    </xf>
    <xf numFmtId="0" fontId="34" fillId="0" borderId="19" xfId="0" applyFont="1" applyBorder="1"/>
    <xf numFmtId="0" fontId="34" fillId="0" borderId="0" xfId="0" applyFont="1" applyAlignment="1">
      <alignment horizontal="center" vertical="center" wrapText="1"/>
    </xf>
    <xf numFmtId="165" fontId="34" fillId="0" borderId="0" xfId="1" applyNumberFormat="1" applyFont="1"/>
    <xf numFmtId="0" fontId="35" fillId="0" borderId="0" xfId="0" applyFont="1" applyAlignment="1">
      <alignment horizontal="right"/>
    </xf>
    <xf numFmtId="0" fontId="35" fillId="0" borderId="0" xfId="2" applyFont="1" applyAlignment="1">
      <alignment vertical="center"/>
    </xf>
    <xf numFmtId="0" fontId="34" fillId="0" borderId="0" xfId="2" applyFont="1" applyAlignment="1">
      <alignment horizontal="left" vertical="center" indent="1"/>
    </xf>
    <xf numFmtId="0" fontId="35" fillId="0" borderId="18" xfId="0" applyFont="1" applyBorder="1" applyAlignment="1">
      <alignment horizontal="center" vertical="center"/>
    </xf>
    <xf numFmtId="0" fontId="35" fillId="0" borderId="18" xfId="0" applyFont="1" applyBorder="1" applyAlignment="1">
      <alignment horizontal="center" vertical="center" wrapText="1"/>
    </xf>
    <xf numFmtId="165" fontId="35" fillId="0" borderId="18" xfId="1" applyNumberFormat="1" applyFont="1" applyFill="1" applyBorder="1" applyAlignment="1">
      <alignment horizontal="center" vertical="center"/>
    </xf>
    <xf numFmtId="0" fontId="34" fillId="0" borderId="24" xfId="0" applyFont="1" applyBorder="1"/>
    <xf numFmtId="0" fontId="34" fillId="0" borderId="24" xfId="0" applyFont="1" applyBorder="1" applyAlignment="1">
      <alignment horizontal="center" vertical="center" wrapText="1"/>
    </xf>
    <xf numFmtId="165" fontId="34" fillId="0" borderId="24" xfId="1" applyNumberFormat="1" applyFont="1" applyBorder="1"/>
    <xf numFmtId="0" fontId="34" fillId="0" borderId="25" xfId="0" applyFont="1" applyBorder="1"/>
    <xf numFmtId="0" fontId="34" fillId="0" borderId="25" xfId="0" applyFont="1" applyBorder="1" applyAlignment="1">
      <alignment horizontal="center" vertical="center" wrapText="1"/>
    </xf>
    <xf numFmtId="165" fontId="34" fillId="0" borderId="25" xfId="1" applyNumberFormat="1" applyFont="1" applyBorder="1"/>
    <xf numFmtId="0" fontId="34" fillId="0" borderId="16" xfId="0" applyFont="1" applyBorder="1"/>
    <xf numFmtId="165" fontId="34" fillId="0" borderId="16" xfId="1" applyNumberFormat="1" applyFont="1" applyBorder="1"/>
    <xf numFmtId="0" fontId="32" fillId="0" borderId="0" xfId="2" applyFont="1" applyAlignment="1">
      <alignment horizontal="center" vertical="center" wrapText="1"/>
    </xf>
    <xf numFmtId="0" fontId="31" fillId="0" borderId="0" xfId="2" applyFont="1" applyAlignment="1">
      <alignment horizontal="right" vertical="center" wrapText="1"/>
    </xf>
    <xf numFmtId="0" fontId="32" fillId="0" borderId="0" xfId="2" applyFont="1" applyAlignment="1">
      <alignment vertical="center"/>
    </xf>
    <xf numFmtId="0" fontId="31" fillId="0" borderId="0" xfId="2" applyFont="1" applyAlignment="1">
      <alignment horizontal="center" vertical="center" wrapText="1"/>
    </xf>
    <xf numFmtId="0" fontId="32" fillId="0" borderId="0" xfId="4" applyFont="1" applyAlignment="1">
      <alignment horizontal="center" wrapText="1"/>
    </xf>
    <xf numFmtId="0" fontId="31" fillId="0" borderId="0" xfId="3" applyNumberFormat="1" applyFont="1" applyFill="1" applyBorder="1" applyAlignment="1" applyProtection="1">
      <alignment vertical="center"/>
    </xf>
    <xf numFmtId="0" fontId="31" fillId="0" borderId="0" xfId="3" applyNumberFormat="1" applyFont="1" applyFill="1" applyAlignment="1">
      <alignment horizontal="left" vertical="center"/>
    </xf>
    <xf numFmtId="0" fontId="31" fillId="0" borderId="0" xfId="2" applyFont="1" applyAlignment="1">
      <alignment vertical="center"/>
    </xf>
    <xf numFmtId="0" fontId="32" fillId="0" borderId="0" xfId="0" applyFont="1" applyAlignment="1">
      <alignment vertical="center"/>
    </xf>
    <xf numFmtId="0" fontId="31" fillId="0" borderId="0" xfId="2" applyFont="1" applyAlignment="1">
      <alignment horizontal="left" vertical="center"/>
    </xf>
    <xf numFmtId="0" fontId="31" fillId="0" borderId="0" xfId="2" applyFont="1" applyAlignment="1">
      <alignment horizontal="left" vertical="center" indent="1"/>
    </xf>
    <xf numFmtId="0" fontId="32" fillId="2" borderId="0" xfId="2" applyFont="1" applyFill="1" applyAlignment="1">
      <alignment vertical="top"/>
    </xf>
    <xf numFmtId="0" fontId="32" fillId="0" borderId="0" xfId="2" applyFont="1" applyAlignment="1">
      <alignment horizontal="left" vertical="center"/>
    </xf>
    <xf numFmtId="0" fontId="31" fillId="25" borderId="0" xfId="10" applyFont="1" applyFill="1" applyAlignment="1">
      <alignment horizontal="center" vertical="center" wrapText="1"/>
    </xf>
    <xf numFmtId="0" fontId="31" fillId="0" borderId="0" xfId="10" applyFont="1" applyAlignment="1">
      <alignment horizontal="center" vertical="center" wrapText="1"/>
    </xf>
    <xf numFmtId="37" fontId="35" fillId="0" borderId="18" xfId="73" applyFont="1" applyBorder="1" applyAlignment="1">
      <alignment horizontal="center" vertical="center" wrapText="1"/>
    </xf>
    <xf numFmtId="0" fontId="35" fillId="0" borderId="18" xfId="2" quotePrefix="1" applyFont="1" applyBorder="1" applyAlignment="1">
      <alignment horizontal="center" vertical="center"/>
    </xf>
    <xf numFmtId="0" fontId="35" fillId="0" borderId="18" xfId="73" applyNumberFormat="1" applyFont="1" applyBorder="1" applyAlignment="1">
      <alignment horizontal="center" vertical="center" wrapText="1"/>
    </xf>
    <xf numFmtId="0" fontId="31" fillId="25" borderId="0" xfId="10" applyFont="1" applyFill="1" applyAlignment="1">
      <alignment horizontal="left" vertical="center"/>
    </xf>
    <xf numFmtId="37" fontId="35" fillId="0" borderId="14" xfId="73" applyFont="1" applyBorder="1" applyAlignment="1">
      <alignment horizontal="center" vertical="center" wrapText="1"/>
    </xf>
    <xf numFmtId="37" fontId="39" fillId="0" borderId="0" xfId="73" applyFont="1" applyAlignment="1">
      <alignment horizontal="center" vertical="center" wrapText="1"/>
    </xf>
    <xf numFmtId="0" fontId="32" fillId="25" borderId="15" xfId="10" applyFont="1" applyFill="1" applyBorder="1" applyAlignment="1">
      <alignment horizontal="center" vertical="center" wrapText="1"/>
    </xf>
    <xf numFmtId="0" fontId="31" fillId="0" borderId="0" xfId="10" applyFont="1" applyAlignment="1">
      <alignment horizontal="left" vertical="center"/>
    </xf>
    <xf numFmtId="165" fontId="32" fillId="0" borderId="16" xfId="69" applyNumberFormat="1" applyFont="1" applyFill="1" applyBorder="1" applyAlignment="1">
      <alignment horizontal="center" vertical="center" wrapText="1"/>
    </xf>
    <xf numFmtId="168" fontId="39" fillId="0" borderId="12" xfId="72" applyFont="1" applyBorder="1" applyAlignment="1">
      <alignment horizontal="center" vertical="center"/>
    </xf>
    <xf numFmtId="37" fontId="39" fillId="0" borderId="12" xfId="73" applyFont="1" applyBorder="1" applyAlignment="1">
      <alignment horizontal="center" vertical="center" wrapText="1"/>
    </xf>
    <xf numFmtId="165" fontId="32" fillId="0" borderId="27" xfId="69" applyNumberFormat="1" applyFont="1" applyFill="1" applyBorder="1" applyAlignment="1">
      <alignment horizontal="center" vertical="center" wrapText="1"/>
    </xf>
    <xf numFmtId="0" fontId="32" fillId="0" borderId="16" xfId="10" applyFont="1" applyBorder="1" applyAlignment="1">
      <alignment horizontal="center" vertical="center" wrapText="1"/>
    </xf>
    <xf numFmtId="168" fontId="39" fillId="0" borderId="13" xfId="72" applyFont="1" applyBorder="1" applyAlignment="1">
      <alignment horizontal="center" vertical="center"/>
    </xf>
    <xf numFmtId="37" fontId="35" fillId="0" borderId="0" xfId="73" applyFont="1" applyAlignment="1">
      <alignment horizontal="center" vertical="center" wrapText="1"/>
    </xf>
    <xf numFmtId="165" fontId="32" fillId="0" borderId="28" xfId="69" applyNumberFormat="1" applyFont="1" applyFill="1" applyBorder="1" applyAlignment="1">
      <alignment horizontal="center" vertical="center" wrapText="1"/>
    </xf>
    <xf numFmtId="0" fontId="32" fillId="0" borderId="0" xfId="10" applyFont="1" applyAlignment="1">
      <alignment vertical="center"/>
    </xf>
    <xf numFmtId="165" fontId="32" fillId="0" borderId="0" xfId="69" applyNumberFormat="1" applyFont="1" applyFill="1" applyBorder="1" applyAlignment="1">
      <alignment horizontal="center" vertical="center" wrapText="1"/>
    </xf>
    <xf numFmtId="0" fontId="32" fillId="2" borderId="0" xfId="2" applyFont="1" applyFill="1" applyAlignment="1">
      <alignment horizontal="left" vertical="top" wrapText="1" indent="2"/>
    </xf>
    <xf numFmtId="0" fontId="31" fillId="2" borderId="0" xfId="2" applyFont="1" applyFill="1" applyAlignment="1">
      <alignment horizontal="right" vertical="center"/>
    </xf>
    <xf numFmtId="0" fontId="32" fillId="2" borderId="0" xfId="2" applyFont="1" applyFill="1" applyAlignment="1">
      <alignment horizontal="center" vertical="center"/>
    </xf>
    <xf numFmtId="0" fontId="40" fillId="0" borderId="0" xfId="3" applyNumberFormat="1" applyFont="1" applyFill="1" applyBorder="1" applyAlignment="1" applyProtection="1">
      <alignment vertical="center"/>
    </xf>
    <xf numFmtId="0" fontId="31" fillId="2" borderId="0" xfId="2" applyFont="1" applyFill="1" applyAlignment="1">
      <alignment horizontal="left" vertical="center" indent="1"/>
    </xf>
    <xf numFmtId="0" fontId="32" fillId="2" borderId="0" xfId="2" applyFont="1" applyFill="1" applyAlignment="1">
      <alignment horizontal="left" vertical="top" wrapText="1"/>
    </xf>
    <xf numFmtId="0" fontId="32" fillId="0" borderId="0" xfId="0" applyFont="1" applyAlignment="1">
      <alignment horizontal="left" vertical="center" indent="2"/>
    </xf>
    <xf numFmtId="0" fontId="34" fillId="0" borderId="0" xfId="0" applyFont="1" applyAlignment="1">
      <alignment horizontal="left" vertical="center" indent="2"/>
    </xf>
    <xf numFmtId="0" fontId="35" fillId="0" borderId="14" xfId="2" applyFont="1" applyBorder="1" applyAlignment="1">
      <alignment horizontal="center" vertical="center"/>
    </xf>
    <xf numFmtId="0" fontId="32" fillId="2" borderId="24" xfId="2" applyFont="1" applyFill="1" applyBorder="1" applyAlignment="1">
      <alignment vertical="center"/>
    </xf>
    <xf numFmtId="165" fontId="31" fillId="2" borderId="24" xfId="1" applyNumberFormat="1" applyFont="1" applyFill="1" applyBorder="1" applyAlignment="1">
      <alignment horizontal="right" vertical="center"/>
    </xf>
    <xf numFmtId="165" fontId="32" fillId="2" borderId="24" xfId="1" applyNumberFormat="1" applyFont="1" applyFill="1" applyBorder="1" applyAlignment="1">
      <alignment horizontal="right" vertical="center"/>
    </xf>
    <xf numFmtId="0" fontId="32" fillId="2" borderId="16" xfId="2" applyFont="1" applyFill="1" applyBorder="1" applyAlignment="1">
      <alignment vertical="center"/>
    </xf>
    <xf numFmtId="165" fontId="32" fillId="2" borderId="16" xfId="1" applyNumberFormat="1" applyFont="1" applyFill="1" applyBorder="1" applyAlignment="1">
      <alignment horizontal="right" vertical="center"/>
    </xf>
    <xf numFmtId="165" fontId="32" fillId="2" borderId="16" xfId="1" applyNumberFormat="1" applyFont="1" applyFill="1" applyBorder="1" applyAlignment="1">
      <alignment horizontal="center" vertical="center"/>
    </xf>
    <xf numFmtId="9" fontId="32" fillId="2" borderId="16" xfId="70" applyFont="1" applyFill="1" applyBorder="1" applyAlignment="1">
      <alignment horizontal="center" vertical="center"/>
    </xf>
    <xf numFmtId="0" fontId="37" fillId="0" borderId="0" xfId="0" applyFont="1" applyAlignment="1">
      <alignment vertical="top"/>
    </xf>
    <xf numFmtId="0" fontId="35" fillId="0" borderId="0" xfId="0" applyFont="1" applyAlignment="1">
      <alignment horizontal="left"/>
    </xf>
    <xf numFmtId="0" fontId="34" fillId="0" borderId="0" xfId="0" applyFont="1" applyAlignment="1">
      <alignment horizontal="left"/>
    </xf>
    <xf numFmtId="165" fontId="35" fillId="0" borderId="18" xfId="1" applyNumberFormat="1" applyFont="1" applyFill="1" applyBorder="1" applyAlignment="1">
      <alignment horizontal="center" vertical="center" wrapText="1"/>
    </xf>
    <xf numFmtId="0" fontId="32" fillId="0" borderId="0" xfId="0" applyFont="1" applyAlignment="1">
      <alignment horizontal="left" vertical="center" indent="1"/>
    </xf>
    <xf numFmtId="0" fontId="35" fillId="0" borderId="14" xfId="0" applyFont="1" applyBorder="1" applyAlignment="1">
      <alignment horizontal="center" vertical="top"/>
    </xf>
    <xf numFmtId="0" fontId="35" fillId="0" borderId="14" xfId="0" applyFont="1" applyBorder="1" applyAlignment="1">
      <alignment horizontal="center" vertical="top" wrapText="1"/>
    </xf>
    <xf numFmtId="0" fontId="35" fillId="0" borderId="14" xfId="0" quotePrefix="1" applyFont="1" applyBorder="1" applyAlignment="1">
      <alignment horizontal="center" vertical="center" wrapText="1"/>
    </xf>
    <xf numFmtId="0" fontId="32" fillId="0" borderId="0" xfId="0" applyFont="1" applyAlignment="1">
      <alignment horizontal="left" vertical="center" wrapText="1" indent="3"/>
    </xf>
    <xf numFmtId="0" fontId="31" fillId="2" borderId="16" xfId="2" applyFont="1" applyFill="1" applyBorder="1" applyAlignment="1">
      <alignment horizontal="center" vertical="center"/>
    </xf>
    <xf numFmtId="0" fontId="32" fillId="2" borderId="16" xfId="2" applyFont="1" applyFill="1" applyBorder="1" applyAlignment="1">
      <alignment horizontal="left" vertical="center"/>
    </xf>
    <xf numFmtId="0" fontId="32" fillId="2" borderId="16" xfId="2" applyFont="1" applyFill="1" applyBorder="1" applyAlignment="1">
      <alignment horizontal="left" vertical="center" indent="3"/>
    </xf>
    <xf numFmtId="0" fontId="31" fillId="2" borderId="16" xfId="2" applyFont="1" applyFill="1" applyBorder="1" applyAlignment="1">
      <alignment horizontal="left" vertical="center" wrapText="1" indent="1"/>
    </xf>
    <xf numFmtId="0" fontId="32" fillId="2" borderId="16" xfId="2" applyFont="1" applyFill="1" applyBorder="1" applyAlignment="1">
      <alignment vertical="center"/>
    </xf>
    <xf numFmtId="0" fontId="32" fillId="2" borderId="24" xfId="2" applyFont="1" applyFill="1" applyBorder="1" applyAlignment="1">
      <alignment horizontal="left" vertical="center" indent="1"/>
    </xf>
    <xf numFmtId="165" fontId="32" fillId="2" borderId="16" xfId="1" applyNumberFormat="1" applyFont="1" applyFill="1" applyBorder="1" applyAlignment="1">
      <alignment horizontal="right" vertical="center"/>
    </xf>
    <xf numFmtId="0" fontId="32" fillId="2" borderId="16" xfId="2" applyFont="1" applyFill="1" applyBorder="1" applyAlignment="1">
      <alignment horizontal="left" vertical="center" indent="2"/>
    </xf>
    <xf numFmtId="0" fontId="32" fillId="2" borderId="21" xfId="2" applyFont="1" applyFill="1" applyBorder="1" applyAlignment="1">
      <alignment horizontal="center" vertical="center"/>
    </xf>
    <xf numFmtId="0" fontId="32" fillId="2" borderId="22" xfId="2" applyFont="1" applyFill="1" applyBorder="1" applyAlignment="1">
      <alignment horizontal="center" vertical="center"/>
    </xf>
    <xf numFmtId="0" fontId="35" fillId="0" borderId="14" xfId="2" applyFont="1" applyBorder="1" applyAlignment="1">
      <alignment horizontal="center" vertical="center" wrapText="1"/>
    </xf>
    <xf numFmtId="0" fontId="32" fillId="0" borderId="0" xfId="0" applyFont="1" applyAlignment="1">
      <alignment horizontal="left" vertical="center" wrapText="1" indent="2"/>
    </xf>
    <xf numFmtId="0" fontId="32" fillId="0" borderId="0" xfId="10" applyFont="1" applyAlignment="1">
      <alignment vertical="center"/>
    </xf>
    <xf numFmtId="0" fontId="31" fillId="25" borderId="0" xfId="10" applyFont="1" applyFill="1" applyAlignment="1">
      <alignment horizontal="center" vertical="center" wrapText="1"/>
    </xf>
    <xf numFmtId="168" fontId="35" fillId="0" borderId="14" xfId="72" applyFont="1" applyBorder="1" applyAlignment="1">
      <alignment horizontal="center" vertical="center" textRotation="90"/>
    </xf>
    <xf numFmtId="37" fontId="35" fillId="0" borderId="14" xfId="73" applyFont="1" applyBorder="1" applyAlignment="1">
      <alignment horizontal="center" vertical="center" wrapText="1"/>
    </xf>
    <xf numFmtId="0" fontId="30" fillId="0" borderId="14" xfId="0" quotePrefix="1" applyFont="1" applyBorder="1" applyAlignment="1">
      <alignment horizontal="center" vertical="center" wrapText="1"/>
    </xf>
    <xf numFmtId="0" fontId="30" fillId="0" borderId="14" xfId="0" applyFont="1" applyBorder="1" applyAlignment="1">
      <alignment horizontal="center" vertical="top"/>
    </xf>
    <xf numFmtId="0" fontId="34" fillId="25" borderId="0" xfId="0" applyFont="1" applyFill="1" applyAlignment="1">
      <alignment horizontal="left" vertical="top"/>
    </xf>
    <xf numFmtId="165" fontId="35" fillId="0" borderId="14" xfId="1" applyNumberFormat="1" applyFont="1" applyFill="1" applyBorder="1" applyAlignment="1">
      <alignment horizontal="center" vertical="center" wrapText="1"/>
    </xf>
    <xf numFmtId="0" fontId="35" fillId="0" borderId="0" xfId="0" applyFont="1" applyAlignment="1">
      <alignment horizontal="center" vertical="center" wrapText="1"/>
    </xf>
    <xf numFmtId="0" fontId="34" fillId="0" borderId="29" xfId="0" applyFont="1" applyBorder="1" applyAlignment="1">
      <alignment horizontal="center" vertical="center" wrapText="1"/>
    </xf>
  </cellXfs>
  <cellStyles count="75">
    <cellStyle name="20% - Accent1 2" xfId="15" xr:uid="{00000000-0005-0000-0000-000000000000}"/>
    <cellStyle name="20% - Accent2 2" xfId="16" xr:uid="{00000000-0005-0000-0000-000001000000}"/>
    <cellStyle name="20% - Accent3 2" xfId="17" xr:uid="{00000000-0005-0000-0000-000002000000}"/>
    <cellStyle name="20% - Accent4 2" xfId="18" xr:uid="{00000000-0005-0000-0000-000003000000}"/>
    <cellStyle name="20% - Accent5 2" xfId="19" xr:uid="{00000000-0005-0000-0000-000004000000}"/>
    <cellStyle name="20% - Accent6 2" xfId="20" xr:uid="{00000000-0005-0000-0000-000005000000}"/>
    <cellStyle name="40% - Accent1 2" xfId="21" xr:uid="{00000000-0005-0000-0000-000006000000}"/>
    <cellStyle name="40% - Accent2 2" xfId="22" xr:uid="{00000000-0005-0000-0000-000007000000}"/>
    <cellStyle name="40% - Accent3 2" xfId="23" xr:uid="{00000000-0005-0000-0000-000008000000}"/>
    <cellStyle name="40% - Accent4 2" xfId="24" xr:uid="{00000000-0005-0000-0000-000009000000}"/>
    <cellStyle name="40% - Accent5 2" xfId="25" xr:uid="{00000000-0005-0000-0000-00000A000000}"/>
    <cellStyle name="40% - Accent6 2" xfId="26" xr:uid="{00000000-0005-0000-0000-00000B000000}"/>
    <cellStyle name="60% - Accent1 2" xfId="27" xr:uid="{00000000-0005-0000-0000-00000C000000}"/>
    <cellStyle name="60% - Accent2 2" xfId="28" xr:uid="{00000000-0005-0000-0000-00000D000000}"/>
    <cellStyle name="60% - Accent3 2" xfId="29" xr:uid="{00000000-0005-0000-0000-00000E000000}"/>
    <cellStyle name="60% - Accent4 2" xfId="30" xr:uid="{00000000-0005-0000-0000-00000F000000}"/>
    <cellStyle name="60% - Accent5 2" xfId="31" xr:uid="{00000000-0005-0000-0000-000010000000}"/>
    <cellStyle name="60% - Accent6 2" xfId="32" xr:uid="{00000000-0005-0000-0000-000011000000}"/>
    <cellStyle name="Accent1 2" xfId="33" xr:uid="{00000000-0005-0000-0000-000012000000}"/>
    <cellStyle name="Accent2 2" xfId="34" xr:uid="{00000000-0005-0000-0000-000013000000}"/>
    <cellStyle name="Accent3 2" xfId="35" xr:uid="{00000000-0005-0000-0000-000014000000}"/>
    <cellStyle name="Accent4 2" xfId="36" xr:uid="{00000000-0005-0000-0000-000015000000}"/>
    <cellStyle name="Accent5 2" xfId="37" xr:uid="{00000000-0005-0000-0000-000016000000}"/>
    <cellStyle name="Accent6 2" xfId="38" xr:uid="{00000000-0005-0000-0000-000017000000}"/>
    <cellStyle name="Bad 2" xfId="39" xr:uid="{00000000-0005-0000-0000-000018000000}"/>
    <cellStyle name="Calculation 2" xfId="40" xr:uid="{00000000-0005-0000-0000-000019000000}"/>
    <cellStyle name="Check Cell 2" xfId="41" xr:uid="{00000000-0005-0000-0000-00001A000000}"/>
    <cellStyle name="Comma" xfId="1" builtinId="3"/>
    <cellStyle name="Comma 19" xfId="69" xr:uid="{00000000-0005-0000-0000-00001C000000}"/>
    <cellStyle name="Comma 2" xfId="5" xr:uid="{00000000-0005-0000-0000-00001D000000}"/>
    <cellStyle name="Comma 2 2" xfId="42" xr:uid="{00000000-0005-0000-0000-00001E000000}"/>
    <cellStyle name="Comma 2 2 4" xfId="68" xr:uid="{00000000-0005-0000-0000-00001F000000}"/>
    <cellStyle name="Comma 3" xfId="3" xr:uid="{00000000-0005-0000-0000-000020000000}"/>
    <cellStyle name="Comma 3 2" xfId="43" xr:uid="{00000000-0005-0000-0000-000021000000}"/>
    <cellStyle name="Comma 3 2 2" xfId="6" xr:uid="{00000000-0005-0000-0000-000022000000}"/>
    <cellStyle name="Comma 3 4" xfId="67" xr:uid="{00000000-0005-0000-0000-000023000000}"/>
    <cellStyle name="Comma 4" xfId="7" xr:uid="{00000000-0005-0000-0000-000024000000}"/>
    <cellStyle name="Comma 4 2" xfId="8" xr:uid="{00000000-0005-0000-0000-000025000000}"/>
    <cellStyle name="Comma 5" xfId="9" xr:uid="{00000000-0005-0000-0000-000026000000}"/>
    <cellStyle name="Comma 6" xfId="44" xr:uid="{00000000-0005-0000-0000-000027000000}"/>
    <cellStyle name="Comma 7" xfId="45" xr:uid="{00000000-0005-0000-0000-000028000000}"/>
    <cellStyle name="Comma 8" xfId="66" xr:uid="{00000000-0005-0000-0000-000029000000}"/>
    <cellStyle name="Explanatory Text 2" xfId="46" xr:uid="{00000000-0005-0000-0000-00002A000000}"/>
    <cellStyle name="Good 2" xfId="47" xr:uid="{00000000-0005-0000-0000-00002B000000}"/>
    <cellStyle name="Heading 1 2" xfId="48" xr:uid="{00000000-0005-0000-0000-00002C000000}"/>
    <cellStyle name="Heading 2 2" xfId="49" xr:uid="{00000000-0005-0000-0000-00002D000000}"/>
    <cellStyle name="Heading 3 2" xfId="50" xr:uid="{00000000-0005-0000-0000-00002E000000}"/>
    <cellStyle name="Heading 4 2" xfId="51" xr:uid="{00000000-0005-0000-0000-00002F000000}"/>
    <cellStyle name="Input 2" xfId="52" xr:uid="{00000000-0005-0000-0000-000030000000}"/>
    <cellStyle name="Linked Cell 2" xfId="53" xr:uid="{00000000-0005-0000-0000-000031000000}"/>
    <cellStyle name="Neutral 2" xfId="54" xr:uid="{00000000-0005-0000-0000-000032000000}"/>
    <cellStyle name="Normal" xfId="0" builtinId="0"/>
    <cellStyle name="Normal - Style1 2 2" xfId="71" xr:uid="{00000000-0005-0000-0000-000034000000}"/>
    <cellStyle name="Normal 2" xfId="10" xr:uid="{00000000-0005-0000-0000-000035000000}"/>
    <cellStyle name="Normal 2 2" xfId="55" xr:uid="{00000000-0005-0000-0000-000036000000}"/>
    <cellStyle name="Normal 29" xfId="74" xr:uid="{00000000-0005-0000-0000-000037000000}"/>
    <cellStyle name="Normal 3" xfId="2" xr:uid="{00000000-0005-0000-0000-000038000000}"/>
    <cellStyle name="Normal 3 2" xfId="56" xr:uid="{00000000-0005-0000-0000-000039000000}"/>
    <cellStyle name="Normal 3 2 2" xfId="72" xr:uid="{00000000-0005-0000-0000-00003A000000}"/>
    <cellStyle name="Normal 3 3" xfId="11" xr:uid="{00000000-0005-0000-0000-00003B000000}"/>
    <cellStyle name="Normal 4" xfId="4" xr:uid="{00000000-0005-0000-0000-00003C000000}"/>
    <cellStyle name="Normal 4 2" xfId="12" xr:uid="{00000000-0005-0000-0000-00003D000000}"/>
    <cellStyle name="Normal 4 3" xfId="57" xr:uid="{00000000-0005-0000-0000-00003E000000}"/>
    <cellStyle name="Normal 5" xfId="13" xr:uid="{00000000-0005-0000-0000-00003F000000}"/>
    <cellStyle name="Normal 5 2" xfId="58" xr:uid="{00000000-0005-0000-0000-000040000000}"/>
    <cellStyle name="Normal 7" xfId="59" xr:uid="{00000000-0005-0000-0000-000041000000}"/>
    <cellStyle name="Normal 9" xfId="14" xr:uid="{00000000-0005-0000-0000-000042000000}"/>
    <cellStyle name="Normal_depnote" xfId="73" xr:uid="{00000000-0005-0000-0000-000043000000}"/>
    <cellStyle name="Note 2" xfId="60" xr:uid="{00000000-0005-0000-0000-000044000000}"/>
    <cellStyle name="Output 2" xfId="61" xr:uid="{00000000-0005-0000-0000-000045000000}"/>
    <cellStyle name="Percent" xfId="70" builtinId="5"/>
    <cellStyle name="Percent 2" xfId="62" xr:uid="{00000000-0005-0000-0000-000047000000}"/>
    <cellStyle name="Title 2" xfId="63" xr:uid="{00000000-0005-0000-0000-000048000000}"/>
    <cellStyle name="Total 2" xfId="64" xr:uid="{00000000-0005-0000-0000-000049000000}"/>
    <cellStyle name="Warning Text 2" xfId="65" xr:uid="{00000000-0005-0000-0000-00004A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WVN40"/>
  <sheetViews>
    <sheetView showGridLines="0" tabSelected="1" zoomScaleNormal="100" zoomScaleSheetLayoutView="100" workbookViewId="0">
      <selection activeCell="E19" sqref="E19"/>
    </sheetView>
  </sheetViews>
  <sheetFormatPr defaultColWidth="0" defaultRowHeight="13.5" zeroHeight="1"/>
  <cols>
    <col min="1" max="1" width="1.28515625" style="33" customWidth="1"/>
    <col min="2" max="2" width="8.42578125" style="33" customWidth="1"/>
    <col min="3" max="3" width="44" style="33" customWidth="1"/>
    <col min="4" max="4" width="12.140625" style="38" customWidth="1"/>
    <col min="5" max="5" width="14.5703125" style="33" bestFit="1" customWidth="1"/>
    <col min="6" max="6" width="18.85546875" style="33" customWidth="1"/>
    <col min="7" max="7" width="1.42578125" style="33" customWidth="1"/>
    <col min="8" max="253" width="10.42578125" style="33" hidden="1"/>
    <col min="254" max="254" width="8.42578125" style="33" hidden="1"/>
    <col min="255" max="256" width="12.85546875" style="33" hidden="1"/>
    <col min="257" max="257" width="9.7109375" style="33" hidden="1"/>
    <col min="258" max="258" width="7.28515625" style="33" hidden="1"/>
    <col min="259" max="259" width="8.140625" style="33" hidden="1"/>
    <col min="260" max="260" width="12.85546875" style="33" hidden="1"/>
    <col min="261" max="262" width="13.28515625" style="33" hidden="1"/>
    <col min="263" max="509" width="10.42578125" style="33" hidden="1"/>
    <col min="510" max="510" width="8.42578125" style="33" hidden="1"/>
    <col min="511" max="512" width="12.85546875" style="33" hidden="1"/>
    <col min="513" max="513" width="9.7109375" style="33" hidden="1"/>
    <col min="514" max="514" width="7.28515625" style="33" hidden="1"/>
    <col min="515" max="515" width="8.140625" style="33" hidden="1"/>
    <col min="516" max="516" width="12.85546875" style="33" hidden="1"/>
    <col min="517" max="518" width="13.28515625" style="33" hidden="1"/>
    <col min="519" max="765" width="10.42578125" style="33" hidden="1"/>
    <col min="766" max="766" width="8.42578125" style="33" hidden="1"/>
    <col min="767" max="768" width="12.85546875" style="33" hidden="1"/>
    <col min="769" max="769" width="9.7109375" style="33" hidden="1"/>
    <col min="770" max="770" width="7.28515625" style="33" hidden="1"/>
    <col min="771" max="771" width="8.140625" style="33" hidden="1"/>
    <col min="772" max="772" width="12.85546875" style="33" hidden="1"/>
    <col min="773" max="774" width="13.28515625" style="33" hidden="1"/>
    <col min="775" max="1021" width="10.42578125" style="33" hidden="1"/>
    <col min="1022" max="1022" width="8.42578125" style="33" hidden="1"/>
    <col min="1023" max="1024" width="12.85546875" style="33" hidden="1"/>
    <col min="1025" max="1025" width="9.7109375" style="33" hidden="1"/>
    <col min="1026" max="1026" width="7.28515625" style="33" hidden="1"/>
    <col min="1027" max="1027" width="8.140625" style="33" hidden="1"/>
    <col min="1028" max="1028" width="12.85546875" style="33" hidden="1"/>
    <col min="1029" max="1030" width="13.28515625" style="33" hidden="1"/>
    <col min="1031" max="1277" width="10.42578125" style="33" hidden="1"/>
    <col min="1278" max="1278" width="8.42578125" style="33" hidden="1"/>
    <col min="1279" max="1280" width="12.85546875" style="33" hidden="1"/>
    <col min="1281" max="1281" width="9.7109375" style="33" hidden="1"/>
    <col min="1282" max="1282" width="7.28515625" style="33" hidden="1"/>
    <col min="1283" max="1283" width="8.140625" style="33" hidden="1"/>
    <col min="1284" max="1284" width="12.85546875" style="33" hidden="1"/>
    <col min="1285" max="1286" width="13.28515625" style="33" hidden="1"/>
    <col min="1287" max="1533" width="10.42578125" style="33" hidden="1"/>
    <col min="1534" max="1534" width="8.42578125" style="33" hidden="1"/>
    <col min="1535" max="1536" width="12.85546875" style="33" hidden="1"/>
    <col min="1537" max="1537" width="9.7109375" style="33" hidden="1"/>
    <col min="1538" max="1538" width="7.28515625" style="33" hidden="1"/>
    <col min="1539" max="1539" width="8.140625" style="33" hidden="1"/>
    <col min="1540" max="1540" width="12.85546875" style="33" hidden="1"/>
    <col min="1541" max="1542" width="13.28515625" style="33" hidden="1"/>
    <col min="1543" max="1789" width="10.42578125" style="33" hidden="1"/>
    <col min="1790" max="1790" width="8.42578125" style="33" hidden="1"/>
    <col min="1791" max="1792" width="12.85546875" style="33" hidden="1"/>
    <col min="1793" max="1793" width="9.7109375" style="33" hidden="1"/>
    <col min="1794" max="1794" width="7.28515625" style="33" hidden="1"/>
    <col min="1795" max="1795" width="8.140625" style="33" hidden="1"/>
    <col min="1796" max="1796" width="12.85546875" style="33" hidden="1"/>
    <col min="1797" max="1798" width="13.28515625" style="33" hidden="1"/>
    <col min="1799" max="2045" width="10.42578125" style="33" hidden="1"/>
    <col min="2046" max="2046" width="8.42578125" style="33" hidden="1"/>
    <col min="2047" max="2048" width="12.85546875" style="33" hidden="1"/>
    <col min="2049" max="2049" width="9.7109375" style="33" hidden="1"/>
    <col min="2050" max="2050" width="7.28515625" style="33" hidden="1"/>
    <col min="2051" max="2051" width="8.140625" style="33" hidden="1"/>
    <col min="2052" max="2052" width="12.85546875" style="33" hidden="1"/>
    <col min="2053" max="2054" width="13.28515625" style="33" hidden="1"/>
    <col min="2055" max="2301" width="10.42578125" style="33" hidden="1"/>
    <col min="2302" max="2302" width="8.42578125" style="33" hidden="1"/>
    <col min="2303" max="2304" width="12.85546875" style="33" hidden="1"/>
    <col min="2305" max="2305" width="9.7109375" style="33" hidden="1"/>
    <col min="2306" max="2306" width="7.28515625" style="33" hidden="1"/>
    <col min="2307" max="2307" width="8.140625" style="33" hidden="1"/>
    <col min="2308" max="2308" width="12.85546875" style="33" hidden="1"/>
    <col min="2309" max="2310" width="13.28515625" style="33" hidden="1"/>
    <col min="2311" max="2557" width="10.42578125" style="33" hidden="1"/>
    <col min="2558" max="2558" width="8.42578125" style="33" hidden="1"/>
    <col min="2559" max="2560" width="12.85546875" style="33" hidden="1"/>
    <col min="2561" max="2561" width="9.7109375" style="33" hidden="1"/>
    <col min="2562" max="2562" width="7.28515625" style="33" hidden="1"/>
    <col min="2563" max="2563" width="8.140625" style="33" hidden="1"/>
    <col min="2564" max="2564" width="12.85546875" style="33" hidden="1"/>
    <col min="2565" max="2566" width="13.28515625" style="33" hidden="1"/>
    <col min="2567" max="2813" width="10.42578125" style="33" hidden="1"/>
    <col min="2814" max="2814" width="8.42578125" style="33" hidden="1"/>
    <col min="2815" max="2816" width="12.85546875" style="33" hidden="1"/>
    <col min="2817" max="2817" width="9.7109375" style="33" hidden="1"/>
    <col min="2818" max="2818" width="7.28515625" style="33" hidden="1"/>
    <col min="2819" max="2819" width="8.140625" style="33" hidden="1"/>
    <col min="2820" max="2820" width="12.85546875" style="33" hidden="1"/>
    <col min="2821" max="2822" width="13.28515625" style="33" hidden="1"/>
    <col min="2823" max="3069" width="10.42578125" style="33" hidden="1"/>
    <col min="3070" max="3070" width="8.42578125" style="33" hidden="1"/>
    <col min="3071" max="3072" width="12.85546875" style="33" hidden="1"/>
    <col min="3073" max="3073" width="9.7109375" style="33" hidden="1"/>
    <col min="3074" max="3074" width="7.28515625" style="33" hidden="1"/>
    <col min="3075" max="3075" width="8.140625" style="33" hidden="1"/>
    <col min="3076" max="3076" width="12.85546875" style="33" hidden="1"/>
    <col min="3077" max="3078" width="13.28515625" style="33" hidden="1"/>
    <col min="3079" max="3325" width="10.42578125" style="33" hidden="1"/>
    <col min="3326" max="3326" width="8.42578125" style="33" hidden="1"/>
    <col min="3327" max="3328" width="12.85546875" style="33" hidden="1"/>
    <col min="3329" max="3329" width="9.7109375" style="33" hidden="1"/>
    <col min="3330" max="3330" width="7.28515625" style="33" hidden="1"/>
    <col min="3331" max="3331" width="8.140625" style="33" hidden="1"/>
    <col min="3332" max="3332" width="12.85546875" style="33" hidden="1"/>
    <col min="3333" max="3334" width="13.28515625" style="33" hidden="1"/>
    <col min="3335" max="3581" width="10.42578125" style="33" hidden="1"/>
    <col min="3582" max="3582" width="8.42578125" style="33" hidden="1"/>
    <col min="3583" max="3584" width="12.85546875" style="33" hidden="1"/>
    <col min="3585" max="3585" width="9.7109375" style="33" hidden="1"/>
    <col min="3586" max="3586" width="7.28515625" style="33" hidden="1"/>
    <col min="3587" max="3587" width="8.140625" style="33" hidden="1"/>
    <col min="3588" max="3588" width="12.85546875" style="33" hidden="1"/>
    <col min="3589" max="3590" width="13.28515625" style="33" hidden="1"/>
    <col min="3591" max="3837" width="10.42578125" style="33" hidden="1"/>
    <col min="3838" max="3838" width="8.42578125" style="33" hidden="1"/>
    <col min="3839" max="3840" width="12.85546875" style="33" hidden="1"/>
    <col min="3841" max="3841" width="9.7109375" style="33" hidden="1"/>
    <col min="3842" max="3842" width="7.28515625" style="33" hidden="1"/>
    <col min="3843" max="3843" width="8.140625" style="33" hidden="1"/>
    <col min="3844" max="3844" width="12.85546875" style="33" hidden="1"/>
    <col min="3845" max="3846" width="13.28515625" style="33" hidden="1"/>
    <col min="3847" max="4093" width="10.42578125" style="33" hidden="1"/>
    <col min="4094" max="4094" width="8.42578125" style="33" hidden="1"/>
    <col min="4095" max="4096" width="12.85546875" style="33" hidden="1"/>
    <col min="4097" max="4097" width="9.7109375" style="33" hidden="1"/>
    <col min="4098" max="4098" width="7.28515625" style="33" hidden="1"/>
    <col min="4099" max="4099" width="8.140625" style="33" hidden="1"/>
    <col min="4100" max="4100" width="12.85546875" style="33" hidden="1"/>
    <col min="4101" max="4102" width="13.28515625" style="33" hidden="1"/>
    <col min="4103" max="4349" width="10.42578125" style="33" hidden="1"/>
    <col min="4350" max="4350" width="8.42578125" style="33" hidden="1"/>
    <col min="4351" max="4352" width="12.85546875" style="33" hidden="1"/>
    <col min="4353" max="4353" width="9.7109375" style="33" hidden="1"/>
    <col min="4354" max="4354" width="7.28515625" style="33" hidden="1"/>
    <col min="4355" max="4355" width="8.140625" style="33" hidden="1"/>
    <col min="4356" max="4356" width="12.85546875" style="33" hidden="1"/>
    <col min="4357" max="4358" width="13.28515625" style="33" hidden="1"/>
    <col min="4359" max="4605" width="10.42578125" style="33" hidden="1"/>
    <col min="4606" max="4606" width="8.42578125" style="33" hidden="1"/>
    <col min="4607" max="4608" width="12.85546875" style="33" hidden="1"/>
    <col min="4609" max="4609" width="9.7109375" style="33" hidden="1"/>
    <col min="4610" max="4610" width="7.28515625" style="33" hidden="1"/>
    <col min="4611" max="4611" width="8.140625" style="33" hidden="1"/>
    <col min="4612" max="4612" width="12.85546875" style="33" hidden="1"/>
    <col min="4613" max="4614" width="13.28515625" style="33" hidden="1"/>
    <col min="4615" max="4861" width="10.42578125" style="33" hidden="1"/>
    <col min="4862" max="4862" width="8.42578125" style="33" hidden="1"/>
    <col min="4863" max="4864" width="12.85546875" style="33" hidden="1"/>
    <col min="4865" max="4865" width="9.7109375" style="33" hidden="1"/>
    <col min="4866" max="4866" width="7.28515625" style="33" hidden="1"/>
    <col min="4867" max="4867" width="8.140625" style="33" hidden="1"/>
    <col min="4868" max="4868" width="12.85546875" style="33" hidden="1"/>
    <col min="4869" max="4870" width="13.28515625" style="33" hidden="1"/>
    <col min="4871" max="5117" width="10.42578125" style="33" hidden="1"/>
    <col min="5118" max="5118" width="8.42578125" style="33" hidden="1"/>
    <col min="5119" max="5120" width="12.85546875" style="33" hidden="1"/>
    <col min="5121" max="5121" width="9.7109375" style="33" hidden="1"/>
    <col min="5122" max="5122" width="7.28515625" style="33" hidden="1"/>
    <col min="5123" max="5123" width="8.140625" style="33" hidden="1"/>
    <col min="5124" max="5124" width="12.85546875" style="33" hidden="1"/>
    <col min="5125" max="5126" width="13.28515625" style="33" hidden="1"/>
    <col min="5127" max="5373" width="10.42578125" style="33" hidden="1"/>
    <col min="5374" max="5374" width="8.42578125" style="33" hidden="1"/>
    <col min="5375" max="5376" width="12.85546875" style="33" hidden="1"/>
    <col min="5377" max="5377" width="9.7109375" style="33" hidden="1"/>
    <col min="5378" max="5378" width="7.28515625" style="33" hidden="1"/>
    <col min="5379" max="5379" width="8.140625" style="33" hidden="1"/>
    <col min="5380" max="5380" width="12.85546875" style="33" hidden="1"/>
    <col min="5381" max="5382" width="13.28515625" style="33" hidden="1"/>
    <col min="5383" max="5629" width="10.42578125" style="33" hidden="1"/>
    <col min="5630" max="5630" width="8.42578125" style="33" hidden="1"/>
    <col min="5631" max="5632" width="12.85546875" style="33" hidden="1"/>
    <col min="5633" max="5633" width="9.7109375" style="33" hidden="1"/>
    <col min="5634" max="5634" width="7.28515625" style="33" hidden="1"/>
    <col min="5635" max="5635" width="8.140625" style="33" hidden="1"/>
    <col min="5636" max="5636" width="12.85546875" style="33" hidden="1"/>
    <col min="5637" max="5638" width="13.28515625" style="33" hidden="1"/>
    <col min="5639" max="5885" width="10.42578125" style="33" hidden="1"/>
    <col min="5886" max="5886" width="8.42578125" style="33" hidden="1"/>
    <col min="5887" max="5888" width="12.85546875" style="33" hidden="1"/>
    <col min="5889" max="5889" width="9.7109375" style="33" hidden="1"/>
    <col min="5890" max="5890" width="7.28515625" style="33" hidden="1"/>
    <col min="5891" max="5891" width="8.140625" style="33" hidden="1"/>
    <col min="5892" max="5892" width="12.85546875" style="33" hidden="1"/>
    <col min="5893" max="5894" width="13.28515625" style="33" hidden="1"/>
    <col min="5895" max="6141" width="10.42578125" style="33" hidden="1"/>
    <col min="6142" max="6142" width="8.42578125" style="33" hidden="1"/>
    <col min="6143" max="6144" width="12.85546875" style="33" hidden="1"/>
    <col min="6145" max="6145" width="9.7109375" style="33" hidden="1"/>
    <col min="6146" max="6146" width="7.28515625" style="33" hidden="1"/>
    <col min="6147" max="6147" width="8.140625" style="33" hidden="1"/>
    <col min="6148" max="6148" width="12.85546875" style="33" hidden="1"/>
    <col min="6149" max="6150" width="13.28515625" style="33" hidden="1"/>
    <col min="6151" max="6397" width="10.42578125" style="33" hidden="1"/>
    <col min="6398" max="6398" width="8.42578125" style="33" hidden="1"/>
    <col min="6399" max="6400" width="12.85546875" style="33" hidden="1"/>
    <col min="6401" max="6401" width="9.7109375" style="33" hidden="1"/>
    <col min="6402" max="6402" width="7.28515625" style="33" hidden="1"/>
    <col min="6403" max="6403" width="8.140625" style="33" hidden="1"/>
    <col min="6404" max="6404" width="12.85546875" style="33" hidden="1"/>
    <col min="6405" max="6406" width="13.28515625" style="33" hidden="1"/>
    <col min="6407" max="6653" width="10.42578125" style="33" hidden="1"/>
    <col min="6654" max="6654" width="8.42578125" style="33" hidden="1"/>
    <col min="6655" max="6656" width="12.85546875" style="33" hidden="1"/>
    <col min="6657" max="6657" width="9.7109375" style="33" hidden="1"/>
    <col min="6658" max="6658" width="7.28515625" style="33" hidden="1"/>
    <col min="6659" max="6659" width="8.140625" style="33" hidden="1"/>
    <col min="6660" max="6660" width="12.85546875" style="33" hidden="1"/>
    <col min="6661" max="6662" width="13.28515625" style="33" hidden="1"/>
    <col min="6663" max="6909" width="10.42578125" style="33" hidden="1"/>
    <col min="6910" max="6910" width="8.42578125" style="33" hidden="1"/>
    <col min="6911" max="6912" width="12.85546875" style="33" hidden="1"/>
    <col min="6913" max="6913" width="9.7109375" style="33" hidden="1"/>
    <col min="6914" max="6914" width="7.28515625" style="33" hidden="1"/>
    <col min="6915" max="6915" width="8.140625" style="33" hidden="1"/>
    <col min="6916" max="6916" width="12.85546875" style="33" hidden="1"/>
    <col min="6917" max="6918" width="13.28515625" style="33" hidden="1"/>
    <col min="6919" max="7165" width="10.42578125" style="33" hidden="1"/>
    <col min="7166" max="7166" width="8.42578125" style="33" hidden="1"/>
    <col min="7167" max="7168" width="12.85546875" style="33" hidden="1"/>
    <col min="7169" max="7169" width="9.7109375" style="33" hidden="1"/>
    <col min="7170" max="7170" width="7.28515625" style="33" hidden="1"/>
    <col min="7171" max="7171" width="8.140625" style="33" hidden="1"/>
    <col min="7172" max="7172" width="12.85546875" style="33" hidden="1"/>
    <col min="7173" max="7174" width="13.28515625" style="33" hidden="1"/>
    <col min="7175" max="7421" width="10.42578125" style="33" hidden="1"/>
    <col min="7422" max="7422" width="8.42578125" style="33" hidden="1"/>
    <col min="7423" max="7424" width="12.85546875" style="33" hidden="1"/>
    <col min="7425" max="7425" width="9.7109375" style="33" hidden="1"/>
    <col min="7426" max="7426" width="7.28515625" style="33" hidden="1"/>
    <col min="7427" max="7427" width="8.140625" style="33" hidden="1"/>
    <col min="7428" max="7428" width="12.85546875" style="33" hidden="1"/>
    <col min="7429" max="7430" width="13.28515625" style="33" hidden="1"/>
    <col min="7431" max="7677" width="10.42578125" style="33" hidden="1"/>
    <col min="7678" max="7678" width="8.42578125" style="33" hidden="1"/>
    <col min="7679" max="7680" width="12.85546875" style="33" hidden="1"/>
    <col min="7681" max="7681" width="9.7109375" style="33" hidden="1"/>
    <col min="7682" max="7682" width="7.28515625" style="33" hidden="1"/>
    <col min="7683" max="7683" width="8.140625" style="33" hidden="1"/>
    <col min="7684" max="7684" width="12.85546875" style="33" hidden="1"/>
    <col min="7685" max="7686" width="13.28515625" style="33" hidden="1"/>
    <col min="7687" max="7933" width="10.42578125" style="33" hidden="1"/>
    <col min="7934" max="7934" width="8.42578125" style="33" hidden="1"/>
    <col min="7935" max="7936" width="12.85546875" style="33" hidden="1"/>
    <col min="7937" max="7937" width="9.7109375" style="33" hidden="1"/>
    <col min="7938" max="7938" width="7.28515625" style="33" hidden="1"/>
    <col min="7939" max="7939" width="8.140625" style="33" hidden="1"/>
    <col min="7940" max="7940" width="12.85546875" style="33" hidden="1"/>
    <col min="7941" max="7942" width="13.28515625" style="33" hidden="1"/>
    <col min="7943" max="8189" width="10.42578125" style="33" hidden="1"/>
    <col min="8190" max="8190" width="8.42578125" style="33" hidden="1"/>
    <col min="8191" max="8192" width="12.85546875" style="33" hidden="1"/>
    <col min="8193" max="8193" width="9.7109375" style="33" hidden="1"/>
    <col min="8194" max="8194" width="7.28515625" style="33" hidden="1"/>
    <col min="8195" max="8195" width="8.140625" style="33" hidden="1"/>
    <col min="8196" max="8196" width="12.85546875" style="33" hidden="1"/>
    <col min="8197" max="8198" width="13.28515625" style="33" hidden="1"/>
    <col min="8199" max="8445" width="10.42578125" style="33" hidden="1"/>
    <col min="8446" max="8446" width="8.42578125" style="33" hidden="1"/>
    <col min="8447" max="8448" width="12.85546875" style="33" hidden="1"/>
    <col min="8449" max="8449" width="9.7109375" style="33" hidden="1"/>
    <col min="8450" max="8450" width="7.28515625" style="33" hidden="1"/>
    <col min="8451" max="8451" width="8.140625" style="33" hidden="1"/>
    <col min="8452" max="8452" width="12.85546875" style="33" hidden="1"/>
    <col min="8453" max="8454" width="13.28515625" style="33" hidden="1"/>
    <col min="8455" max="8701" width="10.42578125" style="33" hidden="1"/>
    <col min="8702" max="8702" width="8.42578125" style="33" hidden="1"/>
    <col min="8703" max="8704" width="12.85546875" style="33" hidden="1"/>
    <col min="8705" max="8705" width="9.7109375" style="33" hidden="1"/>
    <col min="8706" max="8706" width="7.28515625" style="33" hidden="1"/>
    <col min="8707" max="8707" width="8.140625" style="33" hidden="1"/>
    <col min="8708" max="8708" width="12.85546875" style="33" hidden="1"/>
    <col min="8709" max="8710" width="13.28515625" style="33" hidden="1"/>
    <col min="8711" max="8957" width="10.42578125" style="33" hidden="1"/>
    <col min="8958" max="8958" width="8.42578125" style="33" hidden="1"/>
    <col min="8959" max="8960" width="12.85546875" style="33" hidden="1"/>
    <col min="8961" max="8961" width="9.7109375" style="33" hidden="1"/>
    <col min="8962" max="8962" width="7.28515625" style="33" hidden="1"/>
    <col min="8963" max="8963" width="8.140625" style="33" hidden="1"/>
    <col min="8964" max="8964" width="12.85546875" style="33" hidden="1"/>
    <col min="8965" max="8966" width="13.28515625" style="33" hidden="1"/>
    <col min="8967" max="9213" width="10.42578125" style="33" hidden="1"/>
    <col min="9214" max="9214" width="8.42578125" style="33" hidden="1"/>
    <col min="9215" max="9216" width="12.85546875" style="33" hidden="1"/>
    <col min="9217" max="9217" width="9.7109375" style="33" hidden="1"/>
    <col min="9218" max="9218" width="7.28515625" style="33" hidden="1"/>
    <col min="9219" max="9219" width="8.140625" style="33" hidden="1"/>
    <col min="9220" max="9220" width="12.85546875" style="33" hidden="1"/>
    <col min="9221" max="9222" width="13.28515625" style="33" hidden="1"/>
    <col min="9223" max="9469" width="10.42578125" style="33" hidden="1"/>
    <col min="9470" max="9470" width="8.42578125" style="33" hidden="1"/>
    <col min="9471" max="9472" width="12.85546875" style="33" hidden="1"/>
    <col min="9473" max="9473" width="9.7109375" style="33" hidden="1"/>
    <col min="9474" max="9474" width="7.28515625" style="33" hidden="1"/>
    <col min="9475" max="9475" width="8.140625" style="33" hidden="1"/>
    <col min="9476" max="9476" width="12.85546875" style="33" hidden="1"/>
    <col min="9477" max="9478" width="13.28515625" style="33" hidden="1"/>
    <col min="9479" max="9725" width="10.42578125" style="33" hidden="1"/>
    <col min="9726" max="9726" width="8.42578125" style="33" hidden="1"/>
    <col min="9727" max="9728" width="12.85546875" style="33" hidden="1"/>
    <col min="9729" max="9729" width="9.7109375" style="33" hidden="1"/>
    <col min="9730" max="9730" width="7.28515625" style="33" hidden="1"/>
    <col min="9731" max="9731" width="8.140625" style="33" hidden="1"/>
    <col min="9732" max="9732" width="12.85546875" style="33" hidden="1"/>
    <col min="9733" max="9734" width="13.28515625" style="33" hidden="1"/>
    <col min="9735" max="9981" width="10.42578125" style="33" hidden="1"/>
    <col min="9982" max="9982" width="8.42578125" style="33" hidden="1"/>
    <col min="9983" max="9984" width="12.85546875" style="33" hidden="1"/>
    <col min="9985" max="9985" width="9.7109375" style="33" hidden="1"/>
    <col min="9986" max="9986" width="7.28515625" style="33" hidden="1"/>
    <col min="9987" max="9987" width="8.140625" style="33" hidden="1"/>
    <col min="9988" max="9988" width="12.85546875" style="33" hidden="1"/>
    <col min="9989" max="9990" width="13.28515625" style="33" hidden="1"/>
    <col min="9991" max="10237" width="10.42578125" style="33" hidden="1"/>
    <col min="10238" max="10238" width="8.42578125" style="33" hidden="1"/>
    <col min="10239" max="10240" width="12.85546875" style="33" hidden="1"/>
    <col min="10241" max="10241" width="9.7109375" style="33" hidden="1"/>
    <col min="10242" max="10242" width="7.28515625" style="33" hidden="1"/>
    <col min="10243" max="10243" width="8.140625" style="33" hidden="1"/>
    <col min="10244" max="10244" width="12.85546875" style="33" hidden="1"/>
    <col min="10245" max="10246" width="13.28515625" style="33" hidden="1"/>
    <col min="10247" max="10493" width="10.42578125" style="33" hidden="1"/>
    <col min="10494" max="10494" width="8.42578125" style="33" hidden="1"/>
    <col min="10495" max="10496" width="12.85546875" style="33" hidden="1"/>
    <col min="10497" max="10497" width="9.7109375" style="33" hidden="1"/>
    <col min="10498" max="10498" width="7.28515625" style="33" hidden="1"/>
    <col min="10499" max="10499" width="8.140625" style="33" hidden="1"/>
    <col min="10500" max="10500" width="12.85546875" style="33" hidden="1"/>
    <col min="10501" max="10502" width="13.28515625" style="33" hidden="1"/>
    <col min="10503" max="10749" width="10.42578125" style="33" hidden="1"/>
    <col min="10750" max="10750" width="8.42578125" style="33" hidden="1"/>
    <col min="10751" max="10752" width="12.85546875" style="33" hidden="1"/>
    <col min="10753" max="10753" width="9.7109375" style="33" hidden="1"/>
    <col min="10754" max="10754" width="7.28515625" style="33" hidden="1"/>
    <col min="10755" max="10755" width="8.140625" style="33" hidden="1"/>
    <col min="10756" max="10756" width="12.85546875" style="33" hidden="1"/>
    <col min="10757" max="10758" width="13.28515625" style="33" hidden="1"/>
    <col min="10759" max="11005" width="10.42578125" style="33" hidden="1"/>
    <col min="11006" max="11006" width="8.42578125" style="33" hidden="1"/>
    <col min="11007" max="11008" width="12.85546875" style="33" hidden="1"/>
    <col min="11009" max="11009" width="9.7109375" style="33" hidden="1"/>
    <col min="11010" max="11010" width="7.28515625" style="33" hidden="1"/>
    <col min="11011" max="11011" width="8.140625" style="33" hidden="1"/>
    <col min="11012" max="11012" width="12.85546875" style="33" hidden="1"/>
    <col min="11013" max="11014" width="13.28515625" style="33" hidden="1"/>
    <col min="11015" max="11261" width="10.42578125" style="33" hidden="1"/>
    <col min="11262" max="11262" width="8.42578125" style="33" hidden="1"/>
    <col min="11263" max="11264" width="12.85546875" style="33" hidden="1"/>
    <col min="11265" max="11265" width="9.7109375" style="33" hidden="1"/>
    <col min="11266" max="11266" width="7.28515625" style="33" hidden="1"/>
    <col min="11267" max="11267" width="8.140625" style="33" hidden="1"/>
    <col min="11268" max="11268" width="12.85546875" style="33" hidden="1"/>
    <col min="11269" max="11270" width="13.28515625" style="33" hidden="1"/>
    <col min="11271" max="11517" width="10.42578125" style="33" hidden="1"/>
    <col min="11518" max="11518" width="8.42578125" style="33" hidden="1"/>
    <col min="11519" max="11520" width="12.85546875" style="33" hidden="1"/>
    <col min="11521" max="11521" width="9.7109375" style="33" hidden="1"/>
    <col min="11522" max="11522" width="7.28515625" style="33" hidden="1"/>
    <col min="11523" max="11523" width="8.140625" style="33" hidden="1"/>
    <col min="11524" max="11524" width="12.85546875" style="33" hidden="1"/>
    <col min="11525" max="11526" width="13.28515625" style="33" hidden="1"/>
    <col min="11527" max="11773" width="10.42578125" style="33" hidden="1"/>
    <col min="11774" max="11774" width="8.42578125" style="33" hidden="1"/>
    <col min="11775" max="11776" width="12.85546875" style="33" hidden="1"/>
    <col min="11777" max="11777" width="9.7109375" style="33" hidden="1"/>
    <col min="11778" max="11778" width="7.28515625" style="33" hidden="1"/>
    <col min="11779" max="11779" width="8.140625" style="33" hidden="1"/>
    <col min="11780" max="11780" width="12.85546875" style="33" hidden="1"/>
    <col min="11781" max="11782" width="13.28515625" style="33" hidden="1"/>
    <col min="11783" max="12029" width="10.42578125" style="33" hidden="1"/>
    <col min="12030" max="12030" width="8.42578125" style="33" hidden="1"/>
    <col min="12031" max="12032" width="12.85546875" style="33" hidden="1"/>
    <col min="12033" max="12033" width="9.7109375" style="33" hidden="1"/>
    <col min="12034" max="12034" width="7.28515625" style="33" hidden="1"/>
    <col min="12035" max="12035" width="8.140625" style="33" hidden="1"/>
    <col min="12036" max="12036" width="12.85546875" style="33" hidden="1"/>
    <col min="12037" max="12038" width="13.28515625" style="33" hidden="1"/>
    <col min="12039" max="12285" width="10.42578125" style="33" hidden="1"/>
    <col min="12286" max="12286" width="8.42578125" style="33" hidden="1"/>
    <col min="12287" max="12288" width="12.85546875" style="33" hidden="1"/>
    <col min="12289" max="12289" width="9.7109375" style="33" hidden="1"/>
    <col min="12290" max="12290" width="7.28515625" style="33" hidden="1"/>
    <col min="12291" max="12291" width="8.140625" style="33" hidden="1"/>
    <col min="12292" max="12292" width="12.85546875" style="33" hidden="1"/>
    <col min="12293" max="12294" width="13.28515625" style="33" hidden="1"/>
    <col min="12295" max="12541" width="10.42578125" style="33" hidden="1"/>
    <col min="12542" max="12542" width="8.42578125" style="33" hidden="1"/>
    <col min="12543" max="12544" width="12.85546875" style="33" hidden="1"/>
    <col min="12545" max="12545" width="9.7109375" style="33" hidden="1"/>
    <col min="12546" max="12546" width="7.28515625" style="33" hidden="1"/>
    <col min="12547" max="12547" width="8.140625" style="33" hidden="1"/>
    <col min="12548" max="12548" width="12.85546875" style="33" hidden="1"/>
    <col min="12549" max="12550" width="13.28515625" style="33" hidden="1"/>
    <col min="12551" max="12797" width="10.42578125" style="33" hidden="1"/>
    <col min="12798" max="12798" width="8.42578125" style="33" hidden="1"/>
    <col min="12799" max="12800" width="12.85546875" style="33" hidden="1"/>
    <col min="12801" max="12801" width="9.7109375" style="33" hidden="1"/>
    <col min="12802" max="12802" width="7.28515625" style="33" hidden="1"/>
    <col min="12803" max="12803" width="8.140625" style="33" hidden="1"/>
    <col min="12804" max="12804" width="12.85546875" style="33" hidden="1"/>
    <col min="12805" max="12806" width="13.28515625" style="33" hidden="1"/>
    <col min="12807" max="13053" width="10.42578125" style="33" hidden="1"/>
    <col min="13054" max="13054" width="8.42578125" style="33" hidden="1"/>
    <col min="13055" max="13056" width="12.85546875" style="33" hidden="1"/>
    <col min="13057" max="13057" width="9.7109375" style="33" hidden="1"/>
    <col min="13058" max="13058" width="7.28515625" style="33" hidden="1"/>
    <col min="13059" max="13059" width="8.140625" style="33" hidden="1"/>
    <col min="13060" max="13060" width="12.85546875" style="33" hidden="1"/>
    <col min="13061" max="13062" width="13.28515625" style="33" hidden="1"/>
    <col min="13063" max="13309" width="10.42578125" style="33" hidden="1"/>
    <col min="13310" max="13310" width="8.42578125" style="33" hidden="1"/>
    <col min="13311" max="13312" width="12.85546875" style="33" hidden="1"/>
    <col min="13313" max="13313" width="9.7109375" style="33" hidden="1"/>
    <col min="13314" max="13314" width="7.28515625" style="33" hidden="1"/>
    <col min="13315" max="13315" width="8.140625" style="33" hidden="1"/>
    <col min="13316" max="13316" width="12.85546875" style="33" hidden="1"/>
    <col min="13317" max="13318" width="13.28515625" style="33" hidden="1"/>
    <col min="13319" max="13565" width="10.42578125" style="33" hidden="1"/>
    <col min="13566" max="13566" width="8.42578125" style="33" hidden="1"/>
    <col min="13567" max="13568" width="12.85546875" style="33" hidden="1"/>
    <col min="13569" max="13569" width="9.7109375" style="33" hidden="1"/>
    <col min="13570" max="13570" width="7.28515625" style="33" hidden="1"/>
    <col min="13571" max="13571" width="8.140625" style="33" hidden="1"/>
    <col min="13572" max="13572" width="12.85546875" style="33" hidden="1"/>
    <col min="13573" max="13574" width="13.28515625" style="33" hidden="1"/>
    <col min="13575" max="13821" width="10.42578125" style="33" hidden="1"/>
    <col min="13822" max="13822" width="8.42578125" style="33" hidden="1"/>
    <col min="13823" max="13824" width="12.85546875" style="33" hidden="1"/>
    <col min="13825" max="13825" width="9.7109375" style="33" hidden="1"/>
    <col min="13826" max="13826" width="7.28515625" style="33" hidden="1"/>
    <col min="13827" max="13827" width="8.140625" style="33" hidden="1"/>
    <col min="13828" max="13828" width="12.85546875" style="33" hidden="1"/>
    <col min="13829" max="13830" width="13.28515625" style="33" hidden="1"/>
    <col min="13831" max="14077" width="10.42578125" style="33" hidden="1"/>
    <col min="14078" max="14078" width="8.42578125" style="33" hidden="1"/>
    <col min="14079" max="14080" width="12.85546875" style="33" hidden="1"/>
    <col min="14081" max="14081" width="9.7109375" style="33" hidden="1"/>
    <col min="14082" max="14082" width="7.28515625" style="33" hidden="1"/>
    <col min="14083" max="14083" width="8.140625" style="33" hidden="1"/>
    <col min="14084" max="14084" width="12.85546875" style="33" hidden="1"/>
    <col min="14085" max="14086" width="13.28515625" style="33" hidden="1"/>
    <col min="14087" max="14333" width="10.42578125" style="33" hidden="1"/>
    <col min="14334" max="14334" width="8.42578125" style="33" hidden="1"/>
    <col min="14335" max="14336" width="12.85546875" style="33" hidden="1"/>
    <col min="14337" max="14337" width="9.7109375" style="33" hidden="1"/>
    <col min="14338" max="14338" width="7.28515625" style="33" hidden="1"/>
    <col min="14339" max="14339" width="8.140625" style="33" hidden="1"/>
    <col min="14340" max="14340" width="12.85546875" style="33" hidden="1"/>
    <col min="14341" max="14342" width="13.28515625" style="33" hidden="1"/>
    <col min="14343" max="14589" width="10.42578125" style="33" hidden="1"/>
    <col min="14590" max="14590" width="8.42578125" style="33" hidden="1"/>
    <col min="14591" max="14592" width="12.85546875" style="33" hidden="1"/>
    <col min="14593" max="14593" width="9.7109375" style="33" hidden="1"/>
    <col min="14594" max="14594" width="7.28515625" style="33" hidden="1"/>
    <col min="14595" max="14595" width="8.140625" style="33" hidden="1"/>
    <col min="14596" max="14596" width="12.85546875" style="33" hidden="1"/>
    <col min="14597" max="14598" width="13.28515625" style="33" hidden="1"/>
    <col min="14599" max="14845" width="10.42578125" style="33" hidden="1"/>
    <col min="14846" max="14846" width="8.42578125" style="33" hidden="1"/>
    <col min="14847" max="14848" width="12.85546875" style="33" hidden="1"/>
    <col min="14849" max="14849" width="9.7109375" style="33" hidden="1"/>
    <col min="14850" max="14850" width="7.28515625" style="33" hidden="1"/>
    <col min="14851" max="14851" width="8.140625" style="33" hidden="1"/>
    <col min="14852" max="14852" width="12.85546875" style="33" hidden="1"/>
    <col min="14853" max="14854" width="13.28515625" style="33" hidden="1"/>
    <col min="14855" max="15101" width="10.42578125" style="33" hidden="1"/>
    <col min="15102" max="15102" width="8.42578125" style="33" hidden="1"/>
    <col min="15103" max="15104" width="12.85546875" style="33" hidden="1"/>
    <col min="15105" max="15105" width="9.7109375" style="33" hidden="1"/>
    <col min="15106" max="15106" width="7.28515625" style="33" hidden="1"/>
    <col min="15107" max="15107" width="8.140625" style="33" hidden="1"/>
    <col min="15108" max="15108" width="12.85546875" style="33" hidden="1"/>
    <col min="15109" max="15110" width="13.28515625" style="33" hidden="1"/>
    <col min="15111" max="15357" width="10.42578125" style="33" hidden="1"/>
    <col min="15358" max="15358" width="8.42578125" style="33" hidden="1"/>
    <col min="15359" max="15360" width="12.85546875" style="33" hidden="1"/>
    <col min="15361" max="15361" width="9.7109375" style="33" hidden="1"/>
    <col min="15362" max="15362" width="7.28515625" style="33" hidden="1"/>
    <col min="15363" max="15363" width="8.140625" style="33" hidden="1"/>
    <col min="15364" max="15364" width="12.85546875" style="33" hidden="1"/>
    <col min="15365" max="15366" width="13.28515625" style="33" hidden="1"/>
    <col min="15367" max="15613" width="10.42578125" style="33" hidden="1"/>
    <col min="15614" max="15614" width="8.42578125" style="33" hidden="1"/>
    <col min="15615" max="15616" width="12.85546875" style="33" hidden="1"/>
    <col min="15617" max="15617" width="9.7109375" style="33" hidden="1"/>
    <col min="15618" max="15618" width="7.28515625" style="33" hidden="1"/>
    <col min="15619" max="15619" width="8.140625" style="33" hidden="1"/>
    <col min="15620" max="15620" width="12.85546875" style="33" hidden="1"/>
    <col min="15621" max="15622" width="13.28515625" style="33" hidden="1"/>
    <col min="15623" max="15869" width="10.42578125" style="33" hidden="1"/>
    <col min="15870" max="15870" width="8.42578125" style="33" hidden="1"/>
    <col min="15871" max="15872" width="12.85546875" style="33" hidden="1"/>
    <col min="15873" max="15873" width="9.7109375" style="33" hidden="1"/>
    <col min="15874" max="15874" width="7.28515625" style="33" hidden="1"/>
    <col min="15875" max="15875" width="8.140625" style="33" hidden="1"/>
    <col min="15876" max="15876" width="12.85546875" style="33" hidden="1"/>
    <col min="15877" max="15878" width="13.28515625" style="33" hidden="1"/>
    <col min="15879" max="16125" width="10.42578125" style="33" hidden="1"/>
    <col min="16126" max="16126" width="8.42578125" style="33" hidden="1"/>
    <col min="16127" max="16128" width="12.85546875" style="33" hidden="1"/>
    <col min="16129" max="16129" width="9.7109375" style="33" hidden="1"/>
    <col min="16130" max="16130" width="7.28515625" style="33" hidden="1"/>
    <col min="16131" max="16131" width="8.140625" style="33" hidden="1"/>
    <col min="16132" max="16132" width="12.85546875" style="33" hidden="1"/>
    <col min="16133" max="16134" width="13.28515625" style="33" hidden="1"/>
    <col min="16135" max="16384" width="10.42578125" style="33" hidden="1"/>
  </cols>
  <sheetData>
    <row r="1" spans="2:6" ht="15">
      <c r="B1" s="26" t="s">
        <v>154</v>
      </c>
      <c r="C1" s="27"/>
      <c r="D1" s="31"/>
      <c r="E1" s="27"/>
      <c r="F1" s="32" t="s">
        <v>67</v>
      </c>
    </row>
    <row r="2" spans="2:6" ht="15">
      <c r="B2" s="26" t="s">
        <v>155</v>
      </c>
      <c r="C2" s="26"/>
      <c r="D2" s="31"/>
      <c r="E2" s="27"/>
    </row>
    <row r="3" spans="2:6">
      <c r="B3" s="27"/>
      <c r="C3" s="27"/>
      <c r="D3" s="31"/>
      <c r="E3" s="27"/>
      <c r="F3" s="34"/>
    </row>
    <row r="4" spans="2:6" ht="15">
      <c r="B4" s="28" t="s">
        <v>0</v>
      </c>
      <c r="C4" s="29" t="s">
        <v>156</v>
      </c>
      <c r="D4" s="35"/>
      <c r="E4" s="36" t="s">
        <v>10</v>
      </c>
      <c r="F4" s="38"/>
    </row>
    <row r="5" spans="2:6" ht="15">
      <c r="B5" s="28" t="s">
        <v>1</v>
      </c>
      <c r="C5" s="29" t="s">
        <v>157</v>
      </c>
      <c r="D5" s="37"/>
      <c r="E5" s="36" t="s">
        <v>158</v>
      </c>
      <c r="F5" s="49"/>
    </row>
    <row r="6" spans="2:6" ht="15">
      <c r="B6" s="28" t="s">
        <v>2</v>
      </c>
      <c r="C6" s="30" t="s">
        <v>68</v>
      </c>
      <c r="D6" s="37"/>
      <c r="E6" s="36" t="s">
        <v>11</v>
      </c>
      <c r="F6" s="50"/>
    </row>
    <row r="7" spans="2:6" ht="15">
      <c r="E7" s="36" t="s">
        <v>159</v>
      </c>
      <c r="F7" s="49"/>
    </row>
    <row r="8" spans="2:6" ht="15">
      <c r="B8" s="26" t="s">
        <v>5</v>
      </c>
      <c r="C8" s="26"/>
      <c r="D8" s="26"/>
      <c r="E8" s="26"/>
      <c r="F8" s="26"/>
    </row>
    <row r="9" spans="2:6" ht="15">
      <c r="B9" s="39"/>
      <c r="C9" s="39"/>
      <c r="D9" s="39"/>
      <c r="E9" s="39"/>
      <c r="F9" s="39"/>
    </row>
    <row r="10" spans="2:6" ht="30">
      <c r="B10" s="40" t="s">
        <v>6</v>
      </c>
      <c r="C10" s="40" t="s">
        <v>28</v>
      </c>
      <c r="D10" s="41" t="s">
        <v>27</v>
      </c>
      <c r="E10" s="41" t="s">
        <v>7</v>
      </c>
      <c r="F10" s="41" t="s">
        <v>8</v>
      </c>
    </row>
    <row r="11" spans="2:6">
      <c r="B11" s="42"/>
      <c r="C11" s="43"/>
      <c r="D11" s="42"/>
      <c r="E11" s="43"/>
      <c r="F11" s="44"/>
    </row>
    <row r="12" spans="2:6">
      <c r="B12" s="45">
        <v>1</v>
      </c>
      <c r="C12" s="46" t="s">
        <v>22</v>
      </c>
      <c r="D12" s="45" t="str">
        <f>$F$1&amp;" - "&amp;B12</f>
        <v>B.S.17 - 1</v>
      </c>
      <c r="E12" s="46"/>
      <c r="F12" s="47"/>
    </row>
    <row r="13" spans="2:6">
      <c r="B13" s="45"/>
      <c r="C13" s="46"/>
      <c r="D13" s="45"/>
      <c r="E13" s="46"/>
      <c r="F13" s="47"/>
    </row>
    <row r="14" spans="2:6">
      <c r="B14" s="45">
        <f>B12+1</f>
        <v>2</v>
      </c>
      <c r="C14" s="46" t="s">
        <v>26</v>
      </c>
      <c r="D14" s="45" t="str">
        <f>$F$1&amp;" - "&amp;B14</f>
        <v>B.S.17 - 2</v>
      </c>
      <c r="E14" s="46"/>
      <c r="F14" s="47"/>
    </row>
    <row r="15" spans="2:6">
      <c r="B15" s="45"/>
      <c r="C15" s="46"/>
      <c r="D15" s="45"/>
      <c r="E15" s="46"/>
      <c r="F15" s="47"/>
    </row>
    <row r="16" spans="2:6">
      <c r="B16" s="45">
        <f>B14+1</f>
        <v>3</v>
      </c>
      <c r="C16" s="46" t="s">
        <v>51</v>
      </c>
      <c r="D16" s="45" t="str">
        <f>$F$1&amp;" - "&amp;B16</f>
        <v>B.S.17 - 3</v>
      </c>
      <c r="E16" s="46"/>
      <c r="F16" s="47"/>
    </row>
    <row r="17" spans="2:6">
      <c r="B17" s="45"/>
      <c r="C17" s="46"/>
      <c r="D17" s="45"/>
      <c r="E17" s="46"/>
      <c r="F17" s="47"/>
    </row>
    <row r="18" spans="2:6">
      <c r="B18" s="45">
        <f>B16+1</f>
        <v>4</v>
      </c>
      <c r="C18" s="46" t="s">
        <v>59</v>
      </c>
      <c r="D18" s="45" t="str">
        <f>$F$1&amp;" - "&amp;B18</f>
        <v>B.S.17 - 4</v>
      </c>
      <c r="E18" s="46"/>
      <c r="F18" s="47"/>
    </row>
    <row r="19" spans="2:6">
      <c r="B19" s="45"/>
      <c r="C19" s="46"/>
      <c r="D19" s="45"/>
      <c r="E19" s="46"/>
      <c r="F19" s="47"/>
    </row>
    <row r="20" spans="2:6">
      <c r="B20" s="45">
        <f>B18+1</f>
        <v>5</v>
      </c>
      <c r="C20" s="46" t="s">
        <v>145</v>
      </c>
      <c r="D20" s="45" t="str">
        <f>$F$1&amp;" - "&amp;B20</f>
        <v>B.S.17 - 5</v>
      </c>
      <c r="E20" s="46"/>
      <c r="F20" s="47"/>
    </row>
    <row r="21" spans="2:6">
      <c r="B21" s="45"/>
      <c r="C21" s="46"/>
      <c r="D21" s="45"/>
      <c r="E21" s="46"/>
      <c r="F21" s="47"/>
    </row>
    <row r="22" spans="2:6">
      <c r="B22" s="45">
        <f>B20+1</f>
        <v>6</v>
      </c>
      <c r="C22" s="46" t="s">
        <v>146</v>
      </c>
      <c r="D22" s="45" t="str">
        <f>$F$1&amp;" - "&amp;B22</f>
        <v>B.S.17 - 6</v>
      </c>
      <c r="E22" s="46"/>
      <c r="F22" s="47"/>
    </row>
    <row r="23" spans="2:6">
      <c r="B23" s="45"/>
      <c r="C23" s="46"/>
      <c r="D23" s="45"/>
      <c r="E23" s="46"/>
      <c r="F23" s="47"/>
    </row>
    <row r="24" spans="2:6">
      <c r="B24" s="45">
        <f>B22+1</f>
        <v>7</v>
      </c>
      <c r="C24" s="46" t="s">
        <v>202</v>
      </c>
      <c r="D24" s="45" t="str">
        <f>$F$1&amp;" - "&amp;B24</f>
        <v>B.S.17 - 7</v>
      </c>
      <c r="E24" s="46"/>
      <c r="F24" s="47"/>
    </row>
    <row r="25" spans="2:6">
      <c r="B25" s="45"/>
      <c r="C25" s="46"/>
      <c r="D25" s="45"/>
      <c r="E25" s="46"/>
      <c r="F25" s="47"/>
    </row>
    <row r="26" spans="2:6">
      <c r="B26" s="45">
        <f>B24+1</f>
        <v>8</v>
      </c>
      <c r="C26" s="46" t="s">
        <v>147</v>
      </c>
      <c r="D26" s="45" t="str">
        <f>$F$1&amp;" - "&amp;B26</f>
        <v>B.S.17 - 8</v>
      </c>
      <c r="E26" s="46"/>
      <c r="F26" s="47"/>
    </row>
    <row r="27" spans="2:6">
      <c r="B27" s="45"/>
      <c r="C27" s="46"/>
      <c r="D27" s="45"/>
      <c r="E27" s="46"/>
      <c r="F27" s="47"/>
    </row>
    <row r="28" spans="2:6">
      <c r="B28" s="45">
        <f>B26+1</f>
        <v>9</v>
      </c>
      <c r="C28" s="48" t="s">
        <v>60</v>
      </c>
      <c r="D28" s="45" t="str">
        <f>$F$1&amp;" - "&amp;B28</f>
        <v>B.S.17 - 9</v>
      </c>
      <c r="E28" s="46"/>
      <c r="F28" s="47"/>
    </row>
    <row r="29" spans="2:6">
      <c r="B29" s="45"/>
      <c r="C29" s="46"/>
      <c r="D29" s="45"/>
      <c r="E29" s="46"/>
      <c r="F29" s="47"/>
    </row>
    <row r="30" spans="2:6">
      <c r="B30" s="45">
        <f>B28+1</f>
        <v>10</v>
      </c>
      <c r="C30" s="48" t="s">
        <v>66</v>
      </c>
      <c r="D30" s="45" t="str">
        <f>$F$1&amp;" - "&amp;B30</f>
        <v>B.S.17 - 10</v>
      </c>
      <c r="E30" s="46"/>
      <c r="F30" s="47"/>
    </row>
    <row r="31" spans="2:6">
      <c r="B31" s="45"/>
      <c r="C31" s="46"/>
      <c r="D31" s="45"/>
      <c r="E31" s="46"/>
      <c r="F31" s="47"/>
    </row>
    <row r="32" spans="2:6">
      <c r="B32" s="45"/>
      <c r="C32" s="48"/>
      <c r="D32" s="45"/>
      <c r="E32" s="46"/>
      <c r="F32" s="47"/>
    </row>
    <row r="33" spans="2:6">
      <c r="B33" s="45"/>
      <c r="C33" s="48"/>
      <c r="D33" s="45"/>
      <c r="E33" s="46"/>
      <c r="F33" s="47"/>
    </row>
    <row r="34" spans="2:6">
      <c r="B34" s="45"/>
      <c r="C34" s="48"/>
      <c r="D34" s="45"/>
      <c r="E34" s="46"/>
      <c r="F34" s="47"/>
    </row>
    <row r="35" spans="2:6">
      <c r="B35" s="45"/>
      <c r="C35" s="46"/>
      <c r="D35" s="45"/>
      <c r="E35" s="46"/>
      <c r="F35" s="47"/>
    </row>
    <row r="36" spans="2:6">
      <c r="B36" s="45"/>
      <c r="C36" s="46"/>
      <c r="D36" s="45"/>
      <c r="E36" s="46"/>
      <c r="F36" s="47"/>
    </row>
    <row r="37" spans="2:6">
      <c r="B37" s="45"/>
      <c r="C37" s="46"/>
      <c r="D37" s="45"/>
      <c r="E37" s="46"/>
      <c r="F37" s="47"/>
    </row>
    <row r="38" spans="2:6"/>
    <row r="39" spans="2:6"/>
    <row r="40" spans="2:6"/>
  </sheetData>
  <printOptions horizontalCentered="1"/>
  <pageMargins left="0.25" right="0.25" top="0.75" bottom="0.75" header="0.3" footer="0.3"/>
  <pageSetup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J31"/>
  <sheetViews>
    <sheetView showGridLines="0" topLeftCell="A9" zoomScaleNormal="100" zoomScaleSheetLayoutView="100" workbookViewId="0">
      <selection activeCell="B24" sqref="B24"/>
    </sheetView>
  </sheetViews>
  <sheetFormatPr defaultColWidth="0" defaultRowHeight="13.5" zeroHeight="1"/>
  <cols>
    <col min="1" max="1" width="1" style="34" customWidth="1"/>
    <col min="2" max="2" width="10" style="34" customWidth="1"/>
    <col min="3" max="3" width="66.7109375" style="34" customWidth="1"/>
    <col min="4" max="5" width="13.5703125" style="34" customWidth="1"/>
    <col min="6" max="6" width="1" style="34" customWidth="1"/>
    <col min="7" max="7" width="9.140625" style="34" hidden="1" customWidth="1"/>
    <col min="8" max="9" width="0" style="34" hidden="1" customWidth="1"/>
    <col min="10" max="16384" width="9.140625" style="34" hidden="1"/>
  </cols>
  <sheetData>
    <row r="1" spans="2:10" s="33" customFormat="1" ht="15">
      <c r="B1" s="51" t="str">
        <f>Index!$B$1</f>
        <v>ABC &amp; Co.</v>
      </c>
      <c r="D1" s="52"/>
      <c r="E1" s="53" t="str">
        <f>Index!D12</f>
        <v>B.S.17 - 1</v>
      </c>
    </row>
    <row r="2" spans="2:10" s="33" customFormat="1" ht="15">
      <c r="B2" s="33" t="str">
        <f>Index!$B$2</f>
        <v>(Chartered Accountants)</v>
      </c>
      <c r="D2" s="52"/>
    </row>
    <row r="3" spans="2:10" s="33" customFormat="1">
      <c r="E3" s="34"/>
      <c r="F3" s="34"/>
    </row>
    <row r="4" spans="2:10" s="33" customFormat="1" ht="15">
      <c r="B4" s="28" t="str">
        <f>Index!$B$4</f>
        <v xml:space="preserve">Client: </v>
      </c>
      <c r="C4" s="54" t="str">
        <f>Index!$C$4</f>
        <v>ABC Limited</v>
      </c>
      <c r="D4" s="36" t="str">
        <f>Index!$E$4</f>
        <v>Prepared by:</v>
      </c>
      <c r="E4" s="112" t="str">
        <f>IF(Index!$F$4="","",Index!$F$4)</f>
        <v/>
      </c>
    </row>
    <row r="5" spans="2:10" s="33" customFormat="1" ht="15">
      <c r="B5" s="28" t="str">
        <f>Index!$B$5</f>
        <v>Period:</v>
      </c>
      <c r="C5" s="54" t="str">
        <f>Index!$C$5</f>
        <v>Year ended June 30, 2023</v>
      </c>
      <c r="D5" s="36" t="str">
        <f>Index!$E$5</f>
        <v>Date prepared:</v>
      </c>
      <c r="E5" s="113" t="str">
        <f>IF(Index!$F$5="","",Index!$F$5)</f>
        <v/>
      </c>
    </row>
    <row r="6" spans="2:10" s="33" customFormat="1" ht="15">
      <c r="B6" s="28" t="str">
        <f>Index!$B$6</f>
        <v>Head:</v>
      </c>
      <c r="C6" s="54" t="str">
        <f>Index!$C$6</f>
        <v>Long term financing - Banking and other financial institutions</v>
      </c>
      <c r="D6" s="36" t="str">
        <f>Index!$E$6</f>
        <v>Reviewed by:</v>
      </c>
      <c r="E6" s="112" t="str">
        <f>IF(Index!$F$6="","",Index!$F$6)</f>
        <v/>
      </c>
    </row>
    <row r="7" spans="2:10" ht="15">
      <c r="B7" s="33"/>
      <c r="C7" s="33"/>
      <c r="D7" s="36" t="str">
        <f>Index!$E$7</f>
        <v>Date reviewed:</v>
      </c>
      <c r="E7" s="113" t="str">
        <f>IF(Index!$F$7="","",Index!$F$7)</f>
        <v/>
      </c>
      <c r="F7" s="33"/>
    </row>
    <row r="8" spans="2:10" s="33" customFormat="1" ht="15">
      <c r="B8" s="51" t="str">
        <f>UPPER("Audit Objectives and Conclusions")</f>
        <v>AUDIT OBJECTIVES AND CONCLUSIONS</v>
      </c>
      <c r="C8" s="51"/>
      <c r="D8" s="51"/>
      <c r="E8" s="51"/>
      <c r="F8" s="51"/>
    </row>
    <row r="9" spans="2:10"/>
    <row r="10" spans="2:10" s="56" customFormat="1" ht="14.25" customHeight="1">
      <c r="B10" s="188" t="s">
        <v>6</v>
      </c>
      <c r="C10" s="188" t="s">
        <v>14</v>
      </c>
      <c r="D10" s="186" t="s">
        <v>31</v>
      </c>
      <c r="E10" s="186"/>
      <c r="F10" s="55"/>
    </row>
    <row r="11" spans="2:10" ht="15">
      <c r="B11" s="188"/>
      <c r="C11" s="188"/>
      <c r="D11" s="57" t="s">
        <v>34</v>
      </c>
      <c r="E11" s="58" t="s">
        <v>35</v>
      </c>
      <c r="F11" s="59"/>
    </row>
    <row r="12" spans="2:10" ht="15">
      <c r="B12" s="80"/>
      <c r="C12" s="80"/>
      <c r="D12" s="81"/>
      <c r="E12" s="82"/>
      <c r="F12" s="59"/>
    </row>
    <row r="13" spans="2:10" ht="30.75" customHeight="1">
      <c r="B13" s="60">
        <v>1</v>
      </c>
      <c r="C13" s="61" t="s">
        <v>69</v>
      </c>
      <c r="D13" s="62"/>
      <c r="E13" s="62"/>
    </row>
    <row r="14" spans="2:10" s="66" customFormat="1" ht="32.25" customHeight="1">
      <c r="B14" s="63">
        <f>B13+1</f>
        <v>2</v>
      </c>
      <c r="C14" s="64" t="s">
        <v>70</v>
      </c>
      <c r="D14" s="65"/>
      <c r="E14" s="65"/>
      <c r="F14" s="34"/>
      <c r="G14" s="34"/>
      <c r="H14" s="34"/>
      <c r="I14" s="34"/>
      <c r="J14" s="34"/>
    </row>
    <row r="15" spans="2:10" s="66" customFormat="1" ht="30.75" customHeight="1">
      <c r="B15" s="63">
        <f>B14+1</f>
        <v>3</v>
      </c>
      <c r="C15" s="65" t="s">
        <v>71</v>
      </c>
      <c r="D15" s="65"/>
      <c r="E15" s="65"/>
      <c r="F15" s="34"/>
      <c r="G15" s="34"/>
      <c r="H15" s="34"/>
      <c r="I15" s="34"/>
      <c r="J15" s="34"/>
    </row>
    <row r="16" spans="2:10" s="66" customFormat="1" ht="30.75" customHeight="1">
      <c r="B16" s="63">
        <f>B15+1</f>
        <v>4</v>
      </c>
      <c r="C16" s="64" t="s">
        <v>72</v>
      </c>
      <c r="D16" s="67"/>
      <c r="E16" s="67"/>
    </row>
    <row r="17" spans="2:10" s="66" customFormat="1" ht="40.5">
      <c r="B17" s="63">
        <f>B16+1</f>
        <v>5</v>
      </c>
      <c r="C17" s="64" t="s">
        <v>150</v>
      </c>
      <c r="D17" s="64"/>
      <c r="E17" s="64"/>
    </row>
    <row r="18" spans="2:10" s="70" customFormat="1" ht="14.25" customHeight="1">
      <c r="B18" s="68"/>
      <c r="C18" s="69"/>
      <c r="D18" s="69"/>
      <c r="E18" s="69"/>
      <c r="F18" s="69"/>
      <c r="G18" s="69"/>
      <c r="H18" s="69"/>
      <c r="I18" s="69"/>
      <c r="J18" s="69"/>
    </row>
    <row r="19" spans="2:10" s="70" customFormat="1">
      <c r="B19" s="68"/>
      <c r="C19" s="71"/>
    </row>
    <row r="20" spans="2:10" s="70" customFormat="1" ht="14.25" customHeight="1">
      <c r="B20" s="188" t="s">
        <v>6</v>
      </c>
      <c r="C20" s="188" t="s">
        <v>33</v>
      </c>
      <c r="D20" s="187" t="s">
        <v>32</v>
      </c>
      <c r="E20" s="187"/>
    </row>
    <row r="21" spans="2:10" s="72" customFormat="1" ht="15">
      <c r="B21" s="188"/>
      <c r="C21" s="188"/>
      <c r="D21" s="57" t="s">
        <v>34</v>
      </c>
      <c r="E21" s="58" t="s">
        <v>35</v>
      </c>
    </row>
    <row r="22" spans="2:10" s="72" customFormat="1" ht="15">
      <c r="B22" s="80"/>
      <c r="C22" s="80"/>
      <c r="D22" s="81"/>
      <c r="E22" s="82"/>
    </row>
    <row r="23" spans="2:10" s="75" customFormat="1" ht="31.5" customHeight="1">
      <c r="B23" s="73">
        <v>1</v>
      </c>
      <c r="C23" s="74" t="s">
        <v>29</v>
      </c>
      <c r="D23" s="74"/>
      <c r="E23" s="74"/>
    </row>
    <row r="24" spans="2:10" s="75" customFormat="1" ht="32.25" customHeight="1">
      <c r="B24" s="63">
        <f>B23+1</f>
        <v>2</v>
      </c>
      <c r="C24" s="76" t="s">
        <v>30</v>
      </c>
      <c r="D24" s="76"/>
      <c r="E24" s="76"/>
    </row>
    <row r="25" spans="2:10" s="75" customFormat="1" ht="49.5" customHeight="1">
      <c r="B25" s="63">
        <f>B24+1</f>
        <v>3</v>
      </c>
      <c r="C25" s="76" t="s">
        <v>53</v>
      </c>
      <c r="D25" s="76"/>
      <c r="E25" s="76"/>
    </row>
    <row r="26" spans="2:10" s="75" customFormat="1" ht="30.75" customHeight="1">
      <c r="B26" s="63">
        <f>B25+1</f>
        <v>4</v>
      </c>
      <c r="C26" s="76" t="s">
        <v>54</v>
      </c>
      <c r="D26" s="76"/>
      <c r="E26" s="76"/>
    </row>
    <row r="27" spans="2:10" s="66" customFormat="1">
      <c r="B27" s="67"/>
      <c r="C27" s="64"/>
      <c r="D27" s="64"/>
      <c r="E27" s="64"/>
    </row>
    <row r="28" spans="2:10" s="72" customFormat="1">
      <c r="B28" s="77"/>
      <c r="C28" s="78"/>
    </row>
    <row r="29" spans="2:10" s="72" customFormat="1" hidden="1"/>
    <row r="30" spans="2:10" s="72" customFormat="1" ht="15" hidden="1">
      <c r="D30" s="79"/>
      <c r="E30" s="79"/>
      <c r="F30" s="79"/>
      <c r="G30" s="79"/>
      <c r="H30" s="79"/>
      <c r="I30" s="79"/>
    </row>
    <row r="31" spans="2:10" s="72" customFormat="1" hidden="1"/>
  </sheetData>
  <mergeCells count="6">
    <mergeCell ref="D10:E10"/>
    <mergeCell ref="D20:E20"/>
    <mergeCell ref="C10:C11"/>
    <mergeCell ref="B10:B11"/>
    <mergeCell ref="B20:B21"/>
    <mergeCell ref="C20:C21"/>
  </mergeCells>
  <printOptions horizontalCentered="1"/>
  <pageMargins left="0.25" right="0.25" top="0.75" bottom="0.75" header="0.3" footer="0.3"/>
  <pageSetup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J94"/>
  <sheetViews>
    <sheetView showGridLines="0" topLeftCell="A43" zoomScaleNormal="100" zoomScaleSheetLayoutView="100" workbookViewId="0">
      <selection activeCell="B75" sqref="B75"/>
    </sheetView>
  </sheetViews>
  <sheetFormatPr defaultColWidth="0" defaultRowHeight="13.5" zeroHeight="1"/>
  <cols>
    <col min="1" max="1" width="1" style="34" customWidth="1"/>
    <col min="2" max="2" width="7.7109375" style="72" customWidth="1"/>
    <col min="3" max="3" width="43.140625" style="72" customWidth="1"/>
    <col min="4" max="4" width="11.7109375" style="72" bestFit="1" customWidth="1"/>
    <col min="5" max="8" width="14.42578125" style="72" customWidth="1"/>
    <col min="9" max="9" width="21.7109375" style="72" bestFit="1" customWidth="1"/>
    <col min="10" max="10" width="1" style="34" customWidth="1"/>
    <col min="11" max="16384" width="9.140625" style="72" hidden="1"/>
  </cols>
  <sheetData>
    <row r="1" spans="1:10" ht="15">
      <c r="A1" s="33"/>
      <c r="B1" s="51" t="str">
        <f>Index!$B$1</f>
        <v>ABC &amp; Co.</v>
      </c>
      <c r="C1" s="33"/>
      <c r="E1" s="79"/>
      <c r="H1" s="33"/>
      <c r="I1" s="166" t="str">
        <f>Index!D14</f>
        <v>B.S.17 - 2</v>
      </c>
      <c r="J1" s="72"/>
    </row>
    <row r="2" spans="1:10">
      <c r="A2" s="33"/>
      <c r="B2" s="33" t="str">
        <f>Index!$B$2</f>
        <v>(Chartered Accountants)</v>
      </c>
      <c r="C2" s="33"/>
      <c r="D2" s="167"/>
      <c r="E2" s="34"/>
      <c r="H2" s="33"/>
      <c r="J2" s="72"/>
    </row>
    <row r="3" spans="1:10">
      <c r="A3" s="33"/>
      <c r="B3" s="33"/>
      <c r="C3" s="33"/>
      <c r="J3" s="33"/>
    </row>
    <row r="4" spans="1:10" s="27" customFormat="1" ht="15">
      <c r="A4" s="34"/>
      <c r="B4" s="28" t="str">
        <f>Index!$B$4</f>
        <v xml:space="preserve">Client: </v>
      </c>
      <c r="C4" s="54" t="str">
        <f>Index!$C$4</f>
        <v>ABC Limited</v>
      </c>
      <c r="H4" s="36" t="str">
        <f>Index!$E$4</f>
        <v>Prepared by:</v>
      </c>
      <c r="I4" s="112" t="str">
        <f>IF(Index!$F$4="","",Index!$F$4)</f>
        <v/>
      </c>
      <c r="J4" s="34"/>
    </row>
    <row r="5" spans="1:10" s="27" customFormat="1" ht="15">
      <c r="A5" s="33"/>
      <c r="B5" s="28" t="str">
        <f>Index!$B$5</f>
        <v>Period:</v>
      </c>
      <c r="C5" s="54" t="str">
        <f>Index!$C$5</f>
        <v>Year ended June 30, 2023</v>
      </c>
      <c r="H5" s="36" t="str">
        <f>Index!$E$5</f>
        <v>Date prepared:</v>
      </c>
      <c r="I5" s="113" t="str">
        <f>IF(Index!$F$5="","",Index!$F$5)</f>
        <v/>
      </c>
      <c r="J5" s="33"/>
    </row>
    <row r="6" spans="1:10" s="27" customFormat="1" ht="15">
      <c r="A6" s="33"/>
      <c r="B6" s="28" t="str">
        <f>Index!$B$6</f>
        <v>Head:</v>
      </c>
      <c r="C6" s="54" t="str">
        <f>Index!C6</f>
        <v>Long term financing - Banking and other financial institutions</v>
      </c>
      <c r="H6" s="36" t="str">
        <f>Index!$E$6</f>
        <v>Reviewed by:</v>
      </c>
      <c r="I6" s="112" t="str">
        <f>IF(Index!$F$6="","",Index!$F$6)</f>
        <v/>
      </c>
      <c r="J6" s="33"/>
    </row>
    <row r="7" spans="1:10" s="27" customFormat="1" ht="15">
      <c r="A7" s="33"/>
      <c r="B7" s="168"/>
      <c r="C7" s="54"/>
      <c r="H7" s="36" t="str">
        <f>Index!$E$7</f>
        <v>Date reviewed:</v>
      </c>
      <c r="I7" s="113" t="str">
        <f>IF(Index!$F$7="","",Index!$F$7)</f>
        <v/>
      </c>
      <c r="J7" s="33"/>
    </row>
    <row r="8" spans="1:10" ht="15">
      <c r="B8" s="79" t="s">
        <v>9</v>
      </c>
      <c r="C8" s="79"/>
      <c r="D8" s="79"/>
      <c r="E8" s="79"/>
      <c r="F8" s="79"/>
      <c r="G8" s="79"/>
      <c r="H8" s="79"/>
      <c r="I8" s="79"/>
    </row>
    <row r="9" spans="1:10" ht="15">
      <c r="A9" s="72"/>
      <c r="B9" s="79" t="s">
        <v>20</v>
      </c>
      <c r="J9" s="72"/>
    </row>
    <row r="10" spans="1:10" ht="15">
      <c r="A10" s="72"/>
      <c r="B10" s="169" t="s">
        <v>148</v>
      </c>
      <c r="J10" s="72"/>
    </row>
    <row r="11" spans="1:10" ht="14.25" customHeight="1">
      <c r="B11" s="143" t="s">
        <v>36</v>
      </c>
      <c r="C11" s="143"/>
      <c r="D11" s="143"/>
      <c r="E11" s="143"/>
      <c r="F11" s="143"/>
      <c r="G11" s="143"/>
      <c r="H11" s="143"/>
      <c r="I11" s="143"/>
    </row>
    <row r="12" spans="1:10" ht="15">
      <c r="A12" s="72"/>
      <c r="B12" s="169" t="s">
        <v>17</v>
      </c>
      <c r="C12" s="170"/>
      <c r="D12" s="170"/>
      <c r="E12" s="170"/>
      <c r="F12" s="170"/>
      <c r="G12" s="170"/>
      <c r="H12" s="170"/>
      <c r="I12" s="170"/>
      <c r="J12" s="72"/>
    </row>
    <row r="13" spans="1:10" ht="14.25" customHeight="1">
      <c r="A13" s="72"/>
      <c r="B13" s="143" t="s">
        <v>87</v>
      </c>
      <c r="C13" s="143"/>
      <c r="D13" s="143"/>
      <c r="E13" s="143"/>
      <c r="F13" s="143"/>
      <c r="G13" s="143"/>
      <c r="H13" s="143"/>
      <c r="I13" s="143"/>
      <c r="J13" s="99"/>
    </row>
    <row r="14" spans="1:10">
      <c r="B14" s="140" t="s">
        <v>167</v>
      </c>
      <c r="C14" s="140"/>
      <c r="D14" s="140"/>
      <c r="E14" s="140"/>
      <c r="F14" s="140"/>
      <c r="G14" s="140"/>
      <c r="H14" s="140"/>
      <c r="I14" s="140"/>
      <c r="J14" s="171"/>
    </row>
    <row r="15" spans="1:10">
      <c r="B15" s="140" t="s">
        <v>74</v>
      </c>
      <c r="C15" s="140"/>
      <c r="D15" s="140"/>
      <c r="E15" s="140"/>
      <c r="F15" s="140"/>
      <c r="G15" s="140"/>
      <c r="H15" s="140"/>
      <c r="I15" s="140"/>
      <c r="J15" s="171"/>
    </row>
    <row r="16" spans="1:10">
      <c r="B16" s="140" t="s">
        <v>75</v>
      </c>
      <c r="C16" s="140"/>
      <c r="D16" s="140"/>
      <c r="E16" s="140"/>
      <c r="F16" s="140"/>
      <c r="G16" s="140"/>
      <c r="H16" s="140"/>
      <c r="I16" s="140"/>
      <c r="J16" s="140"/>
    </row>
    <row r="17" spans="2:10">
      <c r="B17" s="140" t="s">
        <v>76</v>
      </c>
      <c r="C17" s="140"/>
      <c r="D17" s="140"/>
      <c r="E17" s="140"/>
      <c r="F17" s="140"/>
      <c r="G17" s="140"/>
      <c r="H17" s="140"/>
      <c r="I17" s="140"/>
      <c r="J17" s="140"/>
    </row>
    <row r="18" spans="2:10">
      <c r="B18" s="140" t="s">
        <v>77</v>
      </c>
      <c r="C18" s="140"/>
      <c r="D18" s="140"/>
      <c r="E18" s="140"/>
      <c r="F18" s="140"/>
      <c r="G18" s="140"/>
      <c r="H18" s="140"/>
      <c r="I18" s="140"/>
    </row>
    <row r="19" spans="2:10" hidden="1">
      <c r="B19" s="189" t="s">
        <v>77</v>
      </c>
      <c r="C19" s="189"/>
      <c r="D19" s="189"/>
      <c r="E19" s="189"/>
      <c r="F19" s="189"/>
      <c r="G19" s="189"/>
      <c r="H19" s="189"/>
      <c r="I19" s="189"/>
    </row>
    <row r="20" spans="2:10" hidden="1">
      <c r="B20" s="189" t="s">
        <v>77</v>
      </c>
      <c r="C20" s="189"/>
      <c r="D20" s="189"/>
      <c r="E20" s="189"/>
      <c r="F20" s="189"/>
      <c r="G20" s="189"/>
      <c r="H20" s="189"/>
      <c r="I20" s="189"/>
    </row>
    <row r="21" spans="2:10" hidden="1">
      <c r="B21" s="189" t="s">
        <v>77</v>
      </c>
      <c r="C21" s="189"/>
      <c r="D21" s="189"/>
      <c r="E21" s="189"/>
      <c r="F21" s="189"/>
      <c r="G21" s="189"/>
      <c r="H21" s="189"/>
      <c r="I21" s="189"/>
    </row>
    <row r="22" spans="2:10" ht="14.25" hidden="1" customHeight="1">
      <c r="B22" s="189" t="s">
        <v>77</v>
      </c>
      <c r="C22" s="189"/>
      <c r="D22" s="189"/>
      <c r="E22" s="189"/>
      <c r="F22" s="189"/>
      <c r="G22" s="189"/>
      <c r="H22" s="189"/>
      <c r="I22" s="189"/>
    </row>
    <row r="23" spans="2:10" ht="14.25" hidden="1" customHeight="1">
      <c r="B23" s="189" t="s">
        <v>77</v>
      </c>
      <c r="C23" s="189"/>
      <c r="D23" s="189"/>
      <c r="E23" s="189"/>
      <c r="F23" s="189"/>
      <c r="G23" s="189"/>
      <c r="H23" s="189"/>
      <c r="I23" s="189"/>
    </row>
    <row r="24" spans="2:10" ht="14.25" hidden="1" customHeight="1">
      <c r="B24" s="189" t="s">
        <v>77</v>
      </c>
      <c r="C24" s="189"/>
      <c r="D24" s="189"/>
      <c r="E24" s="189"/>
      <c r="F24" s="189"/>
      <c r="G24" s="189"/>
      <c r="H24" s="189"/>
      <c r="I24" s="189"/>
    </row>
    <row r="25" spans="2:10" ht="13.5" customHeight="1">
      <c r="B25" s="201" t="s">
        <v>78</v>
      </c>
      <c r="C25" s="201"/>
      <c r="D25" s="201"/>
      <c r="E25" s="201"/>
      <c r="F25" s="201"/>
      <c r="G25" s="201"/>
      <c r="H25" s="201"/>
      <c r="I25" s="201"/>
    </row>
    <row r="26" spans="2:10">
      <c r="B26" s="201"/>
      <c r="C26" s="201"/>
      <c r="D26" s="201"/>
      <c r="E26" s="201"/>
      <c r="F26" s="201"/>
      <c r="G26" s="201"/>
      <c r="H26" s="201"/>
      <c r="I26" s="201"/>
    </row>
    <row r="27" spans="2:10" ht="13.5" customHeight="1">
      <c r="B27" s="140" t="s">
        <v>170</v>
      </c>
      <c r="C27" s="140"/>
      <c r="D27" s="140"/>
      <c r="E27" s="140"/>
      <c r="F27" s="140"/>
      <c r="G27" s="140"/>
      <c r="H27" s="140"/>
      <c r="I27" s="140"/>
    </row>
    <row r="28" spans="2:10">
      <c r="B28" s="140" t="s">
        <v>171</v>
      </c>
      <c r="C28" s="140"/>
      <c r="D28" s="140"/>
      <c r="E28" s="140"/>
      <c r="F28" s="140"/>
      <c r="G28" s="140"/>
      <c r="H28" s="140"/>
      <c r="I28" s="140"/>
    </row>
    <row r="29" spans="2:10" ht="14.25" customHeight="1">
      <c r="B29" s="140" t="s">
        <v>168</v>
      </c>
      <c r="C29" s="140"/>
      <c r="D29" s="140"/>
      <c r="E29" s="140"/>
      <c r="F29" s="140"/>
      <c r="G29" s="140"/>
      <c r="H29" s="140"/>
      <c r="I29" s="140"/>
    </row>
    <row r="30" spans="2:10">
      <c r="B30" s="140" t="s">
        <v>169</v>
      </c>
      <c r="C30" s="140"/>
      <c r="D30" s="140"/>
      <c r="E30" s="140"/>
      <c r="F30" s="140"/>
      <c r="G30" s="140"/>
      <c r="H30" s="140"/>
      <c r="I30" s="140"/>
    </row>
    <row r="31" spans="2:10">
      <c r="B31" s="140" t="s">
        <v>79</v>
      </c>
      <c r="C31" s="140"/>
      <c r="D31" s="140"/>
      <c r="E31" s="140"/>
      <c r="F31" s="140"/>
      <c r="G31" s="140"/>
      <c r="H31" s="140"/>
      <c r="I31" s="140"/>
    </row>
    <row r="32" spans="2:10" ht="13.5" customHeight="1">
      <c r="B32" s="140" t="s">
        <v>80</v>
      </c>
      <c r="C32" s="140"/>
      <c r="D32" s="140"/>
      <c r="E32" s="140"/>
      <c r="F32" s="140"/>
      <c r="G32" s="140"/>
      <c r="H32" s="140"/>
      <c r="I32" s="140"/>
    </row>
    <row r="33" spans="1:10">
      <c r="A33" s="72"/>
      <c r="B33" s="143" t="s">
        <v>21</v>
      </c>
      <c r="C33" s="143"/>
      <c r="D33" s="143"/>
      <c r="E33" s="143"/>
      <c r="F33" s="143"/>
      <c r="G33" s="143"/>
      <c r="H33" s="143"/>
      <c r="I33" s="143"/>
      <c r="J33" s="99"/>
    </row>
    <row r="34" spans="1:10" ht="14.25" customHeight="1">
      <c r="A34" s="72"/>
      <c r="B34" s="181" t="s">
        <v>151</v>
      </c>
      <c r="C34" s="181"/>
      <c r="D34" s="181"/>
      <c r="E34" s="181"/>
      <c r="F34" s="181"/>
      <c r="G34" s="181"/>
      <c r="H34" s="181"/>
      <c r="I34" s="181"/>
      <c r="J34" s="99"/>
    </row>
    <row r="35" spans="1:10" ht="14.25" customHeight="1">
      <c r="A35" s="72"/>
      <c r="B35" s="181"/>
      <c r="C35" s="181"/>
      <c r="D35" s="181"/>
      <c r="E35" s="181"/>
      <c r="F35" s="181"/>
      <c r="G35" s="181"/>
      <c r="H35" s="181"/>
      <c r="I35" s="181"/>
      <c r="J35" s="99"/>
    </row>
    <row r="36" spans="1:10" ht="14.25" customHeight="1">
      <c r="A36" s="72"/>
      <c r="B36" s="182" t="s">
        <v>172</v>
      </c>
      <c r="C36" s="181"/>
      <c r="D36" s="181"/>
      <c r="E36" s="181"/>
      <c r="F36" s="181"/>
      <c r="G36" s="181"/>
      <c r="H36" s="181"/>
      <c r="I36" s="181"/>
      <c r="J36" s="99"/>
    </row>
    <row r="37" spans="1:10" ht="14.25" customHeight="1">
      <c r="A37" s="72"/>
      <c r="B37" s="183" t="s">
        <v>173</v>
      </c>
      <c r="C37" s="181"/>
      <c r="D37" s="181"/>
      <c r="E37" s="181"/>
      <c r="F37" s="181"/>
      <c r="G37" s="181"/>
      <c r="H37" s="181"/>
      <c r="I37" s="181"/>
      <c r="J37" s="99"/>
    </row>
    <row r="38" spans="1:10" ht="14.25" customHeight="1">
      <c r="A38" s="72"/>
      <c r="B38" s="183"/>
      <c r="C38" s="181"/>
      <c r="D38" s="181"/>
      <c r="E38" s="181"/>
      <c r="F38" s="181"/>
      <c r="G38" s="181"/>
      <c r="H38" s="181"/>
      <c r="I38" s="181"/>
      <c r="J38" s="99"/>
    </row>
    <row r="39" spans="1:10" ht="14.25" customHeight="1">
      <c r="A39" s="72"/>
      <c r="B39" s="182" t="s">
        <v>33</v>
      </c>
      <c r="C39" s="181"/>
      <c r="D39" s="181"/>
      <c r="E39" s="181"/>
      <c r="F39" s="181"/>
      <c r="G39" s="181"/>
      <c r="H39" s="181"/>
      <c r="I39" s="181"/>
      <c r="J39" s="99"/>
    </row>
    <row r="40" spans="1:10" ht="14.25" customHeight="1">
      <c r="A40" s="72"/>
      <c r="B40" s="183" t="s">
        <v>32</v>
      </c>
      <c r="C40" s="181"/>
      <c r="D40" s="181"/>
      <c r="E40" s="181"/>
      <c r="F40" s="181"/>
      <c r="G40" s="181"/>
      <c r="H40" s="181"/>
      <c r="I40" s="181"/>
      <c r="J40" s="99"/>
    </row>
    <row r="41" spans="1:10">
      <c r="B41" s="181"/>
      <c r="C41" s="181"/>
      <c r="D41" s="181"/>
      <c r="E41" s="181"/>
      <c r="F41" s="181"/>
      <c r="G41" s="181"/>
      <c r="H41" s="181"/>
      <c r="I41" s="181"/>
      <c r="J41" s="172"/>
    </row>
    <row r="42" spans="1:10">
      <c r="A42" s="33"/>
      <c r="B42" s="72" t="s">
        <v>3</v>
      </c>
      <c r="J42" s="33"/>
    </row>
    <row r="43" spans="1:10" ht="15" customHeight="1">
      <c r="B43" s="200" t="s">
        <v>28</v>
      </c>
      <c r="C43" s="200"/>
      <c r="D43" s="200" t="s">
        <v>27</v>
      </c>
      <c r="E43" s="173">
        <v>2023</v>
      </c>
      <c r="F43" s="173">
        <f>E43-1</f>
        <v>2022</v>
      </c>
      <c r="G43" s="173" t="s">
        <v>12</v>
      </c>
      <c r="H43" s="173" t="s">
        <v>12</v>
      </c>
      <c r="I43" s="200" t="s">
        <v>13</v>
      </c>
    </row>
    <row r="44" spans="1:10" ht="15">
      <c r="A44" s="56"/>
      <c r="B44" s="200"/>
      <c r="C44" s="200"/>
      <c r="D44" s="200"/>
      <c r="E44" s="173" t="s">
        <v>37</v>
      </c>
      <c r="F44" s="173" t="s">
        <v>37</v>
      </c>
      <c r="G44" s="173" t="s">
        <v>37</v>
      </c>
      <c r="H44" s="173" t="s">
        <v>15</v>
      </c>
      <c r="I44" s="200"/>
      <c r="J44" s="56"/>
    </row>
    <row r="45" spans="1:10" ht="15">
      <c r="B45" s="195"/>
      <c r="C45" s="195"/>
      <c r="D45" s="174"/>
      <c r="E45" s="175"/>
      <c r="F45" s="176"/>
      <c r="G45" s="176"/>
      <c r="H45" s="176"/>
      <c r="I45" s="176"/>
    </row>
    <row r="46" spans="1:10">
      <c r="A46" s="56"/>
      <c r="B46" s="193" t="s">
        <v>73</v>
      </c>
      <c r="C46" s="193"/>
      <c r="D46" s="194"/>
      <c r="E46" s="196"/>
      <c r="F46" s="196"/>
      <c r="G46" s="196"/>
      <c r="H46" s="196"/>
      <c r="I46" s="196"/>
      <c r="J46" s="56"/>
    </row>
    <row r="47" spans="1:10">
      <c r="A47" s="70"/>
      <c r="B47" s="193"/>
      <c r="C47" s="193"/>
      <c r="D47" s="194"/>
      <c r="E47" s="196"/>
      <c r="F47" s="196"/>
      <c r="G47" s="196"/>
      <c r="H47" s="196"/>
      <c r="I47" s="196"/>
      <c r="J47" s="70"/>
    </row>
    <row r="48" spans="1:10">
      <c r="A48" s="70"/>
      <c r="B48" s="192"/>
      <c r="C48" s="192"/>
      <c r="D48" s="177"/>
      <c r="E48" s="179"/>
      <c r="F48" s="178"/>
      <c r="G48" s="178"/>
      <c r="H48" s="178"/>
      <c r="I48" s="178"/>
      <c r="J48" s="70"/>
    </row>
    <row r="49" spans="1:10">
      <c r="A49" s="70"/>
      <c r="B49" s="197" t="s">
        <v>81</v>
      </c>
      <c r="C49" s="197"/>
      <c r="D49" s="177"/>
      <c r="E49" s="179"/>
      <c r="F49" s="178"/>
      <c r="G49" s="178">
        <f t="shared" ref="G49" si="0">E49-F49</f>
        <v>0</v>
      </c>
      <c r="H49" s="180" t="str">
        <f>IFERROR(G49/F49,"")</f>
        <v/>
      </c>
      <c r="I49" s="178"/>
      <c r="J49" s="70"/>
    </row>
    <row r="50" spans="1:10">
      <c r="A50" s="70"/>
      <c r="B50" s="198"/>
      <c r="C50" s="199"/>
      <c r="D50" s="177"/>
      <c r="E50" s="178"/>
      <c r="F50" s="178"/>
      <c r="G50" s="178"/>
      <c r="H50" s="178"/>
      <c r="I50" s="178"/>
      <c r="J50" s="70"/>
    </row>
    <row r="51" spans="1:10">
      <c r="A51" s="70"/>
      <c r="B51" s="197" t="s">
        <v>82</v>
      </c>
      <c r="C51" s="197"/>
      <c r="D51" s="177"/>
      <c r="E51" s="178"/>
      <c r="F51" s="178"/>
      <c r="G51" s="178">
        <f t="shared" ref="G51" si="1">E51-F51</f>
        <v>0</v>
      </c>
      <c r="H51" s="180" t="str">
        <f>IFERROR(G51/F51,"")</f>
        <v/>
      </c>
      <c r="I51" s="178"/>
      <c r="J51" s="70"/>
    </row>
    <row r="52" spans="1:10">
      <c r="A52" s="70"/>
      <c r="B52" s="192"/>
      <c r="C52" s="192"/>
      <c r="D52" s="177"/>
      <c r="E52" s="178"/>
      <c r="F52" s="178"/>
      <c r="G52" s="178"/>
      <c r="H52" s="178"/>
      <c r="I52" s="178"/>
      <c r="J52" s="70"/>
    </row>
    <row r="53" spans="1:10">
      <c r="A53" s="70"/>
      <c r="B53" s="192"/>
      <c r="C53" s="192"/>
      <c r="D53" s="177"/>
      <c r="E53" s="178"/>
      <c r="F53" s="178"/>
      <c r="G53" s="178"/>
      <c r="H53" s="178"/>
      <c r="I53" s="178"/>
      <c r="J53" s="70"/>
    </row>
    <row r="54" spans="1:10">
      <c r="A54" s="70"/>
      <c r="B54" s="192"/>
      <c r="C54" s="192"/>
      <c r="D54" s="177"/>
      <c r="E54" s="178"/>
      <c r="F54" s="178"/>
      <c r="G54" s="178"/>
      <c r="H54" s="178"/>
      <c r="I54" s="178"/>
      <c r="J54" s="70"/>
    </row>
    <row r="55" spans="1:10">
      <c r="A55" s="72"/>
      <c r="B55" s="191"/>
      <c r="C55" s="191"/>
      <c r="D55" s="177"/>
      <c r="E55" s="178"/>
      <c r="F55" s="178"/>
      <c r="G55" s="178"/>
      <c r="H55" s="178"/>
      <c r="I55" s="178"/>
      <c r="J55" s="72"/>
    </row>
    <row r="56" spans="1:10" ht="15">
      <c r="A56" s="72"/>
      <c r="B56" s="190" t="s">
        <v>4</v>
      </c>
      <c r="C56" s="190"/>
      <c r="D56" s="177"/>
      <c r="E56" s="178">
        <f>SUM(E45:E55)</f>
        <v>0</v>
      </c>
      <c r="F56" s="178">
        <f>SUM(F45:F54)</f>
        <v>0</v>
      </c>
      <c r="G56" s="178">
        <f>SUM(G45:G54)</f>
        <v>0</v>
      </c>
      <c r="H56" s="178"/>
      <c r="I56" s="178"/>
      <c r="J56" s="72"/>
    </row>
    <row r="57" spans="1:10">
      <c r="A57" s="72"/>
      <c r="J57" s="72"/>
    </row>
    <row r="58" spans="1:10"/>
    <row r="65"/>
    <row r="66"/>
    <row r="67"/>
    <row r="68"/>
    <row r="69"/>
    <row r="70"/>
    <row r="71"/>
    <row r="72"/>
    <row r="73"/>
    <row r="74"/>
    <row r="75"/>
    <row r="76"/>
    <row r="77"/>
    <row r="78"/>
    <row r="79"/>
    <row r="80"/>
    <row r="81"/>
    <row r="82"/>
    <row r="83"/>
    <row r="84"/>
    <row r="85"/>
    <row r="86"/>
    <row r="87"/>
    <row r="88"/>
    <row r="89"/>
    <row r="90"/>
    <row r="91"/>
    <row r="92"/>
    <row r="93"/>
    <row r="94"/>
  </sheetData>
  <mergeCells count="27">
    <mergeCell ref="B23:I23"/>
    <mergeCell ref="I43:I44"/>
    <mergeCell ref="B43:C44"/>
    <mergeCell ref="D43:D44"/>
    <mergeCell ref="I46:I47"/>
    <mergeCell ref="B25:I26"/>
    <mergeCell ref="H46:H47"/>
    <mergeCell ref="B49:C49"/>
    <mergeCell ref="B51:C51"/>
    <mergeCell ref="B53:C53"/>
    <mergeCell ref="B50:C50"/>
    <mergeCell ref="B19:I19"/>
    <mergeCell ref="B56:C56"/>
    <mergeCell ref="B55:C55"/>
    <mergeCell ref="B52:C52"/>
    <mergeCell ref="B46:C47"/>
    <mergeCell ref="D46:D47"/>
    <mergeCell ref="B20:I20"/>
    <mergeCell ref="B21:I21"/>
    <mergeCell ref="B22:I22"/>
    <mergeCell ref="B24:I24"/>
    <mergeCell ref="B45:C45"/>
    <mergeCell ref="B48:C48"/>
    <mergeCell ref="B54:C54"/>
    <mergeCell ref="E46:E47"/>
    <mergeCell ref="F46:F47"/>
    <mergeCell ref="G46:G47"/>
  </mergeCells>
  <printOptions horizontalCentered="1"/>
  <pageMargins left="0.25" right="0.25" top="0.75" bottom="0.75" header="0.3" footer="0.3"/>
  <pageSetup scale="76"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B1:I110"/>
  <sheetViews>
    <sheetView showGridLines="0" topLeftCell="A40" zoomScaleNormal="100" zoomScaleSheetLayoutView="100" workbookViewId="0">
      <selection activeCell="B51" sqref="B51"/>
    </sheetView>
  </sheetViews>
  <sheetFormatPr defaultColWidth="10.28515625" defaultRowHeight="13.5" zeroHeight="1"/>
  <cols>
    <col min="1" max="1" width="1" style="134" customWidth="1"/>
    <col min="2" max="2" width="11.28515625" style="134" customWidth="1"/>
    <col min="3" max="3" width="43.140625" style="144" customWidth="1"/>
    <col min="4" max="4" width="19" style="132" customWidth="1"/>
    <col min="5" max="5" width="14.5703125" style="132" customWidth="1"/>
    <col min="6" max="6" width="19.140625" style="132" customWidth="1"/>
    <col min="7" max="7" width="1" style="132" customWidth="1"/>
    <col min="8" max="8" width="17.5703125" style="132" customWidth="1"/>
    <col min="9" max="16384" width="10.28515625" style="134"/>
  </cols>
  <sheetData>
    <row r="1" spans="2:8" ht="15">
      <c r="B1" s="51" t="str">
        <f>Index!$B$1</f>
        <v>ABC &amp; Co.</v>
      </c>
      <c r="C1" s="33"/>
      <c r="H1" s="133" t="str">
        <f>Index!D16</f>
        <v>B.S.17 - 3</v>
      </c>
    </row>
    <row r="2" spans="2:8">
      <c r="B2" s="33" t="str">
        <f>Index!$B$2</f>
        <v>(Chartered Accountants)</v>
      </c>
      <c r="C2" s="33"/>
    </row>
    <row r="3" spans="2:8" ht="15">
      <c r="B3" s="33"/>
      <c r="C3" s="33"/>
      <c r="E3" s="135"/>
    </row>
    <row r="4" spans="2:8" s="27" customFormat="1" ht="15">
      <c r="B4" s="28" t="str">
        <f>Index!$B$4</f>
        <v xml:space="preserve">Client: </v>
      </c>
      <c r="C4" s="54" t="str">
        <f>Index!$C$4</f>
        <v>ABC Limited</v>
      </c>
      <c r="D4" s="136"/>
      <c r="E4" s="36" t="str">
        <f>Index!$E$4</f>
        <v>Prepared by:</v>
      </c>
      <c r="F4" s="112" t="str">
        <f>IF(Index!$F$4="","",Index!$F$4)</f>
        <v/>
      </c>
      <c r="G4" s="31"/>
    </row>
    <row r="5" spans="2:8" s="27" customFormat="1" ht="15">
      <c r="B5" s="28" t="str">
        <f>Index!$B$5</f>
        <v>Period:</v>
      </c>
      <c r="C5" s="54" t="str">
        <f>Index!$C$5</f>
        <v>Year ended June 30, 2023</v>
      </c>
      <c r="D5" s="136"/>
      <c r="E5" s="36" t="str">
        <f>Index!$E$5</f>
        <v>Date prepared:</v>
      </c>
      <c r="F5" s="113" t="str">
        <f>IF(Index!$F$5="","",Index!$F$5)</f>
        <v/>
      </c>
      <c r="G5" s="136"/>
    </row>
    <row r="6" spans="2:8" s="27" customFormat="1" ht="15">
      <c r="B6" s="28" t="str">
        <f>Index!$B$6</f>
        <v>Head:</v>
      </c>
      <c r="C6" s="54" t="str">
        <f>Index!C6</f>
        <v>Long term financing - Banking and other financial institutions</v>
      </c>
      <c r="D6" s="136"/>
      <c r="E6" s="36" t="str">
        <f>Index!$E$6</f>
        <v>Reviewed by:</v>
      </c>
      <c r="F6" s="112" t="str">
        <f>IF(Index!$F$6="","",Index!$F$6)</f>
        <v/>
      </c>
      <c r="G6" s="136"/>
    </row>
    <row r="7" spans="2:8" s="27" customFormat="1" ht="19.5" customHeight="1">
      <c r="B7" s="137"/>
      <c r="C7" s="138"/>
      <c r="D7" s="136"/>
      <c r="E7" s="36" t="str">
        <f>Index!$E$7</f>
        <v>Date reviewed:</v>
      </c>
      <c r="F7" s="113" t="str">
        <f>IF(Index!$F$7="","",Index!$F$7)</f>
        <v/>
      </c>
    </row>
    <row r="8" spans="2:8" ht="15">
      <c r="B8" s="139" t="s">
        <v>16</v>
      </c>
      <c r="C8" s="139"/>
      <c r="D8" s="139"/>
      <c r="E8" s="139"/>
      <c r="F8" s="140"/>
      <c r="G8" s="140"/>
      <c r="H8" s="140"/>
    </row>
    <row r="9" spans="2:8" ht="15">
      <c r="B9" s="139" t="s">
        <v>18</v>
      </c>
      <c r="C9" s="141"/>
      <c r="D9" s="141"/>
    </row>
    <row r="10" spans="2:8" ht="15">
      <c r="B10" s="142" t="s">
        <v>17</v>
      </c>
      <c r="C10" s="141"/>
    </row>
    <row r="11" spans="2:8">
      <c r="B11" s="143" t="s">
        <v>160</v>
      </c>
      <c r="C11" s="143"/>
      <c r="D11" s="143"/>
      <c r="E11" s="143"/>
      <c r="F11" s="143"/>
      <c r="G11" s="143"/>
      <c r="H11" s="143"/>
    </row>
    <row r="12" spans="2:8">
      <c r="B12" s="143" t="s">
        <v>161</v>
      </c>
      <c r="C12" s="143"/>
      <c r="D12" s="143"/>
      <c r="E12" s="143"/>
      <c r="F12" s="143"/>
      <c r="G12" s="143"/>
      <c r="H12" s="143"/>
    </row>
    <row r="13" spans="2:8" ht="13.5" customHeight="1">
      <c r="B13" s="143" t="s">
        <v>89</v>
      </c>
      <c r="C13" s="143"/>
      <c r="D13" s="143"/>
      <c r="E13" s="143"/>
      <c r="F13" s="143"/>
      <c r="G13" s="143"/>
      <c r="H13" s="143"/>
    </row>
    <row r="14" spans="2:8" s="72" customFormat="1">
      <c r="B14" s="143" t="s">
        <v>90</v>
      </c>
      <c r="C14" s="143"/>
      <c r="D14" s="143"/>
      <c r="E14" s="143"/>
      <c r="F14" s="143"/>
      <c r="G14" s="143"/>
      <c r="H14" s="143"/>
    </row>
    <row r="15" spans="2:8" s="72" customFormat="1">
      <c r="B15" s="143" t="s">
        <v>91</v>
      </c>
      <c r="C15" s="143"/>
      <c r="D15" s="143"/>
      <c r="E15" s="143"/>
      <c r="F15" s="143"/>
      <c r="G15" s="143"/>
      <c r="H15" s="143"/>
    </row>
    <row r="16" spans="2:8">
      <c r="B16" s="143" t="s">
        <v>92</v>
      </c>
      <c r="C16" s="143"/>
      <c r="D16" s="143"/>
      <c r="E16" s="143"/>
      <c r="F16" s="143"/>
      <c r="G16" s="143"/>
      <c r="H16" s="143"/>
    </row>
    <row r="17" spans="2:8">
      <c r="B17" s="143" t="s">
        <v>93</v>
      </c>
      <c r="C17" s="143"/>
      <c r="D17" s="143"/>
      <c r="E17" s="143"/>
      <c r="F17" s="143"/>
      <c r="G17" s="143"/>
      <c r="H17" s="143"/>
    </row>
    <row r="18" spans="2:8">
      <c r="B18" s="143" t="s">
        <v>94</v>
      </c>
      <c r="C18" s="143"/>
      <c r="D18" s="143"/>
      <c r="E18" s="143"/>
      <c r="F18" s="143"/>
      <c r="G18" s="143"/>
      <c r="H18" s="143"/>
    </row>
    <row r="19" spans="2:8">
      <c r="B19" s="143" t="s">
        <v>95</v>
      </c>
      <c r="C19" s="143"/>
      <c r="D19" s="143"/>
      <c r="E19" s="143"/>
      <c r="F19" s="143"/>
      <c r="G19" s="143"/>
      <c r="H19" s="143"/>
    </row>
    <row r="20" spans="2:8">
      <c r="B20" s="143" t="s">
        <v>107</v>
      </c>
      <c r="C20" s="143"/>
      <c r="D20" s="143"/>
      <c r="E20" s="143"/>
      <c r="F20" s="143"/>
      <c r="G20" s="143"/>
      <c r="H20" s="143"/>
    </row>
    <row r="21" spans="2:8">
      <c r="B21" s="143" t="s">
        <v>108</v>
      </c>
      <c r="C21" s="143"/>
      <c r="D21" s="143"/>
      <c r="E21" s="143"/>
      <c r="F21" s="143"/>
      <c r="G21" s="143"/>
      <c r="H21" s="143"/>
    </row>
    <row r="22" spans="2:8">
      <c r="B22" s="143" t="s">
        <v>109</v>
      </c>
      <c r="C22" s="143"/>
      <c r="D22" s="143"/>
      <c r="E22" s="143"/>
      <c r="F22" s="143"/>
      <c r="G22" s="143"/>
      <c r="H22" s="143"/>
    </row>
    <row r="23" spans="2:8">
      <c r="B23" s="143" t="s">
        <v>110</v>
      </c>
      <c r="C23" s="143"/>
      <c r="D23" s="143"/>
      <c r="E23" s="143"/>
      <c r="F23" s="143"/>
      <c r="G23" s="143"/>
      <c r="H23" s="143"/>
    </row>
    <row r="24" spans="2:8">
      <c r="B24" s="143" t="s">
        <v>162</v>
      </c>
      <c r="C24" s="143"/>
      <c r="D24" s="143"/>
      <c r="E24" s="143"/>
      <c r="F24" s="143"/>
      <c r="G24" s="143"/>
      <c r="H24" s="143"/>
    </row>
    <row r="25" spans="2:8">
      <c r="B25" s="143" t="s">
        <v>163</v>
      </c>
      <c r="C25" s="143"/>
      <c r="D25" s="143"/>
      <c r="E25" s="143"/>
      <c r="F25" s="143"/>
      <c r="G25" s="143"/>
      <c r="H25" s="143"/>
    </row>
    <row r="26" spans="2:8">
      <c r="B26" s="143" t="s">
        <v>164</v>
      </c>
      <c r="C26" s="143"/>
      <c r="D26" s="143"/>
      <c r="E26" s="143"/>
      <c r="F26" s="143"/>
      <c r="G26" s="143"/>
      <c r="H26" s="143"/>
    </row>
    <row r="27" spans="2:8">
      <c r="B27" s="143" t="s">
        <v>111</v>
      </c>
      <c r="C27" s="143"/>
      <c r="D27" s="143"/>
      <c r="E27" s="143"/>
      <c r="F27" s="143"/>
      <c r="G27" s="143"/>
      <c r="H27" s="143"/>
    </row>
    <row r="28" spans="2:8">
      <c r="B28" s="143" t="s">
        <v>112</v>
      </c>
      <c r="C28" s="143"/>
      <c r="D28" s="143"/>
      <c r="E28" s="143"/>
      <c r="F28" s="143"/>
      <c r="G28" s="143"/>
      <c r="H28" s="143"/>
    </row>
    <row r="29" spans="2:8">
      <c r="B29" s="143" t="s">
        <v>149</v>
      </c>
      <c r="C29" s="143"/>
      <c r="D29" s="143"/>
      <c r="E29" s="143"/>
      <c r="F29" s="143"/>
      <c r="G29" s="143"/>
      <c r="H29" s="143"/>
    </row>
    <row r="30" spans="2:8">
      <c r="B30" s="143" t="s">
        <v>113</v>
      </c>
      <c r="C30" s="143"/>
      <c r="D30" s="143"/>
      <c r="E30" s="143"/>
      <c r="F30" s="143"/>
      <c r="G30" s="143"/>
      <c r="H30" s="143"/>
    </row>
    <row r="31" spans="2:8">
      <c r="B31" s="143" t="s">
        <v>114</v>
      </c>
      <c r="C31" s="143"/>
      <c r="D31" s="143"/>
      <c r="E31" s="143"/>
      <c r="F31" s="143"/>
      <c r="G31" s="143"/>
      <c r="H31" s="143"/>
    </row>
    <row r="32" spans="2:8">
      <c r="B32" s="143" t="s">
        <v>115</v>
      </c>
      <c r="C32" s="143"/>
      <c r="D32" s="143"/>
      <c r="E32" s="143"/>
      <c r="F32" s="143"/>
      <c r="G32" s="143"/>
      <c r="H32" s="143"/>
    </row>
    <row r="33" spans="2:8">
      <c r="B33" s="143" t="s">
        <v>116</v>
      </c>
      <c r="C33" s="143"/>
      <c r="D33" s="143"/>
      <c r="E33" s="143"/>
      <c r="F33" s="143"/>
      <c r="G33" s="143"/>
      <c r="H33" s="143"/>
    </row>
    <row r="34" spans="2:8">
      <c r="B34" s="143" t="s">
        <v>117</v>
      </c>
      <c r="C34" s="143"/>
      <c r="D34" s="143"/>
      <c r="E34" s="143"/>
      <c r="F34" s="143"/>
      <c r="G34" s="143"/>
      <c r="H34" s="143"/>
    </row>
    <row r="35" spans="2:8">
      <c r="B35" s="143" t="s">
        <v>118</v>
      </c>
      <c r="C35" s="143"/>
      <c r="D35" s="143"/>
      <c r="E35" s="143"/>
      <c r="F35" s="143"/>
      <c r="G35" s="143"/>
      <c r="H35" s="143"/>
    </row>
    <row r="36" spans="2:8">
      <c r="B36" s="143" t="s">
        <v>119</v>
      </c>
      <c r="C36" s="143"/>
      <c r="D36" s="143"/>
      <c r="E36" s="143"/>
      <c r="F36" s="143"/>
      <c r="G36" s="143"/>
      <c r="H36" s="143"/>
    </row>
    <row r="37" spans="2:8">
      <c r="B37" s="143" t="s">
        <v>120</v>
      </c>
      <c r="C37" s="143"/>
      <c r="D37" s="143"/>
      <c r="E37" s="143"/>
      <c r="F37" s="143"/>
      <c r="G37" s="143"/>
      <c r="H37" s="143"/>
    </row>
    <row r="38" spans="2:8">
      <c r="B38" s="143" t="s">
        <v>121</v>
      </c>
      <c r="C38" s="143"/>
      <c r="D38" s="143"/>
      <c r="E38" s="143"/>
      <c r="F38" s="143"/>
      <c r="G38" s="143"/>
      <c r="H38" s="143"/>
    </row>
    <row r="39" spans="2:8">
      <c r="B39" s="143" t="s">
        <v>152</v>
      </c>
      <c r="C39" s="143"/>
      <c r="D39" s="143"/>
      <c r="E39" s="143"/>
      <c r="F39" s="143"/>
      <c r="G39" s="143"/>
      <c r="H39" s="143"/>
    </row>
    <row r="40" spans="2:8">
      <c r="B40" s="143" t="s">
        <v>153</v>
      </c>
      <c r="C40" s="143"/>
      <c r="D40" s="143"/>
      <c r="E40" s="143"/>
      <c r="F40" s="143"/>
      <c r="G40" s="143"/>
      <c r="H40" s="143"/>
    </row>
    <row r="41" spans="2:8">
      <c r="B41" s="143" t="s">
        <v>122</v>
      </c>
      <c r="C41" s="143"/>
      <c r="D41" s="143"/>
      <c r="E41" s="143"/>
      <c r="F41" s="143"/>
      <c r="G41" s="143"/>
      <c r="H41" s="143"/>
    </row>
    <row r="42" spans="2:8">
      <c r="B42" s="143" t="s">
        <v>165</v>
      </c>
      <c r="C42" s="143"/>
      <c r="D42" s="143"/>
      <c r="E42" s="143"/>
      <c r="F42" s="143"/>
      <c r="G42" s="143"/>
      <c r="H42" s="143"/>
    </row>
    <row r="43" spans="2:8">
      <c r="B43" s="143" t="s">
        <v>166</v>
      </c>
      <c r="C43" s="143"/>
      <c r="D43" s="143"/>
      <c r="E43" s="143"/>
      <c r="F43" s="143"/>
      <c r="G43" s="143"/>
      <c r="H43" s="143"/>
    </row>
    <row r="44" spans="2:8">
      <c r="B44" s="143" t="s">
        <v>123</v>
      </c>
      <c r="C44" s="143"/>
      <c r="D44" s="143"/>
      <c r="E44" s="143"/>
      <c r="F44" s="143"/>
      <c r="G44" s="143"/>
      <c r="H44" s="143"/>
    </row>
    <row r="45" spans="2:8" ht="13.5" customHeight="1">
      <c r="B45" s="143" t="s">
        <v>124</v>
      </c>
      <c r="C45" s="143"/>
      <c r="D45" s="143"/>
      <c r="E45" s="143"/>
      <c r="F45" s="143"/>
      <c r="G45" s="143"/>
      <c r="H45" s="143"/>
    </row>
    <row r="46" spans="2:8">
      <c r="B46" s="165"/>
      <c r="C46" s="165"/>
      <c r="D46" s="165"/>
      <c r="E46" s="165"/>
      <c r="F46" s="165"/>
      <c r="G46" s="165"/>
      <c r="H46" s="165"/>
    </row>
    <row r="47" spans="2:8" ht="15">
      <c r="B47" s="182" t="s">
        <v>172</v>
      </c>
      <c r="C47" s="165"/>
      <c r="D47" s="165"/>
      <c r="E47" s="165"/>
      <c r="F47" s="165"/>
      <c r="G47" s="165"/>
      <c r="H47" s="165"/>
    </row>
    <row r="48" spans="2:8">
      <c r="B48" s="183" t="s">
        <v>173</v>
      </c>
      <c r="C48" s="165"/>
      <c r="D48" s="165"/>
      <c r="E48" s="165"/>
      <c r="F48" s="165"/>
      <c r="G48" s="165"/>
      <c r="H48" s="165"/>
    </row>
    <row r="49" spans="2:9">
      <c r="B49" s="183"/>
      <c r="C49" s="165"/>
      <c r="D49" s="165"/>
      <c r="E49" s="165"/>
      <c r="F49" s="165"/>
      <c r="G49" s="165"/>
      <c r="H49" s="165"/>
    </row>
    <row r="50" spans="2:9" ht="15">
      <c r="B50" s="182" t="s">
        <v>33</v>
      </c>
      <c r="C50" s="165"/>
      <c r="D50" s="165"/>
      <c r="E50" s="165"/>
      <c r="F50" s="165"/>
      <c r="G50" s="165"/>
      <c r="H50" s="165"/>
    </row>
    <row r="51" spans="2:9">
      <c r="B51" s="183" t="s">
        <v>32</v>
      </c>
      <c r="C51" s="165"/>
      <c r="D51" s="165"/>
      <c r="E51" s="165"/>
      <c r="F51" s="165"/>
      <c r="G51" s="165"/>
      <c r="H51" s="165"/>
    </row>
    <row r="52" spans="2:9" ht="15" customHeight="1"/>
    <row r="53" spans="2:9" s="150" customFormat="1" ht="23.25" customHeight="1">
      <c r="B53" s="203"/>
      <c r="C53" s="203"/>
      <c r="D53" s="146"/>
      <c r="E53" s="147" t="s">
        <v>83</v>
      </c>
      <c r="F53" s="148">
        <f>Lead!E43</f>
        <v>2023</v>
      </c>
      <c r="G53" s="147"/>
      <c r="H53" s="149">
        <f>F53-1</f>
        <v>2022</v>
      </c>
    </row>
    <row r="54" spans="2:9" s="150" customFormat="1" ht="15" customHeight="1">
      <c r="B54" s="145"/>
      <c r="C54" s="145"/>
      <c r="D54" s="146"/>
      <c r="E54" s="151"/>
      <c r="F54" s="205" t="s">
        <v>125</v>
      </c>
      <c r="G54" s="205"/>
      <c r="H54" s="205"/>
    </row>
    <row r="55" spans="2:9" s="154" customFormat="1" ht="28.5" customHeight="1">
      <c r="B55" s="204" t="str">
        <f>Lead!B49</f>
        <v>Bank A</v>
      </c>
      <c r="C55" s="151" t="s">
        <v>44</v>
      </c>
      <c r="D55" s="152"/>
      <c r="E55" s="153"/>
      <c r="F55" s="153"/>
      <c r="G55" s="153"/>
      <c r="H55" s="153"/>
      <c r="I55" s="150"/>
    </row>
    <row r="56" spans="2:9" s="154" customFormat="1" ht="28.5" customHeight="1">
      <c r="B56" s="204"/>
      <c r="C56" s="151" t="s">
        <v>84</v>
      </c>
      <c r="D56" s="152"/>
      <c r="E56" s="155"/>
      <c r="F56" s="155"/>
      <c r="G56" s="155"/>
      <c r="H56" s="155"/>
    </row>
    <row r="57" spans="2:9" s="154" customFormat="1" ht="28.5" customHeight="1">
      <c r="B57" s="204"/>
      <c r="C57" s="151" t="s">
        <v>85</v>
      </c>
      <c r="D57" s="152"/>
      <c r="E57" s="155"/>
      <c r="F57" s="155"/>
      <c r="G57" s="155"/>
      <c r="H57" s="155"/>
    </row>
    <row r="58" spans="2:9" s="154" customFormat="1" ht="28.5" customHeight="1">
      <c r="B58" s="204"/>
      <c r="C58" s="151" t="s">
        <v>86</v>
      </c>
      <c r="D58" s="152"/>
      <c r="E58" s="155"/>
      <c r="F58" s="155"/>
      <c r="G58" s="155"/>
      <c r="H58" s="155"/>
    </row>
    <row r="59" spans="2:9" s="154" customFormat="1" ht="28.5" customHeight="1">
      <c r="B59" s="204"/>
      <c r="C59" s="151" t="s">
        <v>45</v>
      </c>
      <c r="D59" s="152"/>
      <c r="E59" s="155"/>
      <c r="F59" s="155"/>
      <c r="G59" s="155"/>
      <c r="H59" s="155"/>
    </row>
    <row r="60" spans="2:9" s="154" customFormat="1" ht="5.25" customHeight="1">
      <c r="B60" s="156"/>
      <c r="C60" s="157"/>
      <c r="D60" s="152"/>
      <c r="E60" s="158"/>
      <c r="F60" s="158"/>
      <c r="G60" s="158"/>
      <c r="H60" s="158"/>
    </row>
    <row r="61" spans="2:9" s="154" customFormat="1" ht="28.5" customHeight="1">
      <c r="B61" s="204" t="str">
        <f>Lead!B51</f>
        <v>Bank B</v>
      </c>
      <c r="C61" s="151" t="s">
        <v>44</v>
      </c>
      <c r="D61" s="152"/>
      <c r="E61" s="159"/>
      <c r="F61" s="159"/>
      <c r="G61" s="159"/>
      <c r="H61" s="159"/>
    </row>
    <row r="62" spans="2:9" s="154" customFormat="1" ht="28.5" customHeight="1">
      <c r="B62" s="204"/>
      <c r="C62" s="151" t="s">
        <v>84</v>
      </c>
      <c r="D62" s="152"/>
      <c r="E62" s="155"/>
      <c r="F62" s="155"/>
      <c r="G62" s="155"/>
      <c r="H62" s="155"/>
    </row>
    <row r="63" spans="2:9" s="154" customFormat="1" ht="28.5" customHeight="1">
      <c r="B63" s="204"/>
      <c r="C63" s="151" t="s">
        <v>85</v>
      </c>
      <c r="D63" s="152"/>
      <c r="E63" s="155"/>
      <c r="F63" s="155"/>
      <c r="G63" s="155"/>
      <c r="H63" s="155"/>
    </row>
    <row r="64" spans="2:9" s="154" customFormat="1" ht="28.5" customHeight="1">
      <c r="B64" s="204"/>
      <c r="C64" s="151" t="s">
        <v>86</v>
      </c>
      <c r="D64" s="152"/>
      <c r="E64" s="155"/>
      <c r="F64" s="155"/>
      <c r="G64" s="155"/>
      <c r="H64" s="155"/>
    </row>
    <row r="65" spans="2:8" s="154" customFormat="1" ht="28.5" customHeight="1">
      <c r="B65" s="204"/>
      <c r="C65" s="151" t="s">
        <v>45</v>
      </c>
      <c r="D65" s="152"/>
      <c r="E65" s="155"/>
      <c r="F65" s="155"/>
      <c r="G65" s="155"/>
      <c r="H65" s="155"/>
    </row>
    <row r="66" spans="2:8" s="154" customFormat="1" ht="4.5" customHeight="1">
      <c r="B66" s="160"/>
      <c r="C66" s="161"/>
      <c r="D66" s="152"/>
      <c r="E66" s="158"/>
      <c r="F66" s="158"/>
      <c r="G66" s="158"/>
      <c r="H66" s="158"/>
    </row>
    <row r="67" spans="2:8" s="163" customFormat="1" ht="28.5" customHeight="1" thickBot="1">
      <c r="B67" s="205" t="s">
        <v>88</v>
      </c>
      <c r="C67" s="205"/>
      <c r="D67" s="152"/>
      <c r="E67" s="162"/>
      <c r="F67" s="162"/>
      <c r="G67" s="162"/>
      <c r="H67" s="162"/>
    </row>
    <row r="68" spans="2:8" s="163" customFormat="1" ht="10.5" customHeight="1" thickTop="1">
      <c r="B68" s="202"/>
      <c r="C68" s="202"/>
      <c r="E68" s="164"/>
      <c r="F68" s="164"/>
      <c r="G68" s="164"/>
      <c r="H68" s="164"/>
    </row>
    <row r="69" spans="2:8">
      <c r="B69" s="143"/>
      <c r="C69" s="143"/>
      <c r="D69" s="143"/>
      <c r="E69" s="143"/>
      <c r="F69" s="143"/>
      <c r="G69" s="143"/>
      <c r="H69" s="143"/>
    </row>
    <row r="70" spans="2:8"/>
    <row r="71" spans="2:8"/>
    <row r="72" spans="2:8"/>
    <row r="73" spans="2:8"/>
    <row r="74" spans="2:8"/>
    <row r="75" spans="2:8"/>
    <row r="76" spans="2:8"/>
    <row r="77" spans="2:8"/>
    <row r="78" spans="2:8"/>
    <row r="79" spans="2:8"/>
    <row r="80" spans="2:8"/>
    <row r="81"/>
    <row r="82"/>
    <row r="83"/>
    <row r="84"/>
    <row r="85"/>
    <row r="86"/>
    <row r="87"/>
    <row r="88"/>
    <row r="89"/>
    <row r="90"/>
    <row r="91"/>
    <row r="92"/>
    <row r="93"/>
    <row r="94"/>
    <row r="95"/>
    <row r="96"/>
    <row r="97"/>
    <row r="98"/>
    <row r="99"/>
    <row r="100"/>
    <row r="101"/>
    <row r="102"/>
    <row r="103"/>
    <row r="104"/>
    <row r="105"/>
    <row r="106"/>
    <row r="107"/>
    <row r="108"/>
    <row r="109"/>
    <row r="110"/>
  </sheetData>
  <mergeCells count="6">
    <mergeCell ref="B68:C68"/>
    <mergeCell ref="B53:C53"/>
    <mergeCell ref="B61:B65"/>
    <mergeCell ref="B55:B59"/>
    <mergeCell ref="F54:H54"/>
    <mergeCell ref="B67:C67"/>
  </mergeCells>
  <printOptions horizontalCentered="1"/>
  <pageMargins left="0.25" right="0.25" top="0.75" bottom="0.75" header="0.3" footer="0.3"/>
  <pageSetup scale="80" orientation="landscape"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BG67"/>
  <sheetViews>
    <sheetView showGridLines="0" topLeftCell="A2" zoomScaleNormal="100" zoomScaleSheetLayoutView="100" workbookViewId="0">
      <selection activeCell="A3" sqref="A3"/>
    </sheetView>
  </sheetViews>
  <sheetFormatPr defaultColWidth="0" defaultRowHeight="13.5" zeroHeight="1"/>
  <cols>
    <col min="1" max="1" width="1" style="95" customWidth="1"/>
    <col min="2" max="2" width="11.28515625" style="95" customWidth="1"/>
    <col min="3" max="3" width="12.28515625" style="95" customWidth="1"/>
    <col min="4" max="5" width="34.42578125" style="95" customWidth="1"/>
    <col min="6" max="7" width="13.5703125" style="116" customWidth="1"/>
    <col min="8" max="8" width="13.5703125" style="117" customWidth="1"/>
    <col min="9" max="9" width="13.5703125" style="116" customWidth="1"/>
    <col min="10" max="10" width="18.42578125" style="116" customWidth="1"/>
    <col min="11" max="11" width="16.5703125" style="116" customWidth="1"/>
    <col min="12" max="12" width="16.140625" style="116" customWidth="1"/>
    <col min="13" max="13" width="13.5703125" style="116" customWidth="1"/>
    <col min="14" max="14" width="14.5703125" style="116" customWidth="1"/>
    <col min="15" max="15" width="12.42578125" style="116" customWidth="1"/>
    <col min="16" max="16" width="13.5703125" style="116" customWidth="1"/>
    <col min="17" max="17" width="0.85546875" style="95" customWidth="1"/>
    <col min="18" max="27" width="9.140625" style="95" hidden="1" customWidth="1"/>
    <col min="28" max="59" width="0" style="95" hidden="1" customWidth="1"/>
    <col min="60" max="16384" width="9.140625" style="95" hidden="1"/>
  </cols>
  <sheetData>
    <row r="1" spans="2:16" ht="15">
      <c r="B1" s="51" t="str">
        <f>Index!$B$1</f>
        <v>ABC &amp; Co.</v>
      </c>
      <c r="C1" s="33"/>
      <c r="N1" s="95"/>
      <c r="P1" s="118" t="str">
        <f>Index!D20</f>
        <v>B.S.17 - 5</v>
      </c>
    </row>
    <row r="2" spans="2:16">
      <c r="B2" s="33" t="str">
        <f>Index!$B$2</f>
        <v>(Chartered Accountants)</v>
      </c>
      <c r="C2" s="33"/>
      <c r="N2" s="95"/>
      <c r="P2" s="95"/>
    </row>
    <row r="3" spans="2:16">
      <c r="B3" s="33"/>
      <c r="C3" s="33"/>
    </row>
    <row r="4" spans="2:16" ht="15">
      <c r="B4" s="28" t="str">
        <f>Index!$B$4</f>
        <v xml:space="preserve">Client: </v>
      </c>
      <c r="C4" s="54" t="str">
        <f>Index!$C$4</f>
        <v>ABC Limited</v>
      </c>
    </row>
    <row r="5" spans="2:16" ht="15">
      <c r="B5" s="28" t="str">
        <f>Index!$B$5</f>
        <v>Period:</v>
      </c>
      <c r="C5" s="54" t="str">
        <f>Index!$C$5</f>
        <v>Year ended June 30, 2023</v>
      </c>
      <c r="M5" s="36" t="str">
        <f>Index!$E$4</f>
        <v>Prepared by:</v>
      </c>
      <c r="N5" s="112" t="str">
        <f>IF(Index!$F$4="","",Index!$F$4)</f>
        <v/>
      </c>
    </row>
    <row r="6" spans="2:16" ht="15">
      <c r="B6" s="28" t="str">
        <f>Index!$B$6</f>
        <v>Head:</v>
      </c>
      <c r="C6" s="54" t="str">
        <f>Index!C6</f>
        <v>Long term financing - Banking and other financial institutions</v>
      </c>
      <c r="M6" s="36" t="str">
        <f>Index!$E$5</f>
        <v>Date prepared:</v>
      </c>
      <c r="N6" s="113" t="str">
        <f>IF(Index!$F$5="","",Index!$F$5)</f>
        <v/>
      </c>
    </row>
    <row r="7" spans="2:16" ht="15">
      <c r="B7" s="97"/>
      <c r="C7" s="97"/>
      <c r="M7" s="36" t="str">
        <f>Index!$E$6</f>
        <v>Reviewed by:</v>
      </c>
      <c r="N7" s="112" t="str">
        <f>IF(Index!$F$6="","",Index!$F$6)</f>
        <v/>
      </c>
    </row>
    <row r="8" spans="2:16" ht="15">
      <c r="B8" s="97"/>
      <c r="C8" s="97"/>
      <c r="M8" s="36" t="str">
        <f>Index!$E$7</f>
        <v>Date reviewed:</v>
      </c>
      <c r="N8" s="113" t="str">
        <f>IF(Index!$F$7="","",Index!$F$7)</f>
        <v/>
      </c>
    </row>
    <row r="9" spans="2:16" ht="15">
      <c r="B9" s="97" t="s">
        <v>126</v>
      </c>
      <c r="C9" s="97"/>
      <c r="D9" s="97"/>
      <c r="E9" s="97"/>
      <c r="F9" s="97"/>
      <c r="G9" s="97"/>
      <c r="H9" s="97"/>
      <c r="I9" s="97"/>
      <c r="J9" s="97"/>
      <c r="K9" s="97"/>
      <c r="L9" s="97"/>
      <c r="M9" s="97"/>
      <c r="N9" s="97"/>
      <c r="O9" s="97"/>
      <c r="P9" s="97"/>
    </row>
    <row r="10" spans="2:16" ht="15">
      <c r="B10" s="119" t="s">
        <v>18</v>
      </c>
      <c r="C10" s="119"/>
    </row>
    <row r="11" spans="2:16" ht="15">
      <c r="B11" s="120" t="s">
        <v>137</v>
      </c>
      <c r="C11" s="119"/>
    </row>
    <row r="12" spans="2:16" ht="15">
      <c r="B12" s="120" t="s">
        <v>19</v>
      </c>
      <c r="C12" s="119"/>
    </row>
    <row r="13" spans="2:16" ht="15">
      <c r="B13" s="120" t="s">
        <v>49</v>
      </c>
      <c r="C13" s="119"/>
    </row>
    <row r="14" spans="2:16" ht="15">
      <c r="B14" s="120" t="s">
        <v>50</v>
      </c>
      <c r="C14" s="119"/>
    </row>
    <row r="15" spans="2:16" ht="15">
      <c r="B15" s="120"/>
      <c r="C15" s="119"/>
    </row>
    <row r="16" spans="2:16" ht="15">
      <c r="B16" s="182" t="s">
        <v>172</v>
      </c>
      <c r="C16" s="119"/>
    </row>
    <row r="17" spans="1:17" ht="15">
      <c r="B17" s="183" t="s">
        <v>173</v>
      </c>
      <c r="C17" s="119"/>
    </row>
    <row r="18" spans="1:17" ht="15">
      <c r="B18" s="183"/>
      <c r="C18" s="119"/>
    </row>
    <row r="19" spans="1:17" ht="15">
      <c r="B19" s="182" t="s">
        <v>33</v>
      </c>
      <c r="C19" s="119"/>
    </row>
    <row r="20" spans="1:17" ht="15">
      <c r="B20" s="183" t="s">
        <v>32</v>
      </c>
      <c r="C20" s="119"/>
    </row>
    <row r="21" spans="1:17"/>
    <row r="22" spans="1:17" s="59" customFormat="1" ht="30">
      <c r="B22" s="121" t="s">
        <v>23</v>
      </c>
      <c r="C22" s="121" t="s">
        <v>24</v>
      </c>
      <c r="D22" s="121" t="s">
        <v>25</v>
      </c>
      <c r="E22" s="121" t="s">
        <v>127</v>
      </c>
      <c r="F22" s="122" t="s">
        <v>128</v>
      </c>
      <c r="G22" s="122" t="s">
        <v>129</v>
      </c>
      <c r="H22" s="123" t="s">
        <v>130</v>
      </c>
      <c r="I22" s="122" t="s">
        <v>131</v>
      </c>
      <c r="J22" s="122" t="s">
        <v>132</v>
      </c>
      <c r="K22" s="122" t="s">
        <v>133</v>
      </c>
      <c r="L22" s="122" t="s">
        <v>39</v>
      </c>
      <c r="M22" s="122" t="s">
        <v>41</v>
      </c>
      <c r="N22" s="122" t="s">
        <v>134</v>
      </c>
      <c r="O22" s="122" t="s">
        <v>135</v>
      </c>
      <c r="P22" s="122" t="s">
        <v>136</v>
      </c>
    </row>
    <row r="23" spans="1:17" s="124" customFormat="1">
      <c r="A23" s="95"/>
      <c r="F23" s="125"/>
      <c r="G23" s="125"/>
      <c r="H23" s="126"/>
      <c r="I23" s="125"/>
      <c r="J23" s="125"/>
      <c r="K23" s="125"/>
      <c r="L23" s="125"/>
      <c r="M23" s="125"/>
      <c r="N23" s="125"/>
      <c r="O23" s="125"/>
      <c r="P23" s="125"/>
      <c r="Q23" s="95"/>
    </row>
    <row r="24" spans="1:17">
      <c r="B24" s="127"/>
      <c r="C24" s="127"/>
      <c r="D24" s="127"/>
      <c r="E24" s="127"/>
      <c r="F24" s="128"/>
      <c r="G24" s="128"/>
      <c r="H24" s="129"/>
      <c r="I24" s="128"/>
      <c r="J24" s="128"/>
      <c r="K24" s="128"/>
      <c r="L24" s="128"/>
      <c r="M24" s="128"/>
      <c r="N24" s="128"/>
      <c r="O24" s="128"/>
      <c r="P24" s="128"/>
    </row>
    <row r="25" spans="1:17">
      <c r="B25" s="130"/>
      <c r="C25" s="130"/>
      <c r="D25" s="130"/>
      <c r="E25" s="130"/>
      <c r="F25" s="67"/>
      <c r="G25" s="67"/>
      <c r="H25" s="131"/>
      <c r="I25" s="67"/>
      <c r="J25" s="67"/>
      <c r="K25" s="67"/>
      <c r="L25" s="67"/>
      <c r="M25" s="67"/>
      <c r="N25" s="67"/>
      <c r="O25" s="67"/>
      <c r="P25" s="67"/>
    </row>
    <row r="26" spans="1:17">
      <c r="B26" s="130"/>
      <c r="C26" s="130"/>
      <c r="D26" s="130"/>
      <c r="E26" s="130"/>
      <c r="F26" s="67"/>
      <c r="G26" s="67"/>
      <c r="H26" s="131"/>
      <c r="I26" s="67"/>
      <c r="J26" s="67"/>
      <c r="K26" s="67"/>
      <c r="L26" s="67"/>
      <c r="M26" s="67"/>
      <c r="N26" s="67"/>
      <c r="O26" s="67"/>
      <c r="P26" s="67"/>
    </row>
    <row r="27" spans="1:17">
      <c r="B27" s="130"/>
      <c r="C27" s="130"/>
      <c r="D27" s="130"/>
      <c r="E27" s="130"/>
      <c r="F27" s="67"/>
      <c r="G27" s="67"/>
      <c r="H27" s="131"/>
      <c r="I27" s="67"/>
      <c r="J27" s="67"/>
      <c r="K27" s="67"/>
      <c r="L27" s="67"/>
      <c r="M27" s="67"/>
      <c r="N27" s="67"/>
      <c r="O27" s="67"/>
      <c r="P27" s="67"/>
    </row>
    <row r="28" spans="1:17">
      <c r="B28" s="130"/>
      <c r="C28" s="130"/>
      <c r="D28" s="130"/>
      <c r="E28" s="130"/>
      <c r="F28" s="67"/>
      <c r="G28" s="67"/>
      <c r="H28" s="131"/>
      <c r="I28" s="67"/>
      <c r="J28" s="67"/>
      <c r="K28" s="67"/>
      <c r="L28" s="67"/>
      <c r="M28" s="67"/>
      <c r="N28" s="67"/>
      <c r="O28" s="67"/>
      <c r="P28" s="67"/>
    </row>
    <row r="29" spans="1:17">
      <c r="B29" s="130"/>
      <c r="C29" s="130"/>
      <c r="D29" s="130"/>
      <c r="E29" s="130"/>
      <c r="F29" s="67"/>
      <c r="G29" s="67"/>
      <c r="H29" s="131"/>
      <c r="I29" s="67"/>
      <c r="J29" s="67"/>
      <c r="K29" s="67"/>
      <c r="L29" s="67"/>
      <c r="M29" s="67"/>
      <c r="N29" s="67"/>
      <c r="O29" s="67"/>
      <c r="P29" s="67"/>
    </row>
    <row r="30" spans="1:17">
      <c r="B30" s="130"/>
      <c r="C30" s="130"/>
      <c r="D30" s="130"/>
      <c r="E30" s="130"/>
      <c r="F30" s="67"/>
      <c r="G30" s="67"/>
      <c r="H30" s="131"/>
      <c r="I30" s="67"/>
      <c r="J30" s="67"/>
      <c r="K30" s="67"/>
      <c r="L30" s="67"/>
      <c r="M30" s="67"/>
      <c r="N30" s="67"/>
      <c r="O30" s="67"/>
      <c r="P30" s="67"/>
    </row>
    <row r="31" spans="1:17">
      <c r="B31" s="130"/>
      <c r="C31" s="130"/>
      <c r="D31" s="130"/>
      <c r="E31" s="130"/>
      <c r="F31" s="67"/>
      <c r="G31" s="67"/>
      <c r="H31" s="131"/>
      <c r="I31" s="67"/>
      <c r="J31" s="67"/>
      <c r="K31" s="67"/>
      <c r="L31" s="67"/>
      <c r="M31" s="67"/>
      <c r="N31" s="67"/>
      <c r="O31" s="67"/>
      <c r="P31" s="67"/>
    </row>
    <row r="32" spans="1:17">
      <c r="B32" s="130"/>
      <c r="C32" s="130"/>
      <c r="D32" s="130"/>
      <c r="E32" s="130"/>
      <c r="F32" s="67"/>
      <c r="G32" s="67"/>
      <c r="H32" s="131"/>
      <c r="I32" s="67"/>
      <c r="J32" s="67"/>
      <c r="K32" s="67"/>
      <c r="L32" s="67"/>
      <c r="M32" s="67"/>
      <c r="N32" s="67"/>
      <c r="O32" s="67"/>
      <c r="P32" s="67"/>
    </row>
    <row r="33" spans="2:16">
      <c r="B33" s="130"/>
      <c r="C33" s="130"/>
      <c r="D33" s="130"/>
      <c r="E33" s="130"/>
      <c r="F33" s="67"/>
      <c r="G33" s="67"/>
      <c r="H33" s="131"/>
      <c r="I33" s="67"/>
      <c r="J33" s="67"/>
      <c r="K33" s="67"/>
      <c r="L33" s="67"/>
      <c r="M33" s="67"/>
      <c r="N33" s="67"/>
      <c r="O33" s="67"/>
      <c r="P33" s="67"/>
    </row>
    <row r="34" spans="2:16">
      <c r="B34" s="130"/>
      <c r="C34" s="130"/>
      <c r="D34" s="130"/>
      <c r="E34" s="130"/>
      <c r="F34" s="67"/>
      <c r="G34" s="67"/>
      <c r="H34" s="131"/>
      <c r="I34" s="67"/>
      <c r="J34" s="67"/>
      <c r="K34" s="67"/>
      <c r="L34" s="67"/>
      <c r="M34" s="67"/>
      <c r="N34" s="67"/>
      <c r="O34" s="67"/>
      <c r="P34" s="67"/>
    </row>
    <row r="35" spans="2:16">
      <c r="B35" s="130"/>
      <c r="C35" s="130"/>
      <c r="D35" s="130"/>
      <c r="E35" s="130"/>
      <c r="F35" s="67"/>
      <c r="G35" s="67"/>
      <c r="H35" s="131"/>
      <c r="I35" s="67"/>
      <c r="J35" s="67"/>
      <c r="K35" s="67"/>
      <c r="L35" s="67"/>
      <c r="M35" s="67"/>
      <c r="N35" s="67"/>
      <c r="O35" s="67"/>
      <c r="P35" s="67"/>
    </row>
    <row r="36" spans="2:16">
      <c r="B36" s="130"/>
      <c r="C36" s="130"/>
      <c r="D36" s="130"/>
      <c r="E36" s="130"/>
      <c r="F36" s="67"/>
      <c r="G36" s="67"/>
      <c r="H36" s="131"/>
      <c r="I36" s="67"/>
      <c r="J36" s="67"/>
      <c r="K36" s="67"/>
      <c r="L36" s="67"/>
      <c r="M36" s="67"/>
      <c r="N36" s="67"/>
      <c r="O36" s="67"/>
      <c r="P36" s="67"/>
    </row>
    <row r="37" spans="2:16">
      <c r="B37" s="130"/>
      <c r="C37" s="130"/>
      <c r="D37" s="130"/>
      <c r="E37" s="130"/>
      <c r="F37" s="67"/>
      <c r="G37" s="67"/>
      <c r="H37" s="131"/>
      <c r="I37" s="67"/>
      <c r="J37" s="67"/>
      <c r="K37" s="67"/>
      <c r="L37" s="67"/>
      <c r="M37" s="67"/>
      <c r="N37" s="67"/>
      <c r="O37" s="67"/>
      <c r="P37" s="67"/>
    </row>
    <row r="38" spans="2:16">
      <c r="B38" s="130"/>
      <c r="C38" s="130"/>
      <c r="D38" s="130"/>
      <c r="E38" s="130"/>
      <c r="F38" s="67"/>
      <c r="G38" s="67"/>
      <c r="H38" s="131"/>
      <c r="I38" s="67"/>
      <c r="J38" s="67"/>
      <c r="K38" s="67"/>
      <c r="L38" s="67"/>
      <c r="M38" s="67"/>
      <c r="N38" s="67"/>
      <c r="O38" s="67"/>
      <c r="P38" s="67"/>
    </row>
    <row r="39" spans="2:16">
      <c r="B39" s="130"/>
      <c r="C39" s="130"/>
      <c r="D39" s="130"/>
      <c r="E39" s="130"/>
      <c r="F39" s="67"/>
      <c r="G39" s="67"/>
      <c r="H39" s="131"/>
      <c r="I39" s="67"/>
      <c r="J39" s="67"/>
      <c r="K39" s="67"/>
      <c r="L39" s="67"/>
      <c r="M39" s="67"/>
      <c r="N39" s="67"/>
      <c r="O39" s="67"/>
      <c r="P39" s="67"/>
    </row>
    <row r="40" spans="2:16">
      <c r="B40" s="130"/>
      <c r="C40" s="130"/>
      <c r="D40" s="130"/>
      <c r="E40" s="130"/>
      <c r="F40" s="67"/>
      <c r="G40" s="67"/>
      <c r="H40" s="131"/>
      <c r="I40" s="67"/>
      <c r="J40" s="67"/>
      <c r="K40" s="67"/>
      <c r="L40" s="67"/>
      <c r="M40" s="67"/>
      <c r="N40" s="67"/>
      <c r="O40" s="67"/>
      <c r="P40" s="67"/>
    </row>
    <row r="41" spans="2:16">
      <c r="B41" s="130"/>
      <c r="C41" s="130"/>
      <c r="D41" s="130"/>
      <c r="E41" s="130"/>
      <c r="F41" s="67"/>
      <c r="G41" s="67"/>
      <c r="H41" s="131"/>
      <c r="I41" s="67"/>
      <c r="J41" s="67"/>
      <c r="K41" s="67"/>
      <c r="L41" s="67"/>
      <c r="M41" s="67"/>
      <c r="N41" s="67"/>
      <c r="O41" s="67"/>
      <c r="P41" s="67"/>
    </row>
    <row r="42" spans="2:16">
      <c r="B42" s="130"/>
      <c r="C42" s="130"/>
      <c r="D42" s="130"/>
      <c r="E42" s="130"/>
      <c r="F42" s="67"/>
      <c r="G42" s="67"/>
      <c r="H42" s="131"/>
      <c r="I42" s="67"/>
      <c r="J42" s="67"/>
      <c r="K42" s="67"/>
      <c r="L42" s="67"/>
      <c r="M42" s="67"/>
      <c r="N42" s="67"/>
      <c r="O42" s="67"/>
      <c r="P42" s="67"/>
    </row>
    <row r="43" spans="2:16">
      <c r="B43" s="130"/>
      <c r="C43" s="130"/>
      <c r="D43" s="130"/>
      <c r="E43" s="130"/>
      <c r="F43" s="67"/>
      <c r="G43" s="67"/>
      <c r="H43" s="131">
        <f>SUM(H22:H42)</f>
        <v>0</v>
      </c>
      <c r="I43" s="67"/>
      <c r="J43" s="67"/>
      <c r="K43" s="67"/>
      <c r="L43" s="67"/>
      <c r="M43" s="67"/>
      <c r="N43" s="67"/>
      <c r="O43" s="67"/>
      <c r="P43" s="67"/>
    </row>
    <row r="44" spans="2:16"/>
    <row r="45" spans="2:16"/>
    <row r="49"/>
    <row r="50"/>
    <row r="51"/>
    <row r="52"/>
    <row r="53"/>
    <row r="54"/>
    <row r="63"/>
    <row r="64"/>
    <row r="65"/>
    <row r="66"/>
    <row r="67"/>
  </sheetData>
  <printOptions horizontalCentered="1"/>
  <pageMargins left="0.25" right="0.25" top="0.75" bottom="0.75" header="0.3" footer="0.3"/>
  <pageSetup scale="70" fitToWidth="0"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dimension ref="A1:BG63"/>
  <sheetViews>
    <sheetView showGridLines="0" topLeftCell="A3" zoomScaleNormal="100" zoomScaleSheetLayoutView="100" workbookViewId="0">
      <selection activeCell="F9" sqref="A1:XFD1048576"/>
    </sheetView>
  </sheetViews>
  <sheetFormatPr defaultColWidth="0" defaultRowHeight="13.5" zeroHeight="1"/>
  <cols>
    <col min="1" max="1" width="1" style="95" customWidth="1"/>
    <col min="2" max="2" width="11.28515625" style="95" customWidth="1"/>
    <col min="3" max="3" width="12.28515625" style="95" customWidth="1"/>
    <col min="4" max="5" width="34.42578125" style="95" customWidth="1"/>
    <col min="6" max="7" width="14.5703125" style="116" customWidth="1"/>
    <col min="8" max="8" width="14.5703125" style="117" customWidth="1"/>
    <col min="9" max="12" width="14.5703125" style="116" customWidth="1"/>
    <col min="13" max="13" width="1" style="95" customWidth="1"/>
    <col min="14" max="23" width="9.140625" style="95" hidden="1" customWidth="1"/>
    <col min="24" max="59" width="0" style="95" hidden="1" customWidth="1"/>
    <col min="60" max="16384" width="9.140625" style="95" hidden="1"/>
  </cols>
  <sheetData>
    <row r="1" spans="2:16" ht="15">
      <c r="B1" s="51" t="str">
        <f>Index!$B$1</f>
        <v>ABC &amp; Co.</v>
      </c>
      <c r="C1" s="33"/>
      <c r="L1" s="118" t="str">
        <f>Index!D22</f>
        <v>B.S.17 - 6</v>
      </c>
    </row>
    <row r="2" spans="2:16">
      <c r="B2" s="33" t="str">
        <f>Index!$B$2</f>
        <v>(Chartered Accountants)</v>
      </c>
      <c r="C2" s="33"/>
      <c r="L2" s="95"/>
    </row>
    <row r="3" spans="2:16">
      <c r="B3" s="33"/>
      <c r="C3" s="33"/>
    </row>
    <row r="4" spans="2:16" ht="15">
      <c r="B4" s="28" t="str">
        <f>Index!$B$4</f>
        <v xml:space="preserve">Client: </v>
      </c>
      <c r="C4" s="54" t="str">
        <f>Index!$C$4</f>
        <v>ABC Limited</v>
      </c>
    </row>
    <row r="5" spans="2:16" ht="15">
      <c r="B5" s="28" t="str">
        <f>Index!$B$5</f>
        <v>Period:</v>
      </c>
      <c r="C5" s="54" t="str">
        <f>Index!$C$5</f>
        <v>Year ended June 30, 2023</v>
      </c>
      <c r="K5" s="36" t="str">
        <f>Index!$E$4</f>
        <v>Prepared by:</v>
      </c>
      <c r="L5" s="112" t="str">
        <f>IF(Index!$F$4="","",Index!$F$4)</f>
        <v/>
      </c>
    </row>
    <row r="6" spans="2:16" ht="15">
      <c r="B6" s="28" t="str">
        <f>Index!$B$6</f>
        <v>Head:</v>
      </c>
      <c r="C6" s="54" t="str">
        <f>Index!C6</f>
        <v>Long term financing - Banking and other financial institutions</v>
      </c>
      <c r="K6" s="36" t="str">
        <f>Index!$E$5</f>
        <v>Date prepared:</v>
      </c>
      <c r="L6" s="113" t="str">
        <f>IF(Index!$F$5="","",Index!$F$5)</f>
        <v/>
      </c>
    </row>
    <row r="7" spans="2:16" ht="15">
      <c r="B7" s="97"/>
      <c r="C7" s="97"/>
      <c r="K7" s="36" t="str">
        <f>Index!$E$6</f>
        <v>Reviewed by:</v>
      </c>
      <c r="L7" s="112" t="str">
        <f>IF(Index!$F$6="","",Index!$F$6)</f>
        <v/>
      </c>
    </row>
    <row r="8" spans="2:16" ht="15">
      <c r="B8" s="97"/>
      <c r="C8" s="97"/>
      <c r="K8" s="36" t="str">
        <f>Index!$E$7</f>
        <v>Date reviewed:</v>
      </c>
      <c r="L8" s="113" t="str">
        <f>IF(Index!$F$7="","",Index!$F$7)</f>
        <v/>
      </c>
    </row>
    <row r="9" spans="2:16" ht="15">
      <c r="B9" s="97" t="s">
        <v>138</v>
      </c>
      <c r="C9" s="97"/>
      <c r="D9" s="97"/>
      <c r="E9" s="97"/>
      <c r="F9" s="97"/>
      <c r="G9" s="97"/>
      <c r="H9" s="97"/>
      <c r="I9" s="97"/>
      <c r="J9" s="97"/>
      <c r="K9" s="97"/>
      <c r="L9" s="97"/>
    </row>
    <row r="10" spans="2:16" ht="15">
      <c r="B10" s="119" t="s">
        <v>18</v>
      </c>
      <c r="C10" s="119"/>
    </row>
    <row r="11" spans="2:16" ht="15">
      <c r="B11" s="120" t="s">
        <v>19</v>
      </c>
      <c r="C11" s="119"/>
      <c r="M11" s="116"/>
      <c r="N11" s="116"/>
      <c r="O11" s="116"/>
      <c r="P11" s="116"/>
    </row>
    <row r="12" spans="2:16" ht="15">
      <c r="B12" s="120" t="s">
        <v>49</v>
      </c>
      <c r="C12" s="119"/>
      <c r="M12" s="116"/>
      <c r="N12" s="116"/>
      <c r="O12" s="116"/>
      <c r="P12" s="116"/>
    </row>
    <row r="13" spans="2:16" ht="15">
      <c r="B13" s="120" t="s">
        <v>144</v>
      </c>
      <c r="C13" s="119"/>
      <c r="M13" s="116"/>
      <c r="N13" s="116"/>
      <c r="O13" s="116"/>
      <c r="P13" s="116"/>
    </row>
    <row r="14" spans="2:16" ht="15">
      <c r="B14" s="120" t="s">
        <v>42</v>
      </c>
      <c r="C14" s="119"/>
    </row>
    <row r="15" spans="2:16" ht="15">
      <c r="B15" s="120"/>
      <c r="C15" s="119"/>
    </row>
    <row r="16" spans="2:16" ht="15">
      <c r="B16" s="182" t="s">
        <v>172</v>
      </c>
      <c r="C16" s="119"/>
    </row>
    <row r="17" spans="1:13" ht="15">
      <c r="B17" s="183" t="s">
        <v>173</v>
      </c>
      <c r="C17" s="119"/>
    </row>
    <row r="18" spans="1:13" ht="15">
      <c r="B18" s="183"/>
      <c r="C18" s="119"/>
    </row>
    <row r="19" spans="1:13" ht="15">
      <c r="B19" s="182" t="s">
        <v>33</v>
      </c>
      <c r="C19" s="119"/>
    </row>
    <row r="20" spans="1:13" ht="15">
      <c r="B20" s="183" t="s">
        <v>32</v>
      </c>
      <c r="C20" s="119"/>
    </row>
    <row r="21" spans="1:13"/>
    <row r="22" spans="1:13" s="59" customFormat="1" ht="30">
      <c r="B22" s="121" t="s">
        <v>23</v>
      </c>
      <c r="C22" s="121" t="s">
        <v>24</v>
      </c>
      <c r="D22" s="121" t="s">
        <v>25</v>
      </c>
      <c r="E22" s="121" t="s">
        <v>127</v>
      </c>
      <c r="F22" s="122" t="s">
        <v>139</v>
      </c>
      <c r="G22" s="122" t="s">
        <v>142</v>
      </c>
      <c r="H22" s="184" t="s">
        <v>140</v>
      </c>
      <c r="I22" s="122" t="s">
        <v>41</v>
      </c>
      <c r="J22" s="122" t="s">
        <v>40</v>
      </c>
      <c r="K22" s="122" t="s">
        <v>143</v>
      </c>
      <c r="L22" s="122" t="s">
        <v>141</v>
      </c>
    </row>
    <row r="23" spans="1:13" s="124" customFormat="1">
      <c r="A23" s="95"/>
      <c r="F23" s="125"/>
      <c r="G23" s="125"/>
      <c r="H23" s="126"/>
      <c r="I23" s="125"/>
      <c r="J23" s="125"/>
      <c r="K23" s="125"/>
      <c r="L23" s="125"/>
      <c r="M23" s="95"/>
    </row>
    <row r="24" spans="1:13">
      <c r="B24" s="127"/>
      <c r="C24" s="127"/>
      <c r="D24" s="127"/>
      <c r="E24" s="127"/>
      <c r="F24" s="128"/>
      <c r="G24" s="128"/>
      <c r="H24" s="129"/>
      <c r="I24" s="128"/>
      <c r="J24" s="128"/>
      <c r="K24" s="128"/>
      <c r="L24" s="128"/>
    </row>
    <row r="25" spans="1:13">
      <c r="B25" s="130"/>
      <c r="C25" s="130"/>
      <c r="D25" s="130"/>
      <c r="E25" s="130"/>
      <c r="F25" s="67"/>
      <c r="G25" s="67"/>
      <c r="H25" s="131"/>
      <c r="I25" s="67"/>
      <c r="J25" s="67"/>
      <c r="K25" s="67"/>
      <c r="L25" s="67"/>
    </row>
    <row r="26" spans="1:13">
      <c r="B26" s="130"/>
      <c r="C26" s="130"/>
      <c r="D26" s="130"/>
      <c r="E26" s="130"/>
      <c r="F26" s="67"/>
      <c r="G26" s="67"/>
      <c r="H26" s="131"/>
      <c r="I26" s="67"/>
      <c r="J26" s="67"/>
      <c r="K26" s="67"/>
      <c r="L26" s="67"/>
    </row>
    <row r="27" spans="1:13">
      <c r="B27" s="130"/>
      <c r="C27" s="130"/>
      <c r="D27" s="130"/>
      <c r="E27" s="130"/>
      <c r="F27" s="67"/>
      <c r="G27" s="67"/>
      <c r="H27" s="131"/>
      <c r="I27" s="67"/>
      <c r="J27" s="67"/>
      <c r="K27" s="67"/>
      <c r="L27" s="67"/>
    </row>
    <row r="28" spans="1:13">
      <c r="B28" s="130"/>
      <c r="C28" s="130"/>
      <c r="D28" s="130"/>
      <c r="E28" s="130"/>
      <c r="F28" s="67"/>
      <c r="G28" s="67"/>
      <c r="H28" s="131"/>
      <c r="I28" s="67"/>
      <c r="J28" s="67"/>
      <c r="K28" s="67"/>
      <c r="L28" s="67"/>
    </row>
    <row r="29" spans="1:13">
      <c r="B29" s="130"/>
      <c r="C29" s="130"/>
      <c r="D29" s="130"/>
      <c r="E29" s="130"/>
      <c r="F29" s="67"/>
      <c r="G29" s="67"/>
      <c r="H29" s="131"/>
      <c r="I29" s="67"/>
      <c r="J29" s="67"/>
      <c r="K29" s="67"/>
      <c r="L29" s="67"/>
    </row>
    <row r="30" spans="1:13">
      <c r="B30" s="130"/>
      <c r="C30" s="130"/>
      <c r="D30" s="130"/>
      <c r="E30" s="130"/>
      <c r="F30" s="67"/>
      <c r="G30" s="67"/>
      <c r="H30" s="131"/>
      <c r="I30" s="67"/>
      <c r="J30" s="67"/>
      <c r="K30" s="67"/>
      <c r="L30" s="67"/>
    </row>
    <row r="31" spans="1:13">
      <c r="B31" s="130"/>
      <c r="C31" s="130"/>
      <c r="D31" s="130"/>
      <c r="E31" s="130"/>
      <c r="F31" s="67"/>
      <c r="G31" s="67"/>
      <c r="H31" s="131"/>
      <c r="I31" s="67"/>
      <c r="J31" s="67"/>
      <c r="K31" s="67"/>
      <c r="L31" s="67"/>
    </row>
    <row r="32" spans="1:13">
      <c r="B32" s="130"/>
      <c r="C32" s="130"/>
      <c r="D32" s="130"/>
      <c r="E32" s="130"/>
      <c r="F32" s="67"/>
      <c r="G32" s="67"/>
      <c r="H32" s="131"/>
      <c r="I32" s="67"/>
      <c r="J32" s="67"/>
      <c r="K32" s="67"/>
      <c r="L32" s="67"/>
    </row>
    <row r="33" spans="2:12">
      <c r="B33" s="130"/>
      <c r="C33" s="130"/>
      <c r="D33" s="130"/>
      <c r="E33" s="130"/>
      <c r="F33" s="67"/>
      <c r="G33" s="67"/>
      <c r="H33" s="131"/>
      <c r="I33" s="67"/>
      <c r="J33" s="67"/>
      <c r="K33" s="67"/>
      <c r="L33" s="67"/>
    </row>
    <row r="34" spans="2:12">
      <c r="B34" s="130"/>
      <c r="C34" s="130"/>
      <c r="D34" s="130"/>
      <c r="E34" s="130"/>
      <c r="F34" s="67"/>
      <c r="G34" s="67"/>
      <c r="H34" s="131"/>
      <c r="I34" s="67"/>
      <c r="J34" s="67"/>
      <c r="K34" s="67"/>
      <c r="L34" s="67"/>
    </row>
    <row r="35" spans="2:12">
      <c r="B35" s="130"/>
      <c r="C35" s="130"/>
      <c r="D35" s="130"/>
      <c r="E35" s="130"/>
      <c r="F35" s="67"/>
      <c r="G35" s="67"/>
      <c r="H35" s="131"/>
      <c r="I35" s="67"/>
      <c r="J35" s="67"/>
      <c r="K35" s="67"/>
      <c r="L35" s="67"/>
    </row>
    <row r="36" spans="2:12">
      <c r="B36" s="130"/>
      <c r="C36" s="130"/>
      <c r="D36" s="130"/>
      <c r="E36" s="130"/>
      <c r="F36" s="67"/>
      <c r="G36" s="67"/>
      <c r="H36" s="131"/>
      <c r="I36" s="67"/>
      <c r="J36" s="67"/>
      <c r="K36" s="67"/>
      <c r="L36" s="67"/>
    </row>
    <row r="37" spans="2:12">
      <c r="B37" s="130"/>
      <c r="C37" s="130"/>
      <c r="D37" s="130"/>
      <c r="E37" s="130"/>
      <c r="F37" s="67"/>
      <c r="G37" s="67"/>
      <c r="H37" s="131"/>
      <c r="I37" s="67"/>
      <c r="J37" s="67"/>
      <c r="K37" s="67"/>
      <c r="L37" s="67"/>
    </row>
    <row r="38" spans="2:12">
      <c r="B38" s="130"/>
      <c r="C38" s="130"/>
      <c r="D38" s="130"/>
      <c r="E38" s="130"/>
      <c r="F38" s="67"/>
      <c r="G38" s="67"/>
      <c r="H38" s="131"/>
      <c r="I38" s="67"/>
      <c r="J38" s="67"/>
      <c r="K38" s="67"/>
      <c r="L38" s="67"/>
    </row>
    <row r="39" spans="2:12">
      <c r="B39" s="130"/>
      <c r="C39" s="130"/>
      <c r="D39" s="130"/>
      <c r="E39" s="130"/>
      <c r="F39" s="67"/>
      <c r="G39" s="67"/>
      <c r="H39" s="131"/>
      <c r="I39" s="67"/>
      <c r="J39" s="67"/>
      <c r="K39" s="67"/>
      <c r="L39" s="67"/>
    </row>
    <row r="40" spans="2:12">
      <c r="B40" s="130"/>
      <c r="C40" s="130"/>
      <c r="D40" s="130"/>
      <c r="E40" s="130"/>
      <c r="F40" s="67"/>
      <c r="G40" s="67"/>
      <c r="H40" s="131"/>
      <c r="I40" s="67"/>
      <c r="J40" s="67"/>
      <c r="K40" s="67"/>
      <c r="L40" s="67"/>
    </row>
    <row r="41" spans="2:12">
      <c r="B41" s="130"/>
      <c r="C41" s="130"/>
      <c r="D41" s="130"/>
      <c r="E41" s="130"/>
      <c r="F41" s="67"/>
      <c r="G41" s="67"/>
      <c r="H41" s="131"/>
      <c r="I41" s="67"/>
      <c r="J41" s="67"/>
      <c r="K41" s="67"/>
      <c r="L41" s="67"/>
    </row>
    <row r="42" spans="2:12">
      <c r="B42" s="130"/>
      <c r="C42" s="130"/>
      <c r="D42" s="130"/>
      <c r="E42" s="130"/>
      <c r="F42" s="67"/>
      <c r="G42" s="67"/>
      <c r="H42" s="131"/>
      <c r="I42" s="67"/>
      <c r="J42" s="67"/>
      <c r="K42" s="67"/>
      <c r="L42" s="67"/>
    </row>
    <row r="43" spans="2:12">
      <c r="B43" s="130"/>
      <c r="C43" s="130"/>
      <c r="D43" s="130"/>
      <c r="E43" s="130"/>
      <c r="F43" s="67"/>
      <c r="G43" s="67"/>
      <c r="H43" s="131">
        <f>SUM(H22:H42)</f>
        <v>0</v>
      </c>
      <c r="I43" s="67"/>
      <c r="J43" s="67"/>
      <c r="K43" s="67"/>
      <c r="L43" s="67"/>
    </row>
    <row r="44" spans="2:12"/>
    <row r="45" spans="2:12" ht="15">
      <c r="B45" s="185"/>
      <c r="C45" s="119"/>
    </row>
    <row r="46" spans="2:12" ht="15" hidden="1">
      <c r="B46" s="171"/>
      <c r="C46" s="119"/>
    </row>
    <row r="47" spans="2:12" ht="15" hidden="1">
      <c r="B47" s="171"/>
      <c r="C47" s="119"/>
    </row>
    <row r="48" spans="2:12" ht="15" hidden="1">
      <c r="B48" s="120"/>
      <c r="C48" s="119"/>
    </row>
    <row r="49"/>
    <row r="50"/>
    <row r="51"/>
    <row r="52"/>
    <row r="53"/>
    <row r="54"/>
    <row r="59"/>
    <row r="60"/>
    <row r="61"/>
    <row r="62"/>
    <row r="63"/>
  </sheetData>
  <printOptions horizontalCentered="1"/>
  <pageMargins left="0.25" right="0.25" top="0.75" bottom="0.75" header="0.3" footer="0.3"/>
  <pageSetup scale="75" orientation="landscape"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A043C3-AB82-4732-A19D-1492D6F4DAED}">
  <dimension ref="A1:BN63"/>
  <sheetViews>
    <sheetView showGridLines="0" topLeftCell="H1" workbookViewId="0">
      <selection activeCell="S2" sqref="S2"/>
    </sheetView>
  </sheetViews>
  <sheetFormatPr defaultColWidth="0" defaultRowHeight="13.5" zeroHeight="1"/>
  <cols>
    <col min="1" max="1" width="1" style="95" customWidth="1"/>
    <col min="2" max="2" width="11.28515625" style="95" customWidth="1"/>
    <col min="3" max="3" width="12.28515625" style="95" customWidth="1"/>
    <col min="4" max="5" width="34.42578125" style="95" customWidth="1"/>
    <col min="6" max="12" width="14.5703125" style="116" customWidth="1"/>
    <col min="13" max="15" width="14.5703125" style="117" customWidth="1"/>
    <col min="16" max="19" width="14.5703125" style="116" customWidth="1"/>
    <col min="20" max="20" width="1" style="95" customWidth="1"/>
    <col min="21" max="30" width="9.140625" style="95" hidden="1"/>
    <col min="31" max="66" width="0" style="95" hidden="1"/>
    <col min="67" max="16384" width="9.140625" style="95" hidden="1"/>
  </cols>
  <sheetData>
    <row r="1" spans="2:23" ht="15">
      <c r="B1" s="51" t="str">
        <f>Index!$B$1</f>
        <v>ABC &amp; Co.</v>
      </c>
      <c r="C1" s="33"/>
      <c r="S1" s="118" t="str">
        <f>Index!D24</f>
        <v>B.S.17 - 7</v>
      </c>
    </row>
    <row r="2" spans="2:23">
      <c r="B2" s="33" t="str">
        <f>Index!$B$2</f>
        <v>(Chartered Accountants)</v>
      </c>
      <c r="C2" s="33"/>
      <c r="S2" s="95"/>
    </row>
    <row r="3" spans="2:23">
      <c r="B3" s="33"/>
      <c r="C3" s="33"/>
    </row>
    <row r="4" spans="2:23" ht="15">
      <c r="B4" s="28" t="str">
        <f>Index!$B$4</f>
        <v xml:space="preserve">Client: </v>
      </c>
      <c r="C4" s="54" t="str">
        <f>Index!$C$4</f>
        <v>ABC Limited</v>
      </c>
    </row>
    <row r="5" spans="2:23" ht="15">
      <c r="B5" s="28" t="str">
        <f>Index!$B$5</f>
        <v>Period:</v>
      </c>
      <c r="C5" s="54" t="str">
        <f>Index!$C$5</f>
        <v>Year ended June 30, 2023</v>
      </c>
      <c r="R5" s="36" t="str">
        <f>Index!$E$4</f>
        <v>Prepared by:</v>
      </c>
      <c r="S5" s="112" t="str">
        <f>IF(Index!$F$4="","",Index!$F$4)</f>
        <v/>
      </c>
    </row>
    <row r="6" spans="2:23" ht="15">
      <c r="B6" s="28" t="str">
        <f>Index!$B$6</f>
        <v>Head:</v>
      </c>
      <c r="C6" s="54" t="str">
        <f>Index!C6</f>
        <v>Long term financing - Banking and other financial institutions</v>
      </c>
      <c r="R6" s="36" t="str">
        <f>Index!$E$5</f>
        <v>Date prepared:</v>
      </c>
      <c r="S6" s="113" t="str">
        <f>IF(Index!$F$5="","",Index!$F$5)</f>
        <v/>
      </c>
    </row>
    <row r="7" spans="2:23" ht="15">
      <c r="B7" s="97" t="s">
        <v>38</v>
      </c>
      <c r="C7" s="97"/>
      <c r="R7" s="36" t="str">
        <f>Index!$E$6</f>
        <v>Reviewed by:</v>
      </c>
      <c r="S7" s="112" t="str">
        <f>IF(Index!$F$6="","",Index!$F$6)</f>
        <v/>
      </c>
    </row>
    <row r="8" spans="2:23" ht="15">
      <c r="B8" s="97"/>
      <c r="C8" s="97"/>
      <c r="R8" s="36" t="str">
        <f>Index!$E$7</f>
        <v>Date reviewed:</v>
      </c>
      <c r="S8" s="113" t="str">
        <f>IF(Index!$F$7="","",Index!$F$7)</f>
        <v/>
      </c>
    </row>
    <row r="9" spans="2:23" ht="15">
      <c r="B9" s="97" t="s">
        <v>202</v>
      </c>
      <c r="C9" s="97"/>
      <c r="D9" s="97"/>
      <c r="E9" s="97"/>
      <c r="F9" s="97"/>
      <c r="G9" s="97"/>
      <c r="H9" s="97"/>
      <c r="I9" s="97"/>
      <c r="J9" s="97"/>
      <c r="K9" s="97"/>
      <c r="L9" s="97"/>
      <c r="M9" s="97"/>
      <c r="N9" s="97"/>
      <c r="O9" s="97"/>
      <c r="P9" s="97"/>
      <c r="Q9" s="97"/>
      <c r="R9" s="97"/>
      <c r="S9" s="97"/>
    </row>
    <row r="10" spans="2:23" ht="15">
      <c r="B10" s="97"/>
      <c r="C10" s="97"/>
      <c r="D10" s="97"/>
      <c r="E10" s="97"/>
      <c r="F10" s="97"/>
      <c r="G10" s="97"/>
      <c r="H10" s="97"/>
      <c r="I10" s="97"/>
      <c r="J10" s="97"/>
      <c r="K10" s="97"/>
      <c r="L10" s="97"/>
      <c r="M10" s="97"/>
      <c r="N10" s="97"/>
      <c r="O10" s="97"/>
      <c r="P10" s="97"/>
      <c r="Q10" s="97"/>
      <c r="R10" s="97"/>
      <c r="S10" s="97"/>
    </row>
    <row r="11" spans="2:23" ht="15">
      <c r="B11" s="119" t="s">
        <v>18</v>
      </c>
      <c r="C11" s="119"/>
      <c r="L11" s="117"/>
      <c r="M11" s="116"/>
      <c r="N11" s="116"/>
      <c r="O11" s="116"/>
    </row>
    <row r="12" spans="2:23" ht="15">
      <c r="B12" s="120" t="s">
        <v>204</v>
      </c>
      <c r="C12" s="119"/>
      <c r="L12" s="117"/>
      <c r="M12" s="116"/>
      <c r="N12" s="116"/>
      <c r="O12" s="116"/>
      <c r="T12" s="116"/>
      <c r="U12" s="116"/>
      <c r="V12" s="116"/>
      <c r="W12" s="116"/>
    </row>
    <row r="13" spans="2:23" ht="15">
      <c r="B13" s="120" t="s">
        <v>203</v>
      </c>
      <c r="C13" s="119"/>
      <c r="L13" s="117"/>
      <c r="M13" s="116"/>
      <c r="N13" s="116"/>
      <c r="O13" s="116"/>
      <c r="T13" s="116"/>
      <c r="U13" s="116"/>
      <c r="V13" s="116"/>
      <c r="W13" s="116"/>
    </row>
    <row r="14" spans="2:23" ht="15">
      <c r="B14" s="120" t="s">
        <v>174</v>
      </c>
      <c r="C14" s="119"/>
      <c r="L14" s="117"/>
      <c r="M14" s="116"/>
      <c r="N14" s="116"/>
      <c r="O14" s="116"/>
      <c r="T14" s="116"/>
      <c r="U14" s="116"/>
      <c r="V14" s="116"/>
      <c r="W14" s="116"/>
    </row>
    <row r="15" spans="2:23" ht="15">
      <c r="B15" s="120" t="s">
        <v>175</v>
      </c>
      <c r="C15" s="119"/>
      <c r="L15" s="117"/>
      <c r="M15" s="116"/>
      <c r="N15" s="116"/>
      <c r="O15" s="116"/>
    </row>
    <row r="16" spans="2:23" ht="15">
      <c r="B16" s="120" t="s">
        <v>176</v>
      </c>
      <c r="C16" s="119"/>
      <c r="L16" s="117"/>
      <c r="M16" s="116"/>
      <c r="N16" s="116"/>
      <c r="O16" s="116"/>
    </row>
    <row r="17" spans="2:19" ht="15">
      <c r="B17" s="120" t="s">
        <v>205</v>
      </c>
      <c r="C17" s="119"/>
      <c r="L17" s="117"/>
      <c r="M17" s="116"/>
      <c r="N17" s="116"/>
      <c r="O17" s="116"/>
    </row>
    <row r="18" spans="2:19" ht="15">
      <c r="B18" s="120" t="s">
        <v>177</v>
      </c>
      <c r="C18" s="119"/>
      <c r="L18" s="117"/>
      <c r="M18" s="116"/>
      <c r="N18" s="116"/>
      <c r="O18" s="116"/>
    </row>
    <row r="19" spans="2:19" ht="15">
      <c r="B19" s="120" t="s">
        <v>178</v>
      </c>
      <c r="C19" s="119"/>
      <c r="L19" s="117"/>
      <c r="M19" s="116"/>
      <c r="N19" s="116"/>
      <c r="O19" s="116"/>
    </row>
    <row r="20" spans="2:19" ht="15">
      <c r="B20" s="120" t="s">
        <v>179</v>
      </c>
      <c r="C20" s="119"/>
      <c r="L20" s="117"/>
      <c r="M20" s="116"/>
      <c r="N20" s="116"/>
      <c r="O20" s="116"/>
    </row>
    <row r="21" spans="2:19" ht="15">
      <c r="B21" s="120"/>
      <c r="C21" s="119"/>
      <c r="L21" s="117"/>
      <c r="M21" s="116"/>
      <c r="N21" s="116"/>
      <c r="O21" s="116"/>
    </row>
    <row r="22" spans="2:19" ht="15">
      <c r="B22" s="182" t="s">
        <v>172</v>
      </c>
      <c r="C22" s="119"/>
      <c r="L22" s="117"/>
      <c r="M22" s="116"/>
      <c r="N22" s="116"/>
      <c r="O22" s="116"/>
    </row>
    <row r="23" spans="2:19" ht="15">
      <c r="B23" s="183" t="s">
        <v>173</v>
      </c>
      <c r="C23" s="119"/>
      <c r="L23" s="117"/>
      <c r="M23" s="116"/>
      <c r="N23" s="116"/>
      <c r="O23" s="116"/>
    </row>
    <row r="24" spans="2:19" ht="15">
      <c r="B24" s="208"/>
      <c r="C24" s="119"/>
      <c r="L24" s="117"/>
      <c r="M24" s="116"/>
      <c r="N24" s="116"/>
      <c r="O24" s="116"/>
    </row>
    <row r="25" spans="2:19" ht="15">
      <c r="B25" s="182" t="s">
        <v>33</v>
      </c>
      <c r="C25" s="119"/>
      <c r="L25" s="117"/>
      <c r="M25" s="116"/>
      <c r="N25" s="116"/>
      <c r="O25" s="116"/>
    </row>
    <row r="26" spans="2:19" ht="15">
      <c r="B26" s="183" t="s">
        <v>32</v>
      </c>
      <c r="C26" s="119"/>
      <c r="L26" s="117"/>
      <c r="M26" s="116"/>
      <c r="N26" s="116"/>
      <c r="O26" s="116"/>
    </row>
    <row r="27" spans="2:19">
      <c r="L27" s="117"/>
      <c r="M27" s="116"/>
      <c r="N27" s="116"/>
      <c r="O27" s="116"/>
    </row>
    <row r="28" spans="2:19" s="210" customFormat="1" ht="60">
      <c r="B28" s="58" t="s">
        <v>180</v>
      </c>
      <c r="C28" s="58" t="s">
        <v>181</v>
      </c>
      <c r="D28" s="58" t="s">
        <v>182</v>
      </c>
      <c r="E28" s="58" t="s">
        <v>183</v>
      </c>
      <c r="F28" s="58" t="s">
        <v>184</v>
      </c>
      <c r="G28" s="58" t="s">
        <v>185</v>
      </c>
      <c r="H28" s="58" t="s">
        <v>186</v>
      </c>
      <c r="I28" s="58" t="s">
        <v>187</v>
      </c>
      <c r="J28" s="58" t="s">
        <v>188</v>
      </c>
      <c r="K28" s="58" t="s">
        <v>189</v>
      </c>
      <c r="L28" s="209" t="s">
        <v>190</v>
      </c>
      <c r="M28" s="58" t="s">
        <v>191</v>
      </c>
      <c r="N28" s="58" t="s">
        <v>192</v>
      </c>
      <c r="O28" s="58" t="s">
        <v>43</v>
      </c>
      <c r="P28" s="58" t="s">
        <v>193</v>
      </c>
      <c r="Q28" s="58" t="s">
        <v>194</v>
      </c>
      <c r="R28" s="58" t="s">
        <v>195</v>
      </c>
      <c r="S28" s="58" t="s">
        <v>196</v>
      </c>
    </row>
    <row r="29" spans="2:19">
      <c r="B29" s="124"/>
      <c r="C29" s="124"/>
      <c r="D29" s="124"/>
      <c r="E29" s="124"/>
      <c r="F29" s="125"/>
      <c r="G29" s="125"/>
      <c r="H29" s="125"/>
      <c r="I29" s="125"/>
      <c r="J29" s="125"/>
      <c r="K29" s="125"/>
      <c r="L29" s="126"/>
      <c r="M29" s="125"/>
      <c r="N29" s="125"/>
      <c r="O29" s="125"/>
      <c r="P29" s="125"/>
      <c r="Q29" s="125"/>
      <c r="R29" s="125"/>
      <c r="S29" s="125"/>
    </row>
    <row r="30" spans="2:19">
      <c r="B30" s="130"/>
      <c r="C30" s="130"/>
      <c r="D30" s="130"/>
      <c r="E30" s="130"/>
      <c r="F30" s="67"/>
      <c r="G30" s="67"/>
      <c r="H30" s="67"/>
      <c r="I30" s="67"/>
      <c r="J30" s="67"/>
      <c r="K30" s="67"/>
      <c r="L30" s="131"/>
      <c r="M30" s="67"/>
      <c r="N30" s="67"/>
      <c r="O30" s="67"/>
      <c r="P30" s="67"/>
      <c r="Q30" s="67"/>
      <c r="R30" s="67"/>
      <c r="S30" s="67"/>
    </row>
    <row r="31" spans="2:19">
      <c r="B31" s="130"/>
      <c r="C31" s="130"/>
      <c r="D31" s="130"/>
      <c r="E31" s="130"/>
      <c r="F31" s="67"/>
      <c r="G31" s="67"/>
      <c r="H31" s="67"/>
      <c r="I31" s="67"/>
      <c r="J31" s="67"/>
      <c r="K31" s="67"/>
      <c r="L31" s="131"/>
      <c r="M31" s="67"/>
      <c r="N31" s="67"/>
      <c r="O31" s="67"/>
      <c r="P31" s="67"/>
      <c r="Q31" s="67"/>
      <c r="R31" s="67"/>
      <c r="S31" s="67"/>
    </row>
    <row r="32" spans="2:19">
      <c r="B32" s="130"/>
      <c r="C32" s="130"/>
      <c r="D32" s="130"/>
      <c r="E32" s="130"/>
      <c r="F32" s="67"/>
      <c r="G32" s="67"/>
      <c r="H32" s="67"/>
      <c r="I32" s="67"/>
      <c r="J32" s="67"/>
      <c r="K32" s="67"/>
      <c r="L32" s="131"/>
      <c r="M32" s="67"/>
      <c r="N32" s="67"/>
      <c r="O32" s="67"/>
      <c r="P32" s="67"/>
      <c r="Q32" s="67"/>
      <c r="R32" s="67"/>
      <c r="S32" s="67"/>
    </row>
    <row r="33" spans="2:19">
      <c r="B33" s="130"/>
      <c r="C33" s="130"/>
      <c r="D33" s="130"/>
      <c r="E33" s="130"/>
      <c r="F33" s="67"/>
      <c r="G33" s="67"/>
      <c r="H33" s="67"/>
      <c r="I33" s="67"/>
      <c r="J33" s="67"/>
      <c r="K33" s="67"/>
      <c r="L33" s="131"/>
      <c r="M33" s="67"/>
      <c r="N33" s="67"/>
      <c r="O33" s="67"/>
      <c r="P33" s="67"/>
      <c r="Q33" s="67"/>
      <c r="R33" s="67"/>
      <c r="S33" s="67"/>
    </row>
    <row r="34" spans="2:19">
      <c r="B34" s="130"/>
      <c r="C34" s="130"/>
      <c r="D34" s="130"/>
      <c r="E34" s="130"/>
      <c r="F34" s="67"/>
      <c r="G34" s="67"/>
      <c r="H34" s="67"/>
      <c r="I34" s="67"/>
      <c r="J34" s="67"/>
      <c r="K34" s="67"/>
      <c r="L34" s="131"/>
      <c r="M34" s="67"/>
      <c r="N34" s="67"/>
      <c r="O34" s="67"/>
      <c r="P34" s="67"/>
      <c r="Q34" s="67"/>
      <c r="R34" s="67"/>
      <c r="S34" s="67"/>
    </row>
    <row r="35" spans="2:19">
      <c r="B35" s="130"/>
      <c r="C35" s="130"/>
      <c r="D35" s="130"/>
      <c r="E35" s="130"/>
      <c r="F35" s="67"/>
      <c r="G35" s="67"/>
      <c r="H35" s="67"/>
      <c r="I35" s="67"/>
      <c r="J35" s="67"/>
      <c r="K35" s="67"/>
      <c r="L35" s="131"/>
      <c r="M35" s="67"/>
      <c r="N35" s="67"/>
      <c r="O35" s="67"/>
      <c r="P35" s="67"/>
      <c r="Q35" s="67"/>
      <c r="R35" s="67"/>
      <c r="S35" s="67"/>
    </row>
    <row r="36" spans="2:19">
      <c r="B36" s="130"/>
      <c r="C36" s="130"/>
      <c r="D36" s="130"/>
      <c r="E36" s="130"/>
      <c r="F36" s="67"/>
      <c r="G36" s="67"/>
      <c r="H36" s="67"/>
      <c r="I36" s="67"/>
      <c r="J36" s="67"/>
      <c r="K36" s="67"/>
      <c r="L36" s="131"/>
      <c r="M36" s="67"/>
      <c r="N36" s="67"/>
      <c r="O36" s="67"/>
      <c r="P36" s="67"/>
      <c r="Q36" s="67"/>
      <c r="R36" s="67"/>
      <c r="S36" s="67"/>
    </row>
    <row r="37" spans="2:19">
      <c r="B37" s="130"/>
      <c r="C37" s="130"/>
      <c r="D37" s="130"/>
      <c r="E37" s="130"/>
      <c r="F37" s="67"/>
      <c r="G37" s="67"/>
      <c r="H37" s="67"/>
      <c r="I37" s="67"/>
      <c r="J37" s="67"/>
      <c r="K37" s="67"/>
      <c r="L37" s="131"/>
      <c r="M37" s="67"/>
      <c r="N37" s="67"/>
      <c r="O37" s="67"/>
      <c r="P37" s="67"/>
      <c r="Q37" s="67"/>
      <c r="R37" s="67"/>
      <c r="S37" s="67"/>
    </row>
    <row r="38" spans="2:19">
      <c r="B38" s="130"/>
      <c r="C38" s="130"/>
      <c r="D38" s="130"/>
      <c r="E38" s="130"/>
      <c r="F38" s="67"/>
      <c r="G38" s="67"/>
      <c r="H38" s="67"/>
      <c r="I38" s="67"/>
      <c r="J38" s="67"/>
      <c r="K38" s="67"/>
      <c r="L38" s="131"/>
      <c r="M38" s="67"/>
      <c r="N38" s="67"/>
      <c r="O38" s="67"/>
      <c r="P38" s="67"/>
      <c r="Q38" s="67"/>
      <c r="R38" s="67"/>
      <c r="S38" s="67"/>
    </row>
    <row r="39" spans="2:19">
      <c r="B39" s="130"/>
      <c r="C39" s="130"/>
      <c r="D39" s="130"/>
      <c r="E39" s="130"/>
      <c r="F39" s="67"/>
      <c r="G39" s="67"/>
      <c r="H39" s="67"/>
      <c r="I39" s="67"/>
      <c r="J39" s="67"/>
      <c r="K39" s="67"/>
      <c r="L39" s="131"/>
      <c r="M39" s="67"/>
      <c r="N39" s="67"/>
      <c r="O39" s="67"/>
      <c r="P39" s="67"/>
      <c r="Q39" s="67"/>
      <c r="R39" s="67"/>
      <c r="S39" s="67"/>
    </row>
    <row r="40" spans="2:19">
      <c r="B40" s="130"/>
      <c r="C40" s="130"/>
      <c r="D40" s="130"/>
      <c r="E40" s="130"/>
      <c r="F40" s="67"/>
      <c r="G40" s="67"/>
      <c r="H40" s="67"/>
      <c r="I40" s="67"/>
      <c r="J40" s="67"/>
      <c r="K40" s="67"/>
      <c r="L40" s="131"/>
      <c r="M40" s="67"/>
      <c r="N40" s="67"/>
      <c r="O40" s="67"/>
      <c r="P40" s="67"/>
      <c r="Q40" s="67"/>
      <c r="R40" s="67"/>
      <c r="S40" s="67"/>
    </row>
    <row r="41" spans="2:19">
      <c r="B41" s="130"/>
      <c r="C41" s="130"/>
      <c r="D41" s="130"/>
      <c r="E41" s="130"/>
      <c r="F41" s="67"/>
      <c r="G41" s="67"/>
      <c r="H41" s="67"/>
      <c r="I41" s="67"/>
      <c r="J41" s="67"/>
      <c r="K41" s="67"/>
      <c r="L41" s="131"/>
      <c r="M41" s="67"/>
      <c r="N41" s="67"/>
      <c r="O41" s="67"/>
      <c r="P41" s="67"/>
      <c r="Q41" s="67"/>
      <c r="R41" s="67"/>
      <c r="S41" s="67"/>
    </row>
    <row r="42" spans="2:19">
      <c r="B42" s="130"/>
      <c r="C42" s="130"/>
      <c r="D42" s="130"/>
      <c r="E42" s="130"/>
      <c r="F42" s="67"/>
      <c r="G42" s="67"/>
      <c r="H42" s="67"/>
      <c r="I42" s="67"/>
      <c r="J42" s="67"/>
      <c r="K42" s="67"/>
      <c r="L42" s="131"/>
      <c r="M42" s="67"/>
      <c r="N42" s="67"/>
      <c r="O42" s="67"/>
      <c r="P42" s="67"/>
      <c r="Q42" s="67"/>
      <c r="R42" s="67"/>
      <c r="S42" s="67"/>
    </row>
    <row r="43" spans="2:19">
      <c r="B43" s="130"/>
      <c r="C43" s="130"/>
      <c r="D43" s="130"/>
      <c r="E43" s="130"/>
      <c r="F43" s="67"/>
      <c r="G43" s="67"/>
      <c r="H43" s="67"/>
      <c r="I43" s="67"/>
      <c r="J43" s="67"/>
      <c r="K43" s="67"/>
      <c r="L43" s="131"/>
      <c r="M43" s="67"/>
      <c r="N43" s="67"/>
      <c r="O43" s="67"/>
      <c r="P43" s="67"/>
      <c r="Q43" s="67"/>
      <c r="R43" s="67"/>
      <c r="S43" s="67"/>
    </row>
    <row r="44" spans="2:19">
      <c r="B44" s="130"/>
      <c r="C44" s="130"/>
      <c r="D44" s="130"/>
      <c r="E44" s="130"/>
      <c r="F44" s="67"/>
      <c r="G44" s="67"/>
      <c r="H44" s="67"/>
      <c r="I44" s="67"/>
      <c r="J44" s="67"/>
      <c r="K44" s="67"/>
      <c r="L44" s="131"/>
      <c r="M44" s="67"/>
      <c r="N44" s="67"/>
      <c r="O44" s="67"/>
      <c r="P44" s="67"/>
      <c r="Q44" s="67"/>
      <c r="R44" s="67"/>
      <c r="S44" s="67"/>
    </row>
    <row r="45" spans="2:19">
      <c r="B45" s="130"/>
      <c r="C45" s="130"/>
      <c r="D45" s="130"/>
      <c r="E45" s="130"/>
      <c r="F45" s="67"/>
      <c r="G45" s="67"/>
      <c r="H45" s="67"/>
      <c r="I45" s="67"/>
      <c r="J45" s="67"/>
      <c r="K45" s="67"/>
      <c r="L45" s="131"/>
      <c r="M45" s="67"/>
      <c r="N45" s="67"/>
      <c r="O45" s="67"/>
      <c r="P45" s="67"/>
      <c r="Q45" s="67"/>
      <c r="R45" s="67"/>
      <c r="S45" s="67"/>
    </row>
    <row r="46" spans="2:19">
      <c r="B46" s="130"/>
      <c r="C46" s="130"/>
      <c r="D46" s="130"/>
      <c r="E46" s="130"/>
      <c r="F46" s="67"/>
      <c r="G46" s="67"/>
      <c r="H46" s="67"/>
      <c r="I46" s="67"/>
      <c r="J46" s="67"/>
      <c r="K46" s="67"/>
      <c r="L46" s="131"/>
      <c r="M46" s="67"/>
      <c r="N46" s="67"/>
      <c r="O46" s="67"/>
      <c r="P46" s="67"/>
      <c r="Q46" s="67"/>
      <c r="R46" s="67"/>
      <c r="S46" s="67"/>
    </row>
    <row r="47" spans="2:19">
      <c r="B47" s="130"/>
      <c r="C47" s="130"/>
      <c r="D47" s="130"/>
      <c r="E47" s="130"/>
      <c r="F47" s="67"/>
      <c r="G47" s="67"/>
      <c r="H47" s="67"/>
      <c r="I47" s="67"/>
      <c r="J47" s="67"/>
      <c r="K47" s="67"/>
      <c r="L47" s="131"/>
      <c r="M47" s="67"/>
      <c r="N47" s="67"/>
      <c r="O47" s="67"/>
      <c r="P47" s="67"/>
      <c r="Q47" s="67"/>
      <c r="R47" s="67"/>
      <c r="S47" s="67"/>
    </row>
    <row r="48" spans="2:19">
      <c r="B48" s="130"/>
      <c r="C48" s="130"/>
      <c r="D48" s="130"/>
      <c r="E48" s="130"/>
      <c r="F48" s="67"/>
      <c r="G48" s="67"/>
      <c r="H48" s="67"/>
      <c r="I48" s="67"/>
      <c r="J48" s="67"/>
      <c r="K48" s="67"/>
      <c r="L48" s="131"/>
      <c r="M48" s="67"/>
      <c r="N48" s="67"/>
      <c r="O48" s="67"/>
      <c r="P48" s="67"/>
      <c r="Q48" s="67"/>
      <c r="R48" s="67"/>
      <c r="S48" s="67"/>
    </row>
    <row r="49" spans="2:19">
      <c r="B49" s="130"/>
      <c r="C49" s="130"/>
      <c r="D49" s="130"/>
      <c r="E49" s="130"/>
      <c r="F49" s="67"/>
      <c r="G49" s="67"/>
      <c r="H49" s="67"/>
      <c r="I49" s="67"/>
      <c r="J49" s="67"/>
      <c r="K49" s="67"/>
      <c r="L49" s="131">
        <f>SUM(L28:L48)</f>
        <v>0</v>
      </c>
      <c r="M49" s="67"/>
      <c r="N49" s="67"/>
      <c r="O49" s="67"/>
      <c r="P49" s="67"/>
      <c r="Q49" s="67"/>
      <c r="R49" s="67"/>
      <c r="S49" s="67"/>
    </row>
    <row r="50" spans="2:19">
      <c r="L50" s="117"/>
      <c r="M50" s="116"/>
      <c r="N50" s="116"/>
      <c r="O50" s="116"/>
    </row>
    <row r="51" spans="2:19" ht="15">
      <c r="B51" s="185"/>
      <c r="C51" s="119"/>
      <c r="L51" s="117"/>
      <c r="M51" s="116"/>
      <c r="N51" s="116"/>
      <c r="O51" s="116"/>
    </row>
    <row r="52" spans="2:19" ht="15" hidden="1">
      <c r="B52" s="171" t="s">
        <v>197</v>
      </c>
      <c r="C52" s="119"/>
      <c r="L52" s="117"/>
      <c r="M52" s="116"/>
      <c r="N52" s="116"/>
      <c r="O52" s="116"/>
    </row>
    <row r="53" spans="2:19" ht="15" hidden="1">
      <c r="B53" s="171"/>
      <c r="C53" s="119"/>
      <c r="L53" s="117"/>
      <c r="M53" s="116"/>
      <c r="N53" s="116"/>
      <c r="O53" s="116"/>
    </row>
    <row r="54" spans="2:19" ht="15" hidden="1">
      <c r="B54" s="120"/>
      <c r="C54" s="119"/>
      <c r="L54" s="117"/>
      <c r="M54" s="116"/>
      <c r="N54" s="116"/>
      <c r="O54" s="116"/>
    </row>
    <row r="55" spans="2:19">
      <c r="E55" s="95" t="s">
        <v>198</v>
      </c>
      <c r="L55" s="117"/>
      <c r="M55" s="116"/>
      <c r="N55" s="116"/>
      <c r="O55" s="116"/>
    </row>
    <row r="56" spans="2:19">
      <c r="E56" s="95" t="s">
        <v>199</v>
      </c>
      <c r="L56" s="117"/>
      <c r="M56" s="116"/>
      <c r="N56" s="116"/>
      <c r="O56" s="116"/>
    </row>
    <row r="57" spans="2:19">
      <c r="E57" s="95" t="s">
        <v>200</v>
      </c>
      <c r="L57" s="117"/>
      <c r="M57" s="116"/>
      <c r="N57" s="116"/>
      <c r="O57" s="116"/>
    </row>
    <row r="58" spans="2:19" ht="14.25" thickBot="1">
      <c r="E58" s="95" t="s">
        <v>201</v>
      </c>
      <c r="G58" s="211"/>
      <c r="L58" s="117"/>
      <c r="M58" s="116"/>
      <c r="N58" s="116"/>
      <c r="O58" s="116"/>
    </row>
    <row r="59" spans="2:19" ht="14.25" thickTop="1">
      <c r="L59" s="117"/>
      <c r="M59" s="116"/>
      <c r="N59" s="116"/>
      <c r="O59" s="116"/>
    </row>
    <row r="60" spans="2:19"/>
    <row r="61" spans="2:19"/>
    <row r="62" spans="2:19"/>
    <row r="63" spans="2:19"/>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8">
    <pageSetUpPr fitToPage="1"/>
  </sheetPr>
  <dimension ref="A1:R61"/>
  <sheetViews>
    <sheetView showGridLines="0" topLeftCell="A8" zoomScaleNormal="100" zoomScaleSheetLayoutView="100" workbookViewId="0">
      <selection activeCell="B21" sqref="A1:XFD1048576"/>
    </sheetView>
  </sheetViews>
  <sheetFormatPr defaultColWidth="0" defaultRowHeight="13.5" zeroHeight="1"/>
  <cols>
    <col min="1" max="1" width="1" style="95" customWidth="1"/>
    <col min="2" max="2" width="11.85546875" style="95" customWidth="1"/>
    <col min="3" max="3" width="50.5703125" style="95" customWidth="1"/>
    <col min="4" max="7" width="12.85546875" style="95" customWidth="1"/>
    <col min="8" max="8" width="0.85546875" style="95" customWidth="1"/>
    <col min="9" max="9" width="15.7109375" style="95" customWidth="1"/>
    <col min="10" max="10" width="0.85546875" style="95" customWidth="1"/>
    <col min="11" max="18" width="0" style="95" hidden="1" customWidth="1"/>
    <col min="19" max="16384" width="9.140625" style="95" hidden="1"/>
  </cols>
  <sheetData>
    <row r="1" spans="1:9" s="83" customFormat="1" ht="15">
      <c r="B1" s="51" t="str">
        <f>Index!$B$1</f>
        <v>ABC &amp; Co.</v>
      </c>
      <c r="C1" s="33"/>
      <c r="I1" s="84" t="str">
        <f>Index!D26</f>
        <v>B.S.17 - 8</v>
      </c>
    </row>
    <row r="2" spans="1:9" s="83" customFormat="1">
      <c r="B2" s="33" t="str">
        <f>Index!$B$2</f>
        <v>(Chartered Accountants)</v>
      </c>
      <c r="C2" s="33"/>
      <c r="F2" s="85"/>
    </row>
    <row r="3" spans="1:9" s="83" customFormat="1">
      <c r="B3" s="33"/>
      <c r="C3" s="33"/>
      <c r="F3" s="85"/>
      <c r="H3" s="86"/>
    </row>
    <row r="4" spans="1:9" s="87" customFormat="1" ht="15">
      <c r="B4" s="28" t="str">
        <f>Index!$B$4</f>
        <v xml:space="preserve">Client: </v>
      </c>
      <c r="C4" s="54" t="str">
        <f>Index!$C$4</f>
        <v>ABC Limited</v>
      </c>
      <c r="E4" s="88"/>
      <c r="F4" s="36" t="str">
        <f>Index!$E$4</f>
        <v>Prepared by:</v>
      </c>
      <c r="G4" s="112" t="str">
        <f>IF(Index!$F$4="","",Index!$F$4)</f>
        <v/>
      </c>
      <c r="H4" s="89"/>
    </row>
    <row r="5" spans="1:9" s="87" customFormat="1" ht="15">
      <c r="B5" s="28" t="str">
        <f>Index!$B$5</f>
        <v>Period:</v>
      </c>
      <c r="C5" s="54" t="str">
        <f>Index!$C$5</f>
        <v>Year ended June 30, 2023</v>
      </c>
      <c r="E5" s="90"/>
      <c r="F5" s="36" t="str">
        <f>Index!$E$5</f>
        <v>Date prepared:</v>
      </c>
      <c r="G5" s="113" t="str">
        <f>IF(Index!$F$5="","",Index!$F$5)</f>
        <v/>
      </c>
      <c r="H5" s="89"/>
    </row>
    <row r="6" spans="1:9" s="87" customFormat="1" ht="15">
      <c r="B6" s="28" t="str">
        <f>Index!$B$6</f>
        <v>Head:</v>
      </c>
      <c r="C6" s="54" t="str">
        <f>Index!C6</f>
        <v>Long term financing - Banking and other financial institutions</v>
      </c>
      <c r="D6" s="91"/>
      <c r="E6" s="91"/>
      <c r="F6" s="36" t="str">
        <f>Index!$E$6</f>
        <v>Reviewed by:</v>
      </c>
      <c r="G6" s="112" t="str">
        <f>IF(Index!$F$6="","",Index!$F$6)</f>
        <v/>
      </c>
      <c r="H6" s="92"/>
    </row>
    <row r="7" spans="1:9" s="87" customFormat="1" ht="15">
      <c r="B7" s="93" t="s">
        <v>38</v>
      </c>
      <c r="C7" s="94" t="str">
        <f>Lead!B46</f>
        <v>Banking Companies and Other Financial Institutions</v>
      </c>
      <c r="E7" s="90"/>
      <c r="F7" s="36" t="str">
        <f>Index!$E$7</f>
        <v>Date reviewed:</v>
      </c>
      <c r="G7" s="113" t="str">
        <f>IF(Index!$F$7="","",Index!$F$7)</f>
        <v/>
      </c>
    </row>
    <row r="8" spans="1:9" s="87" customFormat="1" ht="15">
      <c r="B8" s="95"/>
      <c r="C8" s="95"/>
      <c r="E8" s="90"/>
      <c r="H8" s="96"/>
    </row>
    <row r="9" spans="1:9" s="83" customFormat="1" ht="14.25" customHeight="1">
      <c r="B9" s="119" t="s">
        <v>96</v>
      </c>
      <c r="C9" s="119"/>
      <c r="D9" s="119"/>
      <c r="E9" s="119"/>
      <c r="F9" s="119"/>
      <c r="G9" s="119"/>
      <c r="H9" s="119"/>
      <c r="I9" s="119"/>
    </row>
    <row r="10" spans="1:9" ht="15">
      <c r="B10" s="97" t="s">
        <v>18</v>
      </c>
      <c r="C10" s="97"/>
    </row>
    <row r="11" spans="1:9" ht="15">
      <c r="B11" s="98" t="s">
        <v>47</v>
      </c>
      <c r="C11" s="97"/>
    </row>
    <row r="12" spans="1:9" s="83" customFormat="1">
      <c r="B12" s="99" t="s">
        <v>106</v>
      </c>
    </row>
    <row r="13" spans="1:9" s="72" customFormat="1">
      <c r="B13" s="99" t="s">
        <v>46</v>
      </c>
    </row>
    <row r="14" spans="1:9" s="83" customFormat="1">
      <c r="A14" s="72"/>
    </row>
    <row r="15" spans="1:9" s="83" customFormat="1" ht="15">
      <c r="B15" s="100" t="s">
        <v>17</v>
      </c>
    </row>
    <row r="16" spans="1:9" s="83" customFormat="1">
      <c r="B16" s="101" t="s">
        <v>56</v>
      </c>
    </row>
    <row r="17" spans="2:9">
      <c r="B17" s="101" t="s">
        <v>57</v>
      </c>
    </row>
    <row r="18" spans="2:9" s="72" customFormat="1">
      <c r="B18" s="101" t="s">
        <v>48</v>
      </c>
    </row>
    <row r="19" spans="2:9" s="72" customFormat="1">
      <c r="B19" s="101" t="s">
        <v>58</v>
      </c>
    </row>
    <row r="20" spans="2:9" s="72" customFormat="1">
      <c r="B20" s="101" t="s">
        <v>52</v>
      </c>
    </row>
    <row r="21" spans="2:9" s="72" customFormat="1">
      <c r="B21" s="101"/>
    </row>
    <row r="22" spans="2:9" s="72" customFormat="1" ht="15">
      <c r="B22" s="182" t="s">
        <v>172</v>
      </c>
    </row>
    <row r="23" spans="2:9" s="72" customFormat="1">
      <c r="B23" s="183" t="s">
        <v>173</v>
      </c>
    </row>
    <row r="24" spans="2:9" s="72" customFormat="1">
      <c r="B24" s="183"/>
    </row>
    <row r="25" spans="2:9" s="72" customFormat="1" ht="15">
      <c r="B25" s="182" t="s">
        <v>33</v>
      </c>
    </row>
    <row r="26" spans="2:9" s="72" customFormat="1">
      <c r="B26" s="183" t="s">
        <v>32</v>
      </c>
    </row>
    <row r="27" spans="2:9" s="83" customFormat="1" ht="15">
      <c r="B27" s="102"/>
      <c r="C27" s="102"/>
      <c r="D27" s="102"/>
      <c r="E27" s="102"/>
      <c r="F27" s="102"/>
      <c r="G27" s="66"/>
      <c r="H27" s="66"/>
    </row>
    <row r="28" spans="2:9" s="103" customFormat="1" ht="35.25" customHeight="1">
      <c r="D28" s="104" t="str">
        <f>SubLead!B55</f>
        <v>Bank A</v>
      </c>
      <c r="E28" s="105" t="str">
        <f>SubLead!B61</f>
        <v>Bank B</v>
      </c>
      <c r="F28" s="104"/>
      <c r="G28" s="104"/>
      <c r="H28" s="114"/>
      <c r="I28" s="104" t="s">
        <v>55</v>
      </c>
    </row>
    <row r="29" spans="2:9" ht="15">
      <c r="B29" s="97"/>
      <c r="C29" s="97"/>
      <c r="H29" s="115"/>
    </row>
    <row r="30" spans="2:9" ht="15">
      <c r="B30" s="97" t="s">
        <v>97</v>
      </c>
      <c r="C30" s="97"/>
      <c r="D30" s="106"/>
      <c r="E30" s="106"/>
      <c r="F30" s="106"/>
      <c r="G30" s="106"/>
      <c r="H30" s="115"/>
      <c r="I30" s="106"/>
    </row>
    <row r="31" spans="2:9" ht="15">
      <c r="B31" s="97" t="s">
        <v>98</v>
      </c>
      <c r="C31" s="97"/>
      <c r="D31" s="107"/>
      <c r="E31" s="107"/>
      <c r="F31" s="107"/>
      <c r="G31" s="107"/>
      <c r="H31" s="115"/>
      <c r="I31" s="107"/>
    </row>
    <row r="32" spans="2:9" ht="15">
      <c r="B32" s="97" t="s">
        <v>99</v>
      </c>
      <c r="C32" s="97"/>
      <c r="D32" s="97"/>
      <c r="E32" s="97"/>
      <c r="F32" s="97"/>
      <c r="G32" s="97"/>
      <c r="I32" s="97"/>
    </row>
    <row r="33" spans="2:9" ht="15">
      <c r="B33" s="97" t="s">
        <v>100</v>
      </c>
      <c r="C33" s="97"/>
      <c r="D33" s="108"/>
      <c r="E33" s="108"/>
      <c r="F33" s="108"/>
      <c r="G33" s="108"/>
      <c r="I33" s="108"/>
    </row>
    <row r="34" spans="2:9" ht="15">
      <c r="B34" s="97"/>
      <c r="C34" s="97"/>
      <c r="D34" s="97"/>
      <c r="E34" s="97"/>
      <c r="F34" s="97"/>
      <c r="G34" s="97"/>
      <c r="I34" s="97"/>
    </row>
    <row r="35" spans="2:9" ht="15">
      <c r="B35" s="95" t="s">
        <v>101</v>
      </c>
      <c r="C35" s="97"/>
      <c r="D35" s="106"/>
      <c r="E35" s="106"/>
      <c r="F35" s="106"/>
      <c r="G35" s="106"/>
      <c r="I35" s="106"/>
    </row>
    <row r="36" spans="2:9" ht="15">
      <c r="B36" s="95" t="s">
        <v>102</v>
      </c>
      <c r="C36" s="97"/>
      <c r="D36" s="109"/>
      <c r="E36" s="109"/>
      <c r="F36" s="109"/>
      <c r="G36" s="109"/>
      <c r="I36" s="109"/>
    </row>
    <row r="37" spans="2:9" ht="15">
      <c r="B37" s="95" t="s">
        <v>103</v>
      </c>
      <c r="C37" s="97"/>
      <c r="D37" s="107"/>
      <c r="E37" s="107"/>
      <c r="F37" s="107"/>
      <c r="G37" s="107"/>
      <c r="I37" s="107"/>
    </row>
    <row r="38" spans="2:9" ht="15">
      <c r="B38" s="95" t="s">
        <v>104</v>
      </c>
      <c r="C38" s="97"/>
      <c r="D38" s="97"/>
      <c r="E38" s="97"/>
      <c r="F38" s="97"/>
      <c r="G38" s="97"/>
      <c r="I38" s="97"/>
    </row>
    <row r="39" spans="2:9" ht="15">
      <c r="B39" s="95" t="s">
        <v>105</v>
      </c>
      <c r="C39" s="97"/>
      <c r="D39" s="97"/>
      <c r="E39" s="97"/>
      <c r="F39" s="97"/>
      <c r="G39" s="97"/>
      <c r="I39" s="97"/>
    </row>
    <row r="40" spans="2:9" ht="15.75" thickBot="1">
      <c r="B40" s="95" t="s">
        <v>43</v>
      </c>
      <c r="C40" s="97"/>
      <c r="D40" s="110"/>
      <c r="E40" s="110"/>
      <c r="F40" s="110"/>
      <c r="G40" s="110"/>
      <c r="I40" s="110"/>
    </row>
    <row r="41" spans="2:9" ht="15.75" thickTop="1">
      <c r="B41" s="97"/>
      <c r="C41" s="97"/>
    </row>
    <row r="42" spans="2:9" s="72" customFormat="1" ht="15">
      <c r="B42" s="111"/>
    </row>
    <row r="49"/>
    <row r="50"/>
    <row r="51"/>
    <row r="52"/>
    <row r="53"/>
    <row r="54"/>
    <row r="55"/>
    <row r="56"/>
    <row r="57"/>
    <row r="58"/>
    <row r="59"/>
    <row r="60"/>
    <row r="61"/>
  </sheetData>
  <printOptions horizontalCentered="1"/>
  <pageMargins left="0.25" right="0.25" top="0.75" bottom="0.75" header="0.3" footer="0.3"/>
  <pageSetup scale="92" orientation="landscape"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28"/>
  <sheetViews>
    <sheetView showGridLines="0" zoomScaleNormal="100" zoomScaleSheetLayoutView="100" workbookViewId="0">
      <selection activeCell="B1" sqref="B1"/>
    </sheetView>
  </sheetViews>
  <sheetFormatPr defaultColWidth="0" defaultRowHeight="16.5" zeroHeight="1"/>
  <cols>
    <col min="1" max="1" width="1" style="2" customWidth="1"/>
    <col min="2" max="2" width="10" style="2" customWidth="1"/>
    <col min="3" max="3" width="61.42578125" style="2" customWidth="1"/>
    <col min="4" max="5" width="13.5703125" style="2" customWidth="1"/>
    <col min="6" max="6" width="1" style="2" customWidth="1"/>
    <col min="7" max="7" width="9.140625" style="2" hidden="1" customWidth="1"/>
    <col min="8" max="9" width="0" style="2" hidden="1" customWidth="1"/>
    <col min="10" max="16384" width="9.140625" style="2" hidden="1"/>
  </cols>
  <sheetData>
    <row r="1" spans="2:10" s="1" customFormat="1">
      <c r="B1" s="51" t="str">
        <f>Index!$B$1</f>
        <v>ABC &amp; Co.</v>
      </c>
      <c r="C1" s="33"/>
      <c r="D1" s="5"/>
      <c r="E1" s="6" t="str">
        <f>Index!D30</f>
        <v>B.S.17 - 10</v>
      </c>
    </row>
    <row r="2" spans="2:10" s="1" customFormat="1">
      <c r="B2" s="33" t="str">
        <f>Index!$B$2</f>
        <v>(Chartered Accountants)</v>
      </c>
      <c r="C2" s="33"/>
      <c r="D2" s="5"/>
    </row>
    <row r="3" spans="2:10" s="3" customFormat="1">
      <c r="B3" s="33"/>
      <c r="C3" s="33"/>
      <c r="E3" s="2"/>
      <c r="F3" s="2"/>
    </row>
    <row r="4" spans="2:10" s="3" customFormat="1">
      <c r="B4" s="28" t="str">
        <f>Index!$B$4</f>
        <v xml:space="preserve">Client: </v>
      </c>
      <c r="C4" s="54" t="str">
        <f>Index!$C$4</f>
        <v>ABC Limited</v>
      </c>
      <c r="D4" s="36" t="str">
        <f>Index!$E$4</f>
        <v>Prepared by:</v>
      </c>
      <c r="E4" s="112" t="str">
        <f>IF(Index!$F$4="","",Index!$F$4)</f>
        <v/>
      </c>
    </row>
    <row r="5" spans="2:10" s="3" customFormat="1">
      <c r="B5" s="28" t="str">
        <f>Index!$B$5</f>
        <v>Period:</v>
      </c>
      <c r="C5" s="54" t="str">
        <f>Index!$C$5</f>
        <v>Year ended June 30, 2023</v>
      </c>
      <c r="D5" s="36" t="str">
        <f>Index!$E$5</f>
        <v>Date prepared:</v>
      </c>
      <c r="E5" s="113" t="str">
        <f>IF(Index!$F$5="","",Index!$F$5)</f>
        <v/>
      </c>
    </row>
    <row r="6" spans="2:10" s="3" customFormat="1">
      <c r="B6" s="28" t="str">
        <f>Index!$B$6</f>
        <v>Head:</v>
      </c>
      <c r="C6" s="54" t="str">
        <f>Index!C6</f>
        <v>Long term financing - Banking and other financial institutions</v>
      </c>
      <c r="D6" s="36" t="str">
        <f>Index!$E$6</f>
        <v>Reviewed by:</v>
      </c>
      <c r="E6" s="112" t="str">
        <f>IF(Index!$F$6="","",Index!$F$6)</f>
        <v/>
      </c>
    </row>
    <row r="7" spans="2:10">
      <c r="B7" s="3"/>
      <c r="C7" s="3"/>
      <c r="D7" s="36" t="str">
        <f>Index!$E$7</f>
        <v>Date reviewed:</v>
      </c>
      <c r="E7" s="113" t="str">
        <f>IF(Index!$F$7="","",Index!$F$7)</f>
        <v/>
      </c>
      <c r="F7" s="3"/>
    </row>
    <row r="8" spans="2:10" s="3" customFormat="1">
      <c r="B8" s="4" t="s">
        <v>61</v>
      </c>
      <c r="C8" s="4"/>
      <c r="D8" s="4"/>
      <c r="E8" s="4"/>
      <c r="F8" s="7"/>
    </row>
    <row r="9" spans="2:10"/>
    <row r="10" spans="2:10" s="9" customFormat="1" ht="14.25" customHeight="1">
      <c r="B10" s="206" t="s">
        <v>6</v>
      </c>
      <c r="C10" s="206" t="s">
        <v>65</v>
      </c>
      <c r="D10" s="207" t="s">
        <v>62</v>
      </c>
      <c r="E10" s="207"/>
      <c r="F10" s="8"/>
    </row>
    <row r="11" spans="2:10">
      <c r="B11" s="206"/>
      <c r="C11" s="206"/>
      <c r="D11" s="24" t="s">
        <v>63</v>
      </c>
      <c r="E11" s="25" t="s">
        <v>64</v>
      </c>
      <c r="F11" s="10"/>
    </row>
    <row r="12" spans="2:10">
      <c r="B12" s="22"/>
      <c r="C12" s="23"/>
      <c r="D12" s="23"/>
      <c r="E12" s="23"/>
    </row>
    <row r="13" spans="2:10" s="13" customFormat="1">
      <c r="B13" s="11"/>
      <c r="C13" s="12"/>
      <c r="D13" s="12"/>
      <c r="E13" s="12"/>
      <c r="F13" s="2"/>
      <c r="G13" s="2"/>
      <c r="H13" s="2"/>
      <c r="I13" s="2"/>
      <c r="J13" s="2"/>
    </row>
    <row r="14" spans="2:10" s="13" customFormat="1">
      <c r="B14" s="11"/>
      <c r="C14" s="12"/>
      <c r="D14" s="12"/>
      <c r="E14" s="12"/>
      <c r="F14" s="2"/>
      <c r="G14" s="2"/>
      <c r="H14" s="2"/>
      <c r="I14" s="2"/>
      <c r="J14" s="2"/>
    </row>
    <row r="15" spans="2:10" s="13" customFormat="1">
      <c r="B15" s="11"/>
      <c r="C15" s="12"/>
      <c r="D15" s="12"/>
      <c r="E15" s="12"/>
      <c r="F15" s="2"/>
      <c r="G15" s="2"/>
      <c r="H15" s="2"/>
      <c r="I15" s="2"/>
      <c r="J15" s="2"/>
    </row>
    <row r="16" spans="2:10" s="13" customFormat="1">
      <c r="B16" s="11"/>
      <c r="C16" s="12"/>
      <c r="D16" s="12"/>
      <c r="E16" s="12"/>
      <c r="F16" s="2"/>
      <c r="G16" s="2"/>
      <c r="H16" s="2"/>
      <c r="I16" s="2"/>
      <c r="J16" s="2"/>
    </row>
    <row r="17" spans="2:10" s="13" customFormat="1">
      <c r="B17" s="11"/>
      <c r="C17" s="12"/>
      <c r="D17" s="12"/>
      <c r="E17" s="12"/>
      <c r="F17" s="2"/>
      <c r="G17" s="2"/>
      <c r="H17" s="2"/>
      <c r="I17" s="2"/>
      <c r="J17" s="2"/>
    </row>
    <row r="18" spans="2:10" s="13" customFormat="1">
      <c r="B18" s="11"/>
      <c r="C18" s="12"/>
      <c r="D18" s="12"/>
      <c r="E18" s="12"/>
      <c r="F18" s="2"/>
      <c r="G18" s="2"/>
      <c r="H18" s="2"/>
      <c r="I18" s="2"/>
      <c r="J18" s="2"/>
    </row>
    <row r="19" spans="2:10" s="13" customFormat="1">
      <c r="B19" s="11"/>
      <c r="C19" s="12"/>
      <c r="D19" s="12"/>
      <c r="E19" s="12"/>
      <c r="F19" s="2"/>
      <c r="G19" s="2"/>
      <c r="H19" s="2"/>
      <c r="I19" s="2"/>
      <c r="J19" s="2"/>
    </row>
    <row r="20" spans="2:10" s="13" customFormat="1">
      <c r="B20" s="11"/>
      <c r="C20" s="12"/>
      <c r="D20" s="12"/>
      <c r="E20" s="12"/>
      <c r="F20" s="2"/>
      <c r="G20" s="2"/>
      <c r="H20" s="2"/>
      <c r="I20" s="2"/>
      <c r="J20" s="2"/>
    </row>
    <row r="21" spans="2:10" s="13" customFormat="1">
      <c r="B21" s="11"/>
      <c r="C21" s="12"/>
      <c r="D21" s="12"/>
      <c r="E21" s="12"/>
      <c r="F21" s="2"/>
      <c r="G21" s="2"/>
      <c r="H21" s="2"/>
      <c r="I21" s="2"/>
      <c r="J21" s="2"/>
    </row>
    <row r="22" spans="2:10" s="13" customFormat="1">
      <c r="B22" s="11"/>
      <c r="C22" s="14"/>
      <c r="D22" s="15"/>
      <c r="E22" s="15"/>
      <c r="F22" s="2"/>
      <c r="G22" s="2"/>
      <c r="H22" s="2"/>
      <c r="I22" s="2"/>
      <c r="J22" s="2"/>
    </row>
    <row r="23" spans="2:10" s="13" customFormat="1">
      <c r="B23" s="11"/>
      <c r="C23" s="14"/>
      <c r="D23" s="16"/>
      <c r="E23" s="16"/>
    </row>
    <row r="24" spans="2:10" s="13" customFormat="1">
      <c r="B24" s="11"/>
      <c r="C24" s="14"/>
      <c r="D24" s="14"/>
      <c r="E24" s="14"/>
    </row>
    <row r="25" spans="2:10" s="19" customFormat="1" ht="14.25" customHeight="1">
      <c r="B25" s="17"/>
      <c r="C25" s="18"/>
      <c r="D25" s="18"/>
      <c r="E25" s="18"/>
      <c r="F25" s="18"/>
      <c r="G25" s="18"/>
      <c r="H25" s="18"/>
      <c r="I25" s="18"/>
      <c r="J25" s="18"/>
    </row>
    <row r="26" spans="2:10" s="20" customFormat="1" hidden="1"/>
    <row r="27" spans="2:10" s="20" customFormat="1" hidden="1">
      <c r="D27" s="21"/>
      <c r="E27" s="21"/>
      <c r="F27" s="21"/>
      <c r="G27" s="21"/>
      <c r="H27" s="21"/>
      <c r="I27" s="21"/>
    </row>
    <row r="28" spans="2:10" s="20" customFormat="1" hidden="1"/>
  </sheetData>
  <mergeCells count="3">
    <mergeCell ref="B10:B11"/>
    <mergeCell ref="C10:C11"/>
    <mergeCell ref="D10:E10"/>
  </mergeCells>
  <printOptions horizontalCentered="1"/>
  <pageMargins left="0.25" right="0.25" top="0.75" bottom="0.75" header="0.3" footer="0.3"/>
  <pageSetup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8</vt:i4>
      </vt:variant>
    </vt:vector>
  </HeadingPairs>
  <TitlesOfParts>
    <vt:vector size="17" baseType="lpstr">
      <vt:lpstr>Index</vt:lpstr>
      <vt:lpstr>AOC</vt:lpstr>
      <vt:lpstr>Lead</vt:lpstr>
      <vt:lpstr>SubLead</vt:lpstr>
      <vt:lpstr>Loan Obtained-Vouching</vt:lpstr>
      <vt:lpstr>Repayment-Vouching</vt:lpstr>
      <vt:lpstr>Markup Detailed</vt:lpstr>
      <vt:lpstr>Interest-AP</vt:lpstr>
      <vt:lpstr>Adjusting Entries</vt:lpstr>
      <vt:lpstr>'Adjusting Entries'!Print_Area</vt:lpstr>
      <vt:lpstr>AOC!Print_Area</vt:lpstr>
      <vt:lpstr>Index!Print_Area</vt:lpstr>
      <vt:lpstr>'Interest-AP'!Print_Area</vt:lpstr>
      <vt:lpstr>Lead!Print_Area</vt:lpstr>
      <vt:lpstr>'Loan Obtained-Vouching'!Print_Area</vt:lpstr>
      <vt:lpstr>'Repayment-Vouching'!Print_Area</vt:lpstr>
      <vt:lpstr>SubLead!Print_Area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Audit Manager</dc:creator>
  <cp:lastModifiedBy>Zahid</cp:lastModifiedBy>
  <cp:lastPrinted>2017-05-30T06:03:23Z</cp:lastPrinted>
  <dcterms:created xsi:type="dcterms:W3CDTF">2013-09-04T12:17:25Z</dcterms:created>
  <dcterms:modified xsi:type="dcterms:W3CDTF">2023-09-10T07:37:07Z</dcterms:modified>
</cp:coreProperties>
</file>