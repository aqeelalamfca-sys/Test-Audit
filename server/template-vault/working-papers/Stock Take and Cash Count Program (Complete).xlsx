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defaultThemeVersion="124226"/>
  <mc:AlternateContent xmlns:mc="http://schemas.openxmlformats.org/markup-compatibility/2006">
    <mc:Choice Requires="x15">
      <x15ac:absPath xmlns:x15ac="http://schemas.microsoft.com/office/spreadsheetml/2010/11/ac" url="C:\Users\zahid\Desktop\Aqeel Alam &amp; Co\Working Papers\Additional Docs\"/>
    </mc:Choice>
  </mc:AlternateContent>
  <xr:revisionPtr revIDLastSave="0" documentId="13_ncr:1_{05BB91C6-D174-4D9E-9ECE-BD8ABCE6626B}" xr6:coauthVersionLast="47" xr6:coauthVersionMax="47" xr10:uidLastSave="{00000000-0000-0000-0000-000000000000}"/>
  <bookViews>
    <workbookView xWindow="-110" yWindow="-110" windowWidth="19420" windowHeight="10300" tabRatio="838" xr2:uid="{00000000-000D-0000-FFFF-FFFF00000000}"/>
  </bookViews>
  <sheets>
    <sheet name="Index" sheetId="9" r:id="rId1"/>
    <sheet name="Checklist" sheetId="7" r:id="rId2"/>
    <sheet name="Documents Requisition" sheetId="6" r:id="rId3"/>
    <sheet name="Cash Count Sheet" sheetId="2" r:id="rId4"/>
    <sheet name="StockTake Guideline" sheetId="1" r:id="rId5"/>
    <sheet name="Store Spares and Loose Tools" sheetId="8" r:id="rId6"/>
    <sheet name="Cut off - Store" sheetId="3" r:id="rId7"/>
    <sheet name="Cut off - Purchases" sheetId="4" r:id="rId8"/>
    <sheet name="Cut off - Sales" sheetId="5" r:id="rId9"/>
    <sheet name="Cut off - JV" sheetId="10" r:id="rId10"/>
    <sheet name="Cut off - BPV" sheetId="11" r:id="rId11"/>
    <sheet name="Cut off - BRV" sheetId="12" r:id="rId12"/>
    <sheet name="Cut off - CPV" sheetId="13" r:id="rId13"/>
    <sheet name="Cut off - CRV" sheetId="14" r:id="rId14"/>
  </sheets>
  <definedNames>
    <definedName name="___B99999" localSheetId="10">#REF!</definedName>
    <definedName name="___B99999" localSheetId="11">#REF!</definedName>
    <definedName name="___B99999" localSheetId="12">#REF!</definedName>
    <definedName name="___B99999" localSheetId="13">#REF!</definedName>
    <definedName name="___B99999" localSheetId="9">#REF!</definedName>
    <definedName name="___B99999" localSheetId="7">#REF!</definedName>
    <definedName name="___B99999" localSheetId="8">#REF!</definedName>
    <definedName name="___B99999">#REF!</definedName>
    <definedName name="__B99999" localSheetId="10">#REF!</definedName>
    <definedName name="__B99999" localSheetId="11">#REF!</definedName>
    <definedName name="__B99999" localSheetId="12">#REF!</definedName>
    <definedName name="__B99999" localSheetId="13">#REF!</definedName>
    <definedName name="__B99999" localSheetId="9">#REF!</definedName>
    <definedName name="__B99999" localSheetId="7">#REF!</definedName>
    <definedName name="__B99999" localSheetId="8">#REF!</definedName>
    <definedName name="__B99999">#REF!</definedName>
    <definedName name="_B99999" localSheetId="10">#REF!</definedName>
    <definedName name="_B99999" localSheetId="11">#REF!</definedName>
    <definedName name="_B99999" localSheetId="12">#REF!</definedName>
    <definedName name="_B99999" localSheetId="13">#REF!</definedName>
    <definedName name="_B99999" localSheetId="9">#REF!</definedName>
    <definedName name="_B99999" localSheetId="7">#REF!</definedName>
    <definedName name="_B99999" localSheetId="8">#REF!</definedName>
    <definedName name="_B99999">#REF!</definedName>
    <definedName name="_xlnm.Print_Area" localSheetId="3">'Cash Count Sheet'!$A$1:$G$62</definedName>
    <definedName name="_xlnm.Print_Area" localSheetId="1">Checklist!$A$1:$L$95</definedName>
    <definedName name="_xlnm.Print_Area" localSheetId="10">'Cut off - BPV'!$A$1:$F$45</definedName>
    <definedName name="_xlnm.Print_Area" localSheetId="11">'Cut off - BRV'!$A$1:$F$45</definedName>
    <definedName name="_xlnm.Print_Area" localSheetId="12">'Cut off - CPV'!$A$1:$F$45</definedName>
    <definedName name="_xlnm.Print_Area" localSheetId="13">'Cut off - CRV'!$A$1:$F$45</definedName>
    <definedName name="_xlnm.Print_Area" localSheetId="9">'Cut off - JV'!$A$1:$F$45</definedName>
    <definedName name="_xlnm.Print_Area" localSheetId="7">'Cut off - Purchases'!$A$1:$F$45</definedName>
    <definedName name="_xlnm.Print_Area" localSheetId="8">'Cut off - Sales'!$A$1:$F$45</definedName>
    <definedName name="_xlnm.Print_Area" localSheetId="6">'Cut off - Store'!$A$1:$F$45</definedName>
    <definedName name="_xlnm.Print_Area" localSheetId="2">'Documents Requisition'!$A$1:$H$44</definedName>
    <definedName name="_xlnm.Print_Area" localSheetId="4">'StockTake Guideline'!$A$1:$R$211</definedName>
    <definedName name="_xlnm.Print_Area" localSheetId="5">'Store Spares and Loose Tools'!$A$1:$F$64</definedName>
    <definedName name="_xlnm.Print_Titles" localSheetId="1">Checklist!$1:$8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6" l="1"/>
  <c r="A1" i="2"/>
  <c r="A1" i="1"/>
  <c r="A1" i="8"/>
  <c r="A1" i="3"/>
  <c r="A1" i="4"/>
  <c r="A1" i="5"/>
  <c r="A1" i="10"/>
  <c r="A1" i="11"/>
  <c r="A1" i="12"/>
  <c r="A1" i="13"/>
  <c r="A1" i="14"/>
  <c r="A1" i="7"/>
  <c r="A10" i="9"/>
  <c r="A11" i="9" s="1"/>
  <c r="A12" i="9" s="1"/>
  <c r="A13" i="9" s="1"/>
  <c r="A14" i="9" s="1"/>
  <c r="A15" i="9" s="1"/>
  <c r="A16" i="9" s="1"/>
  <c r="A17" i="9" s="1"/>
  <c r="A18" i="9" s="1"/>
  <c r="A19" i="9" s="1"/>
  <c r="A20" i="9" s="1"/>
  <c r="A21" i="9" s="1"/>
  <c r="A22" i="9" s="1"/>
  <c r="A23" i="9" s="1"/>
  <c r="A24" i="9" s="1"/>
  <c r="A25" i="9" s="1"/>
  <c r="A30" i="14"/>
  <c r="A20" i="14"/>
  <c r="A10" i="14"/>
  <c r="A30" i="13"/>
  <c r="A20" i="13"/>
  <c r="A10" i="13"/>
  <c r="A30" i="12"/>
  <c r="A20" i="12"/>
  <c r="A10" i="12"/>
  <c r="A30" i="11"/>
  <c r="A20" i="11"/>
  <c r="A10" i="11"/>
  <c r="A30" i="10"/>
  <c r="A20" i="10"/>
  <c r="A10" i="10"/>
  <c r="A30" i="5"/>
  <c r="A20" i="5"/>
  <c r="A10" i="5"/>
  <c r="A30" i="4"/>
  <c r="A20" i="4"/>
  <c r="A10" i="4"/>
  <c r="A37" i="8" l="1"/>
  <c r="A4" i="8"/>
  <c r="A41" i="8"/>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8" i="8"/>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4" i="6" l="1"/>
  <c r="A60" i="2"/>
  <c r="A34" i="8" l="1"/>
  <c r="A2" i="2"/>
  <c r="A61" i="2" s="1"/>
  <c r="A2" i="8"/>
  <c r="A35" i="8" s="1"/>
  <c r="A2" i="14"/>
  <c r="A2" i="10"/>
  <c r="A2" i="13"/>
  <c r="A2" i="5"/>
  <c r="A2" i="1"/>
  <c r="A2" i="12"/>
  <c r="A2" i="4"/>
  <c r="A2" i="11"/>
  <c r="A2" i="3"/>
  <c r="A2" i="7"/>
  <c r="A2" i="6"/>
</calcChain>
</file>

<file path=xl/sharedStrings.xml><?xml version="1.0" encoding="utf-8"?>
<sst xmlns="http://schemas.openxmlformats.org/spreadsheetml/2006/main" count="619" uniqueCount="299">
  <si>
    <t>Client Name:</t>
  </si>
  <si>
    <t>Nature of Business:</t>
  </si>
  <si>
    <t>Year Ended</t>
  </si>
  <si>
    <t>Current Year Arrangements</t>
  </si>
  <si>
    <t>Stock Taking Started On:</t>
  </si>
  <si>
    <t>No. of Days:</t>
  </si>
  <si>
    <t>Stock Taking Completed On:</t>
  </si>
  <si>
    <t>Working Days:</t>
  </si>
  <si>
    <t>Hours</t>
  </si>
  <si>
    <t>Supervised By:</t>
  </si>
  <si>
    <t>Junior(s): 1</t>
  </si>
  <si>
    <t>Last Year Arrangements:</t>
  </si>
  <si>
    <t>Statistics of Stock Checking</t>
  </si>
  <si>
    <t>% Checked</t>
  </si>
  <si>
    <t>Places</t>
  </si>
  <si>
    <t xml:space="preserve"> </t>
  </si>
  <si>
    <t>Raw Materials:</t>
  </si>
  <si>
    <t>Work in Process:</t>
  </si>
  <si>
    <t>Finished Goods:</t>
  </si>
  <si>
    <t>Wastes:</t>
  </si>
  <si>
    <t>Stores and Spares:</t>
  </si>
  <si>
    <t>Obsolete Stores and Spares</t>
  </si>
  <si>
    <t>Stores held for capital expenditure:</t>
  </si>
  <si>
    <t>Others:</t>
  </si>
  <si>
    <t>Instructions:</t>
  </si>
  <si>
    <t>Yes/No</t>
  </si>
  <si>
    <t>Remarks</t>
  </si>
  <si>
    <t>1-</t>
  </si>
  <si>
    <t>Have written instructions been given to client staff?</t>
  </si>
  <si>
    <t>2-</t>
  </si>
  <si>
    <t>Has the client already reconciled/counted the stock?</t>
  </si>
  <si>
    <t>3-</t>
  </si>
  <si>
    <t>Does the client's stock checking team have the familiarity with stocks/stores?</t>
  </si>
  <si>
    <t>Client's Environment:</t>
  </si>
  <si>
    <t>Whether or not the stocks and stores:</t>
  </si>
  <si>
    <t>----</t>
  </si>
  <si>
    <t>properly safeguarded:</t>
  </si>
  <si>
    <t>in good condition; and</t>
  </si>
  <si>
    <t>kept in a systematic manner.</t>
  </si>
  <si>
    <t>Whether or not:</t>
  </si>
  <si>
    <t>the production areas were ready for checking of work in process;</t>
  </si>
  <si>
    <t xml:space="preserve">the mills were still working at the time of checking; and if yes, how </t>
  </si>
  <si>
    <t>was the work in process verified.</t>
  </si>
  <si>
    <t>stock of third parties;</t>
  </si>
  <si>
    <t>stock sold but not dispatched;</t>
  </si>
  <si>
    <t>stock received but not entered as purchases</t>
  </si>
  <si>
    <t>4-</t>
  </si>
  <si>
    <t>Whether or not the receipts and issues were controlled during stock taking.</t>
  </si>
  <si>
    <t>5-</t>
  </si>
  <si>
    <t>Whether or not the obsolete/sub standard stock was marked on the sheets.</t>
  </si>
  <si>
    <t>6-</t>
  </si>
  <si>
    <t>Whether or not inventory sheets for all stocks/stores provided.</t>
  </si>
  <si>
    <t>Results of Stock Checking:</t>
  </si>
  <si>
    <t>Stocks Actually</t>
  </si>
  <si>
    <t>%</t>
  </si>
  <si>
    <t>Counted</t>
  </si>
  <si>
    <t>Measured</t>
  </si>
  <si>
    <t>Weighed</t>
  </si>
  <si>
    <t>Estimated</t>
  </si>
  <si>
    <t>If stocks were actually estimated give reasons thereof and basis</t>
  </si>
  <si>
    <t>of estimation</t>
  </si>
  <si>
    <t>Ascertain whether or not the inventory sheets were in agreement</t>
  </si>
  <si>
    <t>with registers/bin cards</t>
  </si>
  <si>
    <t>Ascertain whether or not the stock/store registers corrected in case</t>
  </si>
  <si>
    <t>of differences.</t>
  </si>
  <si>
    <t>General</t>
  </si>
  <si>
    <t>Is some stocks/stores first checked and then located in inventories?.</t>
  </si>
  <si>
    <t>How stocks loaded in Trucks, Wagons, etc. checked/accounted for?</t>
  </si>
  <si>
    <t>Are precious, handy/household items checked?</t>
  </si>
  <si>
    <t xml:space="preserve">Are inventories signed by the members of stock counting teams and </t>
  </si>
  <si>
    <t>responsible officers?</t>
  </si>
  <si>
    <t>Is any inquiry made regarding the reasons for such issuance from main</t>
  </si>
  <si>
    <t>Stock and stores held by third parties/stock and stores of third</t>
  </si>
  <si>
    <t>parties held by the client:</t>
  </si>
  <si>
    <t>Is certificate of stock and stores  held by third parties obtained?</t>
  </si>
  <si>
    <t>Is reasons for such stock and stores lying with third parties checked?</t>
  </si>
  <si>
    <t>Cash and Bank</t>
  </si>
  <si>
    <t>Is cash/imprest physically counted and duly signed details obtained?</t>
  </si>
  <si>
    <t>counted, date and time?</t>
  </si>
  <si>
    <t xml:space="preserve">Are details of IOUs, unposted vouchers and stamps/revenue stamps </t>
  </si>
  <si>
    <t>taken?</t>
  </si>
  <si>
    <t>Have details (showing name of banks, values, dates of deposits/maturity/</t>
  </si>
  <si>
    <t xml:space="preserve">interest rates, etc.) of bank deposits alongwith photocopies or deposit </t>
  </si>
  <si>
    <t>receipts obtained?</t>
  </si>
  <si>
    <t>Have balance confirmation requests for banks got signed by client for</t>
  </si>
  <si>
    <t>onward submission to banks and dispatch details prepared?</t>
  </si>
  <si>
    <t>Postage Stamps and Franking Machines</t>
  </si>
  <si>
    <t>Are the stamps physically checked?</t>
  </si>
  <si>
    <t xml:space="preserve">Is balance in postage register reconciled with physical balance and </t>
  </si>
  <si>
    <t>closed by signing the register?</t>
  </si>
  <si>
    <t>Is balance in franking machine checked/noted?</t>
  </si>
  <si>
    <t>Investments</t>
  </si>
  <si>
    <t>Is list of investments checked with financial record?</t>
  </si>
  <si>
    <t>Is certificate for 'investments not in hand' obtained?</t>
  </si>
  <si>
    <t>Are transfer deeds checked and noted for investments not in client's name?</t>
  </si>
  <si>
    <t>Vehicles</t>
  </si>
  <si>
    <t>Has list of vehicles duly signed by client obtained and registration books</t>
  </si>
  <si>
    <t>checked?</t>
  </si>
  <si>
    <t>Have vehicles not in client's name noted?</t>
  </si>
  <si>
    <t>Have assets owned by the client but not in its occupation/custody noted?</t>
  </si>
  <si>
    <t>Cash/Bank Receipts</t>
  </si>
  <si>
    <t>Receipts and Payment Vouchers</t>
  </si>
  <si>
    <t>Gate inward and outward passes</t>
  </si>
  <si>
    <t>Delivery and Receipts Challans</t>
  </si>
  <si>
    <t>Sale Invoices</t>
  </si>
  <si>
    <t>Purchase Receipts Notes</t>
  </si>
  <si>
    <t>Stores/stocks issues Notes</t>
  </si>
  <si>
    <t>Dispatch Notes</t>
  </si>
  <si>
    <t>Others (Specify)</t>
  </si>
  <si>
    <t>Internal Controls</t>
  </si>
  <si>
    <t xml:space="preserve">Is frequency of periodic stock checking by client itself during the </t>
  </si>
  <si>
    <t>year noted?</t>
  </si>
  <si>
    <t>Is Management's policies for carrying out periodic stock checking noted?</t>
  </si>
  <si>
    <t>Is Management's procedures for the counts reviewed and noted?</t>
  </si>
  <si>
    <t>Scrap</t>
  </si>
  <si>
    <t>Is physical count of scrap owned by the client done; if not state reasons"</t>
  </si>
  <si>
    <t>Is the scrap valued/estimated qualitatively will meet the materiality levels</t>
  </si>
  <si>
    <t>within the framework of financial statements?</t>
  </si>
  <si>
    <t>Is record of scrap maintained by the client?</t>
  </si>
  <si>
    <t>Is scrap physically checked and reconciled with the scrap registers?</t>
  </si>
  <si>
    <t>Is the management policies for scrapping/discarding the items inquired</t>
  </si>
  <si>
    <t>and reviewed?</t>
  </si>
  <si>
    <t>Others</t>
  </si>
  <si>
    <t xml:space="preserve">Is certificates obtained that company has no other stocks and stores </t>
  </si>
  <si>
    <t xml:space="preserve">If certificate obtained for stores held for capital expenditures or that no </t>
  </si>
  <si>
    <t>specific stores are held for capital expenditure?</t>
  </si>
  <si>
    <t>Was stock taking correctly carried out and on the face of it the result can</t>
  </si>
  <si>
    <t>be relied upon?</t>
  </si>
  <si>
    <t xml:space="preserve">Prepare a schedule of any weaknesses in company's stock taking </t>
  </si>
  <si>
    <t>procedures and results of our test counts together with suggestions</t>
  </si>
  <si>
    <t>for improvements?</t>
  </si>
  <si>
    <t>Date:</t>
  </si>
  <si>
    <t xml:space="preserve">                                   </t>
  </si>
  <si>
    <t>Denomination</t>
  </si>
  <si>
    <t>Numbers</t>
  </si>
  <si>
    <t>Amount</t>
  </si>
  <si>
    <t>X</t>
  </si>
  <si>
    <t>=</t>
  </si>
  <si>
    <t>Sub total</t>
  </si>
  <si>
    <t>Adjustment if cash is counted at the date of other than the cut off date (if any)</t>
  </si>
  <si>
    <t>Grand total</t>
  </si>
  <si>
    <t>Balance as per cash book</t>
  </si>
  <si>
    <t>For Client</t>
  </si>
  <si>
    <t>Name:</t>
  </si>
  <si>
    <t>Signed:</t>
  </si>
  <si>
    <t>Whether or not the followings were included in stocks:</t>
  </si>
  <si>
    <t>Is stocks and stores lying in sub stores physically checked?</t>
  </si>
  <si>
    <t>stores  to sub stores?</t>
  </si>
  <si>
    <t>There is no cash in hand except that which is disclosed</t>
  </si>
  <si>
    <t>Designation</t>
  </si>
  <si>
    <t>Client :</t>
  </si>
  <si>
    <t>Date of count :</t>
  </si>
  <si>
    <t>Location :</t>
  </si>
  <si>
    <t>For and on behalf of,</t>
  </si>
  <si>
    <t>Year ended :</t>
  </si>
  <si>
    <t>Time :</t>
  </si>
  <si>
    <t>CASH COUNT DETAIL</t>
  </si>
  <si>
    <t>CASH COUNT SHEET</t>
  </si>
  <si>
    <t>Manager:</t>
  </si>
  <si>
    <t>% Remained Unchecked</t>
  </si>
  <si>
    <t>Extent of Verification</t>
  </si>
  <si>
    <t>Is list of investments duly signed by client showing investments and distinctive numbers, face values and quantity contained (including bonus shares) obtained?</t>
  </si>
  <si>
    <t>Stores held for capital expenditure</t>
  </si>
  <si>
    <t>Prepared By:</t>
  </si>
  <si>
    <t>Reviewed By:</t>
  </si>
  <si>
    <t>Date</t>
  </si>
  <si>
    <t xml:space="preserve">CONCLUSION:  </t>
  </si>
  <si>
    <t>Subject:</t>
  </si>
  <si>
    <t>Voucher #</t>
  </si>
  <si>
    <t>Demand #</t>
  </si>
  <si>
    <t>Issuance #</t>
  </si>
  <si>
    <t>Description</t>
  </si>
  <si>
    <t>Year Ended:</t>
  </si>
  <si>
    <t>Delivery Challan #</t>
  </si>
  <si>
    <t>Goods Received Note #</t>
  </si>
  <si>
    <t>Purchase Invoice #</t>
  </si>
  <si>
    <t>Sales 
Invoice #</t>
  </si>
  <si>
    <t xml:space="preserve">              Date:</t>
  </si>
  <si>
    <t>Sr. No.</t>
  </si>
  <si>
    <t>Particulars</t>
  </si>
  <si>
    <t>Tick</t>
  </si>
  <si>
    <t>Signed Inventory Sheets of:</t>
  </si>
  <si>
    <t>a.</t>
  </si>
  <si>
    <t>Stores, Spares and Loose tools</t>
  </si>
  <si>
    <t>b.</t>
  </si>
  <si>
    <t>Raw Material</t>
  </si>
  <si>
    <t>c.</t>
  </si>
  <si>
    <t>Work in Process</t>
  </si>
  <si>
    <t>d.</t>
  </si>
  <si>
    <t>Finished goods</t>
  </si>
  <si>
    <t>e.</t>
  </si>
  <si>
    <t>Scrap Items</t>
  </si>
  <si>
    <t>f.</t>
  </si>
  <si>
    <t>Waste Stock</t>
  </si>
  <si>
    <t>Cut off Documents</t>
  </si>
  <si>
    <t>Certificates of:</t>
  </si>
  <si>
    <t>All Stock declared to Auditors</t>
  </si>
  <si>
    <t>No Captilized items other than declared</t>
  </si>
  <si>
    <t>No Obsolete or Slow Moving Items other than declared</t>
  </si>
  <si>
    <t>No Third party Stocks held by the Company other than declared</t>
  </si>
  <si>
    <t>No stock of company held by third party other than declared</t>
  </si>
  <si>
    <t>g.</t>
  </si>
  <si>
    <t>IOU's</t>
  </si>
  <si>
    <t>h.</t>
  </si>
  <si>
    <t>Pledge Stock Certificate</t>
  </si>
  <si>
    <t>Receiver's Signature</t>
  </si>
  <si>
    <t>Date &amp; Time</t>
  </si>
  <si>
    <t>Client Name</t>
  </si>
  <si>
    <t>The following tasks should be carried out before the physical inventory begins:</t>
  </si>
  <si>
    <t xml:space="preserve">The physical inventory pre-printed checklist should be completed and supporting schedules will be prepared to cover the following: </t>
  </si>
  <si>
    <t xml:space="preserve">Notes of inventory movement during the count. </t>
  </si>
  <si>
    <t xml:space="preserve">Details of last number prior to physical inventory in respect of: </t>
  </si>
  <si>
    <t xml:space="preserve">Goods received </t>
  </si>
  <si>
    <t xml:space="preserve">Goods dispatched </t>
  </si>
  <si>
    <t xml:space="preserve">Internal movement of goods </t>
  </si>
  <si>
    <t xml:space="preserve">Details of numbering of inventory sheets used and destroyed and of control of their issue to and return by those carrying out the physical inventory. </t>
  </si>
  <si>
    <t xml:space="preserve">Schedules of items counted by the auditor showing their valuation (this valuation may have to be completed at final visit). </t>
  </si>
  <si>
    <t xml:space="preserve">Details of any old, obsolete, damaged or excess inventories noted during the attendance. </t>
  </si>
  <si>
    <t xml:space="preserve">Comments on adequacy of custody. </t>
  </si>
  <si>
    <t xml:space="preserve">The working paper should be prepared in such a manner that the information can be easily followed up at the final audit visit. Test counts for example should have been traced to the stock sheets to confirm that they are a proper record of the results of the physical inventory. </t>
  </si>
  <si>
    <t xml:space="preserve">The auditor should be aware of the approximate value of the various inventory items as he may wish to cover high value items in his test count. The valuation of the items counted by the auditors should be recorded during the count or, if not possible, at the final audit visit. </t>
  </si>
  <si>
    <t xml:space="preserve">Where it is considered that physical inventory has been unsatisfactory in any major respect that matter should be reported immediately to the manager or partner concerned so that the necessity for a second physical inventory can be considered and discussed with the client. </t>
  </si>
  <si>
    <t xml:space="preserve">At the final audit the information obtained at the physical inventory will be followed up. The work to be carried out will include: </t>
  </si>
  <si>
    <t xml:space="preserve">An overall review of the working papers to assess the effectiveness of the physical count and whether the final audit program work should be altered as a result. </t>
  </si>
  <si>
    <t>A check of the cut-off using the information obtained or the last goods received and dispatched note numbers.</t>
  </si>
  <si>
    <t>A check of the auditor’s test count items to the final inventory sheets.</t>
  </si>
  <si>
    <t>A test that the final inventory sheets include only the inventories counted by reference to the details of numbering of inventory sheets obtained during the observation.</t>
  </si>
  <si>
    <t>A test to ensure that inventory records have been adjusted to agree with the physical inventory.</t>
  </si>
  <si>
    <t xml:space="preserve">A  discussion  with  management  of  any  weakness  which  arose,  and  if appropriate include points in the internal control memorandum. </t>
  </si>
  <si>
    <t xml:space="preserve">Review adequacy of instructions using the pre-printed checklist and discuss any weaknesses in instruction with the client. </t>
  </si>
  <si>
    <t>Arrange for letters to be sent to third parties holding inventories on behalf of  client, requesting confirmation of these inventories to be sent direct to the auditors with a copy to the client. The main task during the count to see that the client’s employees are carrying out their instructions properly.</t>
  </si>
  <si>
    <t>Yes , No , N/A</t>
  </si>
  <si>
    <t>Performed</t>
  </si>
  <si>
    <t>Obtain a copy of the client’s inventory instructions.</t>
  </si>
  <si>
    <t>CUT OFF PROCEDURES - STORES</t>
  </si>
  <si>
    <t>CUT OFF PROCEDURES - PURCHASES</t>
  </si>
  <si>
    <t>CUT OFF PROCEDURES - SALES</t>
  </si>
  <si>
    <t>Auditors' Signature</t>
  </si>
  <si>
    <t>Is stock and stores of the client held by third parties checked, if yes then follow instructions on Page 1 - 3, if not then:</t>
  </si>
  <si>
    <t>Is confirmation letter addressed to the third parties got signed by the client for onward dispatch to such parties?</t>
  </si>
  <si>
    <t>Mark subsequent movement in inventory and trace in financial record such as sales register</t>
  </si>
  <si>
    <t>Cut off information</t>
  </si>
  <si>
    <t>Have the last numbers of following documents obtained and duly recorded? Mark cut off on client's documents and obtain copy for record purpose.</t>
  </si>
  <si>
    <t>except for the lists of stock provided?</t>
  </si>
  <si>
    <t>Is Management's policies for identifying damaged or slow moving stock noted?</t>
  </si>
  <si>
    <t>Supervisor:</t>
  </si>
  <si>
    <t>Revenue stamps (Details attached)</t>
  </si>
  <si>
    <t>Cheques (Details attached)</t>
  </si>
  <si>
    <t>I.O.U.s (Details attached)</t>
  </si>
  <si>
    <t>i.</t>
  </si>
  <si>
    <t>Stock in transit, if any</t>
  </si>
  <si>
    <t>Cash in hand</t>
  </si>
  <si>
    <t>DESCRIPTION</t>
  </si>
  <si>
    <t>SR. #</t>
  </si>
  <si>
    <t>Documents Requisition</t>
  </si>
  <si>
    <t>Stock Take Guideline</t>
  </si>
  <si>
    <t>Cash Count Sheets</t>
  </si>
  <si>
    <t>Cut off - Store and Supporting Documents</t>
  </si>
  <si>
    <t>Cut off - Purchases and Supporting Documents</t>
  </si>
  <si>
    <t>Cut off - Sales and Supporting Documents</t>
  </si>
  <si>
    <t>Inventory Sheets - Received from Client</t>
  </si>
  <si>
    <t>Certificates - Received from Client</t>
  </si>
  <si>
    <t>INDEX OF CASH COUNT, STOCK TAKE AND FIXED ASSETS VERIFICATION FILE</t>
  </si>
  <si>
    <t>Stores, Spare and Loose Tools - Verification Sheets</t>
  </si>
  <si>
    <t>Fixed Assets Listing - Received from Client</t>
  </si>
  <si>
    <t>STOCK TAKE GUIDELINE</t>
  </si>
  <si>
    <t>Cut off - Journal Vouchers</t>
  </si>
  <si>
    <t>Cut off - Bank Payment Vouchers</t>
  </si>
  <si>
    <t>Cut off - Bank Receipt Vouchers</t>
  </si>
  <si>
    <t>Cut off - Cash Payment Vouchers</t>
  </si>
  <si>
    <t>Cut off - Cash receipt Vouchers</t>
  </si>
  <si>
    <t>CUT OFF PROCEDURES - JOURNAL VOUCHER</t>
  </si>
  <si>
    <t>CUT OFF PROCEDURES - BANK PAYMENT VOUCHER</t>
  </si>
  <si>
    <t>CUT OFF PROCEDURES - BANK RECEIPT VOUCHER</t>
  </si>
  <si>
    <t>CUT OFF PROCEDURES - CASH PAYMENT VOUCHER</t>
  </si>
  <si>
    <t>CUT OFF PROCEDURES - CASH RECEIPT VOUCHER</t>
  </si>
  <si>
    <t>Cheque #</t>
  </si>
  <si>
    <t>Receipt #</t>
  </si>
  <si>
    <t>Statutory Bonds (Details attached)</t>
  </si>
  <si>
    <t>Invoice #</t>
  </si>
  <si>
    <t>STOCK TAKE CHECKLIST</t>
  </si>
  <si>
    <t>Stock Take Checklist</t>
  </si>
  <si>
    <t>REF #</t>
  </si>
  <si>
    <t>A follow up of all outstanding queries including obsolete items etc. noted at the attendance of the physical inventory.</t>
  </si>
  <si>
    <t>Is cash book balance closed by signing and writing the details of cash</t>
  </si>
  <si>
    <t>Audit Procedures</t>
  </si>
  <si>
    <t>Signature</t>
  </si>
  <si>
    <t>(Chartered Accountants)</t>
  </si>
  <si>
    <t>Product Type &amp; Code</t>
  </si>
  <si>
    <t>Quantity Observed</t>
  </si>
  <si>
    <t>Quantity Per Stock Report</t>
  </si>
  <si>
    <t>Difference</t>
  </si>
  <si>
    <t>Sr. #</t>
  </si>
  <si>
    <t>OPENING TRANSACTIONS AS AT 01-07-2022</t>
  </si>
  <si>
    <t>CLOSING TRANSACTIONS AS AT 30-06-2023</t>
  </si>
  <si>
    <t>OPENING TRANSACTION - SUBSEQUENT AFTER 30-06-2023</t>
  </si>
  <si>
    <t>I owe you.</t>
  </si>
  <si>
    <r>
      <t xml:space="preserve">Client </t>
    </r>
    <r>
      <rPr>
        <sz val="11"/>
        <color rgb="FFC00000"/>
        <rFont val="Book Antiqua"/>
        <family val="1"/>
      </rPr>
      <t>___________________________________________________________</t>
    </r>
  </si>
  <si>
    <t>ABC &amp;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</si>
</sst>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5" x14ac:knownFonts="1">
    <font>
      <sz val="12"/>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sz val="10"/>
      <name val="News Gothic MT"/>
      <family val="2"/>
    </font>
    <font>
      <b/>
      <sz val="11"/>
      <name val="Book Antiqua"/>
      <family val="1"/>
    </font>
    <font>
      <sz val="11"/>
      <name val="Book Antiqua"/>
      <family val="1"/>
    </font>
    <font>
      <i/>
      <sz val="11"/>
      <name val="Book Antiqua"/>
      <family val="1"/>
    </font>
    <font>
      <b/>
      <u/>
      <sz val="11"/>
      <name val="Book Antiqua"/>
      <family val="1"/>
    </font>
    <font>
      <b/>
      <sz val="11"/>
      <color indexed="8"/>
      <name val="Book Antiqua"/>
      <family val="1"/>
    </font>
    <font>
      <sz val="11"/>
      <color indexed="8"/>
      <name val="Book Antiqua"/>
      <family val="1"/>
    </font>
    <font>
      <b/>
      <sz val="11"/>
      <color theme="1"/>
      <name val="Book Antiqua"/>
      <family val="1"/>
    </font>
    <font>
      <sz val="11"/>
      <color theme="1"/>
      <name val="Book Antiqua"/>
      <family val="1"/>
    </font>
    <font>
      <sz val="11"/>
      <color rgb="FF000000"/>
      <name val="Book Antiqua"/>
      <family val="1"/>
    </font>
    <font>
      <u/>
      <sz val="11"/>
      <name val="Book Antiqua"/>
      <family val="1"/>
    </font>
    <font>
      <b/>
      <sz val="11"/>
      <color indexed="12"/>
      <name val="Book Antiqua"/>
      <family val="1"/>
    </font>
    <font>
      <sz val="11"/>
      <color rgb="FFC00000"/>
      <name val="Book Antiqua"/>
      <family val="1"/>
    </font>
    <font>
      <u/>
      <sz val="11"/>
      <color rgb="FFC00000"/>
      <name val="Book Antiqua"/>
      <family val="1"/>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8"/>
      </top>
      <bottom/>
      <diagonal/>
    </border>
    <border>
      <left/>
      <right/>
      <top/>
      <bottom style="thin">
        <color indexed="8"/>
      </bottom>
      <diagonal/>
    </border>
    <border>
      <left style="thin">
        <color indexed="8"/>
      </left>
      <right/>
      <top/>
      <bottom/>
      <diagonal/>
    </border>
    <border>
      <left/>
      <right style="thin">
        <color indexed="8"/>
      </right>
      <top/>
      <bottom/>
      <diagonal/>
    </border>
    <border>
      <left/>
      <right/>
      <top style="thin">
        <color indexed="8"/>
      </top>
      <bottom style="thin">
        <color indexed="8"/>
      </bottom>
      <diagonal/>
    </border>
    <border>
      <left/>
      <right/>
      <top/>
      <bottom style="thin">
        <color indexed="64"/>
      </bottom>
      <diagonal/>
    </border>
    <border>
      <left/>
      <right/>
      <top style="thin">
        <color indexed="64"/>
      </top>
      <bottom style="thin">
        <color indexed="64"/>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bottom/>
      <diagonal/>
    </border>
    <border>
      <left/>
      <right style="thin">
        <color theme="1"/>
      </right>
      <top/>
      <bottom/>
      <diagonal/>
    </border>
    <border>
      <left/>
      <right style="thin">
        <color indexed="8"/>
      </right>
      <top/>
      <bottom style="thin">
        <color theme="1"/>
      </bottom>
      <diagonal/>
    </border>
    <border>
      <left style="thin">
        <color indexed="8"/>
      </left>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
      <left style="medium">
        <color rgb="FFC00000"/>
      </left>
      <right style="medium">
        <color rgb="FFC00000"/>
      </right>
      <top style="medium">
        <color rgb="FFC00000"/>
      </top>
      <bottom style="medium">
        <color rgb="FFC0000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rgb="FFC00000"/>
      </left>
      <right style="medium">
        <color rgb="FFC00000"/>
      </right>
      <top style="medium">
        <color rgb="FFC00000"/>
      </top>
      <bottom/>
      <diagonal/>
    </border>
    <border>
      <left style="dashed">
        <color rgb="FFC00000"/>
      </left>
      <right style="dashed">
        <color rgb="FFC00000"/>
      </right>
      <top style="dashed">
        <color rgb="FFC00000"/>
      </top>
      <bottom style="dashed">
        <color rgb="FFC00000"/>
      </bottom>
      <diagonal/>
    </border>
    <border>
      <left style="medium">
        <color rgb="FFC00000"/>
      </left>
      <right style="medium">
        <color rgb="FFC00000"/>
      </right>
      <top/>
      <bottom style="medium">
        <color rgb="FFC00000"/>
      </bottom>
      <diagonal/>
    </border>
    <border>
      <left style="dashed">
        <color rgb="FFC00000"/>
      </left>
      <right/>
      <top style="dashed">
        <color rgb="FFC00000"/>
      </top>
      <bottom/>
      <diagonal/>
    </border>
    <border>
      <left/>
      <right/>
      <top style="dashed">
        <color rgb="FFC00000"/>
      </top>
      <bottom/>
      <diagonal/>
    </border>
    <border>
      <left/>
      <right style="dashed">
        <color rgb="FFC00000"/>
      </right>
      <top style="dashed">
        <color rgb="FFC00000"/>
      </top>
      <bottom/>
      <diagonal/>
    </border>
    <border>
      <left style="dashed">
        <color rgb="FFC00000"/>
      </left>
      <right/>
      <top/>
      <bottom/>
      <diagonal/>
    </border>
    <border>
      <left/>
      <right style="dashed">
        <color rgb="FFC00000"/>
      </right>
      <top/>
      <bottom/>
      <diagonal/>
    </border>
    <border>
      <left style="dashed">
        <color rgb="FFC00000"/>
      </left>
      <right/>
      <top/>
      <bottom style="dashed">
        <color rgb="FFC00000"/>
      </bottom>
      <diagonal/>
    </border>
    <border>
      <left/>
      <right/>
      <top/>
      <bottom style="dashed">
        <color rgb="FFC00000"/>
      </bottom>
      <diagonal/>
    </border>
    <border>
      <left/>
      <right style="dashed">
        <color rgb="FFC00000"/>
      </right>
      <top/>
      <bottom style="dashed">
        <color rgb="FFC00000"/>
      </bottom>
      <diagonal/>
    </border>
    <border>
      <left style="dashed">
        <color rgb="FFC00000"/>
      </left>
      <right style="dashed">
        <color rgb="FFC00000"/>
      </right>
      <top/>
      <bottom style="dashed">
        <color rgb="FFC00000"/>
      </bottom>
      <diagonal/>
    </border>
    <border>
      <left style="dashed">
        <color rgb="FFC00000"/>
      </left>
      <right style="dashed">
        <color rgb="FFC00000"/>
      </right>
      <top style="medium">
        <color rgb="FFC00000"/>
      </top>
      <bottom style="dashed">
        <color rgb="FFC00000"/>
      </bottom>
      <diagonal/>
    </border>
    <border>
      <left style="dashed">
        <color rgb="FFC00000"/>
      </left>
      <right style="dashed">
        <color rgb="FFC00000"/>
      </right>
      <top style="medium">
        <color rgb="FFC00000"/>
      </top>
      <bottom/>
      <diagonal/>
    </border>
    <border>
      <left style="dashed">
        <color rgb="FFC00000"/>
      </left>
      <right style="dashed">
        <color rgb="FFC00000"/>
      </right>
      <top/>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dashed">
        <color rgb="FFC00000"/>
      </left>
      <right/>
      <top style="dashed">
        <color rgb="FFC00000"/>
      </top>
      <bottom style="dashed">
        <color rgb="FFC00000"/>
      </bottom>
      <diagonal/>
    </border>
    <border>
      <left/>
      <right/>
      <top style="dashed">
        <color rgb="FFC00000"/>
      </top>
      <bottom style="dashed">
        <color rgb="FFC00000"/>
      </bottom>
      <diagonal/>
    </border>
    <border>
      <left/>
      <right style="dashed">
        <color rgb="FFC00000"/>
      </right>
      <top style="dashed">
        <color rgb="FFC00000"/>
      </top>
      <bottom style="dashed">
        <color rgb="FFC00000"/>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dashed">
        <color rgb="FFC00000"/>
      </left>
      <right/>
      <top style="medium">
        <color rgb="FFC00000"/>
      </top>
      <bottom/>
      <diagonal/>
    </border>
    <border>
      <left/>
      <right/>
      <top/>
      <bottom style="thin">
        <color indexed="8"/>
      </bottom>
      <diagonal/>
    </border>
    <border>
      <left style="medium">
        <color rgb="FFC00000"/>
      </left>
      <right/>
      <top/>
      <bottom/>
      <diagonal/>
    </border>
    <border>
      <left/>
      <right style="dashed">
        <color rgb="FFC00000"/>
      </right>
      <top style="medium">
        <color rgb="FFC00000"/>
      </top>
      <bottom/>
      <diagonal/>
    </border>
    <border>
      <left/>
      <right style="thin">
        <color theme="1"/>
      </right>
      <top/>
      <bottom style="dashed">
        <color rgb="FFC00000"/>
      </bottom>
      <diagonal/>
    </border>
    <border>
      <left style="thin">
        <color indexed="8"/>
      </left>
      <right/>
      <top/>
      <bottom style="medium">
        <color rgb="FFC00000"/>
      </bottom>
      <diagonal/>
    </border>
    <border>
      <left/>
      <right style="thin">
        <color indexed="8"/>
      </right>
      <top/>
      <bottom style="medium">
        <color rgb="FFC00000"/>
      </bottom>
      <diagonal/>
    </border>
    <border>
      <left style="thin">
        <color indexed="8"/>
      </left>
      <right/>
      <top/>
      <bottom style="dashed">
        <color rgb="FFC00000"/>
      </bottom>
      <diagonal/>
    </border>
    <border>
      <left/>
      <right style="thin">
        <color indexed="8"/>
      </right>
      <top/>
      <bottom style="dashed">
        <color rgb="FFC00000"/>
      </bottom>
      <diagonal/>
    </border>
  </borders>
  <cellStyleXfs count="4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164" fontId="2"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3" fillId="0" borderId="0"/>
    <xf numFmtId="0" fontId="3"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 fillId="0" borderId="0"/>
    <xf numFmtId="0" fontId="21" fillId="0" borderId="0"/>
    <xf numFmtId="0" fontId="1" fillId="0" borderId="0"/>
    <xf numFmtId="0" fontId="2" fillId="0" borderId="0"/>
  </cellStyleXfs>
  <cellXfs count="201">
    <xf numFmtId="0" fontId="0" fillId="0" borderId="0" xfId="0"/>
    <xf numFmtId="0" fontId="22" fillId="0" borderId="0" xfId="0" applyFont="1" applyAlignment="1">
      <alignment horizontal="left"/>
    </xf>
    <xf numFmtId="0" fontId="23" fillId="0" borderId="0" xfId="0" applyFont="1"/>
    <xf numFmtId="0" fontId="23" fillId="0" borderId="0" xfId="0" applyFont="1" applyAlignment="1">
      <alignment horizontal="center" vertical="center"/>
    </xf>
    <xf numFmtId="0" fontId="23" fillId="0" borderId="0" xfId="0" applyFont="1" applyAlignment="1">
      <alignment vertical="center"/>
    </xf>
    <xf numFmtId="0" fontId="23" fillId="0" borderId="0" xfId="0" applyFont="1" applyAlignment="1">
      <alignment horizontal="center"/>
    </xf>
    <xf numFmtId="0" fontId="23" fillId="0" borderId="0" xfId="0" quotePrefix="1" applyFont="1"/>
    <xf numFmtId="0" fontId="22" fillId="0" borderId="0" xfId="0" applyFont="1"/>
    <xf numFmtId="0" fontId="23" fillId="0" borderId="0" xfId="0" applyFont="1" applyAlignment="1">
      <alignment wrapText="1"/>
    </xf>
    <xf numFmtId="0" fontId="24" fillId="0" borderId="0" xfId="0" applyFont="1"/>
    <xf numFmtId="0" fontId="23" fillId="0" borderId="0" xfId="0" applyFont="1" applyAlignment="1">
      <alignment horizontal="left"/>
    </xf>
    <xf numFmtId="0" fontId="23" fillId="0" borderId="11" xfId="0" applyFont="1" applyBorder="1"/>
    <xf numFmtId="0" fontId="23" fillId="0" borderId="10" xfId="0" applyFont="1" applyBorder="1"/>
    <xf numFmtId="0" fontId="25" fillId="0" borderId="0" xfId="0" applyFont="1"/>
    <xf numFmtId="0" fontId="23" fillId="0" borderId="17" xfId="0" applyFont="1" applyBorder="1"/>
    <xf numFmtId="0" fontId="23" fillId="0" borderId="14" xfId="0" applyFont="1" applyBorder="1"/>
    <xf numFmtId="0" fontId="23" fillId="0" borderId="0" xfId="0" applyFont="1" applyAlignment="1">
      <alignment horizontal="right"/>
    </xf>
    <xf numFmtId="0" fontId="23" fillId="0" borderId="12" xfId="0" applyFont="1" applyBorder="1"/>
    <xf numFmtId="0" fontId="23" fillId="0" borderId="13" xfId="0" applyFont="1" applyBorder="1"/>
    <xf numFmtId="0" fontId="23" fillId="0" borderId="20" xfId="0" applyFont="1" applyBorder="1"/>
    <xf numFmtId="0" fontId="23" fillId="0" borderId="21" xfId="0" applyFont="1" applyBorder="1"/>
    <xf numFmtId="0" fontId="23" fillId="0" borderId="18" xfId="0" applyFont="1" applyBorder="1"/>
    <xf numFmtId="0" fontId="23" fillId="0" borderId="19" xfId="0" applyFont="1" applyBorder="1"/>
    <xf numFmtId="0" fontId="23" fillId="0" borderId="22" xfId="0" applyFont="1" applyBorder="1"/>
    <xf numFmtId="0" fontId="23" fillId="0" borderId="23" xfId="0" applyFont="1" applyBorder="1"/>
    <xf numFmtId="0" fontId="26" fillId="24" borderId="0" xfId="38" applyFont="1" applyFill="1"/>
    <xf numFmtId="0" fontId="27" fillId="24" borderId="0" xfId="38" applyFont="1" applyFill="1"/>
    <xf numFmtId="0" fontId="27" fillId="24" borderId="15" xfId="38" applyFont="1" applyFill="1" applyBorder="1"/>
    <xf numFmtId="0" fontId="27" fillId="24" borderId="0" xfId="38" applyFont="1" applyFill="1" applyAlignment="1">
      <alignment vertical="center"/>
    </xf>
    <xf numFmtId="0" fontId="28" fillId="25" borderId="0" xfId="46" applyFont="1" applyFill="1"/>
    <xf numFmtId="0" fontId="29" fillId="25" borderId="0" xfId="46" applyFont="1" applyFill="1"/>
    <xf numFmtId="0" fontId="23" fillId="0" borderId="0" xfId="46" applyFont="1"/>
    <xf numFmtId="0" fontId="22" fillId="25" borderId="0" xfId="0" applyFont="1" applyFill="1"/>
    <xf numFmtId="0" fontId="23" fillId="25" borderId="0" xfId="0" applyFont="1" applyFill="1"/>
    <xf numFmtId="0" fontId="23" fillId="25" borderId="0" xfId="0" applyFont="1" applyFill="1" applyAlignment="1">
      <alignment horizontal="center"/>
    </xf>
    <xf numFmtId="0" fontId="30" fillId="25" borderId="0" xfId="0" applyFont="1" applyFill="1" applyAlignment="1">
      <alignment horizontal="left" vertical="center"/>
    </xf>
    <xf numFmtId="0" fontId="30" fillId="25" borderId="0" xfId="0" applyFont="1" applyFill="1" applyAlignment="1">
      <alignment horizontal="justify" vertical="center"/>
    </xf>
    <xf numFmtId="0" fontId="23" fillId="25" borderId="0" xfId="0" applyFont="1" applyFill="1" applyAlignment="1">
      <alignment horizontal="left"/>
    </xf>
    <xf numFmtId="0" fontId="22" fillId="0" borderId="0" xfId="44" applyFont="1"/>
    <xf numFmtId="0" fontId="23" fillId="0" borderId="0" xfId="44" applyFont="1"/>
    <xf numFmtId="0" fontId="23" fillId="0" borderId="0" xfId="44" applyFont="1" applyAlignment="1">
      <alignment horizontal="right"/>
    </xf>
    <xf numFmtId="0" fontId="31" fillId="0" borderId="0" xfId="44" applyFont="1"/>
    <xf numFmtId="0" fontId="23" fillId="0" borderId="0" xfId="44" applyFont="1" applyAlignment="1">
      <alignment horizontal="center"/>
    </xf>
    <xf numFmtId="0" fontId="22" fillId="0" borderId="24" xfId="44" applyFont="1" applyBorder="1" applyAlignment="1">
      <alignment vertical="center"/>
    </xf>
    <xf numFmtId="0" fontId="23" fillId="0" borderId="16" xfId="44" applyFont="1" applyBorder="1" applyAlignment="1">
      <alignment vertical="center"/>
    </xf>
    <xf numFmtId="0" fontId="22" fillId="0" borderId="16" xfId="44" applyFont="1" applyBorder="1" applyAlignment="1">
      <alignment horizontal="center" vertical="center"/>
    </xf>
    <xf numFmtId="0" fontId="23" fillId="0" borderId="25" xfId="44" applyFont="1" applyBorder="1" applyAlignment="1">
      <alignment vertical="center"/>
    </xf>
    <xf numFmtId="0" fontId="23" fillId="0" borderId="0" xfId="44" applyFont="1" applyAlignment="1">
      <alignment vertical="center"/>
    </xf>
    <xf numFmtId="0" fontId="22" fillId="0" borderId="0" xfId="44" applyFont="1" applyAlignment="1">
      <alignment vertical="center"/>
    </xf>
    <xf numFmtId="0" fontId="23" fillId="0" borderId="0" xfId="44" applyFont="1" applyAlignment="1">
      <alignment wrapText="1"/>
    </xf>
    <xf numFmtId="0" fontId="23" fillId="0" borderId="15" xfId="44" applyFont="1" applyBorder="1"/>
    <xf numFmtId="0" fontId="23" fillId="0" borderId="16" xfId="44" applyFont="1" applyBorder="1"/>
    <xf numFmtId="0" fontId="23" fillId="0" borderId="0" xfId="47" applyFont="1"/>
    <xf numFmtId="0" fontId="23" fillId="0" borderId="0" xfId="47" applyFont="1" applyAlignment="1">
      <alignment horizontal="center"/>
    </xf>
    <xf numFmtId="0" fontId="32" fillId="0" borderId="0" xfId="47" applyFont="1"/>
    <xf numFmtId="49" fontId="23" fillId="0" borderId="0" xfId="47" applyNumberFormat="1" applyFont="1" applyAlignment="1">
      <alignment horizontal="center"/>
    </xf>
    <xf numFmtId="0" fontId="26" fillId="24" borderId="0" xfId="38" applyFont="1" applyFill="1" applyAlignment="1">
      <alignment horizontal="center"/>
    </xf>
    <xf numFmtId="3" fontId="27" fillId="24" borderId="0" xfId="28" applyNumberFormat="1" applyFont="1" applyFill="1" applyAlignment="1">
      <alignment horizontal="center" vertical="center"/>
    </xf>
    <xf numFmtId="0" fontId="27" fillId="24" borderId="0" xfId="38" applyFont="1" applyFill="1" applyAlignment="1">
      <alignment horizontal="center" vertical="center"/>
    </xf>
    <xf numFmtId="0" fontId="27" fillId="24" borderId="0" xfId="38" quotePrefix="1" applyFont="1" applyFill="1" applyAlignment="1">
      <alignment horizontal="center" vertical="center"/>
    </xf>
    <xf numFmtId="3" fontId="27" fillId="24" borderId="0" xfId="28" applyNumberFormat="1" applyFont="1" applyFill="1" applyBorder="1" applyAlignment="1">
      <alignment horizontal="center" vertical="center"/>
    </xf>
    <xf numFmtId="3" fontId="27" fillId="24" borderId="0" xfId="28" applyNumberFormat="1" applyFont="1" applyFill="1" applyBorder="1" applyAlignment="1">
      <alignment horizontal="left" vertical="center"/>
    </xf>
    <xf numFmtId="0" fontId="26" fillId="24" borderId="0" xfId="38" applyFont="1" applyFill="1" applyAlignment="1">
      <alignment vertical="center"/>
    </xf>
    <xf numFmtId="0" fontId="27" fillId="24" borderId="15" xfId="38" applyFont="1" applyFill="1" applyBorder="1" applyAlignment="1">
      <alignment vertical="center"/>
    </xf>
    <xf numFmtId="0" fontId="27" fillId="24" borderId="16" xfId="38" applyFont="1" applyFill="1" applyBorder="1"/>
    <xf numFmtId="0" fontId="27" fillId="24" borderId="0" xfId="38" applyFont="1" applyFill="1" applyAlignment="1">
      <alignment horizontal="left"/>
    </xf>
    <xf numFmtId="0" fontId="28" fillId="0" borderId="27" xfId="0" applyFont="1" applyBorder="1" applyAlignment="1">
      <alignment horizontal="center" vertical="center"/>
    </xf>
    <xf numFmtId="0" fontId="22" fillId="0" borderId="0" xfId="0" applyFont="1" applyAlignment="1">
      <alignment horizontal="center" vertical="center"/>
    </xf>
    <xf numFmtId="0" fontId="23" fillId="0" borderId="35" xfId="0" applyFont="1" applyBorder="1" applyAlignment="1">
      <alignment horizontal="center" vertical="center"/>
    </xf>
    <xf numFmtId="0" fontId="23" fillId="0" borderId="35" xfId="0" applyFont="1" applyBorder="1" applyAlignment="1">
      <alignment vertical="center"/>
    </xf>
    <xf numFmtId="0" fontId="23" fillId="0" borderId="35" xfId="0" applyFont="1" applyBorder="1"/>
    <xf numFmtId="0" fontId="22" fillId="0" borderId="34" xfId="0" applyFont="1" applyBorder="1" applyAlignment="1">
      <alignment horizontal="center"/>
    </xf>
    <xf numFmtId="0" fontId="22" fillId="0" borderId="36" xfId="0" applyFont="1" applyBorder="1" applyAlignment="1">
      <alignment horizontal="center"/>
    </xf>
    <xf numFmtId="0" fontId="30" fillId="25" borderId="40" xfId="0" applyFont="1" applyFill="1" applyBorder="1" applyAlignment="1">
      <alignment horizontal="justify" vertical="center"/>
    </xf>
    <xf numFmtId="0" fontId="23" fillId="25" borderId="40" xfId="0" applyFont="1" applyFill="1" applyBorder="1"/>
    <xf numFmtId="0" fontId="30" fillId="25" borderId="40" xfId="0" applyFont="1" applyFill="1" applyBorder="1" applyAlignment="1">
      <alignment horizontal="left" vertical="center"/>
    </xf>
    <xf numFmtId="0" fontId="30" fillId="25" borderId="42" xfId="0" applyFont="1" applyFill="1" applyBorder="1" applyAlignment="1">
      <alignment horizontal="left" vertical="center"/>
    </xf>
    <xf numFmtId="0" fontId="23" fillId="25" borderId="43" xfId="0" applyFont="1" applyFill="1" applyBorder="1" applyAlignment="1">
      <alignment horizontal="left"/>
    </xf>
    <xf numFmtId="0" fontId="23" fillId="25" borderId="43" xfId="0" applyFont="1" applyFill="1" applyBorder="1"/>
    <xf numFmtId="0" fontId="23" fillId="25" borderId="47" xfId="0" applyFont="1" applyFill="1" applyBorder="1" applyAlignment="1">
      <alignment horizontal="center"/>
    </xf>
    <xf numFmtId="0" fontId="23" fillId="25" borderId="48" xfId="0" applyFont="1" applyFill="1" applyBorder="1" applyAlignment="1">
      <alignment horizontal="center"/>
    </xf>
    <xf numFmtId="0" fontId="23" fillId="25" borderId="45" xfId="0" applyFont="1" applyFill="1" applyBorder="1" applyAlignment="1">
      <alignment horizontal="center"/>
    </xf>
    <xf numFmtId="0" fontId="23" fillId="25" borderId="47" xfId="0" applyFont="1" applyFill="1" applyBorder="1"/>
    <xf numFmtId="0" fontId="23" fillId="25" borderId="48" xfId="0" applyFont="1" applyFill="1" applyBorder="1"/>
    <xf numFmtId="0" fontId="23" fillId="25" borderId="45" xfId="0" applyFont="1" applyFill="1" applyBorder="1"/>
    <xf numFmtId="0" fontId="30" fillId="25" borderId="42" xfId="0" applyFont="1" applyFill="1" applyBorder="1" applyAlignment="1">
      <alignment horizontal="justify" vertical="center"/>
    </xf>
    <xf numFmtId="0" fontId="30" fillId="25" borderId="43" xfId="0" applyFont="1" applyFill="1" applyBorder="1" applyAlignment="1">
      <alignment horizontal="justify" vertical="center"/>
    </xf>
    <xf numFmtId="0" fontId="28" fillId="25" borderId="35" xfId="46" applyFont="1" applyFill="1" applyBorder="1" applyAlignment="1">
      <alignment horizontal="center" vertical="center"/>
    </xf>
    <xf numFmtId="0" fontId="29" fillId="25" borderId="35" xfId="46" applyFont="1" applyFill="1" applyBorder="1" applyAlignment="1">
      <alignment vertical="center"/>
    </xf>
    <xf numFmtId="0" fontId="29" fillId="25" borderId="35" xfId="46" applyFont="1" applyFill="1" applyBorder="1" applyAlignment="1">
      <alignment horizontal="right" vertical="center"/>
    </xf>
    <xf numFmtId="0" fontId="29" fillId="25" borderId="52" xfId="46" applyFont="1" applyFill="1" applyBorder="1" applyAlignment="1">
      <alignment horizontal="left" vertical="center" wrapText="1" indent="3"/>
    </xf>
    <xf numFmtId="0" fontId="29" fillId="25" borderId="53" xfId="46" applyFont="1" applyFill="1" applyBorder="1" applyAlignment="1">
      <alignment horizontal="left" vertical="center" wrapText="1" indent="3"/>
    </xf>
    <xf numFmtId="0" fontId="29" fillId="25" borderId="54" xfId="46" applyFont="1" applyFill="1" applyBorder="1" applyAlignment="1">
      <alignment horizontal="left" vertical="center" wrapText="1" indent="3"/>
    </xf>
    <xf numFmtId="0" fontId="22" fillId="0" borderId="0" xfId="46" applyFont="1"/>
    <xf numFmtId="0" fontId="23" fillId="0" borderId="0" xfId="46" applyFont="1" applyAlignment="1">
      <alignment horizontal="center"/>
    </xf>
    <xf numFmtId="3" fontId="27" fillId="24" borderId="35" xfId="28" applyNumberFormat="1" applyFont="1" applyFill="1" applyBorder="1" applyAlignment="1">
      <alignment horizontal="center" vertical="center"/>
    </xf>
    <xf numFmtId="0" fontId="27" fillId="24" borderId="35" xfId="38" applyFont="1" applyFill="1" applyBorder="1" applyAlignment="1">
      <alignment vertical="center"/>
    </xf>
    <xf numFmtId="0" fontId="26" fillId="24" borderId="35" xfId="38" applyFont="1" applyFill="1" applyBorder="1" applyAlignment="1">
      <alignment vertical="center"/>
    </xf>
    <xf numFmtId="0" fontId="27" fillId="24" borderId="35" xfId="38" applyFont="1" applyFill="1" applyBorder="1"/>
    <xf numFmtId="0" fontId="23" fillId="0" borderId="47" xfId="0" applyFont="1" applyBorder="1"/>
    <xf numFmtId="0" fontId="23" fillId="0" borderId="48" xfId="0" applyFont="1" applyBorder="1"/>
    <xf numFmtId="0" fontId="23" fillId="0" borderId="45" xfId="0" applyFont="1" applyBorder="1"/>
    <xf numFmtId="0" fontId="23" fillId="0" borderId="58" xfId="0" applyFont="1" applyBorder="1"/>
    <xf numFmtId="0" fontId="23" fillId="0" borderId="40" xfId="0" applyFont="1" applyBorder="1"/>
    <xf numFmtId="0" fontId="23" fillId="0" borderId="42" xfId="0" applyFont="1" applyBorder="1"/>
    <xf numFmtId="0" fontId="23" fillId="0" borderId="59" xfId="0" applyFont="1" applyBorder="1"/>
    <xf numFmtId="0" fontId="23" fillId="0" borderId="29" xfId="0" applyFont="1" applyBorder="1"/>
    <xf numFmtId="0" fontId="23" fillId="0" borderId="43" xfId="0" applyFont="1" applyBorder="1"/>
    <xf numFmtId="0" fontId="23" fillId="0" borderId="60" xfId="0" applyFont="1" applyBorder="1" applyAlignment="1">
      <alignment vertical="center"/>
    </xf>
    <xf numFmtId="0" fontId="23" fillId="0" borderId="61" xfId="0" applyFont="1" applyBorder="1"/>
    <xf numFmtId="0" fontId="23" fillId="0" borderId="41" xfId="0" applyFont="1" applyBorder="1"/>
    <xf numFmtId="0" fontId="23" fillId="0" borderId="44" xfId="0" applyFont="1" applyBorder="1"/>
    <xf numFmtId="0" fontId="29" fillId="0" borderId="27" xfId="0" applyFont="1" applyBorder="1" applyAlignment="1">
      <alignment horizontal="center"/>
    </xf>
    <xf numFmtId="0" fontId="23" fillId="0" borderId="43" xfId="0" applyFont="1" applyBorder="1" applyAlignment="1">
      <alignment horizontal="center"/>
    </xf>
    <xf numFmtId="0" fontId="23" fillId="0" borderId="37" xfId="0" applyFont="1" applyBorder="1"/>
    <xf numFmtId="0" fontId="23" fillId="0" borderId="39" xfId="0" applyFont="1" applyBorder="1"/>
    <xf numFmtId="0" fontId="23" fillId="0" borderId="38" xfId="0" applyFont="1" applyBorder="1"/>
    <xf numFmtId="0" fontId="23" fillId="0" borderId="62" xfId="0" applyFont="1" applyBorder="1"/>
    <xf numFmtId="0" fontId="23" fillId="0" borderId="63" xfId="0" applyFont="1" applyBorder="1"/>
    <xf numFmtId="0" fontId="23" fillId="0" borderId="64" xfId="0" applyFont="1" applyBorder="1"/>
    <xf numFmtId="0" fontId="23" fillId="0" borderId="32" xfId="0" applyFont="1" applyBorder="1"/>
    <xf numFmtId="0" fontId="23" fillId="0" borderId="65" xfId="0" applyFont="1" applyBorder="1"/>
    <xf numFmtId="0" fontId="23" fillId="0" borderId="66" xfId="0" applyFont="1" applyBorder="1"/>
    <xf numFmtId="0" fontId="28" fillId="0" borderId="49" xfId="47" applyFont="1" applyBorder="1" applyAlignment="1">
      <alignment horizontal="left"/>
    </xf>
    <xf numFmtId="0" fontId="29" fillId="0" borderId="50" xfId="47" applyFont="1" applyBorder="1"/>
    <xf numFmtId="0" fontId="29" fillId="0" borderId="51" xfId="47" applyFont="1" applyBorder="1"/>
    <xf numFmtId="0" fontId="22" fillId="0" borderId="27" xfId="47" applyFont="1" applyBorder="1" applyAlignment="1">
      <alignment horizontal="center" vertical="center"/>
    </xf>
    <xf numFmtId="0" fontId="22" fillId="0" borderId="27" xfId="47" applyFont="1" applyBorder="1" applyAlignment="1">
      <alignment horizontal="center" vertical="center" wrapText="1"/>
    </xf>
    <xf numFmtId="49" fontId="22" fillId="0" borderId="27" xfId="47" applyNumberFormat="1" applyFont="1" applyBorder="1" applyAlignment="1">
      <alignment horizontal="center" vertical="center" wrapText="1"/>
    </xf>
    <xf numFmtId="0" fontId="23" fillId="0" borderId="46" xfId="47" applyFont="1" applyBorder="1" applyAlignment="1">
      <alignment horizontal="center" vertical="center"/>
    </xf>
    <xf numFmtId="0" fontId="23" fillId="0" borderId="46" xfId="0" quotePrefix="1" applyFont="1" applyBorder="1" applyAlignment="1">
      <alignment vertical="center"/>
    </xf>
    <xf numFmtId="49" fontId="23" fillId="0" borderId="46" xfId="47" applyNumberFormat="1" applyFont="1" applyBorder="1" applyAlignment="1">
      <alignment horizontal="center" vertical="center"/>
    </xf>
    <xf numFmtId="0" fontId="23" fillId="0" borderId="35" xfId="47" applyFont="1" applyBorder="1" applyAlignment="1">
      <alignment horizontal="center" vertical="center"/>
    </xf>
    <xf numFmtId="0" fontId="23" fillId="0" borderId="35" xfId="0" quotePrefix="1" applyFont="1" applyBorder="1" applyAlignment="1">
      <alignment vertical="center"/>
    </xf>
    <xf numFmtId="49" fontId="23" fillId="0" borderId="35" xfId="47" applyNumberFormat="1" applyFont="1" applyBorder="1" applyAlignment="1">
      <alignment horizontal="center" vertical="center"/>
    </xf>
    <xf numFmtId="0" fontId="22" fillId="0" borderId="35" xfId="44" applyFont="1" applyBorder="1" applyAlignment="1">
      <alignment horizontal="center" vertical="center" wrapText="1"/>
    </xf>
    <xf numFmtId="0" fontId="23" fillId="0" borderId="35" xfId="44" applyFont="1" applyBorder="1"/>
    <xf numFmtId="0" fontId="22" fillId="0" borderId="34" xfId="44" applyFont="1" applyBorder="1" applyAlignment="1">
      <alignment horizontal="center" vertical="center" wrapText="1"/>
    </xf>
    <xf numFmtId="0" fontId="23" fillId="0" borderId="46" xfId="44" applyFont="1" applyBorder="1"/>
    <xf numFmtId="0" fontId="30" fillId="25" borderId="58" xfId="0" applyFont="1" applyFill="1" applyBorder="1" applyAlignment="1">
      <alignment horizontal="justify" vertical="center"/>
    </xf>
    <xf numFmtId="0" fontId="34" fillId="0" borderId="0" xfId="46" applyFont="1"/>
    <xf numFmtId="49" fontId="22" fillId="0" borderId="0" xfId="46" applyNumberFormat="1" applyFont="1"/>
    <xf numFmtId="0" fontId="22" fillId="0" borderId="28"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31"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34" xfId="0" applyFont="1" applyBorder="1" applyAlignment="1">
      <alignment horizontal="center" vertical="center"/>
    </xf>
    <xf numFmtId="0" fontId="22" fillId="0" borderId="36" xfId="0" applyFont="1" applyBorder="1" applyAlignment="1">
      <alignment horizontal="center" vertical="center"/>
    </xf>
    <xf numFmtId="0" fontId="30" fillId="25" borderId="0" xfId="0" applyFont="1" applyFill="1" applyAlignment="1">
      <alignment horizontal="justify" vertical="center"/>
    </xf>
    <xf numFmtId="0" fontId="30" fillId="25" borderId="40" xfId="0" applyFont="1" applyFill="1" applyBorder="1" applyAlignment="1">
      <alignment horizontal="justify" vertical="center"/>
    </xf>
    <xf numFmtId="0" fontId="23" fillId="0" borderId="34" xfId="0" applyFont="1" applyBorder="1" applyAlignment="1">
      <alignment horizontal="center" vertical="center"/>
    </xf>
    <xf numFmtId="0" fontId="23" fillId="0" borderId="36" xfId="0" applyFont="1" applyBorder="1" applyAlignment="1">
      <alignment horizontal="center" vertical="center"/>
    </xf>
    <xf numFmtId="0" fontId="30" fillId="25" borderId="0" xfId="0" applyFont="1" applyFill="1" applyAlignment="1">
      <alignment horizontal="left" vertical="center"/>
    </xf>
    <xf numFmtId="0" fontId="28" fillId="25" borderId="35" xfId="46" applyFont="1" applyFill="1" applyBorder="1" applyAlignment="1">
      <alignment vertical="center" wrapText="1"/>
    </xf>
    <xf numFmtId="0" fontId="28" fillId="25" borderId="35" xfId="46" applyFont="1" applyFill="1" applyBorder="1" applyAlignment="1">
      <alignment horizontal="left" vertical="center"/>
    </xf>
    <xf numFmtId="0" fontId="22" fillId="0" borderId="49" xfId="46" applyFont="1" applyBorder="1" applyAlignment="1">
      <alignment horizontal="center" vertical="center" wrapText="1"/>
    </xf>
    <xf numFmtId="0" fontId="22" fillId="0" borderId="50" xfId="46" applyFont="1" applyBorder="1" applyAlignment="1">
      <alignment horizontal="center" vertical="center" wrapText="1"/>
    </xf>
    <xf numFmtId="0" fontId="22" fillId="0" borderId="51" xfId="46" applyFont="1" applyBorder="1" applyAlignment="1">
      <alignment horizontal="center" vertical="center" wrapText="1"/>
    </xf>
    <xf numFmtId="0" fontId="22" fillId="0" borderId="34" xfId="46" applyFont="1" applyBorder="1" applyAlignment="1">
      <alignment horizontal="center" vertical="center" wrapText="1"/>
    </xf>
    <xf numFmtId="0" fontId="22" fillId="0" borderId="36" xfId="46" applyFont="1" applyBorder="1" applyAlignment="1">
      <alignment horizontal="center" vertical="center" wrapText="1"/>
    </xf>
    <xf numFmtId="0" fontId="22" fillId="0" borderId="28" xfId="46" applyFont="1" applyBorder="1" applyAlignment="1">
      <alignment horizontal="center" vertical="center" wrapText="1"/>
    </xf>
    <xf numFmtId="0" fontId="22" fillId="0" borderId="29" xfId="46" applyFont="1" applyBorder="1" applyAlignment="1">
      <alignment horizontal="center" vertical="center" wrapText="1"/>
    </xf>
    <xf numFmtId="0" fontId="22" fillId="0" borderId="30" xfId="46" applyFont="1" applyBorder="1" applyAlignment="1">
      <alignment horizontal="center" vertical="center" wrapText="1"/>
    </xf>
    <xf numFmtId="0" fontId="22" fillId="0" borderId="31" xfId="46" applyFont="1" applyBorder="1" applyAlignment="1">
      <alignment horizontal="center" vertical="center" wrapText="1"/>
    </xf>
    <xf numFmtId="0" fontId="22" fillId="0" borderId="32" xfId="46" applyFont="1" applyBorder="1" applyAlignment="1">
      <alignment horizontal="center" vertical="center" wrapText="1"/>
    </xf>
    <xf numFmtId="0" fontId="22" fillId="0" borderId="33" xfId="46" applyFont="1" applyBorder="1" applyAlignment="1">
      <alignment horizontal="center" vertical="center" wrapText="1"/>
    </xf>
    <xf numFmtId="0" fontId="28" fillId="25" borderId="26" xfId="46" applyFont="1" applyFill="1" applyBorder="1" applyAlignment="1">
      <alignment horizontal="center"/>
    </xf>
    <xf numFmtId="0" fontId="29" fillId="25" borderId="35" xfId="46" applyFont="1" applyFill="1" applyBorder="1" applyAlignment="1">
      <alignment horizontal="left" vertical="center" wrapText="1" indent="3"/>
    </xf>
    <xf numFmtId="0" fontId="28" fillId="0" borderId="55" xfId="38" applyFont="1" applyBorder="1" applyAlignment="1">
      <alignment horizontal="center"/>
    </xf>
    <xf numFmtId="0" fontId="28" fillId="0" borderId="56" xfId="38" applyFont="1" applyBorder="1" applyAlignment="1">
      <alignment horizontal="center"/>
    </xf>
    <xf numFmtId="0" fontId="28" fillId="0" borderId="57" xfId="38" applyFont="1" applyBorder="1" applyAlignment="1">
      <alignment horizontal="center"/>
    </xf>
    <xf numFmtId="0" fontId="27" fillId="24" borderId="15" xfId="38" applyFont="1" applyFill="1" applyBorder="1" applyAlignment="1">
      <alignment horizontal="center"/>
    </xf>
    <xf numFmtId="0" fontId="27" fillId="24" borderId="15" xfId="38" applyFont="1" applyFill="1" applyBorder="1" applyAlignment="1">
      <alignment horizontal="center" vertical="center"/>
    </xf>
    <xf numFmtId="0" fontId="27" fillId="24" borderId="0" xfId="38" applyFont="1" applyFill="1" applyAlignment="1">
      <alignment vertical="center" wrapText="1"/>
    </xf>
    <xf numFmtId="0" fontId="27" fillId="24" borderId="15" xfId="38" applyFont="1" applyFill="1" applyBorder="1"/>
    <xf numFmtId="0" fontId="23" fillId="0" borderId="0" xfId="0" applyFont="1" applyAlignment="1">
      <alignment wrapText="1"/>
    </xf>
    <xf numFmtId="0" fontId="29" fillId="0" borderId="34" xfId="0" applyFont="1" applyBorder="1" applyAlignment="1">
      <alignment horizontal="center" vertical="center"/>
    </xf>
    <xf numFmtId="0" fontId="29" fillId="0" borderId="36" xfId="0" applyFont="1" applyBorder="1" applyAlignment="1">
      <alignment horizontal="center" vertical="center"/>
    </xf>
    <xf numFmtId="0" fontId="23" fillId="0" borderId="0" xfId="0" applyFont="1" applyAlignment="1">
      <alignment horizontal="left" wrapText="1"/>
    </xf>
    <xf numFmtId="0" fontId="29" fillId="0" borderId="49" xfId="0" applyFont="1" applyBorder="1" applyAlignment="1">
      <alignment horizontal="center" vertical="center"/>
    </xf>
    <xf numFmtId="0" fontId="29" fillId="0" borderId="51" xfId="0" applyFont="1" applyBorder="1" applyAlignment="1">
      <alignment horizontal="center" vertical="center"/>
    </xf>
    <xf numFmtId="0" fontId="29" fillId="0" borderId="50" xfId="0" applyFont="1" applyBorder="1" applyAlignment="1">
      <alignment horizontal="center" vertical="center"/>
    </xf>
    <xf numFmtId="0" fontId="29" fillId="0" borderId="27" xfId="0" applyFont="1" applyBorder="1" applyAlignment="1">
      <alignment horizontal="center"/>
    </xf>
    <xf numFmtId="0" fontId="29" fillId="0" borderId="27" xfId="0" applyFont="1" applyBorder="1" applyAlignment="1">
      <alignment horizontal="center" vertical="center"/>
    </xf>
    <xf numFmtId="0" fontId="28" fillId="0" borderId="49" xfId="0" applyFont="1" applyBorder="1" applyAlignment="1">
      <alignment horizontal="center"/>
    </xf>
    <xf numFmtId="0" fontId="28" fillId="0" borderId="50" xfId="0" applyFont="1" applyBorder="1" applyAlignment="1">
      <alignment horizontal="center"/>
    </xf>
    <xf numFmtId="0" fontId="28" fillId="0" borderId="51" xfId="0" applyFont="1" applyBorder="1" applyAlignment="1">
      <alignment horizontal="center"/>
    </xf>
    <xf numFmtId="0" fontId="23" fillId="0" borderId="11" xfId="0" applyFont="1" applyBorder="1" applyAlignment="1">
      <alignment horizontal="center"/>
    </xf>
    <xf numFmtId="0" fontId="29" fillId="0" borderId="28" xfId="0" applyFont="1" applyBorder="1" applyAlignment="1">
      <alignment horizontal="center" vertical="center"/>
    </xf>
    <xf numFmtId="0" fontId="29" fillId="0" borderId="29" xfId="0" applyFont="1" applyBorder="1" applyAlignment="1">
      <alignment horizontal="center" vertical="center"/>
    </xf>
    <xf numFmtId="0" fontId="29" fillId="0" borderId="31" xfId="0" applyFont="1" applyBorder="1" applyAlignment="1">
      <alignment horizontal="center" vertical="center"/>
    </xf>
    <xf numFmtId="0" fontId="29" fillId="0" borderId="32" xfId="0" applyFont="1" applyBorder="1" applyAlignment="1">
      <alignment horizontal="center" vertical="center"/>
    </xf>
    <xf numFmtId="0" fontId="29" fillId="0" borderId="30" xfId="0" applyFont="1" applyBorder="1" applyAlignment="1">
      <alignment horizontal="center" vertical="center"/>
    </xf>
    <xf numFmtId="0" fontId="29" fillId="0" borderId="33" xfId="0" applyFont="1" applyBorder="1" applyAlignment="1">
      <alignment horizontal="center" vertical="center"/>
    </xf>
    <xf numFmtId="0" fontId="28" fillId="0" borderId="49" xfId="44" applyFont="1" applyBorder="1" applyAlignment="1">
      <alignment horizontal="center"/>
    </xf>
    <xf numFmtId="0" fontId="28" fillId="0" borderId="50" xfId="44" applyFont="1" applyBorder="1" applyAlignment="1">
      <alignment horizontal="center"/>
    </xf>
    <xf numFmtId="0" fontId="28" fillId="0" borderId="51" xfId="44" applyFont="1" applyBorder="1" applyAlignment="1">
      <alignment horizontal="center"/>
    </xf>
    <xf numFmtId="0" fontId="29" fillId="0" borderId="50" xfId="45" applyFont="1" applyBorder="1" applyAlignment="1">
      <alignment horizontal="center"/>
    </xf>
    <xf numFmtId="0" fontId="29" fillId="0" borderId="51" xfId="45" applyFont="1" applyBorder="1" applyAlignment="1">
      <alignment horizontal="center"/>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6" xr:uid="{00000000-0005-0000-0000-000026000000}"/>
    <cellStyle name="Normal_cash count" xfId="38" xr:uid="{00000000-0005-0000-0000-000027000000}"/>
    <cellStyle name="Normal_Copy of Misc.Working papers" xfId="45" xr:uid="{00000000-0005-0000-0000-000028000000}"/>
    <cellStyle name="Normal_cut+off" xfId="44" xr:uid="{00000000-0005-0000-0000-000029000000}"/>
    <cellStyle name="Normal_Participating Office Inventory Program" xfId="47" xr:uid="{00000000-0005-0000-0000-00002A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showGridLines="0" tabSelected="1" zoomScaleNormal="100" workbookViewId="0">
      <selection activeCell="B15" sqref="B15"/>
    </sheetView>
  </sheetViews>
  <sheetFormatPr defaultColWidth="8.84375" defaultRowHeight="14.5" x14ac:dyDescent="0.35"/>
  <cols>
    <col min="1" max="1" width="5.84375" style="5" customWidth="1"/>
    <col min="2" max="2" width="56.23046875" style="2" customWidth="1"/>
    <col min="3" max="3" width="13.765625" style="2" customWidth="1"/>
    <col min="4" max="16384" width="8.84375" style="2"/>
  </cols>
  <sheetData>
    <row r="1" spans="1:3" x14ac:dyDescent="0.35">
      <c r="A1" s="1" t="s">
        <v>298</v>
      </c>
    </row>
    <row r="2" spans="1:3" x14ac:dyDescent="0.35">
      <c r="A2" s="1" t="s">
        <v>287</v>
      </c>
    </row>
    <row r="4" spans="1:3" ht="15" thickBot="1" x14ac:dyDescent="0.4"/>
    <row r="5" spans="1:3" x14ac:dyDescent="0.35">
      <c r="A5" s="142" t="s">
        <v>262</v>
      </c>
      <c r="B5" s="143"/>
      <c r="C5" s="144"/>
    </row>
    <row r="6" spans="1:3" ht="15" thickBot="1" x14ac:dyDescent="0.4">
      <c r="A6" s="145"/>
      <c r="B6" s="146"/>
      <c r="C6" s="147"/>
    </row>
    <row r="7" spans="1:3" ht="15" thickBot="1" x14ac:dyDescent="0.4"/>
    <row r="8" spans="1:3" s="3" customFormat="1" ht="25.5" customHeight="1" thickBot="1" x14ac:dyDescent="0.4">
      <c r="A8" s="66" t="s">
        <v>253</v>
      </c>
      <c r="B8" s="66" t="s">
        <v>252</v>
      </c>
      <c r="C8" s="66" t="s">
        <v>282</v>
      </c>
    </row>
    <row r="9" spans="1:3" s="3" customFormat="1" x14ac:dyDescent="0.35">
      <c r="A9" s="67"/>
      <c r="B9" s="67"/>
      <c r="C9" s="67"/>
    </row>
    <row r="10" spans="1:3" s="4" customFormat="1" ht="23.25" customHeight="1" x14ac:dyDescent="0.35">
      <c r="A10" s="68" t="str">
        <f>0+1&amp;"."</f>
        <v>1.</v>
      </c>
      <c r="B10" s="69" t="s">
        <v>281</v>
      </c>
      <c r="C10" s="69"/>
    </row>
    <row r="11" spans="1:3" s="4" customFormat="1" ht="23.25" customHeight="1" x14ac:dyDescent="0.35">
      <c r="A11" s="68" t="str">
        <f>A10+1&amp;"."</f>
        <v>2.</v>
      </c>
      <c r="B11" s="69" t="s">
        <v>254</v>
      </c>
      <c r="C11" s="69"/>
    </row>
    <row r="12" spans="1:3" s="4" customFormat="1" ht="23.25" customHeight="1" x14ac:dyDescent="0.35">
      <c r="A12" s="68" t="str">
        <f t="shared" ref="A12:A25" si="0">A11+1&amp;"."</f>
        <v>3.</v>
      </c>
      <c r="B12" s="69" t="s">
        <v>256</v>
      </c>
      <c r="C12" s="69"/>
    </row>
    <row r="13" spans="1:3" s="4" customFormat="1" ht="23.25" customHeight="1" x14ac:dyDescent="0.35">
      <c r="A13" s="68" t="str">
        <f t="shared" si="0"/>
        <v>4.</v>
      </c>
      <c r="B13" s="69" t="s">
        <v>255</v>
      </c>
      <c r="C13" s="69"/>
    </row>
    <row r="14" spans="1:3" s="4" customFormat="1" ht="23.25" customHeight="1" x14ac:dyDescent="0.35">
      <c r="A14" s="68" t="str">
        <f t="shared" si="0"/>
        <v>5.</v>
      </c>
      <c r="B14" s="69" t="s">
        <v>260</v>
      </c>
      <c r="C14" s="69"/>
    </row>
    <row r="15" spans="1:3" s="4" customFormat="1" ht="23.25" customHeight="1" x14ac:dyDescent="0.35">
      <c r="A15" s="68" t="str">
        <f t="shared" si="0"/>
        <v>6.</v>
      </c>
      <c r="B15" s="69" t="s">
        <v>263</v>
      </c>
      <c r="C15" s="69"/>
    </row>
    <row r="16" spans="1:3" s="4" customFormat="1" ht="23.25" customHeight="1" x14ac:dyDescent="0.35">
      <c r="A16" s="68" t="str">
        <f t="shared" si="0"/>
        <v>7.</v>
      </c>
      <c r="B16" s="69" t="s">
        <v>257</v>
      </c>
      <c r="C16" s="69"/>
    </row>
    <row r="17" spans="1:3" s="4" customFormat="1" ht="23.25" customHeight="1" x14ac:dyDescent="0.35">
      <c r="A17" s="68" t="str">
        <f t="shared" si="0"/>
        <v>8.</v>
      </c>
      <c r="B17" s="69" t="s">
        <v>258</v>
      </c>
      <c r="C17" s="69"/>
    </row>
    <row r="18" spans="1:3" s="4" customFormat="1" ht="23.25" customHeight="1" x14ac:dyDescent="0.35">
      <c r="A18" s="68" t="str">
        <f t="shared" si="0"/>
        <v>9.</v>
      </c>
      <c r="B18" s="69" t="s">
        <v>259</v>
      </c>
      <c r="C18" s="69"/>
    </row>
    <row r="19" spans="1:3" s="4" customFormat="1" ht="23.25" customHeight="1" x14ac:dyDescent="0.35">
      <c r="A19" s="68" t="str">
        <f t="shared" si="0"/>
        <v>10.</v>
      </c>
      <c r="B19" s="69" t="s">
        <v>266</v>
      </c>
      <c r="C19" s="69"/>
    </row>
    <row r="20" spans="1:3" s="4" customFormat="1" ht="23.25" customHeight="1" x14ac:dyDescent="0.35">
      <c r="A20" s="68" t="str">
        <f t="shared" si="0"/>
        <v>11.</v>
      </c>
      <c r="B20" s="69" t="s">
        <v>267</v>
      </c>
      <c r="C20" s="69"/>
    </row>
    <row r="21" spans="1:3" s="4" customFormat="1" ht="23.25" customHeight="1" x14ac:dyDescent="0.35">
      <c r="A21" s="68" t="str">
        <f t="shared" si="0"/>
        <v>12.</v>
      </c>
      <c r="B21" s="69" t="s">
        <v>268</v>
      </c>
      <c r="C21" s="69"/>
    </row>
    <row r="22" spans="1:3" s="4" customFormat="1" ht="23.25" customHeight="1" x14ac:dyDescent="0.35">
      <c r="A22" s="68" t="str">
        <f t="shared" si="0"/>
        <v>13.</v>
      </c>
      <c r="B22" s="69" t="s">
        <v>269</v>
      </c>
      <c r="C22" s="69"/>
    </row>
    <row r="23" spans="1:3" s="4" customFormat="1" ht="23.25" customHeight="1" x14ac:dyDescent="0.35">
      <c r="A23" s="68" t="str">
        <f t="shared" si="0"/>
        <v>14.</v>
      </c>
      <c r="B23" s="69" t="s">
        <v>270</v>
      </c>
      <c r="C23" s="69"/>
    </row>
    <row r="24" spans="1:3" s="4" customFormat="1" ht="23.25" customHeight="1" x14ac:dyDescent="0.35">
      <c r="A24" s="68" t="str">
        <f t="shared" si="0"/>
        <v>15.</v>
      </c>
      <c r="B24" s="69" t="s">
        <v>261</v>
      </c>
      <c r="C24" s="69"/>
    </row>
    <row r="25" spans="1:3" s="4" customFormat="1" ht="23.25" customHeight="1" x14ac:dyDescent="0.35">
      <c r="A25" s="68" t="str">
        <f t="shared" si="0"/>
        <v>16.</v>
      </c>
      <c r="B25" s="69" t="s">
        <v>264</v>
      </c>
      <c r="C25" s="69"/>
    </row>
    <row r="26" spans="1:3" x14ac:dyDescent="0.35">
      <c r="A26" s="68"/>
      <c r="B26" s="70"/>
      <c r="C26" s="70"/>
    </row>
  </sheetData>
  <mergeCells count="1">
    <mergeCell ref="A5:C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5"/>
  <sheetViews>
    <sheetView showGridLines="0" zoomScaleNormal="100" zoomScaleSheetLayoutView="100" workbookViewId="0">
      <selection activeCell="B15" sqref="B15"/>
    </sheetView>
  </sheetViews>
  <sheetFormatPr defaultColWidth="8.84375" defaultRowHeight="14.5" x14ac:dyDescent="0.35"/>
  <cols>
    <col min="1" max="1" width="1.07421875" style="33" customWidth="1"/>
    <col min="2" max="2" width="2.69140625" style="33" customWidth="1"/>
    <col min="3" max="3" width="2.84375" style="33" customWidth="1"/>
    <col min="4" max="5" width="8.84375" style="33"/>
    <col min="6" max="6" width="0.3046875" style="33" customWidth="1"/>
    <col min="7" max="7" width="8" style="33" customWidth="1"/>
    <col min="8" max="8" width="3.07421875" style="33" customWidth="1"/>
    <col min="9" max="9" width="11" style="33" customWidth="1"/>
    <col min="10" max="10" width="0.53515625" style="33" customWidth="1"/>
    <col min="11" max="11" width="15.53515625" style="33" customWidth="1"/>
    <col min="12" max="12" width="20.84375" style="34" customWidth="1"/>
    <col min="13" max="16384" width="8.84375" style="33"/>
  </cols>
  <sheetData>
    <row r="1" spans="1:12" x14ac:dyDescent="0.35">
      <c r="A1" s="32" t="str">
        <f>Index!A1</f>
        <v>ABC &amp; Co.</v>
      </c>
    </row>
    <row r="2" spans="1:12" x14ac:dyDescent="0.35">
      <c r="A2" s="32" t="str">
        <f>Index!A2</f>
        <v>(Chartered Accountants)</v>
      </c>
    </row>
    <row r="3" spans="1:12" x14ac:dyDescent="0.35">
      <c r="A3" s="32"/>
    </row>
    <row r="4" spans="1:12" x14ac:dyDescent="0.35">
      <c r="A4" s="32" t="s">
        <v>280</v>
      </c>
    </row>
    <row r="5" spans="1:12" ht="9" customHeight="1" thickBot="1" x14ac:dyDescent="0.4"/>
    <row r="6" spans="1:12" x14ac:dyDescent="0.35">
      <c r="B6" s="152" t="s">
        <v>285</v>
      </c>
      <c r="C6" s="152"/>
      <c r="D6" s="152"/>
      <c r="E6" s="152"/>
      <c r="F6" s="152"/>
      <c r="G6" s="152"/>
      <c r="H6" s="152"/>
      <c r="I6" s="152"/>
      <c r="J6" s="152"/>
      <c r="K6" s="71" t="s">
        <v>232</v>
      </c>
      <c r="L6" s="148" t="s">
        <v>26</v>
      </c>
    </row>
    <row r="7" spans="1:12" ht="15" thickBot="1" x14ac:dyDescent="0.4">
      <c r="B7" s="153"/>
      <c r="C7" s="153"/>
      <c r="D7" s="153"/>
      <c r="E7" s="153"/>
      <c r="F7" s="153"/>
      <c r="G7" s="153"/>
      <c r="H7" s="153"/>
      <c r="I7" s="153"/>
      <c r="J7" s="153"/>
      <c r="K7" s="72" t="s">
        <v>231</v>
      </c>
      <c r="L7" s="149"/>
    </row>
    <row r="8" spans="1:12" ht="9.75" customHeight="1" x14ac:dyDescent="0.35">
      <c r="B8" s="139"/>
      <c r="C8" s="36"/>
      <c r="D8" s="36"/>
      <c r="E8" s="36"/>
      <c r="F8" s="36"/>
      <c r="G8" s="36"/>
      <c r="H8" s="36"/>
      <c r="I8" s="36"/>
      <c r="K8" s="82"/>
      <c r="L8" s="79"/>
    </row>
    <row r="9" spans="1:12" x14ac:dyDescent="0.35">
      <c r="B9" s="151" t="s">
        <v>208</v>
      </c>
      <c r="C9" s="150"/>
      <c r="D9" s="150"/>
      <c r="E9" s="150"/>
      <c r="F9" s="150"/>
      <c r="G9" s="150"/>
      <c r="H9" s="150"/>
      <c r="I9" s="150"/>
      <c r="K9" s="83"/>
      <c r="L9" s="80"/>
    </row>
    <row r="10" spans="1:12" x14ac:dyDescent="0.35">
      <c r="B10" s="151"/>
      <c r="C10" s="150"/>
      <c r="D10" s="150"/>
      <c r="E10" s="150"/>
      <c r="F10" s="150"/>
      <c r="G10" s="150"/>
      <c r="H10" s="150"/>
      <c r="I10" s="150"/>
      <c r="K10" s="83"/>
      <c r="L10" s="80"/>
    </row>
    <row r="11" spans="1:12" x14ac:dyDescent="0.35">
      <c r="B11" s="74"/>
      <c r="C11" s="154" t="s">
        <v>233</v>
      </c>
      <c r="D11" s="154"/>
      <c r="E11" s="154"/>
      <c r="F11" s="154"/>
      <c r="G11" s="154"/>
      <c r="H11" s="154"/>
      <c r="I11" s="154"/>
      <c r="J11" s="35"/>
      <c r="K11" s="83"/>
      <c r="L11" s="80"/>
    </row>
    <row r="12" spans="1:12" x14ac:dyDescent="0.35">
      <c r="B12" s="74"/>
      <c r="C12" s="150" t="s">
        <v>229</v>
      </c>
      <c r="D12" s="150"/>
      <c r="E12" s="150"/>
      <c r="F12" s="150"/>
      <c r="G12" s="150"/>
      <c r="H12" s="150"/>
      <c r="I12" s="150"/>
      <c r="J12" s="36"/>
      <c r="K12" s="83"/>
      <c r="L12" s="80"/>
    </row>
    <row r="13" spans="1:12" x14ac:dyDescent="0.35">
      <c r="B13" s="74"/>
      <c r="C13" s="150"/>
      <c r="D13" s="150"/>
      <c r="E13" s="150"/>
      <c r="F13" s="150"/>
      <c r="G13" s="150"/>
      <c r="H13" s="150"/>
      <c r="I13" s="150"/>
      <c r="J13" s="36"/>
      <c r="K13" s="83"/>
      <c r="L13" s="80"/>
    </row>
    <row r="14" spans="1:12" x14ac:dyDescent="0.35">
      <c r="B14" s="74"/>
      <c r="C14" s="150"/>
      <c r="D14" s="150"/>
      <c r="E14" s="150"/>
      <c r="F14" s="150"/>
      <c r="G14" s="150"/>
      <c r="H14" s="150"/>
      <c r="I14" s="150"/>
      <c r="J14" s="36"/>
      <c r="K14" s="83"/>
      <c r="L14" s="80"/>
    </row>
    <row r="15" spans="1:12" x14ac:dyDescent="0.35">
      <c r="B15" s="74"/>
      <c r="C15" s="150" t="s">
        <v>230</v>
      </c>
      <c r="D15" s="150"/>
      <c r="E15" s="150"/>
      <c r="F15" s="150"/>
      <c r="G15" s="150"/>
      <c r="H15" s="150"/>
      <c r="I15" s="150"/>
      <c r="J15" s="36"/>
      <c r="K15" s="83"/>
      <c r="L15" s="80"/>
    </row>
    <row r="16" spans="1:12" x14ac:dyDescent="0.35">
      <c r="B16" s="74"/>
      <c r="C16" s="150"/>
      <c r="D16" s="150"/>
      <c r="E16" s="150"/>
      <c r="F16" s="150"/>
      <c r="G16" s="150"/>
      <c r="H16" s="150"/>
      <c r="I16" s="150"/>
      <c r="J16" s="36"/>
      <c r="K16" s="83"/>
      <c r="L16" s="80"/>
    </row>
    <row r="17" spans="2:12" x14ac:dyDescent="0.35">
      <c r="B17" s="74"/>
      <c r="C17" s="150"/>
      <c r="D17" s="150"/>
      <c r="E17" s="150"/>
      <c r="F17" s="150"/>
      <c r="G17" s="150"/>
      <c r="H17" s="150"/>
      <c r="I17" s="150"/>
      <c r="J17" s="36"/>
      <c r="K17" s="83"/>
      <c r="L17" s="80"/>
    </row>
    <row r="18" spans="2:12" x14ac:dyDescent="0.35">
      <c r="B18" s="74"/>
      <c r="C18" s="150"/>
      <c r="D18" s="150"/>
      <c r="E18" s="150"/>
      <c r="F18" s="150"/>
      <c r="G18" s="150"/>
      <c r="H18" s="150"/>
      <c r="I18" s="150"/>
      <c r="J18" s="36"/>
      <c r="K18" s="83"/>
      <c r="L18" s="80"/>
    </row>
    <row r="19" spans="2:12" x14ac:dyDescent="0.35">
      <c r="B19" s="74"/>
      <c r="C19" s="150"/>
      <c r="D19" s="150"/>
      <c r="E19" s="150"/>
      <c r="F19" s="150"/>
      <c r="G19" s="150"/>
      <c r="H19" s="150"/>
      <c r="I19" s="150"/>
      <c r="J19" s="36"/>
      <c r="K19" s="83"/>
      <c r="L19" s="80"/>
    </row>
    <row r="20" spans="2:12" x14ac:dyDescent="0.35">
      <c r="B20" s="75"/>
      <c r="C20" s="150"/>
      <c r="D20" s="150"/>
      <c r="E20" s="150"/>
      <c r="F20" s="150"/>
      <c r="G20" s="150"/>
      <c r="H20" s="150"/>
      <c r="I20" s="150"/>
      <c r="J20" s="36"/>
      <c r="K20" s="83"/>
      <c r="L20" s="80"/>
    </row>
    <row r="21" spans="2:12" ht="6.75" customHeight="1" x14ac:dyDescent="0.35">
      <c r="B21" s="75"/>
      <c r="C21" s="36"/>
      <c r="D21" s="36"/>
      <c r="E21" s="36"/>
      <c r="F21" s="36"/>
      <c r="G21" s="36"/>
      <c r="H21" s="36"/>
      <c r="I21" s="36"/>
      <c r="J21" s="36"/>
      <c r="K21" s="83"/>
      <c r="L21" s="80"/>
    </row>
    <row r="22" spans="2:12" x14ac:dyDescent="0.35">
      <c r="B22" s="151" t="s">
        <v>209</v>
      </c>
      <c r="C22" s="150"/>
      <c r="D22" s="150"/>
      <c r="E22" s="150"/>
      <c r="F22" s="150"/>
      <c r="G22" s="150"/>
      <c r="H22" s="150"/>
      <c r="I22" s="150"/>
      <c r="J22" s="36"/>
      <c r="K22" s="83"/>
      <c r="L22" s="80"/>
    </row>
    <row r="23" spans="2:12" x14ac:dyDescent="0.35">
      <c r="B23" s="151"/>
      <c r="C23" s="150"/>
      <c r="D23" s="150"/>
      <c r="E23" s="150"/>
      <c r="F23" s="150"/>
      <c r="G23" s="150"/>
      <c r="H23" s="150"/>
      <c r="I23" s="150"/>
      <c r="J23" s="36"/>
      <c r="K23" s="83"/>
      <c r="L23" s="80"/>
    </row>
    <row r="24" spans="2:12" x14ac:dyDescent="0.35">
      <c r="B24" s="151"/>
      <c r="C24" s="150"/>
      <c r="D24" s="150"/>
      <c r="E24" s="150"/>
      <c r="F24" s="150"/>
      <c r="G24" s="150"/>
      <c r="H24" s="150"/>
      <c r="I24" s="150"/>
      <c r="J24" s="36"/>
      <c r="K24" s="83"/>
      <c r="L24" s="80"/>
    </row>
    <row r="25" spans="2:12" x14ac:dyDescent="0.35">
      <c r="B25" s="74"/>
      <c r="C25" s="35" t="s">
        <v>210</v>
      </c>
      <c r="D25" s="37"/>
      <c r="E25" s="37"/>
      <c r="K25" s="83"/>
      <c r="L25" s="80"/>
    </row>
    <row r="26" spans="2:12" x14ac:dyDescent="0.35">
      <c r="B26" s="74"/>
      <c r="C26" s="150" t="s">
        <v>211</v>
      </c>
      <c r="D26" s="150"/>
      <c r="E26" s="150"/>
      <c r="F26" s="150"/>
      <c r="G26" s="150"/>
      <c r="H26" s="150"/>
      <c r="I26" s="150"/>
      <c r="K26" s="83"/>
      <c r="L26" s="80"/>
    </row>
    <row r="27" spans="2:12" x14ac:dyDescent="0.35">
      <c r="B27" s="74"/>
      <c r="C27" s="150"/>
      <c r="D27" s="150"/>
      <c r="E27" s="150"/>
      <c r="F27" s="150"/>
      <c r="G27" s="150"/>
      <c r="H27" s="150"/>
      <c r="I27" s="150"/>
      <c r="K27" s="83"/>
      <c r="L27" s="80"/>
    </row>
    <row r="28" spans="2:12" x14ac:dyDescent="0.35">
      <c r="B28" s="74"/>
      <c r="D28" s="35" t="s">
        <v>212</v>
      </c>
      <c r="E28" s="37"/>
      <c r="F28" s="37"/>
      <c r="K28" s="83"/>
      <c r="L28" s="80"/>
    </row>
    <row r="29" spans="2:12" x14ac:dyDescent="0.35">
      <c r="B29" s="74"/>
      <c r="D29" s="35" t="s">
        <v>213</v>
      </c>
      <c r="E29" s="37"/>
      <c r="F29" s="37"/>
      <c r="K29" s="83"/>
      <c r="L29" s="80"/>
    </row>
    <row r="30" spans="2:12" x14ac:dyDescent="0.35">
      <c r="B30" s="74"/>
      <c r="D30" s="35" t="s">
        <v>214</v>
      </c>
      <c r="E30" s="37"/>
      <c r="F30" s="37"/>
      <c r="K30" s="83"/>
      <c r="L30" s="80"/>
    </row>
    <row r="31" spans="2:12" ht="9" customHeight="1" x14ac:dyDescent="0.35">
      <c r="B31" s="75"/>
      <c r="C31" s="37"/>
      <c r="D31" s="37"/>
      <c r="K31" s="83"/>
      <c r="L31" s="80"/>
    </row>
    <row r="32" spans="2:12" x14ac:dyDescent="0.35">
      <c r="B32" s="151" t="s">
        <v>215</v>
      </c>
      <c r="C32" s="150"/>
      <c r="D32" s="150"/>
      <c r="E32" s="150"/>
      <c r="F32" s="150"/>
      <c r="G32" s="150"/>
      <c r="H32" s="150"/>
      <c r="I32" s="150"/>
      <c r="J32" s="36"/>
      <c r="K32" s="83"/>
      <c r="L32" s="80"/>
    </row>
    <row r="33" spans="2:12" x14ac:dyDescent="0.35">
      <c r="B33" s="151"/>
      <c r="C33" s="150"/>
      <c r="D33" s="150"/>
      <c r="E33" s="150"/>
      <c r="F33" s="150"/>
      <c r="G33" s="150"/>
      <c r="H33" s="150"/>
      <c r="I33" s="150"/>
      <c r="J33" s="36"/>
      <c r="K33" s="83"/>
      <c r="L33" s="80"/>
    </row>
    <row r="34" spans="2:12" x14ac:dyDescent="0.35">
      <c r="B34" s="151"/>
      <c r="C34" s="150"/>
      <c r="D34" s="150"/>
      <c r="E34" s="150"/>
      <c r="F34" s="150"/>
      <c r="G34" s="150"/>
      <c r="H34" s="150"/>
      <c r="I34" s="150"/>
      <c r="J34" s="36"/>
      <c r="K34" s="83"/>
      <c r="L34" s="80"/>
    </row>
    <row r="35" spans="2:12" x14ac:dyDescent="0.35">
      <c r="B35" s="151" t="s">
        <v>216</v>
      </c>
      <c r="C35" s="150"/>
      <c r="D35" s="150"/>
      <c r="E35" s="150"/>
      <c r="F35" s="150"/>
      <c r="G35" s="150"/>
      <c r="H35" s="150"/>
      <c r="I35" s="150"/>
      <c r="J35" s="36"/>
      <c r="K35" s="83"/>
      <c r="L35" s="80"/>
    </row>
    <row r="36" spans="2:12" x14ac:dyDescent="0.35">
      <c r="B36" s="151"/>
      <c r="C36" s="150"/>
      <c r="D36" s="150"/>
      <c r="E36" s="150"/>
      <c r="F36" s="150"/>
      <c r="G36" s="150"/>
      <c r="H36" s="150"/>
      <c r="I36" s="150"/>
      <c r="J36" s="36"/>
      <c r="K36" s="83"/>
      <c r="L36" s="80"/>
    </row>
    <row r="37" spans="2:12" x14ac:dyDescent="0.35">
      <c r="B37" s="151"/>
      <c r="C37" s="150"/>
      <c r="D37" s="150"/>
      <c r="E37" s="150"/>
      <c r="F37" s="150"/>
      <c r="G37" s="150"/>
      <c r="H37" s="150"/>
      <c r="I37" s="150"/>
      <c r="J37" s="36"/>
      <c r="K37" s="83"/>
      <c r="L37" s="80"/>
    </row>
    <row r="38" spans="2:12" x14ac:dyDescent="0.35">
      <c r="B38" s="151" t="s">
        <v>217</v>
      </c>
      <c r="C38" s="150"/>
      <c r="D38" s="150"/>
      <c r="E38" s="150"/>
      <c r="F38" s="150"/>
      <c r="G38" s="150"/>
      <c r="H38" s="150"/>
      <c r="I38" s="150"/>
      <c r="J38" s="36"/>
      <c r="K38" s="83"/>
      <c r="L38" s="80"/>
    </row>
    <row r="39" spans="2:12" x14ac:dyDescent="0.35">
      <c r="B39" s="151"/>
      <c r="C39" s="150"/>
      <c r="D39" s="150"/>
      <c r="E39" s="150"/>
      <c r="F39" s="150"/>
      <c r="G39" s="150"/>
      <c r="H39" s="150"/>
      <c r="I39" s="150"/>
      <c r="J39" s="36"/>
      <c r="K39" s="83"/>
      <c r="L39" s="80"/>
    </row>
    <row r="40" spans="2:12" x14ac:dyDescent="0.35">
      <c r="B40" s="75" t="s">
        <v>218</v>
      </c>
      <c r="C40" s="37"/>
      <c r="D40" s="37"/>
      <c r="K40" s="83"/>
      <c r="L40" s="80"/>
    </row>
    <row r="41" spans="2:12" x14ac:dyDescent="0.35">
      <c r="B41" s="151" t="s">
        <v>219</v>
      </c>
      <c r="C41" s="150"/>
      <c r="D41" s="150"/>
      <c r="E41" s="150"/>
      <c r="F41" s="150"/>
      <c r="G41" s="150"/>
      <c r="H41" s="150"/>
      <c r="I41" s="150"/>
      <c r="J41" s="36"/>
      <c r="K41" s="83"/>
      <c r="L41" s="80"/>
    </row>
    <row r="42" spans="2:12" x14ac:dyDescent="0.35">
      <c r="B42" s="151"/>
      <c r="C42" s="150"/>
      <c r="D42" s="150"/>
      <c r="E42" s="150"/>
      <c r="F42" s="150"/>
      <c r="G42" s="150"/>
      <c r="H42" s="150"/>
      <c r="I42" s="150"/>
      <c r="J42" s="36"/>
      <c r="K42" s="83"/>
      <c r="L42" s="80"/>
    </row>
    <row r="43" spans="2:12" x14ac:dyDescent="0.35">
      <c r="B43" s="151"/>
      <c r="C43" s="150"/>
      <c r="D43" s="150"/>
      <c r="E43" s="150"/>
      <c r="F43" s="150"/>
      <c r="G43" s="150"/>
      <c r="H43" s="150"/>
      <c r="I43" s="150"/>
      <c r="J43" s="36"/>
      <c r="K43" s="83"/>
      <c r="L43" s="80"/>
    </row>
    <row r="44" spans="2:12" x14ac:dyDescent="0.35">
      <c r="B44" s="151"/>
      <c r="C44" s="150"/>
      <c r="D44" s="150"/>
      <c r="E44" s="150"/>
      <c r="F44" s="150"/>
      <c r="G44" s="150"/>
      <c r="H44" s="150"/>
      <c r="I44" s="150"/>
      <c r="J44" s="36"/>
      <c r="K44" s="83"/>
      <c r="L44" s="80"/>
    </row>
    <row r="45" spans="2:12" x14ac:dyDescent="0.35">
      <c r="B45" s="151"/>
      <c r="C45" s="150"/>
      <c r="D45" s="150"/>
      <c r="E45" s="150"/>
      <c r="F45" s="150"/>
      <c r="G45" s="150"/>
      <c r="H45" s="150"/>
      <c r="I45" s="150"/>
      <c r="J45" s="36"/>
      <c r="K45" s="83"/>
      <c r="L45" s="80"/>
    </row>
    <row r="46" spans="2:12" x14ac:dyDescent="0.35">
      <c r="B46" s="151"/>
      <c r="C46" s="150"/>
      <c r="D46" s="150"/>
      <c r="E46" s="150"/>
      <c r="F46" s="150"/>
      <c r="G46" s="150"/>
      <c r="H46" s="150"/>
      <c r="I46" s="150"/>
      <c r="J46" s="36"/>
      <c r="K46" s="83"/>
      <c r="L46" s="80"/>
    </row>
    <row r="47" spans="2:12" ht="9.75" customHeight="1" x14ac:dyDescent="0.35">
      <c r="B47" s="75"/>
      <c r="C47" s="37"/>
      <c r="D47" s="37"/>
      <c r="K47" s="83"/>
      <c r="L47" s="80"/>
    </row>
    <row r="48" spans="2:12" x14ac:dyDescent="0.35">
      <c r="B48" s="151" t="s">
        <v>220</v>
      </c>
      <c r="C48" s="150"/>
      <c r="D48" s="150"/>
      <c r="E48" s="150"/>
      <c r="F48" s="150"/>
      <c r="G48" s="150"/>
      <c r="H48" s="150"/>
      <c r="I48" s="150"/>
      <c r="J48" s="36"/>
      <c r="K48" s="83"/>
      <c r="L48" s="80"/>
    </row>
    <row r="49" spans="2:12" x14ac:dyDescent="0.35">
      <c r="B49" s="151"/>
      <c r="C49" s="150"/>
      <c r="D49" s="150"/>
      <c r="E49" s="150"/>
      <c r="F49" s="150"/>
      <c r="G49" s="150"/>
      <c r="H49" s="150"/>
      <c r="I49" s="150"/>
      <c r="J49" s="36"/>
      <c r="K49" s="83"/>
      <c r="L49" s="80"/>
    </row>
    <row r="50" spans="2:12" x14ac:dyDescent="0.35">
      <c r="B50" s="151"/>
      <c r="C50" s="150"/>
      <c r="D50" s="150"/>
      <c r="E50" s="150"/>
      <c r="F50" s="150"/>
      <c r="G50" s="150"/>
      <c r="H50" s="150"/>
      <c r="I50" s="150"/>
      <c r="J50" s="36"/>
      <c r="K50" s="83"/>
      <c r="L50" s="80"/>
    </row>
    <row r="51" spans="2:12" x14ac:dyDescent="0.35">
      <c r="B51" s="151"/>
      <c r="C51" s="150"/>
      <c r="D51" s="150"/>
      <c r="E51" s="150"/>
      <c r="F51" s="150"/>
      <c r="G51" s="150"/>
      <c r="H51" s="150"/>
      <c r="I51" s="150"/>
      <c r="J51" s="36"/>
      <c r="K51" s="83"/>
      <c r="L51" s="80"/>
    </row>
    <row r="52" spans="2:12" x14ac:dyDescent="0.35">
      <c r="B52" s="151"/>
      <c r="C52" s="150"/>
      <c r="D52" s="150"/>
      <c r="E52" s="150"/>
      <c r="F52" s="150"/>
      <c r="G52" s="150"/>
      <c r="H52" s="150"/>
      <c r="I52" s="150"/>
      <c r="J52" s="36"/>
      <c r="K52" s="83"/>
      <c r="L52" s="80"/>
    </row>
    <row r="53" spans="2:12" x14ac:dyDescent="0.35">
      <c r="B53" s="85"/>
      <c r="C53" s="86"/>
      <c r="D53" s="86"/>
      <c r="E53" s="86"/>
      <c r="F53" s="86"/>
      <c r="G53" s="86"/>
      <c r="H53" s="86"/>
      <c r="I53" s="86"/>
      <c r="J53" s="86"/>
      <c r="K53" s="84"/>
      <c r="L53" s="81"/>
    </row>
    <row r="54" spans="2:12" x14ac:dyDescent="0.35">
      <c r="B54" s="151" t="s">
        <v>221</v>
      </c>
      <c r="C54" s="150"/>
      <c r="D54" s="150"/>
      <c r="E54" s="150"/>
      <c r="F54" s="150"/>
      <c r="G54" s="150"/>
      <c r="H54" s="150"/>
      <c r="I54" s="150"/>
      <c r="J54" s="36"/>
      <c r="K54" s="83"/>
      <c r="L54" s="80"/>
    </row>
    <row r="55" spans="2:12" x14ac:dyDescent="0.35">
      <c r="B55" s="151"/>
      <c r="C55" s="150"/>
      <c r="D55" s="150"/>
      <c r="E55" s="150"/>
      <c r="F55" s="150"/>
      <c r="G55" s="150"/>
      <c r="H55" s="150"/>
      <c r="I55" s="150"/>
      <c r="J55" s="36"/>
      <c r="K55" s="83"/>
      <c r="L55" s="80"/>
    </row>
    <row r="56" spans="2:12" x14ac:dyDescent="0.35">
      <c r="B56" s="151"/>
      <c r="C56" s="150"/>
      <c r="D56" s="150"/>
      <c r="E56" s="150"/>
      <c r="F56" s="150"/>
      <c r="G56" s="150"/>
      <c r="H56" s="150"/>
      <c r="I56" s="150"/>
      <c r="J56" s="36"/>
      <c r="K56" s="83"/>
      <c r="L56" s="80"/>
    </row>
    <row r="57" spans="2:12" x14ac:dyDescent="0.35">
      <c r="B57" s="151"/>
      <c r="C57" s="150"/>
      <c r="D57" s="150"/>
      <c r="E57" s="150"/>
      <c r="F57" s="150"/>
      <c r="G57" s="150"/>
      <c r="H57" s="150"/>
      <c r="I57" s="150"/>
      <c r="J57" s="36"/>
      <c r="K57" s="83"/>
      <c r="L57" s="80"/>
    </row>
    <row r="58" spans="2:12" x14ac:dyDescent="0.35">
      <c r="B58" s="151"/>
      <c r="C58" s="150"/>
      <c r="D58" s="150"/>
      <c r="E58" s="150"/>
      <c r="F58" s="150"/>
      <c r="G58" s="150"/>
      <c r="H58" s="150"/>
      <c r="I58" s="150"/>
      <c r="J58" s="36"/>
      <c r="K58" s="83"/>
      <c r="L58" s="80"/>
    </row>
    <row r="59" spans="2:12" x14ac:dyDescent="0.35">
      <c r="B59" s="151"/>
      <c r="C59" s="150"/>
      <c r="D59" s="150"/>
      <c r="E59" s="150"/>
      <c r="F59" s="150"/>
      <c r="G59" s="150"/>
      <c r="H59" s="150"/>
      <c r="I59" s="150"/>
      <c r="J59" s="36"/>
      <c r="K59" s="83"/>
      <c r="L59" s="80"/>
    </row>
    <row r="60" spans="2:12" ht="9.75" customHeight="1" x14ac:dyDescent="0.35">
      <c r="B60" s="75"/>
      <c r="C60" s="37"/>
      <c r="D60" s="37"/>
      <c r="K60" s="83"/>
      <c r="L60" s="80"/>
    </row>
    <row r="61" spans="2:12" x14ac:dyDescent="0.35">
      <c r="B61" s="151" t="s">
        <v>222</v>
      </c>
      <c r="C61" s="150"/>
      <c r="D61" s="150"/>
      <c r="E61" s="150"/>
      <c r="F61" s="150"/>
      <c r="G61" s="150"/>
      <c r="H61" s="150"/>
      <c r="I61" s="150"/>
      <c r="J61" s="36"/>
      <c r="K61" s="83"/>
      <c r="L61" s="80"/>
    </row>
    <row r="62" spans="2:12" x14ac:dyDescent="0.35">
      <c r="B62" s="151"/>
      <c r="C62" s="150"/>
      <c r="D62" s="150"/>
      <c r="E62" s="150"/>
      <c r="F62" s="150"/>
      <c r="G62" s="150"/>
      <c r="H62" s="150"/>
      <c r="I62" s="150"/>
      <c r="J62" s="36"/>
      <c r="K62" s="83"/>
      <c r="L62" s="80"/>
    </row>
    <row r="63" spans="2:12" x14ac:dyDescent="0.35">
      <c r="B63" s="151"/>
      <c r="C63" s="150"/>
      <c r="D63" s="150"/>
      <c r="E63" s="150"/>
      <c r="F63" s="150"/>
      <c r="G63" s="150"/>
      <c r="H63" s="150"/>
      <c r="I63" s="150"/>
      <c r="J63" s="36"/>
      <c r="K63" s="83"/>
      <c r="L63" s="80"/>
    </row>
    <row r="64" spans="2:12" ht="6.75" customHeight="1" x14ac:dyDescent="0.35">
      <c r="B64" s="75"/>
      <c r="C64" s="37"/>
      <c r="D64" s="37"/>
      <c r="K64" s="83"/>
      <c r="L64" s="80"/>
    </row>
    <row r="65" spans="2:12" x14ac:dyDescent="0.35">
      <c r="B65" s="151" t="s">
        <v>223</v>
      </c>
      <c r="C65" s="150"/>
      <c r="D65" s="150"/>
      <c r="E65" s="150"/>
      <c r="F65" s="150"/>
      <c r="G65" s="150"/>
      <c r="H65" s="150"/>
      <c r="I65" s="150"/>
      <c r="J65" s="36"/>
      <c r="K65" s="83"/>
      <c r="L65" s="80"/>
    </row>
    <row r="66" spans="2:12" x14ac:dyDescent="0.35">
      <c r="B66" s="151"/>
      <c r="C66" s="150"/>
      <c r="D66" s="150"/>
      <c r="E66" s="150"/>
      <c r="F66" s="150"/>
      <c r="G66" s="150"/>
      <c r="H66" s="150"/>
      <c r="I66" s="150"/>
      <c r="J66" s="36"/>
      <c r="K66" s="83"/>
      <c r="L66" s="80"/>
    </row>
    <row r="67" spans="2:12" x14ac:dyDescent="0.35">
      <c r="B67" s="151"/>
      <c r="C67" s="150"/>
      <c r="D67" s="150"/>
      <c r="E67" s="150"/>
      <c r="F67" s="150"/>
      <c r="G67" s="150"/>
      <c r="H67" s="150"/>
      <c r="I67" s="150"/>
      <c r="J67" s="36"/>
      <c r="K67" s="83"/>
      <c r="L67" s="80"/>
    </row>
    <row r="68" spans="2:12" ht="4.5" customHeight="1" x14ac:dyDescent="0.35">
      <c r="B68" s="75"/>
      <c r="C68" s="37"/>
      <c r="D68" s="37"/>
      <c r="K68" s="83"/>
      <c r="L68" s="80"/>
    </row>
    <row r="69" spans="2:12" x14ac:dyDescent="0.35">
      <c r="B69" s="151" t="s">
        <v>224</v>
      </c>
      <c r="C69" s="150"/>
      <c r="D69" s="150"/>
      <c r="E69" s="150"/>
      <c r="F69" s="150"/>
      <c r="G69" s="150"/>
      <c r="H69" s="150"/>
      <c r="I69" s="150"/>
      <c r="J69" s="36"/>
      <c r="K69" s="83"/>
      <c r="L69" s="80"/>
    </row>
    <row r="70" spans="2:12" x14ac:dyDescent="0.35">
      <c r="B70" s="151"/>
      <c r="C70" s="150"/>
      <c r="D70" s="150"/>
      <c r="E70" s="150"/>
      <c r="F70" s="150"/>
      <c r="G70" s="150"/>
      <c r="H70" s="150"/>
      <c r="I70" s="150"/>
      <c r="J70" s="36"/>
      <c r="K70" s="83"/>
      <c r="L70" s="80"/>
    </row>
    <row r="71" spans="2:12" ht="6.75" customHeight="1" x14ac:dyDescent="0.35">
      <c r="B71" s="75"/>
      <c r="C71" s="37"/>
      <c r="D71" s="37"/>
      <c r="K71" s="83"/>
      <c r="L71" s="80"/>
    </row>
    <row r="72" spans="2:12" ht="16.5" customHeight="1" x14ac:dyDescent="0.35">
      <c r="B72" s="151" t="s">
        <v>225</v>
      </c>
      <c r="C72" s="150"/>
      <c r="D72" s="150"/>
      <c r="E72" s="150"/>
      <c r="F72" s="150"/>
      <c r="G72" s="150"/>
      <c r="H72" s="150"/>
      <c r="I72" s="150"/>
      <c r="K72" s="83"/>
      <c r="L72" s="80"/>
    </row>
    <row r="73" spans="2:12" x14ac:dyDescent="0.35">
      <c r="B73" s="151"/>
      <c r="C73" s="150"/>
      <c r="D73" s="150"/>
      <c r="E73" s="150"/>
      <c r="F73" s="150"/>
      <c r="G73" s="150"/>
      <c r="H73" s="150"/>
      <c r="I73" s="150"/>
      <c r="K73" s="83"/>
      <c r="L73" s="80"/>
    </row>
    <row r="74" spans="2:12" ht="7.5" customHeight="1" x14ac:dyDescent="0.35">
      <c r="B74" s="75"/>
      <c r="C74" s="37"/>
      <c r="D74" s="37"/>
      <c r="K74" s="83"/>
      <c r="L74" s="80"/>
    </row>
    <row r="75" spans="2:12" x14ac:dyDescent="0.35">
      <c r="B75" s="151" t="s">
        <v>226</v>
      </c>
      <c r="C75" s="150"/>
      <c r="D75" s="150"/>
      <c r="E75" s="150"/>
      <c r="F75" s="150"/>
      <c r="G75" s="150"/>
      <c r="H75" s="150"/>
      <c r="I75" s="150"/>
      <c r="J75" s="36"/>
      <c r="K75" s="83"/>
      <c r="L75" s="80"/>
    </row>
    <row r="76" spans="2:12" x14ac:dyDescent="0.35">
      <c r="B76" s="151"/>
      <c r="C76" s="150"/>
      <c r="D76" s="150"/>
      <c r="E76" s="150"/>
      <c r="F76" s="150"/>
      <c r="G76" s="150"/>
      <c r="H76" s="150"/>
      <c r="I76" s="150"/>
      <c r="J76" s="36"/>
      <c r="K76" s="83"/>
      <c r="L76" s="80"/>
    </row>
    <row r="77" spans="2:12" x14ac:dyDescent="0.35">
      <c r="B77" s="151"/>
      <c r="C77" s="150"/>
      <c r="D77" s="150"/>
      <c r="E77" s="150"/>
      <c r="F77" s="150"/>
      <c r="G77" s="150"/>
      <c r="H77" s="150"/>
      <c r="I77" s="150"/>
      <c r="J77" s="36"/>
      <c r="K77" s="83"/>
      <c r="L77" s="80"/>
    </row>
    <row r="78" spans="2:12" x14ac:dyDescent="0.35">
      <c r="B78" s="151"/>
      <c r="C78" s="150"/>
      <c r="D78" s="150"/>
      <c r="E78" s="150"/>
      <c r="F78" s="150"/>
      <c r="G78" s="150"/>
      <c r="H78" s="150"/>
      <c r="I78" s="150"/>
      <c r="J78" s="36"/>
      <c r="K78" s="83"/>
      <c r="L78" s="80"/>
    </row>
    <row r="79" spans="2:12" ht="8.25" customHeight="1" x14ac:dyDescent="0.35">
      <c r="B79" s="75"/>
      <c r="C79" s="37"/>
      <c r="D79" s="37"/>
      <c r="K79" s="83"/>
      <c r="L79" s="80"/>
    </row>
    <row r="80" spans="2:12" x14ac:dyDescent="0.35">
      <c r="B80" s="151" t="s">
        <v>283</v>
      </c>
      <c r="C80" s="150"/>
      <c r="D80" s="150"/>
      <c r="E80" s="150"/>
      <c r="F80" s="150"/>
      <c r="G80" s="150"/>
      <c r="H80" s="150"/>
      <c r="I80" s="150"/>
      <c r="J80" s="36"/>
      <c r="K80" s="83"/>
      <c r="L80" s="80"/>
    </row>
    <row r="81" spans="2:12" x14ac:dyDescent="0.35">
      <c r="B81" s="151"/>
      <c r="C81" s="150"/>
      <c r="D81" s="150"/>
      <c r="E81" s="150"/>
      <c r="F81" s="150"/>
      <c r="G81" s="150"/>
      <c r="H81" s="150"/>
      <c r="I81" s="150"/>
      <c r="J81" s="36"/>
      <c r="K81" s="83"/>
      <c r="L81" s="80"/>
    </row>
    <row r="82" spans="2:12" x14ac:dyDescent="0.35">
      <c r="B82" s="151"/>
      <c r="C82" s="150"/>
      <c r="D82" s="150"/>
      <c r="E82" s="150"/>
      <c r="F82" s="150"/>
      <c r="G82" s="150"/>
      <c r="H82" s="150"/>
      <c r="I82" s="150"/>
      <c r="J82" s="36"/>
      <c r="K82" s="83"/>
      <c r="L82" s="80"/>
    </row>
    <row r="83" spans="2:12" ht="6" customHeight="1" x14ac:dyDescent="0.35">
      <c r="B83" s="75"/>
      <c r="C83" s="37"/>
      <c r="D83" s="37"/>
      <c r="K83" s="83"/>
      <c r="L83" s="80"/>
    </row>
    <row r="84" spans="2:12" x14ac:dyDescent="0.35">
      <c r="B84" s="151" t="s">
        <v>227</v>
      </c>
      <c r="C84" s="150"/>
      <c r="D84" s="150"/>
      <c r="E84" s="150"/>
      <c r="F84" s="150"/>
      <c r="G84" s="150"/>
      <c r="H84" s="150"/>
      <c r="I84" s="150"/>
      <c r="J84" s="36"/>
      <c r="K84" s="83"/>
      <c r="L84" s="80"/>
    </row>
    <row r="85" spans="2:12" x14ac:dyDescent="0.35">
      <c r="B85" s="151"/>
      <c r="C85" s="150"/>
      <c r="D85" s="150"/>
      <c r="E85" s="150"/>
      <c r="F85" s="150"/>
      <c r="G85" s="150"/>
      <c r="H85" s="150"/>
      <c r="I85" s="150"/>
      <c r="J85" s="36"/>
      <c r="K85" s="83"/>
      <c r="L85" s="80"/>
    </row>
    <row r="86" spans="2:12" ht="6.75" customHeight="1" x14ac:dyDescent="0.35">
      <c r="B86" s="73"/>
      <c r="C86" s="36"/>
      <c r="D86" s="36"/>
      <c r="E86" s="36"/>
      <c r="F86" s="36"/>
      <c r="G86" s="36"/>
      <c r="H86" s="36"/>
      <c r="I86" s="36"/>
      <c r="J86" s="36"/>
      <c r="K86" s="83"/>
      <c r="L86" s="80"/>
    </row>
    <row r="87" spans="2:12" ht="16.5" customHeight="1" x14ac:dyDescent="0.35">
      <c r="B87" s="151" t="s">
        <v>228</v>
      </c>
      <c r="C87" s="150"/>
      <c r="D87" s="150"/>
      <c r="E87" s="150"/>
      <c r="F87" s="150"/>
      <c r="G87" s="150"/>
      <c r="H87" s="150"/>
      <c r="I87" s="150"/>
      <c r="J87" s="36"/>
      <c r="K87" s="83"/>
      <c r="L87" s="80"/>
    </row>
    <row r="88" spans="2:12" ht="16.5" customHeight="1" x14ac:dyDescent="0.35">
      <c r="B88" s="151"/>
      <c r="C88" s="150"/>
      <c r="D88" s="150"/>
      <c r="E88" s="150"/>
      <c r="F88" s="150"/>
      <c r="G88" s="150"/>
      <c r="H88" s="150"/>
      <c r="I88" s="150"/>
      <c r="J88" s="36"/>
      <c r="K88" s="83"/>
      <c r="L88" s="80"/>
    </row>
    <row r="89" spans="2:12" x14ac:dyDescent="0.35">
      <c r="B89" s="151"/>
      <c r="C89" s="150"/>
      <c r="D89" s="150"/>
      <c r="E89" s="150"/>
      <c r="F89" s="150"/>
      <c r="G89" s="150"/>
      <c r="H89" s="150"/>
      <c r="I89" s="150"/>
      <c r="J89" s="36"/>
      <c r="K89" s="83"/>
      <c r="L89" s="80"/>
    </row>
    <row r="90" spans="2:12" ht="8.25" customHeight="1" x14ac:dyDescent="0.35">
      <c r="B90" s="76"/>
      <c r="C90" s="77"/>
      <c r="D90" s="77"/>
      <c r="E90" s="78"/>
      <c r="F90" s="78"/>
      <c r="G90" s="78"/>
      <c r="H90" s="78"/>
      <c r="I90" s="78"/>
      <c r="J90" s="78"/>
      <c r="K90" s="84"/>
      <c r="L90" s="81"/>
    </row>
    <row r="91" spans="2:12" x14ac:dyDescent="0.35">
      <c r="B91" s="36"/>
      <c r="C91" s="36"/>
      <c r="D91" s="36"/>
      <c r="E91" s="36"/>
      <c r="F91" s="36"/>
      <c r="G91" s="36"/>
      <c r="H91" s="36"/>
      <c r="I91" s="36"/>
      <c r="J91" s="36"/>
    </row>
    <row r="92" spans="2:12" x14ac:dyDescent="0.35">
      <c r="B92" s="35"/>
      <c r="C92" s="37"/>
      <c r="D92" s="37"/>
    </row>
    <row r="93" spans="2:12" x14ac:dyDescent="0.35">
      <c r="B93" s="35"/>
      <c r="C93" s="37"/>
      <c r="D93" s="37"/>
    </row>
    <row r="94" spans="2:12" x14ac:dyDescent="0.35">
      <c r="B94" s="35" t="s">
        <v>297</v>
      </c>
      <c r="C94" s="37"/>
    </row>
    <row r="95" spans="2:12" ht="6.75" customHeight="1" x14ac:dyDescent="0.35"/>
  </sheetData>
  <mergeCells count="22">
    <mergeCell ref="B9:I10"/>
    <mergeCell ref="B54:I59"/>
    <mergeCell ref="C11:I11"/>
    <mergeCell ref="C12:I14"/>
    <mergeCell ref="C15:I20"/>
    <mergeCell ref="B22:I24"/>
    <mergeCell ref="L6:L7"/>
    <mergeCell ref="C26:I27"/>
    <mergeCell ref="B72:I73"/>
    <mergeCell ref="B87:I89"/>
    <mergeCell ref="B61:I63"/>
    <mergeCell ref="B65:I67"/>
    <mergeCell ref="B69:I70"/>
    <mergeCell ref="B75:I78"/>
    <mergeCell ref="B80:I82"/>
    <mergeCell ref="B84:I85"/>
    <mergeCell ref="B32:I34"/>
    <mergeCell ref="B35:I37"/>
    <mergeCell ref="B38:I39"/>
    <mergeCell ref="B41:I46"/>
    <mergeCell ref="B48:I52"/>
    <mergeCell ref="B6:J7"/>
  </mergeCells>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showGridLines="0" zoomScaleNormal="100" zoomScaleSheetLayoutView="100" workbookViewId="0">
      <selection activeCell="B15" sqref="B15:G15"/>
    </sheetView>
  </sheetViews>
  <sheetFormatPr defaultColWidth="6.84375" defaultRowHeight="14.5" x14ac:dyDescent="0.35"/>
  <cols>
    <col min="1" max="1" width="5.84375" style="30" customWidth="1"/>
    <col min="2" max="2" width="5.53515625" style="30" customWidth="1"/>
    <col min="3" max="3" width="5.84375" style="30" customWidth="1"/>
    <col min="4" max="4" width="5.3046875" style="30" customWidth="1"/>
    <col min="5" max="5" width="34.23046875" style="30" customWidth="1"/>
    <col min="6" max="6" width="4.4609375" style="30" customWidth="1"/>
    <col min="7" max="7" width="9.69140625" style="30" customWidth="1"/>
    <col min="8" max="8" width="9.84375" style="30" customWidth="1"/>
    <col min="9" max="16384" width="6.84375" style="30"/>
  </cols>
  <sheetData>
    <row r="1" spans="1:8" x14ac:dyDescent="0.35">
      <c r="A1" s="29" t="str">
        <f>Index!A1</f>
        <v>ABC &amp; Co.</v>
      </c>
    </row>
    <row r="2" spans="1:8" x14ac:dyDescent="0.35">
      <c r="A2" s="29" t="str">
        <f>Index!A2</f>
        <v>(Chartered Accountants)</v>
      </c>
    </row>
    <row r="3" spans="1:8" ht="15" thickBot="1" x14ac:dyDescent="0.4"/>
    <row r="4" spans="1:8" s="29" customFormat="1" ht="15" thickBot="1" x14ac:dyDescent="0.4">
      <c r="A4" s="157" t="str">
        <f>UPPER("Documents required for Stock Take")</f>
        <v>DOCUMENTS REQUIRED FOR STOCK TAKE</v>
      </c>
      <c r="B4" s="158"/>
      <c r="C4" s="158"/>
      <c r="D4" s="158"/>
      <c r="E4" s="158"/>
      <c r="F4" s="158"/>
      <c r="G4" s="158"/>
      <c r="H4" s="159"/>
    </row>
    <row r="5" spans="1:8" s="29" customFormat="1" x14ac:dyDescent="0.35"/>
    <row r="6" spans="1:8" s="31" customFormat="1" x14ac:dyDescent="0.35">
      <c r="A6" s="93" t="s">
        <v>207</v>
      </c>
      <c r="C6" s="140"/>
      <c r="D6" s="140"/>
      <c r="E6" s="140"/>
      <c r="F6" s="140"/>
      <c r="G6" s="94"/>
    </row>
    <row r="7" spans="1:8" s="31" customFormat="1" ht="21" customHeight="1" x14ac:dyDescent="0.35">
      <c r="A7" s="93" t="s">
        <v>2</v>
      </c>
      <c r="C7" s="141"/>
      <c r="D7" s="141"/>
      <c r="E7" s="141"/>
      <c r="F7" s="141"/>
      <c r="G7" s="94"/>
    </row>
    <row r="8" spans="1:8" s="31" customFormat="1" x14ac:dyDescent="0.35">
      <c r="C8" s="94"/>
      <c r="D8" s="94"/>
      <c r="E8" s="94"/>
      <c r="F8" s="94"/>
      <c r="G8" s="94"/>
    </row>
    <row r="9" spans="1:8" s="29" customFormat="1" ht="7.5" customHeight="1" thickBot="1" x14ac:dyDescent="0.4"/>
    <row r="10" spans="1:8" s="29" customFormat="1" ht="15" customHeight="1" x14ac:dyDescent="0.35">
      <c r="A10" s="160" t="s">
        <v>178</v>
      </c>
      <c r="B10" s="162" t="s">
        <v>179</v>
      </c>
      <c r="C10" s="163"/>
      <c r="D10" s="163"/>
      <c r="E10" s="163"/>
      <c r="F10" s="163"/>
      <c r="G10" s="164"/>
      <c r="H10" s="160" t="s">
        <v>180</v>
      </c>
    </row>
    <row r="11" spans="1:8" s="29" customFormat="1" ht="16.5" customHeight="1" thickBot="1" x14ac:dyDescent="0.4">
      <c r="A11" s="161"/>
      <c r="B11" s="165"/>
      <c r="C11" s="166"/>
      <c r="D11" s="166"/>
      <c r="E11" s="166"/>
      <c r="F11" s="166"/>
      <c r="G11" s="167"/>
      <c r="H11" s="161"/>
    </row>
    <row r="13" spans="1:8" x14ac:dyDescent="0.35">
      <c r="A13" s="87"/>
      <c r="B13" s="155"/>
      <c r="C13" s="155"/>
      <c r="D13" s="155"/>
      <c r="E13" s="155"/>
      <c r="F13" s="155"/>
      <c r="G13" s="155"/>
      <c r="H13" s="88"/>
    </row>
    <row r="14" spans="1:8" x14ac:dyDescent="0.35">
      <c r="A14" s="87">
        <v>1</v>
      </c>
      <c r="B14" s="156" t="s">
        <v>181</v>
      </c>
      <c r="C14" s="156"/>
      <c r="D14" s="156"/>
      <c r="E14" s="156"/>
      <c r="F14" s="156"/>
      <c r="G14" s="156"/>
      <c r="H14" s="88"/>
    </row>
    <row r="15" spans="1:8" x14ac:dyDescent="0.35">
      <c r="A15" s="89" t="s">
        <v>182</v>
      </c>
      <c r="B15" s="169" t="s">
        <v>183</v>
      </c>
      <c r="C15" s="169"/>
      <c r="D15" s="169"/>
      <c r="E15" s="169"/>
      <c r="F15" s="169"/>
      <c r="G15" s="169"/>
      <c r="H15" s="88"/>
    </row>
    <row r="16" spans="1:8" x14ac:dyDescent="0.35">
      <c r="A16" s="89" t="s">
        <v>184</v>
      </c>
      <c r="B16" s="169" t="s">
        <v>185</v>
      </c>
      <c r="C16" s="169"/>
      <c r="D16" s="169"/>
      <c r="E16" s="169"/>
      <c r="F16" s="169"/>
      <c r="G16" s="169"/>
      <c r="H16" s="88"/>
    </row>
    <row r="17" spans="1:10" x14ac:dyDescent="0.35">
      <c r="A17" s="89" t="s">
        <v>186</v>
      </c>
      <c r="B17" s="169" t="s">
        <v>187</v>
      </c>
      <c r="C17" s="169"/>
      <c r="D17" s="169"/>
      <c r="E17" s="169"/>
      <c r="F17" s="169"/>
      <c r="G17" s="169"/>
      <c r="H17" s="88"/>
    </row>
    <row r="18" spans="1:10" x14ac:dyDescent="0.35">
      <c r="A18" s="89" t="s">
        <v>188</v>
      </c>
      <c r="B18" s="169" t="s">
        <v>189</v>
      </c>
      <c r="C18" s="169"/>
      <c r="D18" s="169"/>
      <c r="E18" s="169"/>
      <c r="F18" s="169"/>
      <c r="G18" s="169"/>
      <c r="H18" s="88"/>
    </row>
    <row r="19" spans="1:10" x14ac:dyDescent="0.35">
      <c r="A19" s="89" t="s">
        <v>190</v>
      </c>
      <c r="B19" s="169" t="s">
        <v>191</v>
      </c>
      <c r="C19" s="169"/>
      <c r="D19" s="169"/>
      <c r="E19" s="169"/>
      <c r="F19" s="169"/>
      <c r="G19" s="169"/>
      <c r="H19" s="88"/>
    </row>
    <row r="20" spans="1:10" x14ac:dyDescent="0.35">
      <c r="A20" s="89" t="s">
        <v>192</v>
      </c>
      <c r="B20" s="169" t="s">
        <v>193</v>
      </c>
      <c r="C20" s="169"/>
      <c r="D20" s="169"/>
      <c r="E20" s="169"/>
      <c r="F20" s="169"/>
      <c r="G20" s="169"/>
      <c r="H20" s="88"/>
    </row>
    <row r="21" spans="1:10" x14ac:dyDescent="0.35">
      <c r="A21" s="89"/>
      <c r="B21" s="169"/>
      <c r="C21" s="169"/>
      <c r="D21" s="169"/>
      <c r="E21" s="169"/>
      <c r="F21" s="169"/>
      <c r="G21" s="169"/>
      <c r="H21" s="88"/>
    </row>
    <row r="22" spans="1:10" x14ac:dyDescent="0.35">
      <c r="A22" s="87">
        <v>2</v>
      </c>
      <c r="B22" s="155" t="s">
        <v>194</v>
      </c>
      <c r="C22" s="155"/>
      <c r="D22" s="155"/>
      <c r="E22" s="155"/>
      <c r="F22" s="155"/>
      <c r="G22" s="155"/>
      <c r="H22" s="88"/>
    </row>
    <row r="23" spans="1:10" x14ac:dyDescent="0.35">
      <c r="A23" s="87"/>
      <c r="B23" s="155"/>
      <c r="C23" s="155"/>
      <c r="D23" s="155"/>
      <c r="E23" s="155"/>
      <c r="F23" s="155"/>
      <c r="G23" s="155"/>
      <c r="H23" s="88"/>
    </row>
    <row r="24" spans="1:10" x14ac:dyDescent="0.35">
      <c r="A24" s="87">
        <v>3</v>
      </c>
      <c r="B24" s="155" t="s">
        <v>195</v>
      </c>
      <c r="C24" s="155"/>
      <c r="D24" s="155"/>
      <c r="E24" s="155"/>
      <c r="F24" s="155"/>
      <c r="G24" s="155"/>
      <c r="H24" s="88"/>
    </row>
    <row r="25" spans="1:10" x14ac:dyDescent="0.35">
      <c r="A25" s="89" t="s">
        <v>182</v>
      </c>
      <c r="B25" s="169" t="s">
        <v>196</v>
      </c>
      <c r="C25" s="169"/>
      <c r="D25" s="169"/>
      <c r="E25" s="169"/>
      <c r="F25" s="169"/>
      <c r="G25" s="169"/>
      <c r="H25" s="88"/>
    </row>
    <row r="26" spans="1:10" x14ac:dyDescent="0.35">
      <c r="A26" s="89" t="s">
        <v>184</v>
      </c>
      <c r="B26" s="169" t="s">
        <v>197</v>
      </c>
      <c r="C26" s="169"/>
      <c r="D26" s="169"/>
      <c r="E26" s="169"/>
      <c r="F26" s="169"/>
      <c r="G26" s="169"/>
      <c r="H26" s="88"/>
    </row>
    <row r="27" spans="1:10" x14ac:dyDescent="0.35">
      <c r="A27" s="89" t="s">
        <v>186</v>
      </c>
      <c r="B27" s="169" t="s">
        <v>198</v>
      </c>
      <c r="C27" s="169"/>
      <c r="D27" s="169"/>
      <c r="E27" s="169"/>
      <c r="F27" s="169"/>
      <c r="G27" s="169"/>
      <c r="H27" s="88"/>
    </row>
    <row r="28" spans="1:10" ht="16.5" customHeight="1" x14ac:dyDescent="0.35">
      <c r="A28" s="89" t="s">
        <v>188</v>
      </c>
      <c r="B28" s="169" t="s">
        <v>199</v>
      </c>
      <c r="C28" s="169"/>
      <c r="D28" s="169"/>
      <c r="E28" s="169"/>
      <c r="F28" s="169"/>
      <c r="G28" s="169"/>
      <c r="H28" s="88"/>
    </row>
    <row r="29" spans="1:10" x14ac:dyDescent="0.35">
      <c r="A29" s="89" t="s">
        <v>190</v>
      </c>
      <c r="B29" s="169" t="s">
        <v>200</v>
      </c>
      <c r="C29" s="169"/>
      <c r="D29" s="169"/>
      <c r="E29" s="169"/>
      <c r="F29" s="169"/>
      <c r="G29" s="169"/>
      <c r="H29" s="88"/>
    </row>
    <row r="30" spans="1:10" x14ac:dyDescent="0.35">
      <c r="A30" s="89" t="s">
        <v>192</v>
      </c>
      <c r="B30" s="169" t="s">
        <v>251</v>
      </c>
      <c r="C30" s="169"/>
      <c r="D30" s="169"/>
      <c r="E30" s="169"/>
      <c r="F30" s="169"/>
      <c r="G30" s="169"/>
      <c r="H30" s="88"/>
    </row>
    <row r="31" spans="1:10" x14ac:dyDescent="0.35">
      <c r="A31" s="89" t="s">
        <v>201</v>
      </c>
      <c r="B31" s="169" t="s">
        <v>202</v>
      </c>
      <c r="C31" s="169"/>
      <c r="D31" s="169"/>
      <c r="E31" s="169"/>
      <c r="F31" s="169"/>
      <c r="G31" s="169"/>
      <c r="H31" s="88"/>
      <c r="J31" s="30" t="s">
        <v>296</v>
      </c>
    </row>
    <row r="32" spans="1:10" ht="16.5" customHeight="1" x14ac:dyDescent="0.35">
      <c r="A32" s="89" t="s">
        <v>203</v>
      </c>
      <c r="B32" s="169" t="s">
        <v>204</v>
      </c>
      <c r="C32" s="169"/>
      <c r="D32" s="169"/>
      <c r="E32" s="169"/>
      <c r="F32" s="169"/>
      <c r="G32" s="169"/>
      <c r="H32" s="88"/>
    </row>
    <row r="33" spans="1:8" x14ac:dyDescent="0.35">
      <c r="A33" s="89" t="s">
        <v>249</v>
      </c>
      <c r="B33" s="169" t="s">
        <v>250</v>
      </c>
      <c r="C33" s="169"/>
      <c r="D33" s="169"/>
      <c r="E33" s="169"/>
      <c r="F33" s="169"/>
      <c r="G33" s="169"/>
      <c r="H33" s="88"/>
    </row>
    <row r="34" spans="1:8" x14ac:dyDescent="0.35">
      <c r="A34" s="89"/>
      <c r="B34" s="90"/>
      <c r="C34" s="91"/>
      <c r="D34" s="91"/>
      <c r="E34" s="91"/>
      <c r="F34" s="91"/>
      <c r="G34" s="92"/>
      <c r="H34" s="88"/>
    </row>
    <row r="35" spans="1:8" x14ac:dyDescent="0.35">
      <c r="A35" s="87"/>
      <c r="B35" s="155"/>
      <c r="C35" s="155"/>
      <c r="D35" s="155"/>
      <c r="E35" s="155"/>
      <c r="F35" s="155"/>
      <c r="G35" s="155"/>
      <c r="H35" s="88"/>
    </row>
    <row r="36" spans="1:8" x14ac:dyDescent="0.35">
      <c r="A36" s="87"/>
      <c r="B36" s="155"/>
      <c r="C36" s="155"/>
      <c r="D36" s="155"/>
      <c r="E36" s="155"/>
      <c r="F36" s="155"/>
      <c r="G36" s="155"/>
      <c r="H36" s="88"/>
    </row>
    <row r="43" spans="1:8" x14ac:dyDescent="0.35">
      <c r="A43" s="168" t="s">
        <v>205</v>
      </c>
      <c r="B43" s="168"/>
      <c r="C43" s="168"/>
      <c r="D43" s="168"/>
      <c r="E43" s="29"/>
      <c r="F43" s="168" t="s">
        <v>206</v>
      </c>
      <c r="G43" s="168"/>
      <c r="H43" s="168"/>
    </row>
  </sheetData>
  <mergeCells count="29">
    <mergeCell ref="B26:G26"/>
    <mergeCell ref="B25:G25"/>
    <mergeCell ref="B32:G32"/>
    <mergeCell ref="B31:G31"/>
    <mergeCell ref="B27:G27"/>
    <mergeCell ref="B15:G15"/>
    <mergeCell ref="B16:G16"/>
    <mergeCell ref="B17:G17"/>
    <mergeCell ref="B18:G18"/>
    <mergeCell ref="B19:G19"/>
    <mergeCell ref="B20:G20"/>
    <mergeCell ref="B22:G22"/>
    <mergeCell ref="B21:G21"/>
    <mergeCell ref="B23:G23"/>
    <mergeCell ref="B24:G24"/>
    <mergeCell ref="A43:D43"/>
    <mergeCell ref="F43:H43"/>
    <mergeCell ref="B36:G36"/>
    <mergeCell ref="B28:G28"/>
    <mergeCell ref="B30:G30"/>
    <mergeCell ref="B29:G29"/>
    <mergeCell ref="B35:G35"/>
    <mergeCell ref="B33:G33"/>
    <mergeCell ref="B13:G13"/>
    <mergeCell ref="B14:G14"/>
    <mergeCell ref="A4:H4"/>
    <mergeCell ref="A10:A11"/>
    <mergeCell ref="H10:H11"/>
    <mergeCell ref="B10:G11"/>
  </mergeCells>
  <pageMargins left="0.7" right="0.7" top="0.75"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2"/>
  <sheetViews>
    <sheetView showGridLines="0" topLeftCell="A40" zoomScaleNormal="100" zoomScaleSheetLayoutView="100" workbookViewId="0">
      <selection activeCell="B15" sqref="B15"/>
    </sheetView>
  </sheetViews>
  <sheetFormatPr defaultColWidth="8.07421875" defaultRowHeight="14.5" x14ac:dyDescent="0.35"/>
  <cols>
    <col min="1" max="1" width="11.84375" style="26" customWidth="1"/>
    <col min="2" max="2" width="14.69140625" style="26" customWidth="1"/>
    <col min="3" max="3" width="11.765625" style="26" customWidth="1"/>
    <col min="4" max="4" width="1.53515625" style="26" customWidth="1"/>
    <col min="5" max="5" width="12" style="26" customWidth="1"/>
    <col min="6" max="6" width="14.53515625" style="26" customWidth="1"/>
    <col min="7" max="7" width="13.3046875" style="26" customWidth="1"/>
    <col min="8" max="16384" width="8.07421875" style="26"/>
  </cols>
  <sheetData>
    <row r="1" spans="1:7" x14ac:dyDescent="0.35">
      <c r="A1" s="25" t="str">
        <f>Index!A1</f>
        <v>ABC &amp; Co.</v>
      </c>
      <c r="B1" s="25"/>
    </row>
    <row r="2" spans="1:7" x14ac:dyDescent="0.35">
      <c r="A2" s="25" t="str">
        <f>Index!A2</f>
        <v>(Chartered Accountants)</v>
      </c>
      <c r="B2" s="25"/>
    </row>
    <row r="3" spans="1:7" x14ac:dyDescent="0.35">
      <c r="A3" s="25"/>
      <c r="B3" s="25"/>
    </row>
    <row r="4" spans="1:7" x14ac:dyDescent="0.35">
      <c r="A4" s="170" t="s">
        <v>157</v>
      </c>
      <c r="B4" s="171"/>
      <c r="C4" s="171"/>
      <c r="D4" s="171"/>
      <c r="E4" s="171"/>
      <c r="F4" s="171"/>
      <c r="G4" s="172"/>
    </row>
    <row r="5" spans="1:7" ht="23.25" customHeight="1" x14ac:dyDescent="0.35">
      <c r="A5" s="26" t="s">
        <v>150</v>
      </c>
      <c r="B5" s="173"/>
      <c r="C5" s="173"/>
      <c r="D5" s="173"/>
      <c r="E5" s="173"/>
      <c r="F5" s="173"/>
    </row>
    <row r="6" spans="1:7" ht="23.25" customHeight="1" x14ac:dyDescent="0.35">
      <c r="A6" s="26" t="s">
        <v>151</v>
      </c>
      <c r="B6" s="176"/>
      <c r="C6" s="176"/>
      <c r="F6" s="26" t="s">
        <v>154</v>
      </c>
      <c r="G6" s="27"/>
    </row>
    <row r="7" spans="1:7" ht="23.25" customHeight="1" x14ac:dyDescent="0.35">
      <c r="A7" s="26" t="s">
        <v>152</v>
      </c>
      <c r="B7" s="176"/>
      <c r="C7" s="176"/>
      <c r="F7" s="26" t="s">
        <v>155</v>
      </c>
      <c r="G7" s="27"/>
    </row>
    <row r="8" spans="1:7" ht="10.5" customHeight="1" x14ac:dyDescent="0.35"/>
    <row r="9" spans="1:7" x14ac:dyDescent="0.35">
      <c r="A9" s="170" t="s">
        <v>156</v>
      </c>
      <c r="B9" s="171"/>
      <c r="C9" s="171"/>
      <c r="D9" s="171"/>
      <c r="E9" s="171"/>
      <c r="F9" s="171"/>
      <c r="G9" s="172"/>
    </row>
    <row r="10" spans="1:7" ht="5.25" customHeight="1" x14ac:dyDescent="0.35"/>
    <row r="11" spans="1:7" x14ac:dyDescent="0.35">
      <c r="A11" s="25" t="s">
        <v>133</v>
      </c>
      <c r="C11" s="56" t="s">
        <v>134</v>
      </c>
      <c r="D11" s="56"/>
      <c r="F11" s="56" t="s">
        <v>135</v>
      </c>
    </row>
    <row r="12" spans="1:7" s="28" customFormat="1" ht="4.5" customHeight="1" x14ac:dyDescent="0.35">
      <c r="A12" s="57"/>
      <c r="B12" s="58"/>
      <c r="E12" s="58"/>
    </row>
    <row r="13" spans="1:7" s="28" customFormat="1" ht="21.75" customHeight="1" x14ac:dyDescent="0.35">
      <c r="A13" s="95">
        <v>5000</v>
      </c>
      <c r="B13" s="58" t="s">
        <v>136</v>
      </c>
      <c r="C13" s="96"/>
      <c r="E13" s="59" t="s">
        <v>137</v>
      </c>
      <c r="F13" s="96"/>
    </row>
    <row r="14" spans="1:7" s="28" customFormat="1" ht="4.5" customHeight="1" x14ac:dyDescent="0.35">
      <c r="A14" s="57"/>
      <c r="B14" s="58"/>
      <c r="C14" s="96"/>
      <c r="E14" s="58"/>
    </row>
    <row r="15" spans="1:7" s="28" customFormat="1" ht="21.75" customHeight="1" x14ac:dyDescent="0.35">
      <c r="A15" s="95">
        <v>1000</v>
      </c>
      <c r="B15" s="58" t="s">
        <v>136</v>
      </c>
      <c r="C15" s="96"/>
      <c r="E15" s="59" t="s">
        <v>137</v>
      </c>
      <c r="F15" s="96"/>
    </row>
    <row r="16" spans="1:7" s="28" customFormat="1" ht="4.5" customHeight="1" x14ac:dyDescent="0.35">
      <c r="A16" s="57"/>
      <c r="B16" s="58"/>
      <c r="E16" s="58"/>
    </row>
    <row r="17" spans="1:6" s="28" customFormat="1" ht="21.75" customHeight="1" x14ac:dyDescent="0.35">
      <c r="A17" s="95">
        <v>500</v>
      </c>
      <c r="B17" s="58" t="s">
        <v>136</v>
      </c>
      <c r="C17" s="96"/>
      <c r="E17" s="59" t="s">
        <v>137</v>
      </c>
      <c r="F17" s="96"/>
    </row>
    <row r="18" spans="1:6" s="28" customFormat="1" ht="4.5" customHeight="1" x14ac:dyDescent="0.35">
      <c r="A18" s="57"/>
      <c r="B18" s="58"/>
      <c r="E18" s="58"/>
    </row>
    <row r="19" spans="1:6" s="28" customFormat="1" ht="21.75" customHeight="1" x14ac:dyDescent="0.35">
      <c r="A19" s="95">
        <v>100</v>
      </c>
      <c r="B19" s="58" t="s">
        <v>136</v>
      </c>
      <c r="C19" s="96"/>
      <c r="E19" s="59" t="s">
        <v>137</v>
      </c>
      <c r="F19" s="96"/>
    </row>
    <row r="20" spans="1:6" s="28" customFormat="1" ht="4.5" customHeight="1" x14ac:dyDescent="0.35">
      <c r="A20" s="57"/>
      <c r="B20" s="58"/>
      <c r="E20" s="58"/>
    </row>
    <row r="21" spans="1:6" s="28" customFormat="1" ht="21.75" customHeight="1" x14ac:dyDescent="0.35">
      <c r="A21" s="95">
        <v>75</v>
      </c>
      <c r="B21" s="58" t="s">
        <v>136</v>
      </c>
      <c r="C21" s="96"/>
      <c r="E21" s="59" t="s">
        <v>137</v>
      </c>
      <c r="F21" s="96"/>
    </row>
    <row r="22" spans="1:6" s="28" customFormat="1" ht="4.5" customHeight="1" x14ac:dyDescent="0.35">
      <c r="A22" s="57"/>
      <c r="B22" s="58"/>
      <c r="E22" s="58"/>
    </row>
    <row r="23" spans="1:6" s="28" customFormat="1" ht="21.75" customHeight="1" x14ac:dyDescent="0.35">
      <c r="A23" s="95">
        <v>50</v>
      </c>
      <c r="B23" s="58" t="s">
        <v>136</v>
      </c>
      <c r="C23" s="96"/>
      <c r="E23" s="59" t="s">
        <v>137</v>
      </c>
      <c r="F23" s="96"/>
    </row>
    <row r="24" spans="1:6" s="28" customFormat="1" ht="4.5" customHeight="1" x14ac:dyDescent="0.35">
      <c r="A24" s="57"/>
      <c r="B24" s="58"/>
      <c r="E24" s="58"/>
    </row>
    <row r="25" spans="1:6" s="28" customFormat="1" ht="21.75" customHeight="1" x14ac:dyDescent="0.35">
      <c r="A25" s="95">
        <v>20</v>
      </c>
      <c r="B25" s="58" t="s">
        <v>136</v>
      </c>
      <c r="C25" s="96"/>
      <c r="E25" s="59" t="s">
        <v>137</v>
      </c>
      <c r="F25" s="96"/>
    </row>
    <row r="26" spans="1:6" s="28" customFormat="1" ht="4.5" customHeight="1" x14ac:dyDescent="0.35">
      <c r="A26" s="57"/>
      <c r="B26" s="58"/>
      <c r="E26" s="58"/>
    </row>
    <row r="27" spans="1:6" s="28" customFormat="1" ht="21.75" customHeight="1" x14ac:dyDescent="0.35">
      <c r="A27" s="95">
        <v>10</v>
      </c>
      <c r="B27" s="58" t="s">
        <v>136</v>
      </c>
      <c r="C27" s="96"/>
      <c r="E27" s="59" t="s">
        <v>137</v>
      </c>
      <c r="F27" s="96"/>
    </row>
    <row r="28" spans="1:6" s="28" customFormat="1" ht="4.5" customHeight="1" x14ac:dyDescent="0.35">
      <c r="A28" s="57"/>
      <c r="B28" s="58"/>
      <c r="E28" s="58"/>
    </row>
    <row r="29" spans="1:6" s="28" customFormat="1" ht="21.75" customHeight="1" x14ac:dyDescent="0.35">
      <c r="A29" s="95">
        <v>5</v>
      </c>
      <c r="B29" s="58" t="s">
        <v>136</v>
      </c>
      <c r="C29" s="96"/>
      <c r="E29" s="59" t="s">
        <v>137</v>
      </c>
      <c r="F29" s="96"/>
    </row>
    <row r="30" spans="1:6" s="28" customFormat="1" ht="4.5" customHeight="1" x14ac:dyDescent="0.35">
      <c r="A30" s="57"/>
      <c r="B30" s="58"/>
      <c r="E30" s="58"/>
    </row>
    <row r="31" spans="1:6" s="28" customFormat="1" ht="21.75" customHeight="1" x14ac:dyDescent="0.35">
      <c r="A31" s="95">
        <v>2</v>
      </c>
      <c r="B31" s="58" t="s">
        <v>136</v>
      </c>
      <c r="C31" s="96"/>
      <c r="E31" s="59" t="s">
        <v>137</v>
      </c>
      <c r="F31" s="96"/>
    </row>
    <row r="32" spans="1:6" s="28" customFormat="1" ht="4.5" customHeight="1" x14ac:dyDescent="0.35">
      <c r="A32" s="57"/>
      <c r="B32" s="58"/>
      <c r="E32" s="58"/>
    </row>
    <row r="33" spans="1:7" s="28" customFormat="1" ht="21.75" customHeight="1" x14ac:dyDescent="0.35">
      <c r="A33" s="95">
        <v>1</v>
      </c>
      <c r="B33" s="58" t="s">
        <v>136</v>
      </c>
      <c r="C33" s="96"/>
      <c r="E33" s="59" t="s">
        <v>137</v>
      </c>
      <c r="F33" s="96"/>
    </row>
    <row r="34" spans="1:7" s="28" customFormat="1" ht="4.5" customHeight="1" x14ac:dyDescent="0.35">
      <c r="A34" s="60"/>
      <c r="B34" s="58"/>
      <c r="E34" s="59"/>
    </row>
    <row r="35" spans="1:7" s="28" customFormat="1" ht="21.75" customHeight="1" x14ac:dyDescent="0.35">
      <c r="A35" s="61" t="s">
        <v>278</v>
      </c>
      <c r="B35" s="58"/>
      <c r="E35" s="59"/>
      <c r="F35" s="96"/>
    </row>
    <row r="36" spans="1:7" s="28" customFormat="1" ht="4.5" customHeight="1" x14ac:dyDescent="0.35">
      <c r="A36" s="60"/>
      <c r="B36" s="58"/>
      <c r="E36" s="59"/>
    </row>
    <row r="37" spans="1:7" s="28" customFormat="1" ht="21.75" customHeight="1" x14ac:dyDescent="0.35">
      <c r="A37" s="61" t="s">
        <v>246</v>
      </c>
      <c r="B37" s="58"/>
      <c r="E37" s="59"/>
      <c r="F37" s="96"/>
    </row>
    <row r="38" spans="1:7" s="28" customFormat="1" ht="4.5" customHeight="1" x14ac:dyDescent="0.35">
      <c r="A38" s="60"/>
      <c r="B38" s="60"/>
      <c r="C38" s="58"/>
      <c r="D38" s="58"/>
      <c r="F38" s="59"/>
    </row>
    <row r="39" spans="1:7" s="28" customFormat="1" ht="21.75" customHeight="1" x14ac:dyDescent="0.35">
      <c r="A39" s="61" t="s">
        <v>247</v>
      </c>
      <c r="B39" s="58"/>
      <c r="E39" s="59"/>
      <c r="F39" s="96"/>
    </row>
    <row r="40" spans="1:7" s="28" customFormat="1" ht="4.5" customHeight="1" x14ac:dyDescent="0.35">
      <c r="A40" s="60"/>
      <c r="B40" s="60"/>
      <c r="C40" s="58"/>
      <c r="D40" s="58"/>
      <c r="F40" s="59"/>
    </row>
    <row r="41" spans="1:7" s="28" customFormat="1" ht="21.75" customHeight="1" x14ac:dyDescent="0.35">
      <c r="A41" s="61" t="s">
        <v>248</v>
      </c>
      <c r="B41" s="58"/>
      <c r="E41" s="59"/>
      <c r="F41" s="96"/>
    </row>
    <row r="42" spans="1:7" s="28" customFormat="1" ht="4.5" customHeight="1" x14ac:dyDescent="0.35">
      <c r="A42" s="60"/>
      <c r="B42" s="60"/>
      <c r="C42" s="58"/>
      <c r="D42" s="58"/>
      <c r="F42" s="59"/>
    </row>
    <row r="43" spans="1:7" s="28" customFormat="1" ht="21.75" customHeight="1" x14ac:dyDescent="0.35">
      <c r="A43" s="62" t="s">
        <v>138</v>
      </c>
      <c r="B43" s="62"/>
      <c r="G43" s="97"/>
    </row>
    <row r="44" spans="1:7" s="28" customFormat="1" ht="4.5" customHeight="1" x14ac:dyDescent="0.35"/>
    <row r="45" spans="1:7" s="28" customFormat="1" x14ac:dyDescent="0.35">
      <c r="A45" s="175" t="s">
        <v>139</v>
      </c>
      <c r="B45" s="175"/>
      <c r="C45" s="175"/>
      <c r="D45" s="175"/>
      <c r="E45" s="175"/>
      <c r="F45" s="175"/>
    </row>
    <row r="46" spans="1:7" s="28" customFormat="1" ht="19.5" customHeight="1" x14ac:dyDescent="0.35">
      <c r="A46" s="174"/>
      <c r="B46" s="174"/>
      <c r="C46" s="174"/>
      <c r="G46" s="63"/>
    </row>
    <row r="47" spans="1:7" ht="21.75" customHeight="1" x14ac:dyDescent="0.35">
      <c r="A47" s="27"/>
      <c r="B47" s="27"/>
      <c r="C47" s="27"/>
      <c r="G47" s="64"/>
    </row>
    <row r="48" spans="1:7" ht="9" customHeight="1" x14ac:dyDescent="0.35"/>
    <row r="49" spans="1:7" ht="21.75" customHeight="1" x14ac:dyDescent="0.35">
      <c r="A49" s="25" t="s">
        <v>140</v>
      </c>
      <c r="B49" s="25"/>
      <c r="G49" s="98"/>
    </row>
    <row r="50" spans="1:7" ht="7.5" customHeight="1" x14ac:dyDescent="0.35">
      <c r="A50" s="25"/>
      <c r="B50" s="25"/>
    </row>
    <row r="51" spans="1:7" ht="21.75" customHeight="1" x14ac:dyDescent="0.35">
      <c r="A51" s="25" t="s">
        <v>141</v>
      </c>
      <c r="B51" s="25"/>
      <c r="G51" s="98"/>
    </row>
    <row r="52" spans="1:7" ht="5.25" customHeight="1" x14ac:dyDescent="0.35">
      <c r="A52" s="25"/>
      <c r="B52" s="25"/>
    </row>
    <row r="53" spans="1:7" x14ac:dyDescent="0.35">
      <c r="A53" s="65" t="s">
        <v>148</v>
      </c>
    </row>
    <row r="54" spans="1:7" ht="4.5" customHeight="1" x14ac:dyDescent="0.35"/>
    <row r="55" spans="1:7" s="25" customFormat="1" x14ac:dyDescent="0.35">
      <c r="A55" s="25" t="s">
        <v>237</v>
      </c>
      <c r="F55" s="25" t="s">
        <v>142</v>
      </c>
    </row>
    <row r="56" spans="1:7" ht="6.75" customHeight="1" x14ac:dyDescent="0.35"/>
    <row r="57" spans="1:7" ht="2.25" customHeight="1" x14ac:dyDescent="0.35"/>
    <row r="58" spans="1:7" ht="13.5" customHeight="1" x14ac:dyDescent="0.35"/>
    <row r="59" spans="1:7" ht="24.75" customHeight="1" x14ac:dyDescent="0.35">
      <c r="A59" s="26" t="s">
        <v>153</v>
      </c>
      <c r="F59" s="26" t="s">
        <v>143</v>
      </c>
      <c r="G59" s="27"/>
    </row>
    <row r="60" spans="1:7" x14ac:dyDescent="0.35">
      <c r="A60" s="26" t="str">
        <f>A1</f>
        <v>ABC &amp; Co.</v>
      </c>
      <c r="F60" s="26" t="s">
        <v>149</v>
      </c>
      <c r="G60" s="27"/>
    </row>
    <row r="61" spans="1:7" x14ac:dyDescent="0.35">
      <c r="A61" s="26" t="str">
        <f>PROPER(A2)</f>
        <v>(Chartered Accountants)</v>
      </c>
      <c r="F61" s="26" t="s">
        <v>286</v>
      </c>
      <c r="G61" s="27"/>
    </row>
    <row r="62" spans="1:7" ht="4.5" customHeight="1" x14ac:dyDescent="0.35"/>
  </sheetData>
  <mergeCells count="7">
    <mergeCell ref="A4:G4"/>
    <mergeCell ref="B5:F5"/>
    <mergeCell ref="A46:C46"/>
    <mergeCell ref="A9:G9"/>
    <mergeCell ref="A45:F45"/>
    <mergeCell ref="B6:C6"/>
    <mergeCell ref="B7:C7"/>
  </mergeCells>
  <phoneticPr fontId="20" type="noConversion"/>
  <pageMargins left="0.7" right="0.7" top="0.75" bottom="0.75" header="0.3" footer="0.3"/>
  <pageSetup paperSize="9" scale="9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codeName="Sheet2"/>
  <dimension ref="A1:R239"/>
  <sheetViews>
    <sheetView showGridLines="0" defaultGridColor="0" topLeftCell="A207" colorId="22" zoomScaleNormal="100" zoomScaleSheetLayoutView="100" workbookViewId="0">
      <selection activeCell="B15" sqref="B15"/>
    </sheetView>
  </sheetViews>
  <sheetFormatPr defaultColWidth="4.765625" defaultRowHeight="14.5" x14ac:dyDescent="0.35"/>
  <cols>
    <col min="1" max="1" width="1.84375" style="2" customWidth="1"/>
    <col min="2" max="2" width="3.53515625" style="2" customWidth="1"/>
    <col min="3" max="3" width="4.765625" style="2" customWidth="1"/>
    <col min="4" max="4" width="6.765625" style="2" customWidth="1"/>
    <col min="5" max="5" width="15.765625" style="2" customWidth="1"/>
    <col min="6" max="6" width="2.3046875" style="2" customWidth="1"/>
    <col min="7" max="7" width="16.69140625" style="2" bestFit="1" customWidth="1"/>
    <col min="8" max="9" width="4.765625" style="2"/>
    <col min="10" max="10" width="4.23046875" style="2" customWidth="1"/>
    <col min="11" max="11" width="12.84375" style="2" bestFit="1" customWidth="1"/>
    <col min="12" max="12" width="4.3046875" style="2" customWidth="1"/>
    <col min="13" max="13" width="6.53515625" style="2" customWidth="1"/>
    <col min="14" max="14" width="4.3046875" style="2" customWidth="1"/>
    <col min="15" max="15" width="5.69140625" style="2" bestFit="1" customWidth="1"/>
    <col min="16" max="16" width="2.69140625" style="2" customWidth="1"/>
    <col min="17" max="17" width="18.53515625" style="2" customWidth="1"/>
    <col min="18" max="18" width="1.3046875" style="2" customWidth="1"/>
    <col min="19" max="16384" width="4.765625" style="2"/>
  </cols>
  <sheetData>
    <row r="1" spans="1:17" x14ac:dyDescent="0.35">
      <c r="A1" s="7" t="str">
        <f>Index!A1</f>
        <v>ABC &amp; Co.</v>
      </c>
      <c r="K1" s="7"/>
      <c r="L1" s="8"/>
      <c r="M1" s="8"/>
      <c r="N1" s="8"/>
      <c r="O1" s="8"/>
      <c r="P1" s="8"/>
      <c r="Q1" s="8"/>
    </row>
    <row r="2" spans="1:17" x14ac:dyDescent="0.35">
      <c r="A2" s="7" t="str">
        <f>Index!A2</f>
        <v>(Chartered Accountants)</v>
      </c>
      <c r="K2" s="9"/>
      <c r="L2" s="8"/>
      <c r="M2" s="8"/>
      <c r="N2" s="8"/>
      <c r="O2" s="8"/>
      <c r="P2" s="8"/>
      <c r="Q2" s="8"/>
    </row>
    <row r="3" spans="1:17" ht="9.75" customHeight="1" thickBot="1" x14ac:dyDescent="0.4"/>
    <row r="4" spans="1:17" ht="15" thickBot="1" x14ac:dyDescent="0.4">
      <c r="A4" s="186" t="s">
        <v>265</v>
      </c>
      <c r="B4" s="187"/>
      <c r="C4" s="187"/>
      <c r="D4" s="187"/>
      <c r="E4" s="187"/>
      <c r="F4" s="187"/>
      <c r="G4" s="187"/>
      <c r="H4" s="187"/>
      <c r="I4" s="187"/>
      <c r="J4" s="187"/>
      <c r="K4" s="187"/>
      <c r="L4" s="187"/>
      <c r="M4" s="187"/>
      <c r="N4" s="187"/>
      <c r="O4" s="187"/>
      <c r="P4" s="187"/>
      <c r="Q4" s="188"/>
    </row>
    <row r="5" spans="1:17" ht="13.5" customHeight="1" x14ac:dyDescent="0.35"/>
    <row r="6" spans="1:17" x14ac:dyDescent="0.35">
      <c r="A6" s="2" t="s">
        <v>0</v>
      </c>
      <c r="D6" s="10"/>
      <c r="E6" s="11"/>
      <c r="F6" s="11"/>
      <c r="G6" s="11"/>
      <c r="H6" s="11"/>
      <c r="I6" s="11"/>
      <c r="J6" s="11"/>
      <c r="K6" s="11"/>
    </row>
    <row r="7" spans="1:17" x14ac:dyDescent="0.35">
      <c r="A7" s="10" t="s">
        <v>1</v>
      </c>
      <c r="D7" s="10"/>
      <c r="E7" s="12"/>
      <c r="F7" s="12"/>
      <c r="G7" s="12"/>
      <c r="H7" s="12"/>
      <c r="I7" s="12"/>
      <c r="J7" s="12"/>
      <c r="K7" s="12"/>
    </row>
    <row r="8" spans="1:17" x14ac:dyDescent="0.35">
      <c r="A8" s="2" t="s">
        <v>2</v>
      </c>
      <c r="D8" s="10"/>
      <c r="E8" s="12"/>
      <c r="F8" s="12"/>
      <c r="G8" s="12"/>
      <c r="H8" s="12"/>
      <c r="I8" s="12"/>
      <c r="J8" s="12"/>
      <c r="K8" s="12"/>
    </row>
    <row r="9" spans="1:17" x14ac:dyDescent="0.35">
      <c r="E9" s="12"/>
      <c r="F9" s="12"/>
      <c r="G9" s="12"/>
      <c r="H9" s="12"/>
      <c r="I9" s="12"/>
      <c r="J9" s="12"/>
      <c r="K9" s="12"/>
    </row>
    <row r="10" spans="1:17" x14ac:dyDescent="0.35">
      <c r="A10" s="13" t="s">
        <v>3</v>
      </c>
    </row>
    <row r="11" spans="1:17" ht="3.75" customHeight="1" x14ac:dyDescent="0.35">
      <c r="A11" s="13"/>
    </row>
    <row r="12" spans="1:17" x14ac:dyDescent="0.35">
      <c r="C12" s="2" t="s">
        <v>4</v>
      </c>
      <c r="K12" s="2" t="s">
        <v>5</v>
      </c>
      <c r="M12" s="14"/>
      <c r="N12" s="14"/>
      <c r="O12" s="14"/>
      <c r="P12" s="14"/>
      <c r="Q12" s="14"/>
    </row>
    <row r="13" spans="1:17" x14ac:dyDescent="0.35">
      <c r="C13" s="2" t="s">
        <v>6</v>
      </c>
      <c r="G13" s="12" t="s">
        <v>132</v>
      </c>
      <c r="H13" s="12"/>
      <c r="I13" s="15"/>
      <c r="K13" s="2" t="s">
        <v>7</v>
      </c>
      <c r="M13" s="14"/>
      <c r="N13" s="14"/>
      <c r="O13" s="2" t="s">
        <v>8</v>
      </c>
      <c r="P13" s="14"/>
      <c r="Q13" s="14"/>
    </row>
    <row r="14" spans="1:17" x14ac:dyDescent="0.35">
      <c r="E14" s="2" t="s">
        <v>9</v>
      </c>
      <c r="G14" s="12"/>
      <c r="H14" s="12"/>
      <c r="I14" s="15"/>
    </row>
    <row r="15" spans="1:17" x14ac:dyDescent="0.35">
      <c r="E15" s="2" t="s">
        <v>10</v>
      </c>
      <c r="G15" s="12"/>
      <c r="H15" s="12"/>
      <c r="J15" s="16">
        <v>2</v>
      </c>
      <c r="M15" s="16"/>
      <c r="N15" s="2">
        <v>3</v>
      </c>
    </row>
    <row r="16" spans="1:17" ht="7.5" customHeight="1" x14ac:dyDescent="0.35">
      <c r="G16" s="12"/>
      <c r="H16" s="12"/>
      <c r="I16" s="12"/>
      <c r="K16" s="12"/>
      <c r="L16" s="12"/>
      <c r="M16" s="12"/>
      <c r="O16" s="12"/>
      <c r="P16" s="12"/>
      <c r="Q16" s="12"/>
    </row>
    <row r="17" spans="1:18" x14ac:dyDescent="0.35">
      <c r="A17" s="13" t="s">
        <v>11</v>
      </c>
    </row>
    <row r="18" spans="1:18" ht="6" customHeight="1" x14ac:dyDescent="0.35">
      <c r="A18" s="13"/>
    </row>
    <row r="19" spans="1:18" x14ac:dyDescent="0.35">
      <c r="C19" s="2" t="s">
        <v>4</v>
      </c>
      <c r="K19" s="2" t="s">
        <v>5</v>
      </c>
      <c r="M19" s="189"/>
      <c r="N19" s="189"/>
      <c r="O19" s="189"/>
      <c r="P19" s="189"/>
      <c r="Q19" s="189"/>
    </row>
    <row r="20" spans="1:18" x14ac:dyDescent="0.35">
      <c r="C20" s="2" t="s">
        <v>6</v>
      </c>
      <c r="G20" s="12"/>
      <c r="H20" s="12"/>
      <c r="I20" s="12"/>
      <c r="K20" s="2" t="s">
        <v>7</v>
      </c>
      <c r="O20" s="2" t="s">
        <v>8</v>
      </c>
    </row>
    <row r="21" spans="1:18" x14ac:dyDescent="0.35">
      <c r="E21" s="2" t="s">
        <v>9</v>
      </c>
      <c r="G21" s="15"/>
      <c r="H21" s="15"/>
      <c r="I21" s="15"/>
      <c r="M21" s="12"/>
      <c r="N21" s="12"/>
      <c r="P21" s="12"/>
      <c r="Q21" s="12"/>
    </row>
    <row r="22" spans="1:18" ht="5.25" customHeight="1" x14ac:dyDescent="0.35"/>
    <row r="23" spans="1:18" ht="15" thickBot="1" x14ac:dyDescent="0.4">
      <c r="A23" s="13" t="s">
        <v>12</v>
      </c>
    </row>
    <row r="24" spans="1:18" s="4" customFormat="1" x14ac:dyDescent="0.35">
      <c r="G24" s="190" t="s">
        <v>13</v>
      </c>
      <c r="H24" s="191"/>
      <c r="I24" s="191"/>
      <c r="J24" s="190" t="s">
        <v>14</v>
      </c>
      <c r="K24" s="191"/>
      <c r="L24" s="191"/>
      <c r="M24" s="194"/>
      <c r="N24" s="191" t="s">
        <v>159</v>
      </c>
      <c r="O24" s="191"/>
      <c r="P24" s="191"/>
      <c r="Q24" s="194"/>
    </row>
    <row r="25" spans="1:18" s="4" customFormat="1" ht="9" customHeight="1" thickBot="1" x14ac:dyDescent="0.4">
      <c r="G25" s="192"/>
      <c r="H25" s="193"/>
      <c r="I25" s="193"/>
      <c r="J25" s="192"/>
      <c r="K25" s="193"/>
      <c r="L25" s="193"/>
      <c r="M25" s="195"/>
      <c r="N25" s="193"/>
      <c r="O25" s="193"/>
      <c r="P25" s="193"/>
      <c r="Q25" s="195"/>
      <c r="R25" s="108"/>
    </row>
    <row r="26" spans="1:18" ht="6.75" customHeight="1" x14ac:dyDescent="0.35">
      <c r="G26" s="102"/>
      <c r="J26" s="102"/>
      <c r="K26" s="106"/>
      <c r="L26" s="106"/>
      <c r="M26" s="106"/>
      <c r="N26" s="102"/>
      <c r="O26" s="106"/>
      <c r="P26" s="106"/>
      <c r="Q26" s="106"/>
      <c r="R26" s="103"/>
    </row>
    <row r="27" spans="1:18" x14ac:dyDescent="0.35">
      <c r="B27" s="2" t="s">
        <v>16</v>
      </c>
      <c r="G27" s="103"/>
      <c r="J27" s="103"/>
      <c r="N27" s="103"/>
      <c r="R27" s="103"/>
    </row>
    <row r="28" spans="1:18" x14ac:dyDescent="0.35">
      <c r="B28" s="12" t="s">
        <v>17</v>
      </c>
      <c r="C28" s="12"/>
      <c r="D28" s="12"/>
      <c r="E28" s="12"/>
      <c r="G28" s="103"/>
      <c r="J28" s="103"/>
      <c r="N28" s="103"/>
      <c r="R28" s="103"/>
    </row>
    <row r="29" spans="1:18" x14ac:dyDescent="0.35">
      <c r="B29" s="12" t="s">
        <v>18</v>
      </c>
      <c r="C29" s="12"/>
      <c r="D29" s="12"/>
      <c r="E29" s="12"/>
      <c r="G29" s="103"/>
      <c r="J29" s="103"/>
      <c r="N29" s="103"/>
      <c r="R29" s="103"/>
    </row>
    <row r="30" spans="1:18" x14ac:dyDescent="0.35">
      <c r="B30" s="12" t="s">
        <v>19</v>
      </c>
      <c r="C30" s="12"/>
      <c r="D30" s="12"/>
      <c r="E30" s="12"/>
      <c r="G30" s="103"/>
      <c r="J30" s="103"/>
      <c r="N30" s="103"/>
      <c r="R30" s="103"/>
    </row>
    <row r="31" spans="1:18" x14ac:dyDescent="0.35">
      <c r="B31" s="12" t="s">
        <v>20</v>
      </c>
      <c r="C31" s="12"/>
      <c r="D31" s="12"/>
      <c r="E31" s="12"/>
      <c r="G31" s="103"/>
      <c r="J31" s="103"/>
      <c r="N31" s="103"/>
      <c r="R31" s="103"/>
    </row>
    <row r="32" spans="1:18" x14ac:dyDescent="0.35">
      <c r="B32" s="12" t="s">
        <v>21</v>
      </c>
      <c r="C32" s="12"/>
      <c r="D32" s="12"/>
      <c r="E32" s="12"/>
      <c r="G32" s="103"/>
      <c r="J32" s="103"/>
      <c r="N32" s="103"/>
      <c r="R32" s="103"/>
    </row>
    <row r="33" spans="1:18" x14ac:dyDescent="0.35">
      <c r="B33" s="12" t="s">
        <v>22</v>
      </c>
      <c r="C33" s="12"/>
      <c r="D33" s="12"/>
      <c r="E33" s="12"/>
      <c r="G33" s="103"/>
      <c r="J33" s="103"/>
      <c r="N33" s="103"/>
      <c r="R33" s="103"/>
    </row>
    <row r="34" spans="1:18" x14ac:dyDescent="0.35">
      <c r="B34" s="12" t="s">
        <v>23</v>
      </c>
      <c r="C34" s="12"/>
      <c r="D34" s="12"/>
      <c r="E34" s="12"/>
      <c r="G34" s="103"/>
      <c r="J34" s="103"/>
      <c r="N34" s="103"/>
      <c r="R34" s="103"/>
    </row>
    <row r="35" spans="1:18" ht="9" customHeight="1" x14ac:dyDescent="0.35">
      <c r="B35" s="12"/>
      <c r="C35" s="12"/>
      <c r="D35" s="12"/>
      <c r="E35" s="12"/>
      <c r="G35" s="104"/>
      <c r="H35" s="11"/>
      <c r="I35" s="105"/>
      <c r="J35" s="104"/>
      <c r="K35" s="107"/>
      <c r="L35" s="107"/>
      <c r="M35" s="107"/>
      <c r="N35" s="104"/>
      <c r="O35" s="107"/>
      <c r="P35" s="107"/>
      <c r="Q35" s="107"/>
      <c r="R35" s="103"/>
    </row>
    <row r="36" spans="1:18" ht="15" thickBot="1" x14ac:dyDescent="0.4"/>
    <row r="37" spans="1:18" ht="15" thickBot="1" x14ac:dyDescent="0.4">
      <c r="A37" s="13" t="s">
        <v>24</v>
      </c>
      <c r="M37" s="181" t="s">
        <v>25</v>
      </c>
      <c r="N37" s="182"/>
      <c r="O37" s="183" t="s">
        <v>26</v>
      </c>
      <c r="P37" s="183"/>
      <c r="Q37" s="182"/>
    </row>
    <row r="38" spans="1:18" x14ac:dyDescent="0.35">
      <c r="A38" s="5" t="s">
        <v>27</v>
      </c>
      <c r="B38" s="2" t="s">
        <v>28</v>
      </c>
      <c r="M38" s="102"/>
      <c r="N38" s="109"/>
      <c r="O38" s="102"/>
      <c r="P38" s="106"/>
      <c r="Q38" s="109"/>
    </row>
    <row r="39" spans="1:18" x14ac:dyDescent="0.35">
      <c r="A39" s="5" t="s">
        <v>29</v>
      </c>
      <c r="B39" s="2" t="s">
        <v>30</v>
      </c>
      <c r="M39" s="103"/>
      <c r="N39" s="110"/>
      <c r="O39" s="103"/>
      <c r="Q39" s="110"/>
    </row>
    <row r="40" spans="1:18" x14ac:dyDescent="0.35">
      <c r="A40" s="5" t="s">
        <v>31</v>
      </c>
      <c r="B40" s="2" t="s">
        <v>32</v>
      </c>
      <c r="M40" s="103"/>
      <c r="N40" s="110"/>
      <c r="O40" s="103"/>
      <c r="Q40" s="110"/>
    </row>
    <row r="41" spans="1:18" ht="6" customHeight="1" x14ac:dyDescent="0.35">
      <c r="M41" s="104"/>
      <c r="N41" s="111"/>
      <c r="O41" s="104"/>
      <c r="P41" s="107"/>
      <c r="Q41" s="111"/>
    </row>
    <row r="42" spans="1:18" ht="4.5" customHeight="1" x14ac:dyDescent="0.35"/>
    <row r="43" spans="1:18" ht="15" thickBot="1" x14ac:dyDescent="0.4">
      <c r="A43" s="13" t="s">
        <v>33</v>
      </c>
    </row>
    <row r="44" spans="1:18" ht="15" thickBot="1" x14ac:dyDescent="0.4">
      <c r="M44" s="181" t="s">
        <v>25</v>
      </c>
      <c r="N44" s="182"/>
      <c r="O44" s="181" t="s">
        <v>26</v>
      </c>
      <c r="P44" s="183"/>
      <c r="Q44" s="182"/>
    </row>
    <row r="45" spans="1:18" x14ac:dyDescent="0.35">
      <c r="A45" s="2" t="s">
        <v>27</v>
      </c>
      <c r="B45" s="2" t="s">
        <v>34</v>
      </c>
      <c r="M45" s="102"/>
      <c r="N45" s="109"/>
      <c r="O45" s="102"/>
      <c r="P45" s="106"/>
      <c r="Q45" s="109"/>
    </row>
    <row r="46" spans="1:18" ht="1.5" customHeight="1" x14ac:dyDescent="0.35">
      <c r="M46" s="103"/>
      <c r="N46" s="110"/>
      <c r="O46" s="103"/>
      <c r="Q46" s="110"/>
    </row>
    <row r="47" spans="1:18" x14ac:dyDescent="0.35">
      <c r="B47" s="5" t="s">
        <v>35</v>
      </c>
      <c r="C47" s="2" t="s">
        <v>36</v>
      </c>
      <c r="M47" s="103"/>
      <c r="N47" s="110"/>
      <c r="O47" s="103"/>
      <c r="Q47" s="110"/>
    </row>
    <row r="48" spans="1:18" x14ac:dyDescent="0.35">
      <c r="B48" s="5" t="s">
        <v>35</v>
      </c>
      <c r="C48" s="2" t="s">
        <v>37</v>
      </c>
      <c r="M48" s="103"/>
      <c r="N48" s="110"/>
      <c r="O48" s="103"/>
      <c r="Q48" s="110"/>
    </row>
    <row r="49" spans="1:17" x14ac:dyDescent="0.35">
      <c r="B49" s="5" t="s">
        <v>35</v>
      </c>
      <c r="C49" s="2" t="s">
        <v>38</v>
      </c>
      <c r="M49" s="103"/>
      <c r="N49" s="110"/>
      <c r="O49" s="103"/>
      <c r="Q49" s="110"/>
    </row>
    <row r="50" spans="1:17" ht="6.75" customHeight="1" x14ac:dyDescent="0.35">
      <c r="B50" s="5"/>
      <c r="M50" s="103"/>
      <c r="N50" s="110"/>
      <c r="O50" s="103"/>
      <c r="Q50" s="110"/>
    </row>
    <row r="51" spans="1:17" x14ac:dyDescent="0.35">
      <c r="A51" s="2" t="s">
        <v>29</v>
      </c>
      <c r="B51" s="2" t="s">
        <v>39</v>
      </c>
      <c r="M51" s="103"/>
      <c r="N51" s="110"/>
      <c r="O51" s="103"/>
      <c r="Q51" s="110"/>
    </row>
    <row r="52" spans="1:17" ht="3" customHeight="1" x14ac:dyDescent="0.35">
      <c r="M52" s="103"/>
      <c r="N52" s="110"/>
      <c r="O52" s="103"/>
      <c r="Q52" s="110"/>
    </row>
    <row r="53" spans="1:17" x14ac:dyDescent="0.35">
      <c r="B53" s="5" t="s">
        <v>35</v>
      </c>
      <c r="C53" s="2" t="s">
        <v>40</v>
      </c>
      <c r="M53" s="103"/>
      <c r="N53" s="110"/>
      <c r="O53" s="103"/>
      <c r="Q53" s="110"/>
    </row>
    <row r="54" spans="1:17" x14ac:dyDescent="0.35">
      <c r="B54" s="5" t="s">
        <v>35</v>
      </c>
      <c r="C54" s="2" t="s">
        <v>41</v>
      </c>
      <c r="M54" s="103"/>
      <c r="N54" s="110"/>
      <c r="O54" s="103"/>
      <c r="Q54" s="110"/>
    </row>
    <row r="55" spans="1:17" x14ac:dyDescent="0.35">
      <c r="C55" s="2" t="s">
        <v>42</v>
      </c>
      <c r="M55" s="103"/>
      <c r="N55" s="110"/>
      <c r="O55" s="103"/>
      <c r="Q55" s="110"/>
    </row>
    <row r="56" spans="1:17" ht="11.25" customHeight="1" x14ac:dyDescent="0.35">
      <c r="M56" s="103"/>
      <c r="N56" s="110"/>
      <c r="O56" s="103"/>
      <c r="Q56" s="110"/>
    </row>
    <row r="57" spans="1:17" x14ac:dyDescent="0.35">
      <c r="A57" s="2" t="s">
        <v>31</v>
      </c>
      <c r="B57" s="2" t="s">
        <v>145</v>
      </c>
      <c r="M57" s="103"/>
      <c r="N57" s="110"/>
      <c r="O57" s="103"/>
      <c r="Q57" s="110"/>
    </row>
    <row r="58" spans="1:17" ht="2.25" customHeight="1" x14ac:dyDescent="0.35">
      <c r="M58" s="103"/>
      <c r="N58" s="110"/>
      <c r="O58" s="103"/>
      <c r="Q58" s="110"/>
    </row>
    <row r="59" spans="1:17" x14ac:dyDescent="0.35">
      <c r="B59" s="5" t="s">
        <v>35</v>
      </c>
      <c r="C59" s="2" t="s">
        <v>43</v>
      </c>
      <c r="M59" s="103"/>
      <c r="N59" s="110"/>
      <c r="O59" s="103"/>
      <c r="Q59" s="110"/>
    </row>
    <row r="60" spans="1:17" x14ac:dyDescent="0.35">
      <c r="B60" s="5" t="s">
        <v>35</v>
      </c>
      <c r="C60" s="2" t="s">
        <v>44</v>
      </c>
      <c r="M60" s="103"/>
      <c r="N60" s="110"/>
      <c r="O60" s="103"/>
      <c r="Q60" s="110"/>
    </row>
    <row r="61" spans="1:17" x14ac:dyDescent="0.35">
      <c r="B61" s="5" t="s">
        <v>35</v>
      </c>
      <c r="C61" s="2" t="s">
        <v>45</v>
      </c>
      <c r="M61" s="103"/>
      <c r="N61" s="110"/>
      <c r="O61" s="103"/>
      <c r="Q61" s="110"/>
    </row>
    <row r="62" spans="1:17" ht="6" customHeight="1" x14ac:dyDescent="0.35">
      <c r="M62" s="103"/>
      <c r="N62" s="110"/>
      <c r="O62" s="103"/>
      <c r="Q62" s="110"/>
    </row>
    <row r="63" spans="1:17" x14ac:dyDescent="0.35">
      <c r="A63" s="2" t="s">
        <v>46</v>
      </c>
      <c r="B63" s="2" t="s">
        <v>47</v>
      </c>
      <c r="M63" s="103"/>
      <c r="N63" s="110"/>
      <c r="O63" s="103"/>
      <c r="Q63" s="110"/>
    </row>
    <row r="64" spans="1:17" ht="3.75" customHeight="1" x14ac:dyDescent="0.35">
      <c r="M64" s="103"/>
      <c r="N64" s="110"/>
      <c r="O64" s="103"/>
      <c r="Q64" s="110"/>
    </row>
    <row r="65" spans="1:17" x14ac:dyDescent="0.35">
      <c r="A65" s="2" t="s">
        <v>48</v>
      </c>
      <c r="B65" s="2" t="s">
        <v>49</v>
      </c>
      <c r="M65" s="103"/>
      <c r="N65" s="110"/>
      <c r="O65" s="103"/>
      <c r="Q65" s="110"/>
    </row>
    <row r="66" spans="1:17" ht="3.75" customHeight="1" x14ac:dyDescent="0.35">
      <c r="M66" s="103"/>
      <c r="N66" s="110"/>
      <c r="O66" s="103"/>
      <c r="Q66" s="110"/>
    </row>
    <row r="67" spans="1:17" x14ac:dyDescent="0.35">
      <c r="A67" s="2" t="s">
        <v>50</v>
      </c>
      <c r="B67" s="2" t="s">
        <v>51</v>
      </c>
      <c r="M67" s="103"/>
      <c r="N67" s="110"/>
      <c r="O67" s="103"/>
      <c r="Q67" s="110"/>
    </row>
    <row r="68" spans="1:17" ht="8.25" customHeight="1" x14ac:dyDescent="0.35">
      <c r="B68" s="2" t="s">
        <v>15</v>
      </c>
      <c r="M68" s="104"/>
      <c r="N68" s="111"/>
      <c r="O68" s="104"/>
      <c r="P68" s="107"/>
      <c r="Q68" s="111"/>
    </row>
    <row r="69" spans="1:17" ht="14.25" customHeight="1" x14ac:dyDescent="0.35"/>
    <row r="70" spans="1:17" x14ac:dyDescent="0.35">
      <c r="B70" s="13" t="s">
        <v>52</v>
      </c>
    </row>
    <row r="71" spans="1:17" ht="8.25" customHeight="1" thickBot="1" x14ac:dyDescent="0.4"/>
    <row r="72" spans="1:17" s="4" customFormat="1" ht="12" customHeight="1" thickBot="1" x14ac:dyDescent="0.4">
      <c r="F72" s="185" t="s">
        <v>160</v>
      </c>
      <c r="G72" s="185"/>
      <c r="H72" s="185" t="s">
        <v>53</v>
      </c>
      <c r="I72" s="185"/>
      <c r="J72" s="185"/>
      <c r="K72" s="185"/>
      <c r="L72" s="185"/>
      <c r="M72" s="185"/>
      <c r="N72" s="185"/>
      <c r="O72" s="185"/>
      <c r="P72" s="185"/>
      <c r="Q72" s="185"/>
    </row>
    <row r="73" spans="1:17" s="4" customFormat="1" ht="11.25" customHeight="1" thickBot="1" x14ac:dyDescent="0.4">
      <c r="F73" s="185"/>
      <c r="G73" s="185"/>
      <c r="H73" s="185"/>
      <c r="I73" s="185"/>
      <c r="J73" s="185"/>
      <c r="K73" s="185"/>
      <c r="L73" s="185"/>
      <c r="M73" s="185"/>
      <c r="N73" s="185"/>
      <c r="O73" s="185"/>
      <c r="P73" s="185"/>
      <c r="Q73" s="185"/>
    </row>
    <row r="74" spans="1:17" ht="15" thickBot="1" x14ac:dyDescent="0.4">
      <c r="F74" s="184" t="s">
        <v>54</v>
      </c>
      <c r="G74" s="184"/>
      <c r="H74" s="185" t="s">
        <v>55</v>
      </c>
      <c r="I74" s="185"/>
      <c r="J74" s="185"/>
      <c r="K74" s="112" t="s">
        <v>56</v>
      </c>
      <c r="L74" s="184" t="s">
        <v>57</v>
      </c>
      <c r="M74" s="184"/>
      <c r="N74" s="184"/>
      <c r="O74" s="184" t="s">
        <v>58</v>
      </c>
      <c r="P74" s="184"/>
      <c r="Q74" s="184"/>
    </row>
    <row r="75" spans="1:17" x14ac:dyDescent="0.35">
      <c r="F75" s="102"/>
      <c r="G75" s="109"/>
      <c r="H75" s="102"/>
      <c r="I75" s="106"/>
      <c r="J75" s="109"/>
      <c r="K75" s="99"/>
      <c r="L75" s="102"/>
      <c r="M75" s="106"/>
      <c r="N75" s="109"/>
      <c r="O75" s="102"/>
      <c r="P75" s="106"/>
      <c r="Q75" s="109"/>
    </row>
    <row r="76" spans="1:17" x14ac:dyDescent="0.35">
      <c r="B76" s="2" t="s">
        <v>16</v>
      </c>
      <c r="F76" s="103"/>
      <c r="G76" s="110"/>
      <c r="H76" s="103"/>
      <c r="J76" s="110"/>
      <c r="K76" s="100"/>
      <c r="L76" s="103"/>
      <c r="N76" s="110"/>
      <c r="O76" s="103"/>
      <c r="Q76" s="110"/>
    </row>
    <row r="77" spans="1:17" x14ac:dyDescent="0.35">
      <c r="B77" s="12" t="s">
        <v>17</v>
      </c>
      <c r="C77" s="12"/>
      <c r="D77" s="12"/>
      <c r="E77" s="12"/>
      <c r="F77" s="103"/>
      <c r="G77" s="110"/>
      <c r="H77" s="103"/>
      <c r="J77" s="110"/>
      <c r="K77" s="100"/>
      <c r="L77" s="103"/>
      <c r="N77" s="110"/>
      <c r="O77" s="103"/>
      <c r="Q77" s="110"/>
    </row>
    <row r="78" spans="1:17" x14ac:dyDescent="0.35">
      <c r="B78" s="12" t="s">
        <v>18</v>
      </c>
      <c r="C78" s="12"/>
      <c r="D78" s="12"/>
      <c r="E78" s="12"/>
      <c r="F78" s="103"/>
      <c r="G78" s="110"/>
      <c r="H78" s="103"/>
      <c r="J78" s="110"/>
      <c r="K78" s="100"/>
      <c r="L78" s="103"/>
      <c r="N78" s="110"/>
      <c r="O78" s="103"/>
      <c r="Q78" s="110"/>
    </row>
    <row r="79" spans="1:17" x14ac:dyDescent="0.35">
      <c r="B79" s="12" t="s">
        <v>19</v>
      </c>
      <c r="C79" s="12"/>
      <c r="D79" s="12"/>
      <c r="E79" s="12"/>
      <c r="F79" s="103"/>
      <c r="G79" s="110"/>
      <c r="H79" s="103"/>
      <c r="J79" s="110"/>
      <c r="K79" s="100"/>
      <c r="L79" s="103"/>
      <c r="N79" s="110"/>
      <c r="O79" s="103"/>
      <c r="Q79" s="110"/>
    </row>
    <row r="80" spans="1:17" x14ac:dyDescent="0.35">
      <c r="B80" s="12" t="s">
        <v>20</v>
      </c>
      <c r="C80" s="12"/>
      <c r="D80" s="12"/>
      <c r="E80" s="12"/>
      <c r="F80" s="103"/>
      <c r="G80" s="110"/>
      <c r="H80" s="103"/>
      <c r="J80" s="110"/>
      <c r="K80" s="100"/>
      <c r="L80" s="103"/>
      <c r="N80" s="110"/>
      <c r="O80" s="103"/>
      <c r="P80" s="7"/>
      <c r="Q80" s="110"/>
    </row>
    <row r="81" spans="1:17" x14ac:dyDescent="0.35">
      <c r="B81" s="12" t="s">
        <v>21</v>
      </c>
      <c r="C81" s="12"/>
      <c r="D81" s="12"/>
      <c r="E81" s="12"/>
      <c r="F81" s="103"/>
      <c r="G81" s="110"/>
      <c r="H81" s="103"/>
      <c r="J81" s="110"/>
      <c r="K81" s="100"/>
      <c r="L81" s="103"/>
      <c r="N81" s="110"/>
      <c r="O81" s="103"/>
      <c r="P81" s="5"/>
      <c r="Q81" s="110"/>
    </row>
    <row r="82" spans="1:17" x14ac:dyDescent="0.35">
      <c r="B82" s="12" t="s">
        <v>162</v>
      </c>
      <c r="C82" s="12"/>
      <c r="D82" s="12"/>
      <c r="E82" s="12"/>
      <c r="F82" s="103"/>
      <c r="G82" s="110"/>
      <c r="H82" s="103"/>
      <c r="J82" s="110"/>
      <c r="K82" s="100"/>
      <c r="L82" s="103"/>
      <c r="N82" s="110"/>
      <c r="O82" s="103"/>
      <c r="P82" s="5"/>
      <c r="Q82" s="110"/>
    </row>
    <row r="83" spans="1:17" x14ac:dyDescent="0.35">
      <c r="B83" s="12" t="s">
        <v>23</v>
      </c>
      <c r="C83" s="12"/>
      <c r="D83" s="12"/>
      <c r="E83" s="12"/>
      <c r="F83" s="103"/>
      <c r="G83" s="110"/>
      <c r="H83" s="103"/>
      <c r="J83" s="110"/>
      <c r="K83" s="100"/>
      <c r="L83" s="103"/>
      <c r="N83" s="110"/>
      <c r="O83" s="103"/>
      <c r="P83" s="5"/>
      <c r="Q83" s="110"/>
    </row>
    <row r="84" spans="1:17" x14ac:dyDescent="0.35">
      <c r="B84" s="12"/>
      <c r="C84" s="12"/>
      <c r="D84" s="12"/>
      <c r="E84" s="12"/>
      <c r="F84" s="104"/>
      <c r="G84" s="111"/>
      <c r="H84" s="104"/>
      <c r="I84" s="107"/>
      <c r="J84" s="111"/>
      <c r="K84" s="101"/>
      <c r="L84" s="104"/>
      <c r="M84" s="107"/>
      <c r="N84" s="111"/>
      <c r="O84" s="104"/>
      <c r="P84" s="113"/>
      <c r="Q84" s="111"/>
    </row>
    <row r="85" spans="1:17" ht="15" thickBot="1" x14ac:dyDescent="0.4"/>
    <row r="86" spans="1:17" ht="7.5" customHeight="1" x14ac:dyDescent="0.35">
      <c r="M86" s="178" t="s">
        <v>25</v>
      </c>
      <c r="N86" s="178"/>
      <c r="O86" s="178" t="s">
        <v>26</v>
      </c>
      <c r="P86" s="178"/>
      <c r="Q86" s="178"/>
    </row>
    <row r="87" spans="1:17" ht="15" thickBot="1" x14ac:dyDescent="0.4">
      <c r="M87" s="179"/>
      <c r="N87" s="179"/>
      <c r="O87" s="179"/>
      <c r="P87" s="179"/>
      <c r="Q87" s="179"/>
    </row>
    <row r="88" spans="1:17" x14ac:dyDescent="0.35">
      <c r="B88" s="5" t="s">
        <v>35</v>
      </c>
      <c r="C88" s="2" t="s">
        <v>59</v>
      </c>
      <c r="M88" s="102"/>
      <c r="N88" s="109"/>
      <c r="O88" s="102"/>
      <c r="P88" s="106"/>
      <c r="Q88" s="109"/>
    </row>
    <row r="89" spans="1:17" x14ac:dyDescent="0.35">
      <c r="B89" s="5" t="s">
        <v>15</v>
      </c>
      <c r="C89" s="2" t="s">
        <v>60</v>
      </c>
      <c r="M89" s="103"/>
      <c r="N89" s="110"/>
      <c r="O89" s="103"/>
      <c r="Q89" s="110"/>
    </row>
    <row r="90" spans="1:17" x14ac:dyDescent="0.35">
      <c r="B90" s="5" t="s">
        <v>35</v>
      </c>
      <c r="C90" s="2" t="s">
        <v>61</v>
      </c>
      <c r="M90" s="103"/>
      <c r="N90" s="110"/>
      <c r="O90" s="103"/>
      <c r="Q90" s="110"/>
    </row>
    <row r="91" spans="1:17" x14ac:dyDescent="0.35">
      <c r="C91" s="2" t="s">
        <v>62</v>
      </c>
      <c r="M91" s="103"/>
      <c r="N91" s="110"/>
      <c r="O91" s="103"/>
      <c r="Q91" s="110"/>
    </row>
    <row r="92" spans="1:17" x14ac:dyDescent="0.35">
      <c r="B92" s="5" t="s">
        <v>35</v>
      </c>
      <c r="C92" s="2" t="s">
        <v>63</v>
      </c>
      <c r="M92" s="103"/>
      <c r="N92" s="110"/>
      <c r="O92" s="103"/>
      <c r="Q92" s="110"/>
    </row>
    <row r="93" spans="1:17" x14ac:dyDescent="0.35">
      <c r="C93" s="2" t="s">
        <v>64</v>
      </c>
      <c r="M93" s="103"/>
      <c r="N93" s="110"/>
      <c r="O93" s="103"/>
      <c r="Q93" s="110"/>
    </row>
    <row r="94" spans="1:17" ht="8.25" customHeight="1" x14ac:dyDescent="0.35">
      <c r="M94" s="114"/>
      <c r="N94" s="115"/>
      <c r="O94" s="114"/>
      <c r="P94" s="116"/>
      <c r="Q94" s="115"/>
    </row>
    <row r="95" spans="1:17" x14ac:dyDescent="0.35">
      <c r="A95" s="13" t="s">
        <v>65</v>
      </c>
      <c r="M95" s="103"/>
      <c r="N95" s="110"/>
      <c r="O95" s="103"/>
      <c r="Q95" s="110"/>
    </row>
    <row r="96" spans="1:17" x14ac:dyDescent="0.35">
      <c r="B96" s="5" t="s">
        <v>35</v>
      </c>
      <c r="C96" s="2" t="s">
        <v>66</v>
      </c>
      <c r="M96" s="103"/>
      <c r="N96" s="110"/>
      <c r="O96" s="103"/>
      <c r="Q96" s="110"/>
    </row>
    <row r="97" spans="1:17" x14ac:dyDescent="0.35">
      <c r="B97" s="5" t="s">
        <v>35</v>
      </c>
      <c r="C97" s="2" t="s">
        <v>67</v>
      </c>
      <c r="M97" s="103"/>
      <c r="N97" s="110"/>
      <c r="O97" s="103"/>
      <c r="Q97" s="110"/>
    </row>
    <row r="98" spans="1:17" x14ac:dyDescent="0.35">
      <c r="B98" s="5" t="s">
        <v>35</v>
      </c>
      <c r="C98" s="2" t="s">
        <v>68</v>
      </c>
      <c r="M98" s="103"/>
      <c r="N98" s="110"/>
      <c r="O98" s="103"/>
      <c r="Q98" s="110"/>
    </row>
    <row r="99" spans="1:17" x14ac:dyDescent="0.35">
      <c r="B99" s="5" t="s">
        <v>35</v>
      </c>
      <c r="C99" s="2" t="s">
        <v>69</v>
      </c>
      <c r="M99" s="103"/>
      <c r="N99" s="110"/>
      <c r="O99" s="103"/>
      <c r="Q99" s="110"/>
    </row>
    <row r="100" spans="1:17" x14ac:dyDescent="0.35">
      <c r="B100" s="5" t="s">
        <v>15</v>
      </c>
      <c r="C100" s="2" t="s">
        <v>70</v>
      </c>
      <c r="M100" s="103"/>
      <c r="N100" s="110"/>
      <c r="O100" s="103"/>
      <c r="Q100" s="110"/>
    </row>
    <row r="101" spans="1:17" x14ac:dyDescent="0.35">
      <c r="B101" s="5" t="s">
        <v>35</v>
      </c>
      <c r="C101" s="2" t="s">
        <v>146</v>
      </c>
      <c r="M101" s="103"/>
      <c r="N101" s="110"/>
      <c r="O101" s="103"/>
      <c r="Q101" s="110"/>
    </row>
    <row r="102" spans="1:17" x14ac:dyDescent="0.35">
      <c r="B102" s="5" t="s">
        <v>35</v>
      </c>
      <c r="C102" s="2" t="s">
        <v>71</v>
      </c>
      <c r="M102" s="103"/>
      <c r="N102" s="110"/>
      <c r="O102" s="103"/>
      <c r="Q102" s="110"/>
    </row>
    <row r="103" spans="1:17" x14ac:dyDescent="0.35">
      <c r="B103" s="5" t="s">
        <v>15</v>
      </c>
      <c r="C103" s="2" t="s">
        <v>147</v>
      </c>
      <c r="M103" s="103"/>
      <c r="N103" s="110"/>
      <c r="O103" s="103"/>
      <c r="Q103" s="110"/>
    </row>
    <row r="104" spans="1:17" ht="4.5" customHeight="1" x14ac:dyDescent="0.35">
      <c r="B104" s="5" t="s">
        <v>15</v>
      </c>
      <c r="M104" s="104"/>
      <c r="N104" s="111"/>
      <c r="O104" s="104"/>
      <c r="P104" s="107"/>
      <c r="Q104" s="111"/>
    </row>
    <row r="105" spans="1:17" ht="4.5" customHeight="1" x14ac:dyDescent="0.35"/>
    <row r="106" spans="1:17" ht="4.5" customHeight="1" thickBot="1" x14ac:dyDescent="0.4"/>
    <row r="107" spans="1:17" ht="12" customHeight="1" x14ac:dyDescent="0.35">
      <c r="A107" s="2" t="s">
        <v>15</v>
      </c>
      <c r="M107" s="178" t="s">
        <v>25</v>
      </c>
      <c r="N107" s="178"/>
      <c r="O107" s="178" t="s">
        <v>26</v>
      </c>
      <c r="P107" s="178"/>
      <c r="Q107" s="178"/>
    </row>
    <row r="108" spans="1:17" ht="4.5" customHeight="1" thickBot="1" x14ac:dyDescent="0.4">
      <c r="M108" s="179"/>
      <c r="N108" s="179"/>
      <c r="O108" s="179"/>
      <c r="P108" s="179"/>
      <c r="Q108" s="179"/>
    </row>
    <row r="109" spans="1:17" x14ac:dyDescent="0.35">
      <c r="A109" s="13" t="s">
        <v>72</v>
      </c>
      <c r="B109" s="5"/>
      <c r="M109" s="102"/>
      <c r="N109" s="109"/>
      <c r="O109" s="102"/>
      <c r="P109" s="106"/>
      <c r="Q109" s="109"/>
    </row>
    <row r="110" spans="1:17" x14ac:dyDescent="0.35">
      <c r="A110" s="13" t="s">
        <v>73</v>
      </c>
      <c r="B110" s="5"/>
      <c r="M110" s="103"/>
      <c r="N110" s="110"/>
      <c r="O110" s="103"/>
      <c r="Q110" s="110"/>
    </row>
    <row r="111" spans="1:17" x14ac:dyDescent="0.35">
      <c r="B111" s="5" t="s">
        <v>35</v>
      </c>
      <c r="C111" s="177" t="s">
        <v>238</v>
      </c>
      <c r="D111" s="177"/>
      <c r="E111" s="177"/>
      <c r="F111" s="177"/>
      <c r="G111" s="177"/>
      <c r="H111" s="177"/>
      <c r="I111" s="177"/>
      <c r="J111" s="177"/>
      <c r="K111" s="177"/>
      <c r="M111" s="103"/>
      <c r="N111" s="110"/>
      <c r="O111" s="103"/>
      <c r="Q111" s="110"/>
    </row>
    <row r="112" spans="1:17" x14ac:dyDescent="0.35">
      <c r="B112" s="5"/>
      <c r="C112" s="177"/>
      <c r="D112" s="177"/>
      <c r="E112" s="177"/>
      <c r="F112" s="177"/>
      <c r="G112" s="177"/>
      <c r="H112" s="177"/>
      <c r="I112" s="177"/>
      <c r="J112" s="177"/>
      <c r="K112" s="177"/>
      <c r="M112" s="103"/>
      <c r="N112" s="110"/>
      <c r="O112" s="103"/>
      <c r="Q112" s="110"/>
    </row>
    <row r="113" spans="1:17" x14ac:dyDescent="0.35">
      <c r="B113" s="5" t="s">
        <v>35</v>
      </c>
      <c r="C113" s="2" t="s">
        <v>74</v>
      </c>
      <c r="M113" s="103"/>
      <c r="N113" s="110"/>
      <c r="O113" s="103"/>
      <c r="Q113" s="110"/>
    </row>
    <row r="114" spans="1:17" x14ac:dyDescent="0.35">
      <c r="B114" s="5" t="s">
        <v>35</v>
      </c>
      <c r="C114" s="2" t="s">
        <v>75</v>
      </c>
      <c r="M114" s="103"/>
      <c r="N114" s="110"/>
      <c r="O114" s="103"/>
      <c r="Q114" s="110"/>
    </row>
    <row r="115" spans="1:17" x14ac:dyDescent="0.35">
      <c r="B115" s="5" t="s">
        <v>35</v>
      </c>
      <c r="C115" s="177" t="s">
        <v>239</v>
      </c>
      <c r="D115" s="177"/>
      <c r="E115" s="177"/>
      <c r="F115" s="177"/>
      <c r="G115" s="177"/>
      <c r="H115" s="177"/>
      <c r="I115" s="177"/>
      <c r="J115" s="177"/>
      <c r="K115" s="177"/>
      <c r="M115" s="103"/>
      <c r="N115" s="110"/>
      <c r="O115" s="103"/>
      <c r="Q115" s="110"/>
    </row>
    <row r="116" spans="1:17" x14ac:dyDescent="0.35">
      <c r="B116" s="5"/>
      <c r="C116" s="177"/>
      <c r="D116" s="177"/>
      <c r="E116" s="177"/>
      <c r="F116" s="177"/>
      <c r="G116" s="177"/>
      <c r="H116" s="177"/>
      <c r="I116" s="177"/>
      <c r="J116" s="177"/>
      <c r="K116" s="177"/>
      <c r="M116" s="103"/>
      <c r="N116" s="110"/>
      <c r="O116" s="103"/>
      <c r="Q116" s="110"/>
    </row>
    <row r="117" spans="1:17" x14ac:dyDescent="0.35">
      <c r="B117" s="5" t="s">
        <v>35</v>
      </c>
      <c r="C117" s="2" t="s">
        <v>240</v>
      </c>
      <c r="M117" s="103"/>
      <c r="N117" s="110"/>
      <c r="O117" s="103"/>
      <c r="Q117" s="110"/>
    </row>
    <row r="118" spans="1:17" ht="3" customHeight="1" x14ac:dyDescent="0.35">
      <c r="B118" s="5" t="s">
        <v>15</v>
      </c>
      <c r="M118" s="104"/>
      <c r="N118" s="111"/>
      <c r="O118" s="104"/>
      <c r="P118" s="107"/>
      <c r="Q118" s="111"/>
    </row>
    <row r="119" spans="1:17" x14ac:dyDescent="0.35">
      <c r="A119" s="13" t="s">
        <v>76</v>
      </c>
      <c r="B119" s="5"/>
      <c r="M119" s="114"/>
      <c r="N119" s="115"/>
      <c r="O119" s="114"/>
      <c r="P119" s="116"/>
      <c r="Q119" s="115"/>
    </row>
    <row r="120" spans="1:17" x14ac:dyDescent="0.35">
      <c r="B120" s="5" t="s">
        <v>35</v>
      </c>
      <c r="C120" s="2" t="s">
        <v>77</v>
      </c>
      <c r="M120" s="103"/>
      <c r="N120" s="110"/>
      <c r="O120" s="103"/>
      <c r="Q120" s="110"/>
    </row>
    <row r="121" spans="1:17" x14ac:dyDescent="0.35">
      <c r="B121" s="5" t="s">
        <v>35</v>
      </c>
      <c r="C121" s="2" t="s">
        <v>284</v>
      </c>
      <c r="M121" s="103"/>
      <c r="N121" s="110"/>
      <c r="O121" s="103"/>
      <c r="Q121" s="110"/>
    </row>
    <row r="122" spans="1:17" x14ac:dyDescent="0.35">
      <c r="B122" s="5" t="s">
        <v>15</v>
      </c>
      <c r="C122" s="2" t="s">
        <v>78</v>
      </c>
      <c r="M122" s="103"/>
      <c r="N122" s="110"/>
      <c r="O122" s="103"/>
      <c r="Q122" s="110"/>
    </row>
    <row r="123" spans="1:17" x14ac:dyDescent="0.35">
      <c r="B123" s="5" t="s">
        <v>35</v>
      </c>
      <c r="C123" s="2" t="s">
        <v>79</v>
      </c>
      <c r="M123" s="103"/>
      <c r="N123" s="110"/>
      <c r="O123" s="103"/>
      <c r="Q123" s="110"/>
    </row>
    <row r="124" spans="1:17" x14ac:dyDescent="0.35">
      <c r="B124" s="5" t="s">
        <v>15</v>
      </c>
      <c r="C124" s="2" t="s">
        <v>80</v>
      </c>
      <c r="M124" s="103"/>
      <c r="N124" s="110"/>
      <c r="O124" s="103"/>
      <c r="Q124" s="110"/>
    </row>
    <row r="125" spans="1:17" x14ac:dyDescent="0.35">
      <c r="B125" s="5" t="s">
        <v>35</v>
      </c>
      <c r="C125" s="2" t="s">
        <v>84</v>
      </c>
      <c r="M125" s="103"/>
      <c r="N125" s="110"/>
      <c r="O125" s="103"/>
      <c r="Q125" s="110"/>
    </row>
    <row r="126" spans="1:17" x14ac:dyDescent="0.35">
      <c r="B126" s="5" t="s">
        <v>15</v>
      </c>
      <c r="C126" s="2" t="s">
        <v>85</v>
      </c>
      <c r="M126" s="104"/>
      <c r="N126" s="111"/>
      <c r="O126" s="104"/>
      <c r="P126" s="107"/>
      <c r="Q126" s="111"/>
    </row>
    <row r="127" spans="1:17" ht="0.75" customHeight="1" thickBot="1" x14ac:dyDescent="0.4">
      <c r="M127" s="19"/>
      <c r="N127" s="18"/>
      <c r="O127" s="17"/>
      <c r="Q127" s="20"/>
    </row>
    <row r="128" spans="1:17" ht="12" customHeight="1" x14ac:dyDescent="0.35">
      <c r="A128" s="2" t="s">
        <v>15</v>
      </c>
      <c r="M128" s="178" t="s">
        <v>25</v>
      </c>
      <c r="N128" s="178"/>
      <c r="O128" s="178" t="s">
        <v>26</v>
      </c>
      <c r="P128" s="178"/>
      <c r="Q128" s="178"/>
    </row>
    <row r="129" spans="1:17" ht="4.5" customHeight="1" thickBot="1" x14ac:dyDescent="0.4">
      <c r="M129" s="179"/>
      <c r="N129" s="179"/>
      <c r="O129" s="179"/>
      <c r="P129" s="179"/>
      <c r="Q129" s="179"/>
    </row>
    <row r="130" spans="1:17" x14ac:dyDescent="0.35">
      <c r="A130" s="13" t="s">
        <v>86</v>
      </c>
      <c r="M130" s="102"/>
      <c r="N130" s="109"/>
      <c r="O130" s="102"/>
      <c r="P130" s="106"/>
      <c r="Q130" s="109"/>
    </row>
    <row r="131" spans="1:17" x14ac:dyDescent="0.35">
      <c r="B131" s="5" t="s">
        <v>35</v>
      </c>
      <c r="C131" s="2" t="s">
        <v>87</v>
      </c>
      <c r="M131" s="103"/>
      <c r="N131" s="110"/>
      <c r="O131" s="103"/>
      <c r="Q131" s="110"/>
    </row>
    <row r="132" spans="1:17" x14ac:dyDescent="0.35">
      <c r="B132" s="5" t="s">
        <v>35</v>
      </c>
      <c r="C132" s="2" t="s">
        <v>88</v>
      </c>
      <c r="M132" s="103"/>
      <c r="N132" s="110"/>
      <c r="O132" s="103"/>
      <c r="Q132" s="110"/>
    </row>
    <row r="133" spans="1:17" x14ac:dyDescent="0.35">
      <c r="B133" s="5" t="s">
        <v>15</v>
      </c>
      <c r="C133" s="2" t="s">
        <v>89</v>
      </c>
      <c r="M133" s="103"/>
      <c r="N133" s="110"/>
      <c r="O133" s="103"/>
      <c r="Q133" s="110"/>
    </row>
    <row r="134" spans="1:17" x14ac:dyDescent="0.35">
      <c r="B134" s="5" t="s">
        <v>35</v>
      </c>
      <c r="C134" s="2" t="s">
        <v>90</v>
      </c>
      <c r="M134" s="103"/>
      <c r="N134" s="110"/>
      <c r="O134" s="103"/>
      <c r="Q134" s="110"/>
    </row>
    <row r="135" spans="1:17" ht="0.75" customHeight="1" x14ac:dyDescent="0.35">
      <c r="B135" s="5" t="s">
        <v>15</v>
      </c>
      <c r="M135" s="104"/>
      <c r="N135" s="111"/>
      <c r="O135" s="104"/>
      <c r="P135" s="107"/>
      <c r="Q135" s="117"/>
    </row>
    <row r="136" spans="1:17" x14ac:dyDescent="0.35">
      <c r="A136" s="13" t="s">
        <v>91</v>
      </c>
      <c r="B136" s="5"/>
      <c r="M136" s="114"/>
      <c r="N136" s="115"/>
      <c r="O136" s="114"/>
      <c r="P136" s="116"/>
      <c r="Q136" s="115"/>
    </row>
    <row r="137" spans="1:17" x14ac:dyDescent="0.35">
      <c r="B137" s="5" t="s">
        <v>35</v>
      </c>
      <c r="C137" s="177" t="s">
        <v>161</v>
      </c>
      <c r="D137" s="177"/>
      <c r="E137" s="177"/>
      <c r="F137" s="177"/>
      <c r="G137" s="177"/>
      <c r="H137" s="177"/>
      <c r="I137" s="177"/>
      <c r="J137" s="177"/>
      <c r="K137" s="177"/>
      <c r="M137" s="103"/>
      <c r="N137" s="110"/>
      <c r="O137" s="103"/>
      <c r="Q137" s="110"/>
    </row>
    <row r="138" spans="1:17" x14ac:dyDescent="0.35">
      <c r="B138" s="5" t="s">
        <v>15</v>
      </c>
      <c r="C138" s="177"/>
      <c r="D138" s="177"/>
      <c r="E138" s="177"/>
      <c r="F138" s="177"/>
      <c r="G138" s="177"/>
      <c r="H138" s="177"/>
      <c r="I138" s="177"/>
      <c r="J138" s="177"/>
      <c r="K138" s="177"/>
      <c r="M138" s="103"/>
      <c r="N138" s="110"/>
      <c r="O138" s="103"/>
      <c r="Q138" s="110"/>
    </row>
    <row r="139" spans="1:17" x14ac:dyDescent="0.35">
      <c r="B139" s="5" t="s">
        <v>35</v>
      </c>
      <c r="C139" s="2" t="s">
        <v>92</v>
      </c>
      <c r="M139" s="103"/>
      <c r="N139" s="110"/>
      <c r="O139" s="103"/>
      <c r="Q139" s="110"/>
    </row>
    <row r="140" spans="1:17" x14ac:dyDescent="0.35">
      <c r="B140" s="5" t="s">
        <v>35</v>
      </c>
      <c r="C140" s="2" t="s">
        <v>93</v>
      </c>
      <c r="M140" s="103"/>
      <c r="N140" s="110"/>
      <c r="O140" s="103"/>
      <c r="Q140" s="110"/>
    </row>
    <row r="141" spans="1:17" x14ac:dyDescent="0.35">
      <c r="B141" s="5" t="s">
        <v>35</v>
      </c>
      <c r="C141" s="2" t="s">
        <v>81</v>
      </c>
      <c r="M141" s="103"/>
      <c r="N141" s="110"/>
      <c r="O141" s="103"/>
      <c r="Q141" s="110"/>
    </row>
    <row r="142" spans="1:17" x14ac:dyDescent="0.35">
      <c r="C142" s="2" t="s">
        <v>82</v>
      </c>
      <c r="M142" s="103"/>
      <c r="N142" s="110"/>
      <c r="O142" s="103"/>
      <c r="Q142" s="110"/>
    </row>
    <row r="143" spans="1:17" x14ac:dyDescent="0.35">
      <c r="C143" s="2" t="s">
        <v>83</v>
      </c>
      <c r="M143" s="103"/>
      <c r="N143" s="110"/>
      <c r="O143" s="103"/>
      <c r="Q143" s="110"/>
    </row>
    <row r="144" spans="1:17" x14ac:dyDescent="0.35">
      <c r="B144" s="5" t="s">
        <v>35</v>
      </c>
      <c r="C144" s="2" t="s">
        <v>94</v>
      </c>
      <c r="M144" s="104"/>
      <c r="N144" s="111"/>
      <c r="O144" s="104"/>
      <c r="P144" s="107"/>
      <c r="Q144" s="111"/>
    </row>
    <row r="145" spans="1:17" ht="10.5" hidden="1" customHeight="1" x14ac:dyDescent="0.35">
      <c r="B145" s="5" t="s">
        <v>15</v>
      </c>
      <c r="M145" s="21"/>
      <c r="N145" s="23"/>
      <c r="O145" s="24"/>
      <c r="P145" s="14"/>
      <c r="Q145" s="22"/>
    </row>
    <row r="146" spans="1:17" ht="2.25" hidden="1" customHeight="1" x14ac:dyDescent="0.35">
      <c r="B146" s="5"/>
    </row>
    <row r="147" spans="1:17" ht="3" customHeight="1" thickBot="1" x14ac:dyDescent="0.4">
      <c r="B147" s="5"/>
    </row>
    <row r="148" spans="1:17" x14ac:dyDescent="0.35">
      <c r="A148" s="2" t="s">
        <v>15</v>
      </c>
      <c r="M148" s="178" t="s">
        <v>25</v>
      </c>
      <c r="N148" s="178"/>
      <c r="O148" s="178" t="s">
        <v>26</v>
      </c>
      <c r="P148" s="178"/>
      <c r="Q148" s="178"/>
    </row>
    <row r="149" spans="1:17" ht="4.5" customHeight="1" thickBot="1" x14ac:dyDescent="0.4">
      <c r="M149" s="179"/>
      <c r="N149" s="179"/>
      <c r="O149" s="179"/>
      <c r="P149" s="179"/>
      <c r="Q149" s="179"/>
    </row>
    <row r="150" spans="1:17" x14ac:dyDescent="0.35">
      <c r="A150" s="13" t="s">
        <v>95</v>
      </c>
      <c r="B150" s="5"/>
      <c r="M150" s="102"/>
      <c r="N150" s="109"/>
      <c r="O150" s="102"/>
      <c r="P150" s="106"/>
      <c r="Q150" s="109"/>
    </row>
    <row r="151" spans="1:17" x14ac:dyDescent="0.35">
      <c r="B151" s="5" t="s">
        <v>35</v>
      </c>
      <c r="C151" s="2" t="s">
        <v>96</v>
      </c>
      <c r="M151" s="103"/>
      <c r="N151" s="110"/>
      <c r="O151" s="103"/>
      <c r="Q151" s="110"/>
    </row>
    <row r="152" spans="1:17" x14ac:dyDescent="0.35">
      <c r="B152" s="5" t="s">
        <v>15</v>
      </c>
      <c r="C152" s="2" t="s">
        <v>97</v>
      </c>
      <c r="M152" s="103"/>
      <c r="N152" s="110"/>
      <c r="O152" s="103"/>
      <c r="Q152" s="110"/>
    </row>
    <row r="153" spans="1:17" x14ac:dyDescent="0.35">
      <c r="B153" s="5" t="s">
        <v>35</v>
      </c>
      <c r="C153" s="2" t="s">
        <v>98</v>
      </c>
      <c r="M153" s="103"/>
      <c r="N153" s="110"/>
      <c r="O153" s="103"/>
      <c r="Q153" s="110"/>
    </row>
    <row r="154" spans="1:17" x14ac:dyDescent="0.35">
      <c r="B154" s="5" t="s">
        <v>35</v>
      </c>
      <c r="C154" s="2" t="s">
        <v>99</v>
      </c>
      <c r="M154" s="103"/>
      <c r="N154" s="110"/>
      <c r="O154" s="103"/>
      <c r="Q154" s="110"/>
    </row>
    <row r="155" spans="1:17" ht="3.75" customHeight="1" x14ac:dyDescent="0.35">
      <c r="M155" s="104"/>
      <c r="N155" s="111"/>
      <c r="O155" s="104"/>
      <c r="P155" s="107"/>
      <c r="Q155" s="111"/>
    </row>
    <row r="156" spans="1:17" x14ac:dyDescent="0.35">
      <c r="A156" s="13" t="s">
        <v>241</v>
      </c>
      <c r="M156" s="114"/>
      <c r="N156" s="115"/>
      <c r="O156" s="114"/>
      <c r="P156" s="116"/>
      <c r="Q156" s="115"/>
    </row>
    <row r="157" spans="1:17" x14ac:dyDescent="0.35">
      <c r="B157" s="180" t="s">
        <v>242</v>
      </c>
      <c r="C157" s="180"/>
      <c r="D157" s="180"/>
      <c r="E157" s="180"/>
      <c r="F157" s="180"/>
      <c r="G157" s="180"/>
      <c r="H157" s="180"/>
      <c r="I157" s="180"/>
      <c r="J157" s="180"/>
      <c r="K157" s="180"/>
      <c r="M157" s="103"/>
      <c r="N157" s="110"/>
      <c r="O157" s="103"/>
      <c r="Q157" s="110"/>
    </row>
    <row r="158" spans="1:17" x14ac:dyDescent="0.35">
      <c r="B158" s="180"/>
      <c r="C158" s="180"/>
      <c r="D158" s="180"/>
      <c r="E158" s="180"/>
      <c r="F158" s="180"/>
      <c r="G158" s="180"/>
      <c r="H158" s="180"/>
      <c r="I158" s="180"/>
      <c r="J158" s="180"/>
      <c r="K158" s="180"/>
      <c r="M158" s="103"/>
      <c r="N158" s="110"/>
      <c r="O158" s="103"/>
      <c r="Q158" s="110"/>
    </row>
    <row r="159" spans="1:17" x14ac:dyDescent="0.35">
      <c r="C159" s="5" t="s">
        <v>35</v>
      </c>
      <c r="D159" s="2" t="s">
        <v>100</v>
      </c>
      <c r="M159" s="103"/>
      <c r="N159" s="110"/>
      <c r="O159" s="103"/>
      <c r="Q159" s="110"/>
    </row>
    <row r="160" spans="1:17" x14ac:dyDescent="0.35">
      <c r="C160" s="5" t="s">
        <v>35</v>
      </c>
      <c r="D160" s="2" t="s">
        <v>101</v>
      </c>
      <c r="M160" s="103"/>
      <c r="N160" s="110"/>
      <c r="O160" s="103"/>
      <c r="Q160" s="110"/>
    </row>
    <row r="161" spans="1:18" x14ac:dyDescent="0.35">
      <c r="C161" s="5" t="s">
        <v>35</v>
      </c>
      <c r="D161" s="2" t="s">
        <v>102</v>
      </c>
      <c r="M161" s="103"/>
      <c r="N161" s="110"/>
      <c r="O161" s="103"/>
      <c r="Q161" s="110"/>
    </row>
    <row r="162" spans="1:18" x14ac:dyDescent="0.35">
      <c r="C162" s="5" t="s">
        <v>35</v>
      </c>
      <c r="D162" s="2" t="s">
        <v>103</v>
      </c>
      <c r="M162" s="103"/>
      <c r="N162" s="110"/>
      <c r="O162" s="103"/>
      <c r="Q162" s="110"/>
    </row>
    <row r="163" spans="1:18" x14ac:dyDescent="0.35">
      <c r="C163" s="5" t="s">
        <v>35</v>
      </c>
      <c r="D163" s="2" t="s">
        <v>104</v>
      </c>
      <c r="M163" s="103"/>
      <c r="N163" s="110"/>
      <c r="O163" s="103"/>
      <c r="Q163" s="110"/>
    </row>
    <row r="164" spans="1:18" x14ac:dyDescent="0.35">
      <c r="C164" s="5" t="s">
        <v>35</v>
      </c>
      <c r="D164" s="2" t="s">
        <v>105</v>
      </c>
      <c r="M164" s="103"/>
      <c r="N164" s="110"/>
      <c r="O164" s="103"/>
      <c r="Q164" s="110"/>
    </row>
    <row r="165" spans="1:18" x14ac:dyDescent="0.35">
      <c r="C165" s="5" t="s">
        <v>35</v>
      </c>
      <c r="D165" s="2" t="s">
        <v>106</v>
      </c>
      <c r="M165" s="103"/>
      <c r="N165" s="110"/>
      <c r="O165" s="103"/>
      <c r="Q165" s="110"/>
    </row>
    <row r="166" spans="1:18" x14ac:dyDescent="0.35">
      <c r="C166" s="5" t="s">
        <v>35</v>
      </c>
      <c r="D166" s="2" t="s">
        <v>107</v>
      </c>
      <c r="M166" s="103"/>
      <c r="N166" s="110"/>
      <c r="O166" s="103"/>
      <c r="Q166" s="110"/>
    </row>
    <row r="167" spans="1:18" x14ac:dyDescent="0.35">
      <c r="C167" s="5" t="s">
        <v>35</v>
      </c>
      <c r="D167" s="2" t="s">
        <v>108</v>
      </c>
      <c r="M167" s="103"/>
      <c r="N167" s="110"/>
      <c r="O167" s="103"/>
      <c r="Q167" s="110"/>
    </row>
    <row r="168" spans="1:18" ht="1.5" customHeight="1" x14ac:dyDescent="0.35">
      <c r="C168" s="5" t="s">
        <v>15</v>
      </c>
      <c r="M168" s="103"/>
      <c r="N168" s="110"/>
      <c r="O168" s="103"/>
      <c r="Q168" s="110"/>
    </row>
    <row r="169" spans="1:18" x14ac:dyDescent="0.35">
      <c r="C169" s="5"/>
      <c r="M169" s="103"/>
      <c r="N169" s="110"/>
      <c r="O169" s="103"/>
      <c r="Q169" s="110"/>
    </row>
    <row r="170" spans="1:18" x14ac:dyDescent="0.35">
      <c r="C170" s="5"/>
      <c r="M170" s="103"/>
      <c r="N170" s="110"/>
      <c r="O170" s="103"/>
      <c r="Q170" s="110"/>
    </row>
    <row r="171" spans="1:18" ht="1.5" customHeight="1" thickBot="1" x14ac:dyDescent="0.4">
      <c r="C171" s="5"/>
      <c r="M171" s="118"/>
      <c r="N171" s="119"/>
      <c r="O171" s="120"/>
      <c r="P171" s="120"/>
      <c r="Q171" s="119"/>
      <c r="R171" s="17"/>
    </row>
    <row r="172" spans="1:18" x14ac:dyDescent="0.35">
      <c r="A172" s="2" t="s">
        <v>15</v>
      </c>
      <c r="M172" s="178" t="s">
        <v>25</v>
      </c>
      <c r="N172" s="178"/>
      <c r="O172" s="178" t="s">
        <v>26</v>
      </c>
      <c r="P172" s="178"/>
      <c r="Q172" s="178"/>
    </row>
    <row r="173" spans="1:18" ht="4.5" customHeight="1" thickBot="1" x14ac:dyDescent="0.4">
      <c r="M173" s="179"/>
      <c r="N173" s="179"/>
      <c r="O173" s="179"/>
      <c r="P173" s="179"/>
      <c r="Q173" s="179"/>
    </row>
    <row r="174" spans="1:18" x14ac:dyDescent="0.35">
      <c r="A174" s="13" t="s">
        <v>109</v>
      </c>
      <c r="C174" s="5"/>
      <c r="M174" s="102"/>
      <c r="N174" s="109"/>
      <c r="O174" s="102"/>
      <c r="P174" s="106"/>
      <c r="Q174" s="109"/>
    </row>
    <row r="175" spans="1:18" x14ac:dyDescent="0.35">
      <c r="B175" s="5" t="s">
        <v>35</v>
      </c>
      <c r="C175" s="10" t="s">
        <v>110</v>
      </c>
      <c r="M175" s="103"/>
      <c r="N175" s="110"/>
      <c r="O175" s="103"/>
      <c r="Q175" s="110"/>
    </row>
    <row r="176" spans="1:18" x14ac:dyDescent="0.35">
      <c r="B176" s="5" t="s">
        <v>15</v>
      </c>
      <c r="C176" s="10" t="s">
        <v>111</v>
      </c>
      <c r="M176" s="103"/>
      <c r="N176" s="110"/>
      <c r="O176" s="103"/>
      <c r="Q176" s="110"/>
    </row>
    <row r="177" spans="1:18" x14ac:dyDescent="0.35">
      <c r="B177" s="5" t="s">
        <v>35</v>
      </c>
      <c r="C177" s="10" t="s">
        <v>112</v>
      </c>
      <c r="M177" s="103"/>
      <c r="N177" s="110"/>
      <c r="O177" s="103"/>
      <c r="Q177" s="110"/>
    </row>
    <row r="178" spans="1:18" x14ac:dyDescent="0.35">
      <c r="B178" s="5" t="s">
        <v>35</v>
      </c>
      <c r="C178" s="10" t="s">
        <v>113</v>
      </c>
      <c r="M178" s="103"/>
      <c r="N178" s="110"/>
      <c r="O178" s="103"/>
      <c r="Q178" s="110"/>
    </row>
    <row r="179" spans="1:18" ht="2.25" customHeight="1" x14ac:dyDescent="0.35">
      <c r="B179" s="5" t="s">
        <v>15</v>
      </c>
      <c r="C179" s="10"/>
      <c r="M179" s="121"/>
      <c r="N179" s="122"/>
      <c r="O179" s="107"/>
      <c r="P179" s="107"/>
      <c r="Q179" s="122"/>
      <c r="R179" s="17"/>
    </row>
    <row r="180" spans="1:18" x14ac:dyDescent="0.35">
      <c r="A180" s="13" t="s">
        <v>114</v>
      </c>
      <c r="B180" s="5"/>
      <c r="C180" s="10"/>
      <c r="M180" s="114"/>
      <c r="N180" s="115"/>
      <c r="O180" s="114"/>
      <c r="P180" s="116"/>
      <c r="Q180" s="115"/>
    </row>
    <row r="181" spans="1:18" x14ac:dyDescent="0.35">
      <c r="B181" s="5" t="s">
        <v>35</v>
      </c>
      <c r="C181" s="10" t="s">
        <v>115</v>
      </c>
      <c r="M181" s="103"/>
      <c r="N181" s="110"/>
      <c r="O181" s="103"/>
      <c r="Q181" s="110"/>
    </row>
    <row r="182" spans="1:18" x14ac:dyDescent="0.35">
      <c r="B182" s="5" t="s">
        <v>35</v>
      </c>
      <c r="C182" s="10" t="s">
        <v>116</v>
      </c>
      <c r="M182" s="103"/>
      <c r="N182" s="110"/>
      <c r="O182" s="103"/>
      <c r="Q182" s="110"/>
    </row>
    <row r="183" spans="1:18" x14ac:dyDescent="0.35">
      <c r="B183" s="5" t="s">
        <v>15</v>
      </c>
      <c r="C183" s="10" t="s">
        <v>117</v>
      </c>
      <c r="M183" s="103"/>
      <c r="N183" s="110"/>
      <c r="O183" s="103"/>
      <c r="Q183" s="110"/>
    </row>
    <row r="184" spans="1:18" x14ac:dyDescent="0.35">
      <c r="B184" s="5" t="s">
        <v>35</v>
      </c>
      <c r="C184" s="10" t="s">
        <v>118</v>
      </c>
      <c r="M184" s="103"/>
      <c r="N184" s="110"/>
      <c r="O184" s="103"/>
      <c r="Q184" s="110"/>
    </row>
    <row r="185" spans="1:18" x14ac:dyDescent="0.35">
      <c r="B185" s="5" t="s">
        <v>35</v>
      </c>
      <c r="C185" s="10" t="s">
        <v>119</v>
      </c>
      <c r="M185" s="103"/>
      <c r="N185" s="110"/>
      <c r="O185" s="103"/>
      <c r="Q185" s="110"/>
    </row>
    <row r="186" spans="1:18" x14ac:dyDescent="0.35">
      <c r="B186" s="5" t="s">
        <v>35</v>
      </c>
      <c r="C186" s="10" t="s">
        <v>120</v>
      </c>
      <c r="M186" s="103"/>
      <c r="N186" s="110"/>
      <c r="O186" s="103"/>
      <c r="Q186" s="110"/>
    </row>
    <row r="187" spans="1:18" x14ac:dyDescent="0.35">
      <c r="B187" s="5" t="s">
        <v>15</v>
      </c>
      <c r="C187" s="10" t="s">
        <v>121</v>
      </c>
      <c r="M187" s="103"/>
      <c r="N187" s="110"/>
      <c r="O187" s="103"/>
      <c r="Q187" s="110"/>
    </row>
    <row r="188" spans="1:18" ht="5.25" customHeight="1" x14ac:dyDescent="0.35">
      <c r="B188" s="5" t="s">
        <v>15</v>
      </c>
      <c r="C188" s="10"/>
      <c r="M188" s="103"/>
      <c r="N188" s="110"/>
      <c r="O188" s="103"/>
      <c r="Q188" s="110"/>
    </row>
    <row r="189" spans="1:18" ht="3.75" customHeight="1" thickBot="1" x14ac:dyDescent="0.4">
      <c r="B189" s="5"/>
      <c r="C189" s="10"/>
      <c r="M189" s="120"/>
      <c r="N189" s="120"/>
      <c r="O189" s="120"/>
      <c r="P189" s="120"/>
      <c r="Q189" s="120"/>
    </row>
    <row r="190" spans="1:18" x14ac:dyDescent="0.35">
      <c r="A190" s="2" t="s">
        <v>15</v>
      </c>
      <c r="M190" s="178" t="s">
        <v>25</v>
      </c>
      <c r="N190" s="178"/>
      <c r="O190" s="178" t="s">
        <v>26</v>
      </c>
      <c r="P190" s="178"/>
      <c r="Q190" s="178"/>
    </row>
    <row r="191" spans="1:18" ht="4.5" customHeight="1" thickBot="1" x14ac:dyDescent="0.4">
      <c r="M191" s="179"/>
      <c r="N191" s="179"/>
      <c r="O191" s="179"/>
      <c r="P191" s="179"/>
      <c r="Q191" s="179"/>
    </row>
    <row r="192" spans="1:18" x14ac:dyDescent="0.35">
      <c r="A192" s="13" t="s">
        <v>122</v>
      </c>
      <c r="B192" s="5"/>
      <c r="C192" s="10"/>
      <c r="M192" s="103"/>
      <c r="N192" s="110"/>
      <c r="O192" s="103"/>
      <c r="Q192" s="110"/>
    </row>
    <row r="193" spans="1:17" x14ac:dyDescent="0.35">
      <c r="A193" s="13"/>
      <c r="B193" s="5" t="s">
        <v>35</v>
      </c>
      <c r="C193" s="10" t="s">
        <v>244</v>
      </c>
      <c r="M193" s="103"/>
      <c r="N193" s="110"/>
      <c r="O193" s="103"/>
      <c r="Q193" s="110"/>
    </row>
    <row r="194" spans="1:17" x14ac:dyDescent="0.35">
      <c r="B194" s="5" t="s">
        <v>35</v>
      </c>
      <c r="C194" s="10" t="s">
        <v>123</v>
      </c>
      <c r="M194" s="103"/>
      <c r="N194" s="110"/>
      <c r="O194" s="103"/>
      <c r="Q194" s="110"/>
    </row>
    <row r="195" spans="1:17" x14ac:dyDescent="0.35">
      <c r="B195" s="5" t="s">
        <v>15</v>
      </c>
      <c r="C195" s="10" t="s">
        <v>243</v>
      </c>
      <c r="M195" s="103"/>
      <c r="N195" s="110"/>
      <c r="O195" s="103"/>
      <c r="Q195" s="110"/>
    </row>
    <row r="196" spans="1:17" x14ac:dyDescent="0.35">
      <c r="B196" s="5" t="s">
        <v>35</v>
      </c>
      <c r="C196" s="10" t="s">
        <v>124</v>
      </c>
      <c r="M196" s="103"/>
      <c r="N196" s="110"/>
      <c r="O196" s="103"/>
      <c r="Q196" s="110"/>
    </row>
    <row r="197" spans="1:17" x14ac:dyDescent="0.35">
      <c r="B197" s="5" t="s">
        <v>15</v>
      </c>
      <c r="C197" s="10" t="s">
        <v>125</v>
      </c>
      <c r="M197" s="103"/>
      <c r="N197" s="110"/>
      <c r="O197" s="103"/>
      <c r="Q197" s="110"/>
    </row>
    <row r="198" spans="1:17" x14ac:dyDescent="0.35">
      <c r="B198" s="5" t="s">
        <v>35</v>
      </c>
      <c r="C198" s="10" t="s">
        <v>126</v>
      </c>
      <c r="M198" s="103"/>
      <c r="N198" s="110"/>
      <c r="O198" s="103"/>
      <c r="Q198" s="110"/>
    </row>
    <row r="199" spans="1:17" x14ac:dyDescent="0.35">
      <c r="B199" s="5" t="s">
        <v>15</v>
      </c>
      <c r="C199" s="10" t="s">
        <v>127</v>
      </c>
      <c r="M199" s="103"/>
      <c r="N199" s="110"/>
      <c r="O199" s="103"/>
      <c r="Q199" s="110"/>
    </row>
    <row r="200" spans="1:17" x14ac:dyDescent="0.35">
      <c r="B200" s="5" t="s">
        <v>35</v>
      </c>
      <c r="C200" s="10" t="s">
        <v>128</v>
      </c>
      <c r="M200" s="103"/>
      <c r="N200" s="110"/>
      <c r="O200" s="103"/>
      <c r="Q200" s="110"/>
    </row>
    <row r="201" spans="1:17" x14ac:dyDescent="0.35">
      <c r="B201" s="5" t="s">
        <v>15</v>
      </c>
      <c r="C201" s="10" t="s">
        <v>129</v>
      </c>
      <c r="M201" s="103"/>
      <c r="N201" s="110"/>
      <c r="O201" s="103"/>
      <c r="Q201" s="110"/>
    </row>
    <row r="202" spans="1:17" x14ac:dyDescent="0.35">
      <c r="B202" s="5" t="s">
        <v>15</v>
      </c>
      <c r="C202" s="10" t="s">
        <v>130</v>
      </c>
      <c r="M202" s="104"/>
      <c r="N202" s="111"/>
      <c r="O202" s="104"/>
      <c r="P202" s="107"/>
      <c r="Q202" s="111"/>
    </row>
    <row r="203" spans="1:17" x14ac:dyDescent="0.35">
      <c r="C203" s="10"/>
    </row>
    <row r="204" spans="1:17" x14ac:dyDescent="0.35">
      <c r="C204" s="10"/>
    </row>
    <row r="205" spans="1:17" x14ac:dyDescent="0.35">
      <c r="A205" s="7" t="s">
        <v>144</v>
      </c>
      <c r="C205" s="10"/>
    </row>
    <row r="206" spans="1:17" x14ac:dyDescent="0.35">
      <c r="C206" s="10"/>
    </row>
    <row r="207" spans="1:17" x14ac:dyDescent="0.35">
      <c r="A207" s="10" t="s">
        <v>245</v>
      </c>
      <c r="H207" s="10" t="s">
        <v>158</v>
      </c>
    </row>
    <row r="208" spans="1:17" x14ac:dyDescent="0.35">
      <c r="C208" s="10"/>
      <c r="D208" s="12"/>
      <c r="E208" s="12"/>
      <c r="F208" s="12"/>
      <c r="I208" s="16"/>
      <c r="J208" s="12"/>
      <c r="K208" s="12"/>
      <c r="L208" s="12"/>
      <c r="M208" s="12"/>
    </row>
    <row r="209" spans="1:13" x14ac:dyDescent="0.35">
      <c r="C209" s="10"/>
      <c r="I209" s="16"/>
    </row>
    <row r="210" spans="1:13" x14ac:dyDescent="0.35">
      <c r="A210" s="10" t="s">
        <v>131</v>
      </c>
      <c r="H210" s="16" t="s">
        <v>131</v>
      </c>
      <c r="J210" s="14"/>
      <c r="K210" s="14"/>
      <c r="L210" s="14"/>
      <c r="M210" s="14"/>
    </row>
    <row r="211" spans="1:13" x14ac:dyDescent="0.35">
      <c r="C211" s="10"/>
      <c r="D211" s="12"/>
      <c r="E211" s="12"/>
      <c r="F211" s="12"/>
    </row>
    <row r="212" spans="1:13" x14ac:dyDescent="0.35">
      <c r="C212" s="10"/>
    </row>
    <row r="213" spans="1:13" x14ac:dyDescent="0.35">
      <c r="C213" s="10"/>
    </row>
    <row r="214" spans="1:13" x14ac:dyDescent="0.35">
      <c r="C214" s="10"/>
    </row>
    <row r="215" spans="1:13" x14ac:dyDescent="0.35">
      <c r="C215" s="10"/>
    </row>
    <row r="216" spans="1:13" x14ac:dyDescent="0.35">
      <c r="C216" s="10"/>
    </row>
    <row r="217" spans="1:13" x14ac:dyDescent="0.35">
      <c r="C217" s="10"/>
    </row>
    <row r="218" spans="1:13" x14ac:dyDescent="0.35">
      <c r="C218" s="10"/>
    </row>
    <row r="219" spans="1:13" x14ac:dyDescent="0.35">
      <c r="C219" s="10"/>
    </row>
    <row r="220" spans="1:13" x14ac:dyDescent="0.35">
      <c r="C220" s="10"/>
    </row>
    <row r="221" spans="1:13" x14ac:dyDescent="0.35">
      <c r="C221" s="10"/>
    </row>
    <row r="222" spans="1:13" x14ac:dyDescent="0.35">
      <c r="C222" s="10"/>
    </row>
    <row r="223" spans="1:13" x14ac:dyDescent="0.35">
      <c r="C223" s="10"/>
    </row>
    <row r="224" spans="1:13" x14ac:dyDescent="0.35">
      <c r="C224" s="10"/>
    </row>
    <row r="225" spans="3:3" x14ac:dyDescent="0.35">
      <c r="C225" s="10"/>
    </row>
    <row r="226" spans="3:3" x14ac:dyDescent="0.35">
      <c r="C226" s="10"/>
    </row>
    <row r="227" spans="3:3" x14ac:dyDescent="0.35">
      <c r="C227" s="10"/>
    </row>
    <row r="228" spans="3:3" x14ac:dyDescent="0.35">
      <c r="C228" s="10"/>
    </row>
    <row r="229" spans="3:3" x14ac:dyDescent="0.35">
      <c r="C229" s="10"/>
    </row>
    <row r="230" spans="3:3" x14ac:dyDescent="0.35">
      <c r="C230" s="10"/>
    </row>
    <row r="231" spans="3:3" x14ac:dyDescent="0.35">
      <c r="C231" s="10"/>
    </row>
    <row r="232" spans="3:3" x14ac:dyDescent="0.35">
      <c r="C232" s="10"/>
    </row>
    <row r="233" spans="3:3" x14ac:dyDescent="0.35">
      <c r="C233" s="10"/>
    </row>
    <row r="234" spans="3:3" x14ac:dyDescent="0.35">
      <c r="C234" s="10"/>
    </row>
    <row r="235" spans="3:3" x14ac:dyDescent="0.35">
      <c r="C235" s="10"/>
    </row>
    <row r="236" spans="3:3" x14ac:dyDescent="0.35">
      <c r="C236" s="10"/>
    </row>
    <row r="237" spans="3:3" x14ac:dyDescent="0.35">
      <c r="C237" s="10"/>
    </row>
    <row r="238" spans="3:3" x14ac:dyDescent="0.35">
      <c r="C238" s="10"/>
    </row>
    <row r="239" spans="3:3" x14ac:dyDescent="0.35">
      <c r="C239" s="10"/>
    </row>
  </sheetData>
  <mergeCells count="31">
    <mergeCell ref="A4:Q4"/>
    <mergeCell ref="M19:Q19"/>
    <mergeCell ref="G24:I25"/>
    <mergeCell ref="J24:M25"/>
    <mergeCell ref="N24:Q25"/>
    <mergeCell ref="M86:N87"/>
    <mergeCell ref="O86:Q87"/>
    <mergeCell ref="M44:N44"/>
    <mergeCell ref="O44:Q44"/>
    <mergeCell ref="O74:Q74"/>
    <mergeCell ref="L74:N74"/>
    <mergeCell ref="M37:N37"/>
    <mergeCell ref="O37:Q37"/>
    <mergeCell ref="F74:G74"/>
    <mergeCell ref="F72:G73"/>
    <mergeCell ref="H72:Q73"/>
    <mergeCell ref="H74:J74"/>
    <mergeCell ref="C137:K138"/>
    <mergeCell ref="M190:N191"/>
    <mergeCell ref="O190:Q191"/>
    <mergeCell ref="M107:N108"/>
    <mergeCell ref="O107:Q108"/>
    <mergeCell ref="M148:N149"/>
    <mergeCell ref="O148:Q149"/>
    <mergeCell ref="C111:K112"/>
    <mergeCell ref="C115:K116"/>
    <mergeCell ref="B157:K158"/>
    <mergeCell ref="M128:N129"/>
    <mergeCell ref="O128:Q129"/>
    <mergeCell ref="M172:N173"/>
    <mergeCell ref="O172:Q173"/>
  </mergeCells>
  <phoneticPr fontId="0" type="noConversion"/>
  <pageMargins left="0.7" right="0.7" top="0.75" bottom="0.75" header="0.3" footer="0.3"/>
  <pageSetup paperSize="9" scale="90" orientation="landscape" verticalDpi="300" r:id="rId1"/>
  <headerFooter alignWithMargins="0">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4"/>
  <sheetViews>
    <sheetView showGridLines="0" topLeftCell="A3" zoomScaleNormal="100" zoomScaleSheetLayoutView="100" workbookViewId="0">
      <selection activeCell="B15" sqref="B15"/>
    </sheetView>
  </sheetViews>
  <sheetFormatPr defaultColWidth="8.84375" defaultRowHeight="14.5" x14ac:dyDescent="0.35"/>
  <cols>
    <col min="1" max="1" width="4.765625" style="5" customWidth="1"/>
    <col min="2" max="2" width="11.3046875" style="2" customWidth="1"/>
    <col min="3" max="3" width="32.69140625" style="2" customWidth="1"/>
    <col min="4" max="4" width="11.07421875" style="2" customWidth="1"/>
    <col min="5" max="5" width="13" style="2" customWidth="1"/>
    <col min="6" max="6" width="10.84375" style="2" customWidth="1"/>
    <col min="7" max="16384" width="8.84375" style="2"/>
  </cols>
  <sheetData>
    <row r="1" spans="1:6" x14ac:dyDescent="0.35">
      <c r="A1" s="7" t="str">
        <f>Index!A1</f>
        <v>ABC &amp; Co.</v>
      </c>
      <c r="B1" s="52"/>
      <c r="C1" s="52"/>
      <c r="D1" s="52"/>
      <c r="E1" s="52"/>
      <c r="F1" s="52"/>
    </row>
    <row r="2" spans="1:6" x14ac:dyDescent="0.35">
      <c r="A2" s="7" t="str">
        <f>Index!A2</f>
        <v>(Chartered Accountants)</v>
      </c>
      <c r="B2" s="52"/>
      <c r="C2" s="52"/>
      <c r="D2" s="52"/>
      <c r="E2" s="52"/>
      <c r="F2" s="52"/>
    </row>
    <row r="3" spans="1:6" ht="15" thickBot="1" x14ac:dyDescent="0.4">
      <c r="A3" s="2"/>
      <c r="B3" s="52"/>
      <c r="C3" s="52"/>
      <c r="D3" s="52"/>
      <c r="E3" s="52"/>
      <c r="F3" s="52"/>
    </row>
    <row r="4" spans="1:6" ht="15" thickBot="1" x14ac:dyDescent="0.4">
      <c r="A4" s="123" t="str">
        <f>UPPER("Sheet To Floor")</f>
        <v>SHEET TO FLOOR</v>
      </c>
      <c r="B4" s="124"/>
      <c r="C4" s="124"/>
      <c r="D4" s="124"/>
      <c r="E4" s="124"/>
      <c r="F4" s="125"/>
    </row>
    <row r="5" spans="1:6" ht="4.5" customHeight="1" thickBot="1" x14ac:dyDescent="0.4">
      <c r="A5" s="53"/>
      <c r="B5" s="54"/>
      <c r="C5" s="54"/>
      <c r="D5" s="54"/>
      <c r="E5" s="54"/>
      <c r="F5" s="54"/>
    </row>
    <row r="6" spans="1:6" s="3" customFormat="1" ht="29.5" thickBot="1" x14ac:dyDescent="0.4">
      <c r="A6" s="126" t="s">
        <v>292</v>
      </c>
      <c r="B6" s="127" t="s">
        <v>288</v>
      </c>
      <c r="C6" s="126" t="s">
        <v>171</v>
      </c>
      <c r="D6" s="128" t="s">
        <v>289</v>
      </c>
      <c r="E6" s="128" t="s">
        <v>290</v>
      </c>
      <c r="F6" s="127" t="s">
        <v>291</v>
      </c>
    </row>
    <row r="7" spans="1:6" s="4" customFormat="1" ht="26.15" customHeight="1" x14ac:dyDescent="0.35">
      <c r="A7" s="129">
        <v>1</v>
      </c>
      <c r="B7" s="130"/>
      <c r="C7" s="130"/>
      <c r="D7" s="131"/>
      <c r="E7" s="131"/>
      <c r="F7" s="131"/>
    </row>
    <row r="8" spans="1:6" s="4" customFormat="1" ht="26.15" customHeight="1" x14ac:dyDescent="0.35">
      <c r="A8" s="132">
        <f>+A7+1</f>
        <v>2</v>
      </c>
      <c r="B8" s="133"/>
      <c r="C8" s="133"/>
      <c r="D8" s="134"/>
      <c r="E8" s="134"/>
      <c r="F8" s="134"/>
    </row>
    <row r="9" spans="1:6" s="4" customFormat="1" ht="26.15" customHeight="1" x14ac:dyDescent="0.35">
      <c r="A9" s="132">
        <f t="shared" ref="A9:A31" si="0">+A8+1</f>
        <v>3</v>
      </c>
      <c r="B9" s="133"/>
      <c r="C9" s="133"/>
      <c r="D9" s="134"/>
      <c r="E9" s="134"/>
      <c r="F9" s="134"/>
    </row>
    <row r="10" spans="1:6" s="4" customFormat="1" ht="26.15" customHeight="1" x14ac:dyDescent="0.35">
      <c r="A10" s="132">
        <f t="shared" si="0"/>
        <v>4</v>
      </c>
      <c r="B10" s="133"/>
      <c r="C10" s="133"/>
      <c r="D10" s="134"/>
      <c r="E10" s="134"/>
      <c r="F10" s="134"/>
    </row>
    <row r="11" spans="1:6" s="4" customFormat="1" ht="26.15" customHeight="1" x14ac:dyDescent="0.35">
      <c r="A11" s="132">
        <f t="shared" si="0"/>
        <v>5</v>
      </c>
      <c r="B11" s="133"/>
      <c r="C11" s="133"/>
      <c r="D11" s="134"/>
      <c r="E11" s="134"/>
      <c r="F11" s="134"/>
    </row>
    <row r="12" spans="1:6" s="4" customFormat="1" ht="26.15" customHeight="1" x14ac:dyDescent="0.35">
      <c r="A12" s="132">
        <f t="shared" si="0"/>
        <v>6</v>
      </c>
      <c r="B12" s="133"/>
      <c r="C12" s="133"/>
      <c r="D12" s="134"/>
      <c r="E12" s="134"/>
      <c r="F12" s="134"/>
    </row>
    <row r="13" spans="1:6" s="4" customFormat="1" ht="26.15" customHeight="1" x14ac:dyDescent="0.35">
      <c r="A13" s="132">
        <f t="shared" si="0"/>
        <v>7</v>
      </c>
      <c r="B13" s="133"/>
      <c r="C13" s="133"/>
      <c r="D13" s="134"/>
      <c r="E13" s="134"/>
      <c r="F13" s="134"/>
    </row>
    <row r="14" spans="1:6" s="4" customFormat="1" ht="26.15" customHeight="1" x14ac:dyDescent="0.35">
      <c r="A14" s="132">
        <f t="shared" si="0"/>
        <v>8</v>
      </c>
      <c r="B14" s="133"/>
      <c r="C14" s="133"/>
      <c r="D14" s="134"/>
      <c r="E14" s="134"/>
      <c r="F14" s="134"/>
    </row>
    <row r="15" spans="1:6" s="4" customFormat="1" ht="26.15" customHeight="1" x14ac:dyDescent="0.35">
      <c r="A15" s="132">
        <f t="shared" si="0"/>
        <v>9</v>
      </c>
      <c r="B15" s="133"/>
      <c r="C15" s="133"/>
      <c r="D15" s="134"/>
      <c r="E15" s="134"/>
      <c r="F15" s="134"/>
    </row>
    <row r="16" spans="1:6" s="4" customFormat="1" ht="26.15" customHeight="1" x14ac:dyDescent="0.35">
      <c r="A16" s="132">
        <f t="shared" si="0"/>
        <v>10</v>
      </c>
      <c r="B16" s="133"/>
      <c r="C16" s="133"/>
      <c r="D16" s="134"/>
      <c r="E16" s="134"/>
      <c r="F16" s="134"/>
    </row>
    <row r="17" spans="1:6" s="4" customFormat="1" ht="26.15" customHeight="1" x14ac:dyDescent="0.35">
      <c r="A17" s="132">
        <f t="shared" si="0"/>
        <v>11</v>
      </c>
      <c r="B17" s="133"/>
      <c r="C17" s="133"/>
      <c r="D17" s="134"/>
      <c r="E17" s="134"/>
      <c r="F17" s="134"/>
    </row>
    <row r="18" spans="1:6" s="4" customFormat="1" ht="26.15" customHeight="1" x14ac:dyDescent="0.35">
      <c r="A18" s="132">
        <f t="shared" si="0"/>
        <v>12</v>
      </c>
      <c r="B18" s="133"/>
      <c r="C18" s="133"/>
      <c r="D18" s="134"/>
      <c r="E18" s="134"/>
      <c r="F18" s="134"/>
    </row>
    <row r="19" spans="1:6" s="4" customFormat="1" ht="26.15" customHeight="1" x14ac:dyDescent="0.35">
      <c r="A19" s="132">
        <f t="shared" si="0"/>
        <v>13</v>
      </c>
      <c r="B19" s="133"/>
      <c r="C19" s="133"/>
      <c r="D19" s="134"/>
      <c r="E19" s="134"/>
      <c r="F19" s="134"/>
    </row>
    <row r="20" spans="1:6" s="4" customFormat="1" ht="26.15" customHeight="1" x14ac:dyDescent="0.35">
      <c r="A20" s="132">
        <f t="shared" si="0"/>
        <v>14</v>
      </c>
      <c r="B20" s="133"/>
      <c r="C20" s="133"/>
      <c r="D20" s="134"/>
      <c r="E20" s="134"/>
      <c r="F20" s="134"/>
    </row>
    <row r="21" spans="1:6" s="4" customFormat="1" ht="26.15" customHeight="1" x14ac:dyDescent="0.35">
      <c r="A21" s="132">
        <f t="shared" si="0"/>
        <v>15</v>
      </c>
      <c r="B21" s="133"/>
      <c r="C21" s="133"/>
      <c r="D21" s="134"/>
      <c r="E21" s="134"/>
      <c r="F21" s="134"/>
    </row>
    <row r="22" spans="1:6" s="4" customFormat="1" ht="26.15" customHeight="1" x14ac:dyDescent="0.35">
      <c r="A22" s="132">
        <f t="shared" si="0"/>
        <v>16</v>
      </c>
      <c r="B22" s="133"/>
      <c r="C22" s="133"/>
      <c r="D22" s="134"/>
      <c r="E22" s="134"/>
      <c r="F22" s="134"/>
    </row>
    <row r="23" spans="1:6" s="4" customFormat="1" ht="26.15" customHeight="1" x14ac:dyDescent="0.35">
      <c r="A23" s="132">
        <f t="shared" si="0"/>
        <v>17</v>
      </c>
      <c r="B23" s="133"/>
      <c r="C23" s="133"/>
      <c r="D23" s="134"/>
      <c r="E23" s="134"/>
      <c r="F23" s="134"/>
    </row>
    <row r="24" spans="1:6" s="4" customFormat="1" ht="26.15" customHeight="1" x14ac:dyDescent="0.35">
      <c r="A24" s="132">
        <f t="shared" si="0"/>
        <v>18</v>
      </c>
      <c r="B24" s="133"/>
      <c r="C24" s="133"/>
      <c r="D24" s="134"/>
      <c r="E24" s="134"/>
      <c r="F24" s="134"/>
    </row>
    <row r="25" spans="1:6" s="4" customFormat="1" ht="26.15" customHeight="1" x14ac:dyDescent="0.35">
      <c r="A25" s="132">
        <f t="shared" si="0"/>
        <v>19</v>
      </c>
      <c r="B25" s="133"/>
      <c r="C25" s="133"/>
      <c r="D25" s="134"/>
      <c r="E25" s="134"/>
      <c r="F25" s="134"/>
    </row>
    <row r="26" spans="1:6" s="4" customFormat="1" ht="26.15" customHeight="1" x14ac:dyDescent="0.35">
      <c r="A26" s="132">
        <f t="shared" si="0"/>
        <v>20</v>
      </c>
      <c r="B26" s="133"/>
      <c r="C26" s="133"/>
      <c r="D26" s="134"/>
      <c r="E26" s="134"/>
      <c r="F26" s="134"/>
    </row>
    <row r="27" spans="1:6" s="4" customFormat="1" ht="26.15" customHeight="1" x14ac:dyDescent="0.35">
      <c r="A27" s="132">
        <f t="shared" si="0"/>
        <v>21</v>
      </c>
      <c r="B27" s="133"/>
      <c r="C27" s="133"/>
      <c r="D27" s="134"/>
      <c r="E27" s="134"/>
      <c r="F27" s="134"/>
    </row>
    <row r="28" spans="1:6" s="4" customFormat="1" ht="26.15" customHeight="1" x14ac:dyDescent="0.35">
      <c r="A28" s="132">
        <f t="shared" si="0"/>
        <v>22</v>
      </c>
      <c r="B28" s="133"/>
      <c r="C28" s="133"/>
      <c r="D28" s="134"/>
      <c r="E28" s="134"/>
      <c r="F28" s="134"/>
    </row>
    <row r="29" spans="1:6" s="4" customFormat="1" ht="26.15" customHeight="1" x14ac:dyDescent="0.35">
      <c r="A29" s="132">
        <f t="shared" si="0"/>
        <v>23</v>
      </c>
      <c r="B29" s="133"/>
      <c r="C29" s="133"/>
      <c r="D29" s="134"/>
      <c r="E29" s="134"/>
      <c r="F29" s="134"/>
    </row>
    <row r="30" spans="1:6" s="4" customFormat="1" ht="26.15" customHeight="1" x14ac:dyDescent="0.35">
      <c r="A30" s="132">
        <f t="shared" si="0"/>
        <v>24</v>
      </c>
      <c r="B30" s="133"/>
      <c r="C30" s="133"/>
      <c r="D30" s="134"/>
      <c r="E30" s="134"/>
      <c r="F30" s="134"/>
    </row>
    <row r="31" spans="1:6" s="4" customFormat="1" ht="26.15" customHeight="1" x14ac:dyDescent="0.35">
      <c r="A31" s="132">
        <f t="shared" si="0"/>
        <v>25</v>
      </c>
      <c r="B31" s="133"/>
      <c r="C31" s="133"/>
      <c r="D31" s="134"/>
      <c r="E31" s="134"/>
      <c r="F31" s="134"/>
    </row>
    <row r="32" spans="1:6" ht="9.75" customHeight="1" x14ac:dyDescent="0.35">
      <c r="A32" s="53"/>
      <c r="B32" s="6"/>
      <c r="C32" s="6"/>
      <c r="D32" s="55"/>
      <c r="E32" s="55"/>
      <c r="F32" s="55"/>
    </row>
    <row r="33" spans="1:6" ht="1.5" customHeight="1" x14ac:dyDescent="0.35">
      <c r="A33" s="2"/>
      <c r="B33" s="52"/>
      <c r="C33" s="52"/>
      <c r="D33" s="52"/>
      <c r="E33" s="52"/>
      <c r="F33" s="52"/>
    </row>
    <row r="34" spans="1:6" ht="17.25" customHeight="1" x14ac:dyDescent="0.35">
      <c r="A34" s="7" t="str">
        <f>A1</f>
        <v>ABC &amp; Co.</v>
      </c>
      <c r="B34" s="52"/>
      <c r="C34" s="52"/>
      <c r="D34" s="52"/>
      <c r="E34" s="52"/>
      <c r="F34" s="52"/>
    </row>
    <row r="35" spans="1:6" ht="17.25" customHeight="1" x14ac:dyDescent="0.35">
      <c r="A35" s="7" t="str">
        <f>A2</f>
        <v>(Chartered Accountants)</v>
      </c>
      <c r="B35" s="52"/>
      <c r="C35" s="52"/>
      <c r="D35" s="52"/>
      <c r="E35" s="52"/>
      <c r="F35" s="52"/>
    </row>
    <row r="36" spans="1:6" ht="17.25" customHeight="1" thickBot="1" x14ac:dyDescent="0.4">
      <c r="A36" s="2"/>
      <c r="B36" s="52"/>
      <c r="C36" s="52"/>
      <c r="D36" s="52"/>
      <c r="E36" s="52"/>
      <c r="F36" s="52"/>
    </row>
    <row r="37" spans="1:6" ht="15" thickBot="1" x14ac:dyDescent="0.4">
      <c r="A37" s="123" t="str">
        <f>UPPER("Floor to Sheet")</f>
        <v>FLOOR TO SHEET</v>
      </c>
      <c r="B37" s="124"/>
      <c r="C37" s="124"/>
      <c r="D37" s="124"/>
      <c r="E37" s="124"/>
      <c r="F37" s="125"/>
    </row>
    <row r="38" spans="1:6" ht="8.25" customHeight="1" thickBot="1" x14ac:dyDescent="0.4">
      <c r="A38" s="53"/>
      <c r="B38" s="54"/>
      <c r="C38" s="52"/>
      <c r="D38" s="52"/>
      <c r="E38" s="52"/>
      <c r="F38" s="52"/>
    </row>
    <row r="39" spans="1:6" s="3" customFormat="1" ht="29.5" thickBot="1" x14ac:dyDescent="0.4">
      <c r="A39" s="126" t="s">
        <v>292</v>
      </c>
      <c r="B39" s="127" t="s">
        <v>288</v>
      </c>
      <c r="C39" s="126" t="s">
        <v>171</v>
      </c>
      <c r="D39" s="128" t="s">
        <v>289</v>
      </c>
      <c r="E39" s="128" t="s">
        <v>290</v>
      </c>
      <c r="F39" s="127" t="s">
        <v>291</v>
      </c>
    </row>
    <row r="40" spans="1:6" s="4" customFormat="1" ht="26.15" customHeight="1" x14ac:dyDescent="0.35">
      <c r="A40" s="129">
        <v>1</v>
      </c>
      <c r="B40" s="130"/>
      <c r="C40" s="130"/>
      <c r="D40" s="131"/>
      <c r="E40" s="131"/>
      <c r="F40" s="131"/>
    </row>
    <row r="41" spans="1:6" s="4" customFormat="1" ht="26.15" customHeight="1" x14ac:dyDescent="0.35">
      <c r="A41" s="132">
        <f>+A40+1</f>
        <v>2</v>
      </c>
      <c r="B41" s="133"/>
      <c r="C41" s="133"/>
      <c r="D41" s="134"/>
      <c r="E41" s="134"/>
      <c r="F41" s="134"/>
    </row>
    <row r="42" spans="1:6" s="4" customFormat="1" ht="26.15" customHeight="1" x14ac:dyDescent="0.35">
      <c r="A42" s="132">
        <f t="shared" ref="A42:A64" si="1">+A41+1</f>
        <v>3</v>
      </c>
      <c r="B42" s="133"/>
      <c r="C42" s="133"/>
      <c r="D42" s="134"/>
      <c r="E42" s="134"/>
      <c r="F42" s="134"/>
    </row>
    <row r="43" spans="1:6" s="4" customFormat="1" ht="26.15" customHeight="1" x14ac:dyDescent="0.35">
      <c r="A43" s="132">
        <f t="shared" si="1"/>
        <v>4</v>
      </c>
      <c r="B43" s="133"/>
      <c r="C43" s="133"/>
      <c r="D43" s="134"/>
      <c r="E43" s="134"/>
      <c r="F43" s="134"/>
    </row>
    <row r="44" spans="1:6" s="4" customFormat="1" ht="26.15" customHeight="1" x14ac:dyDescent="0.35">
      <c r="A44" s="132">
        <f t="shared" si="1"/>
        <v>5</v>
      </c>
      <c r="B44" s="133"/>
      <c r="C44" s="133"/>
      <c r="D44" s="134"/>
      <c r="E44" s="134"/>
      <c r="F44" s="134"/>
    </row>
    <row r="45" spans="1:6" s="4" customFormat="1" ht="26.15" customHeight="1" x14ac:dyDescent="0.35">
      <c r="A45" s="132">
        <f t="shared" si="1"/>
        <v>6</v>
      </c>
      <c r="B45" s="133"/>
      <c r="C45" s="133"/>
      <c r="D45" s="134"/>
      <c r="E45" s="134"/>
      <c r="F45" s="134"/>
    </row>
    <row r="46" spans="1:6" s="4" customFormat="1" ht="26.15" customHeight="1" x14ac:dyDescent="0.35">
      <c r="A46" s="132">
        <f t="shared" si="1"/>
        <v>7</v>
      </c>
      <c r="B46" s="133"/>
      <c r="C46" s="133"/>
      <c r="D46" s="134"/>
      <c r="E46" s="134"/>
      <c r="F46" s="134"/>
    </row>
    <row r="47" spans="1:6" s="4" customFormat="1" ht="26.15" customHeight="1" x14ac:dyDescent="0.35">
      <c r="A47" s="132">
        <f t="shared" si="1"/>
        <v>8</v>
      </c>
      <c r="B47" s="133"/>
      <c r="C47" s="133"/>
      <c r="D47" s="134"/>
      <c r="E47" s="134"/>
      <c r="F47" s="134"/>
    </row>
    <row r="48" spans="1:6" s="4" customFormat="1" ht="26.15" customHeight="1" x14ac:dyDescent="0.35">
      <c r="A48" s="132">
        <f t="shared" si="1"/>
        <v>9</v>
      </c>
      <c r="B48" s="133"/>
      <c r="C48" s="133"/>
      <c r="D48" s="134"/>
      <c r="E48" s="134"/>
      <c r="F48" s="134"/>
    </row>
    <row r="49" spans="1:6" s="4" customFormat="1" ht="26.15" customHeight="1" x14ac:dyDescent="0.35">
      <c r="A49" s="132">
        <f t="shared" si="1"/>
        <v>10</v>
      </c>
      <c r="B49" s="133"/>
      <c r="C49" s="133"/>
      <c r="D49" s="134"/>
      <c r="E49" s="134"/>
      <c r="F49" s="134"/>
    </row>
    <row r="50" spans="1:6" s="4" customFormat="1" ht="26.15" customHeight="1" x14ac:dyDescent="0.35">
      <c r="A50" s="132">
        <f t="shared" si="1"/>
        <v>11</v>
      </c>
      <c r="B50" s="133"/>
      <c r="C50" s="133"/>
      <c r="D50" s="134"/>
      <c r="E50" s="134"/>
      <c r="F50" s="134"/>
    </row>
    <row r="51" spans="1:6" s="4" customFormat="1" ht="26.15" customHeight="1" x14ac:dyDescent="0.35">
      <c r="A51" s="132">
        <f t="shared" si="1"/>
        <v>12</v>
      </c>
      <c r="B51" s="133"/>
      <c r="C51" s="133"/>
      <c r="D51" s="134"/>
      <c r="E51" s="134"/>
      <c r="F51" s="134"/>
    </row>
    <row r="52" spans="1:6" s="4" customFormat="1" ht="26.15" customHeight="1" x14ac:dyDescent="0.35">
      <c r="A52" s="132">
        <f t="shared" si="1"/>
        <v>13</v>
      </c>
      <c r="B52" s="133"/>
      <c r="C52" s="133"/>
      <c r="D52" s="134"/>
      <c r="E52" s="134"/>
      <c r="F52" s="134"/>
    </row>
    <row r="53" spans="1:6" s="4" customFormat="1" ht="26.15" customHeight="1" x14ac:dyDescent="0.35">
      <c r="A53" s="132">
        <f t="shared" si="1"/>
        <v>14</v>
      </c>
      <c r="B53" s="133"/>
      <c r="C53" s="133"/>
      <c r="D53" s="134"/>
      <c r="E53" s="134"/>
      <c r="F53" s="134"/>
    </row>
    <row r="54" spans="1:6" s="4" customFormat="1" ht="26.15" customHeight="1" x14ac:dyDescent="0.35">
      <c r="A54" s="132">
        <f t="shared" si="1"/>
        <v>15</v>
      </c>
      <c r="B54" s="133"/>
      <c r="C54" s="133"/>
      <c r="D54" s="134"/>
      <c r="E54" s="134"/>
      <c r="F54" s="134"/>
    </row>
    <row r="55" spans="1:6" s="4" customFormat="1" ht="26.15" customHeight="1" x14ac:dyDescent="0.35">
      <c r="A55" s="132">
        <f t="shared" si="1"/>
        <v>16</v>
      </c>
      <c r="B55" s="133"/>
      <c r="C55" s="133"/>
      <c r="D55" s="134"/>
      <c r="E55" s="134"/>
      <c r="F55" s="134"/>
    </row>
    <row r="56" spans="1:6" s="4" customFormat="1" ht="26.15" customHeight="1" x14ac:dyDescent="0.35">
      <c r="A56" s="132">
        <f t="shared" si="1"/>
        <v>17</v>
      </c>
      <c r="B56" s="133"/>
      <c r="C56" s="133"/>
      <c r="D56" s="134"/>
      <c r="E56" s="134"/>
      <c r="F56" s="134"/>
    </row>
    <row r="57" spans="1:6" s="4" customFormat="1" ht="26.15" customHeight="1" x14ac:dyDescent="0.35">
      <c r="A57" s="132">
        <f t="shared" si="1"/>
        <v>18</v>
      </c>
      <c r="B57" s="133"/>
      <c r="C57" s="133"/>
      <c r="D57" s="134"/>
      <c r="E57" s="134"/>
      <c r="F57" s="134"/>
    </row>
    <row r="58" spans="1:6" s="4" customFormat="1" ht="26.15" customHeight="1" x14ac:dyDescent="0.35">
      <c r="A58" s="132">
        <f t="shared" si="1"/>
        <v>19</v>
      </c>
      <c r="B58" s="133"/>
      <c r="C58" s="133"/>
      <c r="D58" s="134"/>
      <c r="E58" s="134"/>
      <c r="F58" s="134"/>
    </row>
    <row r="59" spans="1:6" s="4" customFormat="1" ht="26.15" customHeight="1" x14ac:dyDescent="0.35">
      <c r="A59" s="132">
        <f t="shared" si="1"/>
        <v>20</v>
      </c>
      <c r="B59" s="133"/>
      <c r="C59" s="133"/>
      <c r="D59" s="134"/>
      <c r="E59" s="134"/>
      <c r="F59" s="134"/>
    </row>
    <row r="60" spans="1:6" s="4" customFormat="1" ht="26.15" customHeight="1" x14ac:dyDescent="0.35">
      <c r="A60" s="132">
        <f t="shared" si="1"/>
        <v>21</v>
      </c>
      <c r="B60" s="133"/>
      <c r="C60" s="133"/>
      <c r="D60" s="134"/>
      <c r="E60" s="134"/>
      <c r="F60" s="134"/>
    </row>
    <row r="61" spans="1:6" s="4" customFormat="1" ht="26.15" customHeight="1" x14ac:dyDescent="0.35">
      <c r="A61" s="132">
        <f t="shared" si="1"/>
        <v>22</v>
      </c>
      <c r="B61" s="133"/>
      <c r="C61" s="133"/>
      <c r="D61" s="134"/>
      <c r="E61" s="134"/>
      <c r="F61" s="134"/>
    </row>
    <row r="62" spans="1:6" s="4" customFormat="1" ht="26.15" customHeight="1" x14ac:dyDescent="0.35">
      <c r="A62" s="132">
        <f t="shared" si="1"/>
        <v>23</v>
      </c>
      <c r="B62" s="133"/>
      <c r="C62" s="133"/>
      <c r="D62" s="134"/>
      <c r="E62" s="134"/>
      <c r="F62" s="134"/>
    </row>
    <row r="63" spans="1:6" s="4" customFormat="1" ht="26.15" customHeight="1" x14ac:dyDescent="0.35">
      <c r="A63" s="132">
        <f t="shared" si="1"/>
        <v>24</v>
      </c>
      <c r="B63" s="133"/>
      <c r="C63" s="133"/>
      <c r="D63" s="134"/>
      <c r="E63" s="134"/>
      <c r="F63" s="134"/>
    </row>
    <row r="64" spans="1:6" s="4" customFormat="1" ht="26.15" customHeight="1" x14ac:dyDescent="0.35">
      <c r="A64" s="132">
        <f t="shared" si="1"/>
        <v>25</v>
      </c>
      <c r="B64" s="133"/>
      <c r="C64" s="133"/>
      <c r="D64" s="134"/>
      <c r="E64" s="134"/>
      <c r="F64" s="134"/>
    </row>
  </sheetData>
  <pageMargins left="0.7" right="0.7" top="0.75" bottom="0.75" header="0.3" footer="0.3"/>
  <pageSetup scale="9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5"/>
  <sheetViews>
    <sheetView showGridLines="0" topLeftCell="A31" zoomScaleNormal="100" zoomScaleSheetLayoutView="100" workbookViewId="0">
      <selection activeCell="B15" sqref="B15"/>
    </sheetView>
  </sheetViews>
  <sheetFormatPr defaultRowHeight="14.5" x14ac:dyDescent="0.35"/>
  <cols>
    <col min="1" max="4" width="10.3046875" style="39" customWidth="1"/>
    <col min="5" max="5" width="27.84375"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234</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
        <v>293</v>
      </c>
      <c r="B10" s="199"/>
      <c r="C10" s="199"/>
      <c r="D10" s="199"/>
      <c r="E10" s="199"/>
      <c r="F10" s="200"/>
    </row>
    <row r="11" spans="1:6" ht="10.5" customHeight="1" x14ac:dyDescent="0.35">
      <c r="C11" s="38"/>
    </row>
    <row r="12" spans="1:6" s="48" customFormat="1" ht="21.75" customHeight="1" x14ac:dyDescent="0.35">
      <c r="A12" s="135" t="s">
        <v>165</v>
      </c>
      <c r="B12" s="135" t="s">
        <v>168</v>
      </c>
      <c r="C12" s="135" t="s">
        <v>169</v>
      </c>
      <c r="D12" s="135" t="s">
        <v>170</v>
      </c>
      <c r="E12" s="135" t="s">
        <v>171</v>
      </c>
      <c r="F12" s="135" t="s">
        <v>135</v>
      </c>
    </row>
    <row r="13" spans="1:6" ht="21.75" customHeight="1" x14ac:dyDescent="0.35">
      <c r="A13" s="136"/>
      <c r="B13" s="136"/>
      <c r="C13" s="136"/>
      <c r="D13" s="136"/>
      <c r="E13" s="136"/>
      <c r="F13" s="136"/>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
        <v>294</v>
      </c>
      <c r="B20" s="199"/>
      <c r="C20" s="199"/>
      <c r="D20" s="199"/>
      <c r="E20" s="199"/>
      <c r="F20" s="200"/>
    </row>
    <row r="21" spans="1:7" ht="7.5" customHeight="1" thickBot="1" x14ac:dyDescent="0.4"/>
    <row r="22" spans="1:7" ht="21.75" customHeight="1" thickBot="1" x14ac:dyDescent="0.4">
      <c r="A22" s="137" t="s">
        <v>165</v>
      </c>
      <c r="B22" s="137" t="s">
        <v>168</v>
      </c>
      <c r="C22" s="137" t="s">
        <v>169</v>
      </c>
      <c r="D22" s="137" t="s">
        <v>170</v>
      </c>
      <c r="E22" s="137" t="s">
        <v>171</v>
      </c>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
        <v>295</v>
      </c>
      <c r="B30" s="199"/>
      <c r="C30" s="199"/>
      <c r="D30" s="199"/>
      <c r="E30" s="199"/>
      <c r="F30" s="200"/>
    </row>
    <row r="31" spans="1:7" ht="8.25" customHeight="1" thickBot="1" x14ac:dyDescent="0.4"/>
    <row r="32" spans="1:7" ht="21.75" customHeight="1" thickBot="1" x14ac:dyDescent="0.4">
      <c r="A32" s="137" t="s">
        <v>165</v>
      </c>
      <c r="B32" s="137" t="s">
        <v>168</v>
      </c>
      <c r="C32" s="137" t="s">
        <v>169</v>
      </c>
      <c r="D32" s="137" t="s">
        <v>170</v>
      </c>
      <c r="E32" s="137" t="s">
        <v>171</v>
      </c>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9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5"/>
  <sheetViews>
    <sheetView showGridLines="0" topLeftCell="A32" zoomScaleNormal="100" zoomScaleSheetLayoutView="100" workbookViewId="0">
      <selection activeCell="B15" sqref="B15"/>
    </sheetView>
  </sheetViews>
  <sheetFormatPr defaultRowHeight="14.5" x14ac:dyDescent="0.35"/>
  <cols>
    <col min="1" max="2" width="10.3046875" style="39" customWidth="1"/>
    <col min="3" max="3" width="12.3046875" style="39" customWidth="1"/>
    <col min="4" max="4" width="10.3046875" style="39" customWidth="1"/>
    <col min="5" max="5" width="29.69140625"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235</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tr">
        <f>'Cut off - Store'!A10:F10</f>
        <v>OPENING TRANSACTIONS AS AT 01-07-2022</v>
      </c>
      <c r="B10" s="199"/>
      <c r="C10" s="199"/>
      <c r="D10" s="199"/>
      <c r="E10" s="199"/>
      <c r="F10" s="200"/>
    </row>
    <row r="11" spans="1:6" ht="10.5" customHeight="1" thickBot="1" x14ac:dyDescent="0.4"/>
    <row r="12" spans="1:6" s="48" customFormat="1" ht="44" thickBot="1" x14ac:dyDescent="0.4">
      <c r="A12" s="137" t="s">
        <v>165</v>
      </c>
      <c r="B12" s="137" t="s">
        <v>168</v>
      </c>
      <c r="C12" s="137" t="s">
        <v>174</v>
      </c>
      <c r="D12" s="137" t="s">
        <v>175</v>
      </c>
      <c r="E12" s="137" t="s">
        <v>171</v>
      </c>
      <c r="F12" s="137" t="s">
        <v>135</v>
      </c>
    </row>
    <row r="13" spans="1:6" ht="21.75" customHeight="1" x14ac:dyDescent="0.35">
      <c r="A13" s="138"/>
      <c r="B13" s="138"/>
      <c r="C13" s="138"/>
      <c r="D13" s="138"/>
      <c r="E13" s="138"/>
      <c r="F13" s="138"/>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tr">
        <f>'Cut off - Store'!A20:F20</f>
        <v>CLOSING TRANSACTIONS AS AT 30-06-2023</v>
      </c>
      <c r="B20" s="199"/>
      <c r="C20" s="199"/>
      <c r="D20" s="199"/>
      <c r="E20" s="199"/>
      <c r="F20" s="200"/>
    </row>
    <row r="21" spans="1:7" ht="7.5" customHeight="1" thickBot="1" x14ac:dyDescent="0.4"/>
    <row r="22" spans="1:7" ht="44" thickBot="1" x14ac:dyDescent="0.4">
      <c r="A22" s="137" t="s">
        <v>165</v>
      </c>
      <c r="B22" s="137" t="s">
        <v>168</v>
      </c>
      <c r="C22" s="137" t="s">
        <v>174</v>
      </c>
      <c r="D22" s="137" t="s">
        <v>175</v>
      </c>
      <c r="E22" s="137" t="s">
        <v>171</v>
      </c>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tr">
        <f>'Cut off - Store'!A30:F30</f>
        <v>OPENING TRANSACTION - SUBSEQUENT AFTER 30-06-2023</v>
      </c>
      <c r="B30" s="199"/>
      <c r="C30" s="199"/>
      <c r="D30" s="199"/>
      <c r="E30" s="199"/>
      <c r="F30" s="200"/>
    </row>
    <row r="31" spans="1:7" ht="8.25" customHeight="1" thickBot="1" x14ac:dyDescent="0.4"/>
    <row r="32" spans="1:7" ht="44" thickBot="1" x14ac:dyDescent="0.4">
      <c r="A32" s="137" t="s">
        <v>165</v>
      </c>
      <c r="B32" s="137" t="s">
        <v>168</v>
      </c>
      <c r="C32" s="137" t="s">
        <v>174</v>
      </c>
      <c r="D32" s="137" t="s">
        <v>175</v>
      </c>
      <c r="E32" s="137" t="s">
        <v>171</v>
      </c>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86"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5"/>
  <sheetViews>
    <sheetView showGridLines="0" topLeftCell="A36" zoomScaleNormal="100" zoomScaleSheetLayoutView="100" workbookViewId="0">
      <selection activeCell="B15" sqref="B15"/>
    </sheetView>
  </sheetViews>
  <sheetFormatPr defaultRowHeight="14.5" x14ac:dyDescent="0.35"/>
  <cols>
    <col min="1" max="2" width="10.3046875" style="39" customWidth="1"/>
    <col min="3" max="3" width="11.69140625" style="39" customWidth="1"/>
    <col min="4" max="4" width="10.3046875" style="39" customWidth="1"/>
    <col min="5" max="5" width="30"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236</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tr">
        <f>'Cut off - Store'!A10:F10</f>
        <v>OPENING TRANSACTIONS AS AT 01-07-2022</v>
      </c>
      <c r="B10" s="199"/>
      <c r="C10" s="199"/>
      <c r="D10" s="199"/>
      <c r="E10" s="199"/>
      <c r="F10" s="200"/>
    </row>
    <row r="11" spans="1:6" ht="10.5" customHeight="1" thickBot="1" x14ac:dyDescent="0.4"/>
    <row r="12" spans="1:6" s="48" customFormat="1" ht="29.5" thickBot="1" x14ac:dyDescent="0.4">
      <c r="A12" s="137" t="s">
        <v>165</v>
      </c>
      <c r="B12" s="137" t="s">
        <v>168</v>
      </c>
      <c r="C12" s="137" t="s">
        <v>173</v>
      </c>
      <c r="D12" s="137" t="s">
        <v>176</v>
      </c>
      <c r="E12" s="137" t="s">
        <v>171</v>
      </c>
      <c r="F12" s="137" t="s">
        <v>135</v>
      </c>
    </row>
    <row r="13" spans="1:6" ht="21.75" customHeight="1" x14ac:dyDescent="0.35">
      <c r="A13" s="138"/>
      <c r="B13" s="138"/>
      <c r="C13" s="138"/>
      <c r="D13" s="138"/>
      <c r="E13" s="138"/>
      <c r="F13" s="138"/>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tr">
        <f>'Cut off - Store'!A20:F20</f>
        <v>CLOSING TRANSACTIONS AS AT 30-06-2023</v>
      </c>
      <c r="B20" s="199"/>
      <c r="C20" s="199"/>
      <c r="D20" s="199"/>
      <c r="E20" s="199"/>
      <c r="F20" s="200"/>
    </row>
    <row r="21" spans="1:7" ht="7.5" customHeight="1" thickBot="1" x14ac:dyDescent="0.4"/>
    <row r="22" spans="1:7" ht="29.5" thickBot="1" x14ac:dyDescent="0.4">
      <c r="A22" s="137" t="s">
        <v>165</v>
      </c>
      <c r="B22" s="137" t="s">
        <v>168</v>
      </c>
      <c r="C22" s="137" t="s">
        <v>173</v>
      </c>
      <c r="D22" s="137" t="s">
        <v>176</v>
      </c>
      <c r="E22" s="137" t="s">
        <v>171</v>
      </c>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tr">
        <f>'Cut off - Store'!A30:F30</f>
        <v>OPENING TRANSACTION - SUBSEQUENT AFTER 30-06-2023</v>
      </c>
      <c r="B30" s="199"/>
      <c r="C30" s="199"/>
      <c r="D30" s="199"/>
      <c r="E30" s="199"/>
      <c r="F30" s="200"/>
    </row>
    <row r="31" spans="1:7" ht="8.25" customHeight="1" thickBot="1" x14ac:dyDescent="0.4"/>
    <row r="32" spans="1:7" ht="29.5" thickBot="1" x14ac:dyDescent="0.4">
      <c r="A32" s="137" t="s">
        <v>165</v>
      </c>
      <c r="B32" s="137" t="s">
        <v>168</v>
      </c>
      <c r="C32" s="137" t="s">
        <v>173</v>
      </c>
      <c r="D32" s="137" t="s">
        <v>176</v>
      </c>
      <c r="E32" s="137" t="s">
        <v>171</v>
      </c>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8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5"/>
  <sheetViews>
    <sheetView showGridLines="0" zoomScaleNormal="100" zoomScaleSheetLayoutView="100" workbookViewId="0">
      <selection activeCell="B15" sqref="B15"/>
    </sheetView>
  </sheetViews>
  <sheetFormatPr defaultRowHeight="14.5" x14ac:dyDescent="0.35"/>
  <cols>
    <col min="1" max="2" width="10.3046875" style="39" customWidth="1"/>
    <col min="3" max="3" width="11.69140625" style="39" customWidth="1"/>
    <col min="4" max="4" width="10.3046875" style="39" customWidth="1"/>
    <col min="5" max="5" width="30"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271</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tr">
        <f>'Cut off - Store'!A10:F10</f>
        <v>OPENING TRANSACTIONS AS AT 01-07-2022</v>
      </c>
      <c r="B10" s="199"/>
      <c r="C10" s="199"/>
      <c r="D10" s="199"/>
      <c r="E10" s="199"/>
      <c r="F10" s="200"/>
    </row>
    <row r="11" spans="1:6" ht="10.5" customHeight="1" thickBot="1" x14ac:dyDescent="0.4"/>
    <row r="12" spans="1:6" s="48" customFormat="1" ht="15" thickBot="1" x14ac:dyDescent="0.4">
      <c r="A12" s="137" t="s">
        <v>165</v>
      </c>
      <c r="B12" s="137" t="s">
        <v>168</v>
      </c>
      <c r="C12" s="137" t="s">
        <v>279</v>
      </c>
      <c r="D12" s="137" t="s">
        <v>171</v>
      </c>
      <c r="E12" s="137"/>
      <c r="F12" s="137" t="s">
        <v>135</v>
      </c>
    </row>
    <row r="13" spans="1:6" ht="21.75" customHeight="1" x14ac:dyDescent="0.35">
      <c r="A13" s="138"/>
      <c r="B13" s="138"/>
      <c r="C13" s="138"/>
      <c r="D13" s="138"/>
      <c r="E13" s="138"/>
      <c r="F13" s="138"/>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tr">
        <f>'Cut off - Store'!A20:F20</f>
        <v>CLOSING TRANSACTIONS AS AT 30-06-2023</v>
      </c>
      <c r="B20" s="199"/>
      <c r="C20" s="199"/>
      <c r="D20" s="199"/>
      <c r="E20" s="199"/>
      <c r="F20" s="200"/>
    </row>
    <row r="21" spans="1:7" ht="7.5" customHeight="1" thickBot="1" x14ac:dyDescent="0.4"/>
    <row r="22" spans="1:7" ht="15" thickBot="1" x14ac:dyDescent="0.4">
      <c r="A22" s="137" t="s">
        <v>165</v>
      </c>
      <c r="B22" s="137" t="s">
        <v>168</v>
      </c>
      <c r="C22" s="137" t="s">
        <v>279</v>
      </c>
      <c r="D22" s="137" t="s">
        <v>171</v>
      </c>
      <c r="E22" s="137"/>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tr">
        <f>'Cut off - Store'!A30:F30</f>
        <v>OPENING TRANSACTION - SUBSEQUENT AFTER 30-06-2023</v>
      </c>
      <c r="B30" s="199"/>
      <c r="C30" s="199"/>
      <c r="D30" s="199"/>
      <c r="E30" s="199"/>
      <c r="F30" s="200"/>
    </row>
    <row r="31" spans="1:7" ht="8.25" customHeight="1" thickBot="1" x14ac:dyDescent="0.4"/>
    <row r="32" spans="1:7" ht="15" thickBot="1" x14ac:dyDescent="0.4">
      <c r="A32" s="137" t="s">
        <v>165</v>
      </c>
      <c r="B32" s="137" t="s">
        <v>168</v>
      </c>
      <c r="C32" s="137" t="s">
        <v>279</v>
      </c>
      <c r="D32" s="137" t="s">
        <v>171</v>
      </c>
      <c r="E32" s="137"/>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86"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5"/>
  <sheetViews>
    <sheetView showGridLines="0" topLeftCell="A36" zoomScaleNormal="100" zoomScaleSheetLayoutView="100" workbookViewId="0">
      <selection activeCell="B15" sqref="B15"/>
    </sheetView>
  </sheetViews>
  <sheetFormatPr defaultRowHeight="14.5" x14ac:dyDescent="0.35"/>
  <cols>
    <col min="1" max="2" width="10.3046875" style="39" customWidth="1"/>
    <col min="3" max="3" width="11.69140625" style="39" customWidth="1"/>
    <col min="4" max="4" width="10.3046875" style="39" customWidth="1"/>
    <col min="5" max="5" width="30"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272</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tr">
        <f>'Cut off - Store'!A10:F10</f>
        <v>OPENING TRANSACTIONS AS AT 01-07-2022</v>
      </c>
      <c r="B10" s="199"/>
      <c r="C10" s="199"/>
      <c r="D10" s="199"/>
      <c r="E10" s="199"/>
      <c r="F10" s="200"/>
    </row>
    <row r="11" spans="1:6" ht="10.5" customHeight="1" thickBot="1" x14ac:dyDescent="0.4"/>
    <row r="12" spans="1:6" s="48" customFormat="1" ht="15" thickBot="1" x14ac:dyDescent="0.4">
      <c r="A12" s="137" t="s">
        <v>165</v>
      </c>
      <c r="B12" s="137" t="s">
        <v>168</v>
      </c>
      <c r="C12" s="137" t="s">
        <v>276</v>
      </c>
      <c r="D12" s="137" t="s">
        <v>171</v>
      </c>
      <c r="E12" s="137"/>
      <c r="F12" s="137" t="s">
        <v>135</v>
      </c>
    </row>
    <row r="13" spans="1:6" ht="21.75" customHeight="1" x14ac:dyDescent="0.35">
      <c r="A13" s="138"/>
      <c r="B13" s="138"/>
      <c r="C13" s="138"/>
      <c r="D13" s="138"/>
      <c r="E13" s="138"/>
      <c r="F13" s="138"/>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tr">
        <f>'Cut off - Store'!A20:F20</f>
        <v>CLOSING TRANSACTIONS AS AT 30-06-2023</v>
      </c>
      <c r="B20" s="199"/>
      <c r="C20" s="199"/>
      <c r="D20" s="199"/>
      <c r="E20" s="199"/>
      <c r="F20" s="200"/>
    </row>
    <row r="21" spans="1:7" ht="7.5" customHeight="1" thickBot="1" x14ac:dyDescent="0.4"/>
    <row r="22" spans="1:7" ht="15" thickBot="1" x14ac:dyDescent="0.4">
      <c r="A22" s="137" t="s">
        <v>165</v>
      </c>
      <c r="B22" s="137" t="s">
        <v>168</v>
      </c>
      <c r="C22" s="137" t="s">
        <v>276</v>
      </c>
      <c r="D22" s="137" t="s">
        <v>171</v>
      </c>
      <c r="E22" s="137"/>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tr">
        <f>'Cut off - Store'!A30:F30</f>
        <v>OPENING TRANSACTION - SUBSEQUENT AFTER 30-06-2023</v>
      </c>
      <c r="B30" s="199"/>
      <c r="C30" s="199"/>
      <c r="D30" s="199"/>
      <c r="E30" s="199"/>
      <c r="F30" s="200"/>
    </row>
    <row r="31" spans="1:7" ht="8.25" customHeight="1" thickBot="1" x14ac:dyDescent="0.4"/>
    <row r="32" spans="1:7" ht="15" thickBot="1" x14ac:dyDescent="0.4">
      <c r="A32" s="137" t="s">
        <v>165</v>
      </c>
      <c r="B32" s="137" t="s">
        <v>168</v>
      </c>
      <c r="C32" s="137" t="s">
        <v>276</v>
      </c>
      <c r="D32" s="137" t="s">
        <v>171</v>
      </c>
      <c r="E32" s="137"/>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86"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5"/>
  <sheetViews>
    <sheetView showGridLines="0" topLeftCell="A30" zoomScaleNormal="100" zoomScaleSheetLayoutView="100" workbookViewId="0">
      <selection activeCell="B15" sqref="B15"/>
    </sheetView>
  </sheetViews>
  <sheetFormatPr defaultRowHeight="14.5" x14ac:dyDescent="0.35"/>
  <cols>
    <col min="1" max="2" width="10.3046875" style="39" customWidth="1"/>
    <col min="3" max="3" width="11.69140625" style="39" customWidth="1"/>
    <col min="4" max="4" width="10.3046875" style="39" customWidth="1"/>
    <col min="5" max="5" width="30.23046875"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273</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tr">
        <f>'Cut off - Store'!A10:F10</f>
        <v>OPENING TRANSACTIONS AS AT 01-07-2022</v>
      </c>
      <c r="B10" s="199"/>
      <c r="C10" s="199"/>
      <c r="D10" s="199"/>
      <c r="E10" s="199"/>
      <c r="F10" s="200"/>
    </row>
    <row r="11" spans="1:6" ht="10.5" customHeight="1" thickBot="1" x14ac:dyDescent="0.4"/>
    <row r="12" spans="1:6" s="48" customFormat="1" ht="15" thickBot="1" x14ac:dyDescent="0.4">
      <c r="A12" s="137" t="s">
        <v>165</v>
      </c>
      <c r="B12" s="137" t="s">
        <v>168</v>
      </c>
      <c r="C12" s="137" t="s">
        <v>277</v>
      </c>
      <c r="D12" s="137" t="s">
        <v>171</v>
      </c>
      <c r="E12" s="137"/>
      <c r="F12" s="137" t="s">
        <v>135</v>
      </c>
    </row>
    <row r="13" spans="1:6" ht="21.75" customHeight="1" x14ac:dyDescent="0.35">
      <c r="A13" s="138"/>
      <c r="B13" s="138"/>
      <c r="C13" s="138"/>
      <c r="D13" s="138"/>
      <c r="E13" s="138"/>
      <c r="F13" s="138"/>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tr">
        <f>'Cut off - Store'!A20:F20</f>
        <v>CLOSING TRANSACTIONS AS AT 30-06-2023</v>
      </c>
      <c r="B20" s="199"/>
      <c r="C20" s="199"/>
      <c r="D20" s="199"/>
      <c r="E20" s="199"/>
      <c r="F20" s="200"/>
    </row>
    <row r="21" spans="1:7" ht="7.5" customHeight="1" thickBot="1" x14ac:dyDescent="0.4"/>
    <row r="22" spans="1:7" ht="15" thickBot="1" x14ac:dyDescent="0.4">
      <c r="A22" s="137" t="s">
        <v>165</v>
      </c>
      <c r="B22" s="137" t="s">
        <v>168</v>
      </c>
      <c r="C22" s="137" t="s">
        <v>277</v>
      </c>
      <c r="D22" s="137" t="s">
        <v>171</v>
      </c>
      <c r="E22" s="137"/>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tr">
        <f>'Cut off - Store'!A30:F30</f>
        <v>OPENING TRANSACTION - SUBSEQUENT AFTER 30-06-2023</v>
      </c>
      <c r="B30" s="199"/>
      <c r="C30" s="199"/>
      <c r="D30" s="199"/>
      <c r="E30" s="199"/>
      <c r="F30" s="200"/>
    </row>
    <row r="31" spans="1:7" ht="8.25" customHeight="1" thickBot="1" x14ac:dyDescent="0.4"/>
    <row r="32" spans="1:7" ht="15" thickBot="1" x14ac:dyDescent="0.4">
      <c r="A32" s="137" t="s">
        <v>165</v>
      </c>
      <c r="B32" s="137" t="s">
        <v>168</v>
      </c>
      <c r="C32" s="137" t="s">
        <v>277</v>
      </c>
      <c r="D32" s="137" t="s">
        <v>171</v>
      </c>
      <c r="E32" s="137"/>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86"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5"/>
  <sheetViews>
    <sheetView showGridLines="0" zoomScaleNormal="100" zoomScaleSheetLayoutView="100" workbookViewId="0">
      <selection activeCell="B15" sqref="B15"/>
    </sheetView>
  </sheetViews>
  <sheetFormatPr defaultRowHeight="14.5" x14ac:dyDescent="0.35"/>
  <cols>
    <col min="1" max="2" width="10.3046875" style="39" customWidth="1"/>
    <col min="3" max="3" width="11.69140625" style="39" customWidth="1"/>
    <col min="4" max="4" width="10.3046875" style="39" customWidth="1"/>
    <col min="5" max="5" width="30"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274</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tr">
        <f>'Cut off - Store'!A10:F10</f>
        <v>OPENING TRANSACTIONS AS AT 01-07-2022</v>
      </c>
      <c r="B10" s="199"/>
      <c r="C10" s="199"/>
      <c r="D10" s="199"/>
      <c r="E10" s="199"/>
      <c r="F10" s="200"/>
    </row>
    <row r="11" spans="1:6" ht="10.5" customHeight="1" thickBot="1" x14ac:dyDescent="0.4"/>
    <row r="12" spans="1:6" s="48" customFormat="1" ht="15" thickBot="1" x14ac:dyDescent="0.4">
      <c r="A12" s="137" t="s">
        <v>165</v>
      </c>
      <c r="B12" s="137" t="s">
        <v>168</v>
      </c>
      <c r="C12" s="137" t="s">
        <v>279</v>
      </c>
      <c r="D12" s="137" t="s">
        <v>171</v>
      </c>
      <c r="E12" s="137"/>
      <c r="F12" s="137" t="s">
        <v>135</v>
      </c>
    </row>
    <row r="13" spans="1:6" ht="21.75" customHeight="1" x14ac:dyDescent="0.35">
      <c r="A13" s="138"/>
      <c r="B13" s="138"/>
      <c r="C13" s="138"/>
      <c r="D13" s="138"/>
      <c r="E13" s="138"/>
      <c r="F13" s="138"/>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tr">
        <f>'Cut off - Store'!A20:F20</f>
        <v>CLOSING TRANSACTIONS AS AT 30-06-2023</v>
      </c>
      <c r="B20" s="199"/>
      <c r="C20" s="199"/>
      <c r="D20" s="199"/>
      <c r="E20" s="199"/>
      <c r="F20" s="200"/>
    </row>
    <row r="21" spans="1:7" ht="7.5" customHeight="1" thickBot="1" x14ac:dyDescent="0.4"/>
    <row r="22" spans="1:7" ht="15" thickBot="1" x14ac:dyDescent="0.4">
      <c r="A22" s="137" t="s">
        <v>165</v>
      </c>
      <c r="B22" s="137" t="s">
        <v>168</v>
      </c>
      <c r="C22" s="137" t="s">
        <v>279</v>
      </c>
      <c r="D22" s="137" t="s">
        <v>171</v>
      </c>
      <c r="E22" s="137"/>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tr">
        <f>'Cut off - Store'!A30:F30</f>
        <v>OPENING TRANSACTION - SUBSEQUENT AFTER 30-06-2023</v>
      </c>
      <c r="B30" s="199"/>
      <c r="C30" s="199"/>
      <c r="D30" s="199"/>
      <c r="E30" s="199"/>
      <c r="F30" s="200"/>
    </row>
    <row r="31" spans="1:7" ht="8.25" customHeight="1" thickBot="1" x14ac:dyDescent="0.4"/>
    <row r="32" spans="1:7" ht="15" thickBot="1" x14ac:dyDescent="0.4">
      <c r="A32" s="137" t="s">
        <v>165</v>
      </c>
      <c r="B32" s="137" t="s">
        <v>168</v>
      </c>
      <c r="C32" s="137" t="s">
        <v>279</v>
      </c>
      <c r="D32" s="137" t="s">
        <v>171</v>
      </c>
      <c r="E32" s="137"/>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86"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5"/>
  <sheetViews>
    <sheetView showGridLines="0" zoomScaleNormal="100" zoomScaleSheetLayoutView="100" workbookViewId="0">
      <selection activeCell="B15" sqref="B15"/>
    </sheetView>
  </sheetViews>
  <sheetFormatPr defaultRowHeight="14.5" x14ac:dyDescent="0.35"/>
  <cols>
    <col min="1" max="2" width="10.3046875" style="39" customWidth="1"/>
    <col min="3" max="3" width="11.69140625" style="39" customWidth="1"/>
    <col min="4" max="4" width="10.3046875" style="39" customWidth="1"/>
    <col min="5" max="5" width="30" style="39" customWidth="1"/>
    <col min="6" max="6" width="12.3046875" style="39" customWidth="1"/>
    <col min="7" max="255" width="8.84375" style="39"/>
    <col min="256" max="256" width="1.3046875" style="39" customWidth="1"/>
    <col min="257" max="257" width="12.23046875" style="39" customWidth="1"/>
    <col min="258" max="258" width="10" style="39" customWidth="1"/>
    <col min="259" max="259" width="9" style="39" customWidth="1"/>
    <col min="260" max="260" width="11.84375" style="39" customWidth="1"/>
    <col min="261" max="261" width="23.765625" style="39" customWidth="1"/>
    <col min="262" max="262" width="14.53515625" style="39" customWidth="1"/>
    <col min="263" max="511" width="8.84375" style="39"/>
    <col min="512" max="512" width="1.3046875" style="39" customWidth="1"/>
    <col min="513" max="513" width="12.23046875" style="39" customWidth="1"/>
    <col min="514" max="514" width="10" style="39" customWidth="1"/>
    <col min="515" max="515" width="9" style="39" customWidth="1"/>
    <col min="516" max="516" width="11.84375" style="39" customWidth="1"/>
    <col min="517" max="517" width="23.765625" style="39" customWidth="1"/>
    <col min="518" max="518" width="14.53515625" style="39" customWidth="1"/>
    <col min="519" max="767" width="8.84375" style="39"/>
    <col min="768" max="768" width="1.3046875" style="39" customWidth="1"/>
    <col min="769" max="769" width="12.23046875" style="39" customWidth="1"/>
    <col min="770" max="770" width="10" style="39" customWidth="1"/>
    <col min="771" max="771" width="9" style="39" customWidth="1"/>
    <col min="772" max="772" width="11.84375" style="39" customWidth="1"/>
    <col min="773" max="773" width="23.765625" style="39" customWidth="1"/>
    <col min="774" max="774" width="14.53515625" style="39" customWidth="1"/>
    <col min="775" max="1023" width="8.84375" style="39"/>
    <col min="1024" max="1024" width="1.3046875" style="39" customWidth="1"/>
    <col min="1025" max="1025" width="12.23046875" style="39" customWidth="1"/>
    <col min="1026" max="1026" width="10" style="39" customWidth="1"/>
    <col min="1027" max="1027" width="9" style="39" customWidth="1"/>
    <col min="1028" max="1028" width="11.84375" style="39" customWidth="1"/>
    <col min="1029" max="1029" width="23.765625" style="39" customWidth="1"/>
    <col min="1030" max="1030" width="14.53515625" style="39" customWidth="1"/>
    <col min="1031" max="1279" width="8.84375" style="39"/>
    <col min="1280" max="1280" width="1.3046875" style="39" customWidth="1"/>
    <col min="1281" max="1281" width="12.23046875" style="39" customWidth="1"/>
    <col min="1282" max="1282" width="10" style="39" customWidth="1"/>
    <col min="1283" max="1283" width="9" style="39" customWidth="1"/>
    <col min="1284" max="1284" width="11.84375" style="39" customWidth="1"/>
    <col min="1285" max="1285" width="23.765625" style="39" customWidth="1"/>
    <col min="1286" max="1286" width="14.53515625" style="39" customWidth="1"/>
    <col min="1287" max="1535" width="8.84375" style="39"/>
    <col min="1536" max="1536" width="1.3046875" style="39" customWidth="1"/>
    <col min="1537" max="1537" width="12.23046875" style="39" customWidth="1"/>
    <col min="1538" max="1538" width="10" style="39" customWidth="1"/>
    <col min="1539" max="1539" width="9" style="39" customWidth="1"/>
    <col min="1540" max="1540" width="11.84375" style="39" customWidth="1"/>
    <col min="1541" max="1541" width="23.765625" style="39" customWidth="1"/>
    <col min="1542" max="1542" width="14.53515625" style="39" customWidth="1"/>
    <col min="1543" max="1791" width="8.84375" style="39"/>
    <col min="1792" max="1792" width="1.3046875" style="39" customWidth="1"/>
    <col min="1793" max="1793" width="12.23046875" style="39" customWidth="1"/>
    <col min="1794" max="1794" width="10" style="39" customWidth="1"/>
    <col min="1795" max="1795" width="9" style="39" customWidth="1"/>
    <col min="1796" max="1796" width="11.84375" style="39" customWidth="1"/>
    <col min="1797" max="1797" width="23.765625" style="39" customWidth="1"/>
    <col min="1798" max="1798" width="14.53515625" style="39" customWidth="1"/>
    <col min="1799" max="2047" width="8.84375" style="39"/>
    <col min="2048" max="2048" width="1.3046875" style="39" customWidth="1"/>
    <col min="2049" max="2049" width="12.23046875" style="39" customWidth="1"/>
    <col min="2050" max="2050" width="10" style="39" customWidth="1"/>
    <col min="2051" max="2051" width="9" style="39" customWidth="1"/>
    <col min="2052" max="2052" width="11.84375" style="39" customWidth="1"/>
    <col min="2053" max="2053" width="23.765625" style="39" customWidth="1"/>
    <col min="2054" max="2054" width="14.53515625" style="39" customWidth="1"/>
    <col min="2055" max="2303" width="8.84375" style="39"/>
    <col min="2304" max="2304" width="1.3046875" style="39" customWidth="1"/>
    <col min="2305" max="2305" width="12.23046875" style="39" customWidth="1"/>
    <col min="2306" max="2306" width="10" style="39" customWidth="1"/>
    <col min="2307" max="2307" width="9" style="39" customWidth="1"/>
    <col min="2308" max="2308" width="11.84375" style="39" customWidth="1"/>
    <col min="2309" max="2309" width="23.765625" style="39" customWidth="1"/>
    <col min="2310" max="2310" width="14.53515625" style="39" customWidth="1"/>
    <col min="2311" max="2559" width="8.84375" style="39"/>
    <col min="2560" max="2560" width="1.3046875" style="39" customWidth="1"/>
    <col min="2561" max="2561" width="12.23046875" style="39" customWidth="1"/>
    <col min="2562" max="2562" width="10" style="39" customWidth="1"/>
    <col min="2563" max="2563" width="9" style="39" customWidth="1"/>
    <col min="2564" max="2564" width="11.84375" style="39" customWidth="1"/>
    <col min="2565" max="2565" width="23.765625" style="39" customWidth="1"/>
    <col min="2566" max="2566" width="14.53515625" style="39" customWidth="1"/>
    <col min="2567" max="2815" width="8.84375" style="39"/>
    <col min="2816" max="2816" width="1.3046875" style="39" customWidth="1"/>
    <col min="2817" max="2817" width="12.23046875" style="39" customWidth="1"/>
    <col min="2818" max="2818" width="10" style="39" customWidth="1"/>
    <col min="2819" max="2819" width="9" style="39" customWidth="1"/>
    <col min="2820" max="2820" width="11.84375" style="39" customWidth="1"/>
    <col min="2821" max="2821" width="23.765625" style="39" customWidth="1"/>
    <col min="2822" max="2822" width="14.53515625" style="39" customWidth="1"/>
    <col min="2823" max="3071" width="8.84375" style="39"/>
    <col min="3072" max="3072" width="1.3046875" style="39" customWidth="1"/>
    <col min="3073" max="3073" width="12.23046875" style="39" customWidth="1"/>
    <col min="3074" max="3074" width="10" style="39" customWidth="1"/>
    <col min="3075" max="3075" width="9" style="39" customWidth="1"/>
    <col min="3076" max="3076" width="11.84375" style="39" customWidth="1"/>
    <col min="3077" max="3077" width="23.765625" style="39" customWidth="1"/>
    <col min="3078" max="3078" width="14.53515625" style="39" customWidth="1"/>
    <col min="3079" max="3327" width="8.84375" style="39"/>
    <col min="3328" max="3328" width="1.3046875" style="39" customWidth="1"/>
    <col min="3329" max="3329" width="12.23046875" style="39" customWidth="1"/>
    <col min="3330" max="3330" width="10" style="39" customWidth="1"/>
    <col min="3331" max="3331" width="9" style="39" customWidth="1"/>
    <col min="3332" max="3332" width="11.84375" style="39" customWidth="1"/>
    <col min="3333" max="3333" width="23.765625" style="39" customWidth="1"/>
    <col min="3334" max="3334" width="14.53515625" style="39" customWidth="1"/>
    <col min="3335" max="3583" width="8.84375" style="39"/>
    <col min="3584" max="3584" width="1.3046875" style="39" customWidth="1"/>
    <col min="3585" max="3585" width="12.23046875" style="39" customWidth="1"/>
    <col min="3586" max="3586" width="10" style="39" customWidth="1"/>
    <col min="3587" max="3587" width="9" style="39" customWidth="1"/>
    <col min="3588" max="3588" width="11.84375" style="39" customWidth="1"/>
    <col min="3589" max="3589" width="23.765625" style="39" customWidth="1"/>
    <col min="3590" max="3590" width="14.53515625" style="39" customWidth="1"/>
    <col min="3591" max="3839" width="8.84375" style="39"/>
    <col min="3840" max="3840" width="1.3046875" style="39" customWidth="1"/>
    <col min="3841" max="3841" width="12.23046875" style="39" customWidth="1"/>
    <col min="3842" max="3842" width="10" style="39" customWidth="1"/>
    <col min="3843" max="3843" width="9" style="39" customWidth="1"/>
    <col min="3844" max="3844" width="11.84375" style="39" customWidth="1"/>
    <col min="3845" max="3845" width="23.765625" style="39" customWidth="1"/>
    <col min="3846" max="3846" width="14.53515625" style="39" customWidth="1"/>
    <col min="3847" max="4095" width="8.84375" style="39"/>
    <col min="4096" max="4096" width="1.3046875" style="39" customWidth="1"/>
    <col min="4097" max="4097" width="12.23046875" style="39" customWidth="1"/>
    <col min="4098" max="4098" width="10" style="39" customWidth="1"/>
    <col min="4099" max="4099" width="9" style="39" customWidth="1"/>
    <col min="4100" max="4100" width="11.84375" style="39" customWidth="1"/>
    <col min="4101" max="4101" width="23.765625" style="39" customWidth="1"/>
    <col min="4102" max="4102" width="14.53515625" style="39" customWidth="1"/>
    <col min="4103" max="4351" width="8.84375" style="39"/>
    <col min="4352" max="4352" width="1.3046875" style="39" customWidth="1"/>
    <col min="4353" max="4353" width="12.23046875" style="39" customWidth="1"/>
    <col min="4354" max="4354" width="10" style="39" customWidth="1"/>
    <col min="4355" max="4355" width="9" style="39" customWidth="1"/>
    <col min="4356" max="4356" width="11.84375" style="39" customWidth="1"/>
    <col min="4357" max="4357" width="23.765625" style="39" customWidth="1"/>
    <col min="4358" max="4358" width="14.53515625" style="39" customWidth="1"/>
    <col min="4359" max="4607" width="8.84375" style="39"/>
    <col min="4608" max="4608" width="1.3046875" style="39" customWidth="1"/>
    <col min="4609" max="4609" width="12.23046875" style="39" customWidth="1"/>
    <col min="4610" max="4610" width="10" style="39" customWidth="1"/>
    <col min="4611" max="4611" width="9" style="39" customWidth="1"/>
    <col min="4612" max="4612" width="11.84375" style="39" customWidth="1"/>
    <col min="4613" max="4613" width="23.765625" style="39" customWidth="1"/>
    <col min="4614" max="4614" width="14.53515625" style="39" customWidth="1"/>
    <col min="4615" max="4863" width="8.84375" style="39"/>
    <col min="4864" max="4864" width="1.3046875" style="39" customWidth="1"/>
    <col min="4865" max="4865" width="12.23046875" style="39" customWidth="1"/>
    <col min="4866" max="4866" width="10" style="39" customWidth="1"/>
    <col min="4867" max="4867" width="9" style="39" customWidth="1"/>
    <col min="4868" max="4868" width="11.84375" style="39" customWidth="1"/>
    <col min="4869" max="4869" width="23.765625" style="39" customWidth="1"/>
    <col min="4870" max="4870" width="14.53515625" style="39" customWidth="1"/>
    <col min="4871" max="5119" width="8.84375" style="39"/>
    <col min="5120" max="5120" width="1.3046875" style="39" customWidth="1"/>
    <col min="5121" max="5121" width="12.23046875" style="39" customWidth="1"/>
    <col min="5122" max="5122" width="10" style="39" customWidth="1"/>
    <col min="5123" max="5123" width="9" style="39" customWidth="1"/>
    <col min="5124" max="5124" width="11.84375" style="39" customWidth="1"/>
    <col min="5125" max="5125" width="23.765625" style="39" customWidth="1"/>
    <col min="5126" max="5126" width="14.53515625" style="39" customWidth="1"/>
    <col min="5127" max="5375" width="8.84375" style="39"/>
    <col min="5376" max="5376" width="1.3046875" style="39" customWidth="1"/>
    <col min="5377" max="5377" width="12.23046875" style="39" customWidth="1"/>
    <col min="5378" max="5378" width="10" style="39" customWidth="1"/>
    <col min="5379" max="5379" width="9" style="39" customWidth="1"/>
    <col min="5380" max="5380" width="11.84375" style="39" customWidth="1"/>
    <col min="5381" max="5381" width="23.765625" style="39" customWidth="1"/>
    <col min="5382" max="5382" width="14.53515625" style="39" customWidth="1"/>
    <col min="5383" max="5631" width="8.84375" style="39"/>
    <col min="5632" max="5632" width="1.3046875" style="39" customWidth="1"/>
    <col min="5633" max="5633" width="12.23046875" style="39" customWidth="1"/>
    <col min="5634" max="5634" width="10" style="39" customWidth="1"/>
    <col min="5635" max="5635" width="9" style="39" customWidth="1"/>
    <col min="5636" max="5636" width="11.84375" style="39" customWidth="1"/>
    <col min="5637" max="5637" width="23.765625" style="39" customWidth="1"/>
    <col min="5638" max="5638" width="14.53515625" style="39" customWidth="1"/>
    <col min="5639" max="5887" width="8.84375" style="39"/>
    <col min="5888" max="5888" width="1.3046875" style="39" customWidth="1"/>
    <col min="5889" max="5889" width="12.23046875" style="39" customWidth="1"/>
    <col min="5890" max="5890" width="10" style="39" customWidth="1"/>
    <col min="5891" max="5891" width="9" style="39" customWidth="1"/>
    <col min="5892" max="5892" width="11.84375" style="39" customWidth="1"/>
    <col min="5893" max="5893" width="23.765625" style="39" customWidth="1"/>
    <col min="5894" max="5894" width="14.53515625" style="39" customWidth="1"/>
    <col min="5895" max="6143" width="8.84375" style="39"/>
    <col min="6144" max="6144" width="1.3046875" style="39" customWidth="1"/>
    <col min="6145" max="6145" width="12.23046875" style="39" customWidth="1"/>
    <col min="6146" max="6146" width="10" style="39" customWidth="1"/>
    <col min="6147" max="6147" width="9" style="39" customWidth="1"/>
    <col min="6148" max="6148" width="11.84375" style="39" customWidth="1"/>
    <col min="6149" max="6149" width="23.765625" style="39" customWidth="1"/>
    <col min="6150" max="6150" width="14.53515625" style="39" customWidth="1"/>
    <col min="6151" max="6399" width="8.84375" style="39"/>
    <col min="6400" max="6400" width="1.3046875" style="39" customWidth="1"/>
    <col min="6401" max="6401" width="12.23046875" style="39" customWidth="1"/>
    <col min="6402" max="6402" width="10" style="39" customWidth="1"/>
    <col min="6403" max="6403" width="9" style="39" customWidth="1"/>
    <col min="6404" max="6404" width="11.84375" style="39" customWidth="1"/>
    <col min="6405" max="6405" width="23.765625" style="39" customWidth="1"/>
    <col min="6406" max="6406" width="14.53515625" style="39" customWidth="1"/>
    <col min="6407" max="6655" width="8.84375" style="39"/>
    <col min="6656" max="6656" width="1.3046875" style="39" customWidth="1"/>
    <col min="6657" max="6657" width="12.23046875" style="39" customWidth="1"/>
    <col min="6658" max="6658" width="10" style="39" customWidth="1"/>
    <col min="6659" max="6659" width="9" style="39" customWidth="1"/>
    <col min="6660" max="6660" width="11.84375" style="39" customWidth="1"/>
    <col min="6661" max="6661" width="23.765625" style="39" customWidth="1"/>
    <col min="6662" max="6662" width="14.53515625" style="39" customWidth="1"/>
    <col min="6663" max="6911" width="8.84375" style="39"/>
    <col min="6912" max="6912" width="1.3046875" style="39" customWidth="1"/>
    <col min="6913" max="6913" width="12.23046875" style="39" customWidth="1"/>
    <col min="6914" max="6914" width="10" style="39" customWidth="1"/>
    <col min="6915" max="6915" width="9" style="39" customWidth="1"/>
    <col min="6916" max="6916" width="11.84375" style="39" customWidth="1"/>
    <col min="6917" max="6917" width="23.765625" style="39" customWidth="1"/>
    <col min="6918" max="6918" width="14.53515625" style="39" customWidth="1"/>
    <col min="6919" max="7167" width="8.84375" style="39"/>
    <col min="7168" max="7168" width="1.3046875" style="39" customWidth="1"/>
    <col min="7169" max="7169" width="12.23046875" style="39" customWidth="1"/>
    <col min="7170" max="7170" width="10" style="39" customWidth="1"/>
    <col min="7171" max="7171" width="9" style="39" customWidth="1"/>
    <col min="7172" max="7172" width="11.84375" style="39" customWidth="1"/>
    <col min="7173" max="7173" width="23.765625" style="39" customWidth="1"/>
    <col min="7174" max="7174" width="14.53515625" style="39" customWidth="1"/>
    <col min="7175" max="7423" width="8.84375" style="39"/>
    <col min="7424" max="7424" width="1.3046875" style="39" customWidth="1"/>
    <col min="7425" max="7425" width="12.23046875" style="39" customWidth="1"/>
    <col min="7426" max="7426" width="10" style="39" customWidth="1"/>
    <col min="7427" max="7427" width="9" style="39" customWidth="1"/>
    <col min="7428" max="7428" width="11.84375" style="39" customWidth="1"/>
    <col min="7429" max="7429" width="23.765625" style="39" customWidth="1"/>
    <col min="7430" max="7430" width="14.53515625" style="39" customWidth="1"/>
    <col min="7431" max="7679" width="8.84375" style="39"/>
    <col min="7680" max="7680" width="1.3046875" style="39" customWidth="1"/>
    <col min="7681" max="7681" width="12.23046875" style="39" customWidth="1"/>
    <col min="7682" max="7682" width="10" style="39" customWidth="1"/>
    <col min="7683" max="7683" width="9" style="39" customWidth="1"/>
    <col min="7684" max="7684" width="11.84375" style="39" customWidth="1"/>
    <col min="7685" max="7685" width="23.765625" style="39" customWidth="1"/>
    <col min="7686" max="7686" width="14.53515625" style="39" customWidth="1"/>
    <col min="7687" max="7935" width="8.84375" style="39"/>
    <col min="7936" max="7936" width="1.3046875" style="39" customWidth="1"/>
    <col min="7937" max="7937" width="12.23046875" style="39" customWidth="1"/>
    <col min="7938" max="7938" width="10" style="39" customWidth="1"/>
    <col min="7939" max="7939" width="9" style="39" customWidth="1"/>
    <col min="7940" max="7940" width="11.84375" style="39" customWidth="1"/>
    <col min="7941" max="7941" width="23.765625" style="39" customWidth="1"/>
    <col min="7942" max="7942" width="14.53515625" style="39" customWidth="1"/>
    <col min="7943" max="8191" width="8.84375" style="39"/>
    <col min="8192" max="8192" width="1.3046875" style="39" customWidth="1"/>
    <col min="8193" max="8193" width="12.23046875" style="39" customWidth="1"/>
    <col min="8194" max="8194" width="10" style="39" customWidth="1"/>
    <col min="8195" max="8195" width="9" style="39" customWidth="1"/>
    <col min="8196" max="8196" width="11.84375" style="39" customWidth="1"/>
    <col min="8197" max="8197" width="23.765625" style="39" customWidth="1"/>
    <col min="8198" max="8198" width="14.53515625" style="39" customWidth="1"/>
    <col min="8199" max="8447" width="8.84375" style="39"/>
    <col min="8448" max="8448" width="1.3046875" style="39" customWidth="1"/>
    <col min="8449" max="8449" width="12.23046875" style="39" customWidth="1"/>
    <col min="8450" max="8450" width="10" style="39" customWidth="1"/>
    <col min="8451" max="8451" width="9" style="39" customWidth="1"/>
    <col min="8452" max="8452" width="11.84375" style="39" customWidth="1"/>
    <col min="8453" max="8453" width="23.765625" style="39" customWidth="1"/>
    <col min="8454" max="8454" width="14.53515625" style="39" customWidth="1"/>
    <col min="8455" max="8703" width="8.84375" style="39"/>
    <col min="8704" max="8704" width="1.3046875" style="39" customWidth="1"/>
    <col min="8705" max="8705" width="12.23046875" style="39" customWidth="1"/>
    <col min="8706" max="8706" width="10" style="39" customWidth="1"/>
    <col min="8707" max="8707" width="9" style="39" customWidth="1"/>
    <col min="8708" max="8708" width="11.84375" style="39" customWidth="1"/>
    <col min="8709" max="8709" width="23.765625" style="39" customWidth="1"/>
    <col min="8710" max="8710" width="14.53515625" style="39" customWidth="1"/>
    <col min="8711" max="8959" width="8.84375" style="39"/>
    <col min="8960" max="8960" width="1.3046875" style="39" customWidth="1"/>
    <col min="8961" max="8961" width="12.23046875" style="39" customWidth="1"/>
    <col min="8962" max="8962" width="10" style="39" customWidth="1"/>
    <col min="8963" max="8963" width="9" style="39" customWidth="1"/>
    <col min="8964" max="8964" width="11.84375" style="39" customWidth="1"/>
    <col min="8965" max="8965" width="23.765625" style="39" customWidth="1"/>
    <col min="8966" max="8966" width="14.53515625" style="39" customWidth="1"/>
    <col min="8967" max="9215" width="8.84375" style="39"/>
    <col min="9216" max="9216" width="1.3046875" style="39" customWidth="1"/>
    <col min="9217" max="9217" width="12.23046875" style="39" customWidth="1"/>
    <col min="9218" max="9218" width="10" style="39" customWidth="1"/>
    <col min="9219" max="9219" width="9" style="39" customWidth="1"/>
    <col min="9220" max="9220" width="11.84375" style="39" customWidth="1"/>
    <col min="9221" max="9221" width="23.765625" style="39" customWidth="1"/>
    <col min="9222" max="9222" width="14.53515625" style="39" customWidth="1"/>
    <col min="9223" max="9471" width="8.84375" style="39"/>
    <col min="9472" max="9472" width="1.3046875" style="39" customWidth="1"/>
    <col min="9473" max="9473" width="12.23046875" style="39" customWidth="1"/>
    <col min="9474" max="9474" width="10" style="39" customWidth="1"/>
    <col min="9475" max="9475" width="9" style="39" customWidth="1"/>
    <col min="9476" max="9476" width="11.84375" style="39" customWidth="1"/>
    <col min="9477" max="9477" width="23.765625" style="39" customWidth="1"/>
    <col min="9478" max="9478" width="14.53515625" style="39" customWidth="1"/>
    <col min="9479" max="9727" width="8.84375" style="39"/>
    <col min="9728" max="9728" width="1.3046875" style="39" customWidth="1"/>
    <col min="9729" max="9729" width="12.23046875" style="39" customWidth="1"/>
    <col min="9730" max="9730" width="10" style="39" customWidth="1"/>
    <col min="9731" max="9731" width="9" style="39" customWidth="1"/>
    <col min="9732" max="9732" width="11.84375" style="39" customWidth="1"/>
    <col min="9733" max="9733" width="23.765625" style="39" customWidth="1"/>
    <col min="9734" max="9734" width="14.53515625" style="39" customWidth="1"/>
    <col min="9735" max="9983" width="8.84375" style="39"/>
    <col min="9984" max="9984" width="1.3046875" style="39" customWidth="1"/>
    <col min="9985" max="9985" width="12.23046875" style="39" customWidth="1"/>
    <col min="9986" max="9986" width="10" style="39" customWidth="1"/>
    <col min="9987" max="9987" width="9" style="39" customWidth="1"/>
    <col min="9988" max="9988" width="11.84375" style="39" customWidth="1"/>
    <col min="9989" max="9989" width="23.765625" style="39" customWidth="1"/>
    <col min="9990" max="9990" width="14.53515625" style="39" customWidth="1"/>
    <col min="9991" max="10239" width="8.84375" style="39"/>
    <col min="10240" max="10240" width="1.3046875" style="39" customWidth="1"/>
    <col min="10241" max="10241" width="12.23046875" style="39" customWidth="1"/>
    <col min="10242" max="10242" width="10" style="39" customWidth="1"/>
    <col min="10243" max="10243" width="9" style="39" customWidth="1"/>
    <col min="10244" max="10244" width="11.84375" style="39" customWidth="1"/>
    <col min="10245" max="10245" width="23.765625" style="39" customWidth="1"/>
    <col min="10246" max="10246" width="14.53515625" style="39" customWidth="1"/>
    <col min="10247" max="10495" width="8.84375" style="39"/>
    <col min="10496" max="10496" width="1.3046875" style="39" customWidth="1"/>
    <col min="10497" max="10497" width="12.23046875" style="39" customWidth="1"/>
    <col min="10498" max="10498" width="10" style="39" customWidth="1"/>
    <col min="10499" max="10499" width="9" style="39" customWidth="1"/>
    <col min="10500" max="10500" width="11.84375" style="39" customWidth="1"/>
    <col min="10501" max="10501" width="23.765625" style="39" customWidth="1"/>
    <col min="10502" max="10502" width="14.53515625" style="39" customWidth="1"/>
    <col min="10503" max="10751" width="8.84375" style="39"/>
    <col min="10752" max="10752" width="1.3046875" style="39" customWidth="1"/>
    <col min="10753" max="10753" width="12.23046875" style="39" customWidth="1"/>
    <col min="10754" max="10754" width="10" style="39" customWidth="1"/>
    <col min="10755" max="10755" width="9" style="39" customWidth="1"/>
    <col min="10756" max="10756" width="11.84375" style="39" customWidth="1"/>
    <col min="10757" max="10757" width="23.765625" style="39" customWidth="1"/>
    <col min="10758" max="10758" width="14.53515625" style="39" customWidth="1"/>
    <col min="10759" max="11007" width="8.84375" style="39"/>
    <col min="11008" max="11008" width="1.3046875" style="39" customWidth="1"/>
    <col min="11009" max="11009" width="12.23046875" style="39" customWidth="1"/>
    <col min="11010" max="11010" width="10" style="39" customWidth="1"/>
    <col min="11011" max="11011" width="9" style="39" customWidth="1"/>
    <col min="11012" max="11012" width="11.84375" style="39" customWidth="1"/>
    <col min="11013" max="11013" width="23.765625" style="39" customWidth="1"/>
    <col min="11014" max="11014" width="14.53515625" style="39" customWidth="1"/>
    <col min="11015" max="11263" width="8.84375" style="39"/>
    <col min="11264" max="11264" width="1.3046875" style="39" customWidth="1"/>
    <col min="11265" max="11265" width="12.23046875" style="39" customWidth="1"/>
    <col min="11266" max="11266" width="10" style="39" customWidth="1"/>
    <col min="11267" max="11267" width="9" style="39" customWidth="1"/>
    <col min="11268" max="11268" width="11.84375" style="39" customWidth="1"/>
    <col min="11269" max="11269" width="23.765625" style="39" customWidth="1"/>
    <col min="11270" max="11270" width="14.53515625" style="39" customWidth="1"/>
    <col min="11271" max="11519" width="8.84375" style="39"/>
    <col min="11520" max="11520" width="1.3046875" style="39" customWidth="1"/>
    <col min="11521" max="11521" width="12.23046875" style="39" customWidth="1"/>
    <col min="11522" max="11522" width="10" style="39" customWidth="1"/>
    <col min="11523" max="11523" width="9" style="39" customWidth="1"/>
    <col min="11524" max="11524" width="11.84375" style="39" customWidth="1"/>
    <col min="11525" max="11525" width="23.765625" style="39" customWidth="1"/>
    <col min="11526" max="11526" width="14.53515625" style="39" customWidth="1"/>
    <col min="11527" max="11775" width="8.84375" style="39"/>
    <col min="11776" max="11776" width="1.3046875" style="39" customWidth="1"/>
    <col min="11777" max="11777" width="12.23046875" style="39" customWidth="1"/>
    <col min="11778" max="11778" width="10" style="39" customWidth="1"/>
    <col min="11779" max="11779" width="9" style="39" customWidth="1"/>
    <col min="11780" max="11780" width="11.84375" style="39" customWidth="1"/>
    <col min="11781" max="11781" width="23.765625" style="39" customWidth="1"/>
    <col min="11782" max="11782" width="14.53515625" style="39" customWidth="1"/>
    <col min="11783" max="12031" width="8.84375" style="39"/>
    <col min="12032" max="12032" width="1.3046875" style="39" customWidth="1"/>
    <col min="12033" max="12033" width="12.23046875" style="39" customWidth="1"/>
    <col min="12034" max="12034" width="10" style="39" customWidth="1"/>
    <col min="12035" max="12035" width="9" style="39" customWidth="1"/>
    <col min="12036" max="12036" width="11.84375" style="39" customWidth="1"/>
    <col min="12037" max="12037" width="23.765625" style="39" customWidth="1"/>
    <col min="12038" max="12038" width="14.53515625" style="39" customWidth="1"/>
    <col min="12039" max="12287" width="8.84375" style="39"/>
    <col min="12288" max="12288" width="1.3046875" style="39" customWidth="1"/>
    <col min="12289" max="12289" width="12.23046875" style="39" customWidth="1"/>
    <col min="12290" max="12290" width="10" style="39" customWidth="1"/>
    <col min="12291" max="12291" width="9" style="39" customWidth="1"/>
    <col min="12292" max="12292" width="11.84375" style="39" customWidth="1"/>
    <col min="12293" max="12293" width="23.765625" style="39" customWidth="1"/>
    <col min="12294" max="12294" width="14.53515625" style="39" customWidth="1"/>
    <col min="12295" max="12543" width="8.84375" style="39"/>
    <col min="12544" max="12544" width="1.3046875" style="39" customWidth="1"/>
    <col min="12545" max="12545" width="12.23046875" style="39" customWidth="1"/>
    <col min="12546" max="12546" width="10" style="39" customWidth="1"/>
    <col min="12547" max="12547" width="9" style="39" customWidth="1"/>
    <col min="12548" max="12548" width="11.84375" style="39" customWidth="1"/>
    <col min="12549" max="12549" width="23.765625" style="39" customWidth="1"/>
    <col min="12550" max="12550" width="14.53515625" style="39" customWidth="1"/>
    <col min="12551" max="12799" width="8.84375" style="39"/>
    <col min="12800" max="12800" width="1.3046875" style="39" customWidth="1"/>
    <col min="12801" max="12801" width="12.23046875" style="39" customWidth="1"/>
    <col min="12802" max="12802" width="10" style="39" customWidth="1"/>
    <col min="12803" max="12803" width="9" style="39" customWidth="1"/>
    <col min="12804" max="12804" width="11.84375" style="39" customWidth="1"/>
    <col min="12805" max="12805" width="23.765625" style="39" customWidth="1"/>
    <col min="12806" max="12806" width="14.53515625" style="39" customWidth="1"/>
    <col min="12807" max="13055" width="8.84375" style="39"/>
    <col min="13056" max="13056" width="1.3046875" style="39" customWidth="1"/>
    <col min="13057" max="13057" width="12.23046875" style="39" customWidth="1"/>
    <col min="13058" max="13058" width="10" style="39" customWidth="1"/>
    <col min="13059" max="13059" width="9" style="39" customWidth="1"/>
    <col min="13060" max="13060" width="11.84375" style="39" customWidth="1"/>
    <col min="13061" max="13061" width="23.765625" style="39" customWidth="1"/>
    <col min="13062" max="13062" width="14.53515625" style="39" customWidth="1"/>
    <col min="13063" max="13311" width="8.84375" style="39"/>
    <col min="13312" max="13312" width="1.3046875" style="39" customWidth="1"/>
    <col min="13313" max="13313" width="12.23046875" style="39" customWidth="1"/>
    <col min="13314" max="13314" width="10" style="39" customWidth="1"/>
    <col min="13315" max="13315" width="9" style="39" customWidth="1"/>
    <col min="13316" max="13316" width="11.84375" style="39" customWidth="1"/>
    <col min="13317" max="13317" width="23.765625" style="39" customWidth="1"/>
    <col min="13318" max="13318" width="14.53515625" style="39" customWidth="1"/>
    <col min="13319" max="13567" width="8.84375" style="39"/>
    <col min="13568" max="13568" width="1.3046875" style="39" customWidth="1"/>
    <col min="13569" max="13569" width="12.23046875" style="39" customWidth="1"/>
    <col min="13570" max="13570" width="10" style="39" customWidth="1"/>
    <col min="13571" max="13571" width="9" style="39" customWidth="1"/>
    <col min="13572" max="13572" width="11.84375" style="39" customWidth="1"/>
    <col min="13573" max="13573" width="23.765625" style="39" customWidth="1"/>
    <col min="13574" max="13574" width="14.53515625" style="39" customWidth="1"/>
    <col min="13575" max="13823" width="8.84375" style="39"/>
    <col min="13824" max="13824" width="1.3046875" style="39" customWidth="1"/>
    <col min="13825" max="13825" width="12.23046875" style="39" customWidth="1"/>
    <col min="13826" max="13826" width="10" style="39" customWidth="1"/>
    <col min="13827" max="13827" width="9" style="39" customWidth="1"/>
    <col min="13828" max="13828" width="11.84375" style="39" customWidth="1"/>
    <col min="13829" max="13829" width="23.765625" style="39" customWidth="1"/>
    <col min="13830" max="13830" width="14.53515625" style="39" customWidth="1"/>
    <col min="13831" max="14079" width="8.84375" style="39"/>
    <col min="14080" max="14080" width="1.3046875" style="39" customWidth="1"/>
    <col min="14081" max="14081" width="12.23046875" style="39" customWidth="1"/>
    <col min="14082" max="14082" width="10" style="39" customWidth="1"/>
    <col min="14083" max="14083" width="9" style="39" customWidth="1"/>
    <col min="14084" max="14084" width="11.84375" style="39" customWidth="1"/>
    <col min="14085" max="14085" width="23.765625" style="39" customWidth="1"/>
    <col min="14086" max="14086" width="14.53515625" style="39" customWidth="1"/>
    <col min="14087" max="14335" width="8.84375" style="39"/>
    <col min="14336" max="14336" width="1.3046875" style="39" customWidth="1"/>
    <col min="14337" max="14337" width="12.23046875" style="39" customWidth="1"/>
    <col min="14338" max="14338" width="10" style="39" customWidth="1"/>
    <col min="14339" max="14339" width="9" style="39" customWidth="1"/>
    <col min="14340" max="14340" width="11.84375" style="39" customWidth="1"/>
    <col min="14341" max="14341" width="23.765625" style="39" customWidth="1"/>
    <col min="14342" max="14342" width="14.53515625" style="39" customWidth="1"/>
    <col min="14343" max="14591" width="8.84375" style="39"/>
    <col min="14592" max="14592" width="1.3046875" style="39" customWidth="1"/>
    <col min="14593" max="14593" width="12.23046875" style="39" customWidth="1"/>
    <col min="14594" max="14594" width="10" style="39" customWidth="1"/>
    <col min="14595" max="14595" width="9" style="39" customWidth="1"/>
    <col min="14596" max="14596" width="11.84375" style="39" customWidth="1"/>
    <col min="14597" max="14597" width="23.765625" style="39" customWidth="1"/>
    <col min="14598" max="14598" width="14.53515625" style="39" customWidth="1"/>
    <col min="14599" max="14847" width="8.84375" style="39"/>
    <col min="14848" max="14848" width="1.3046875" style="39" customWidth="1"/>
    <col min="14849" max="14849" width="12.23046875" style="39" customWidth="1"/>
    <col min="14850" max="14850" width="10" style="39" customWidth="1"/>
    <col min="14851" max="14851" width="9" style="39" customWidth="1"/>
    <col min="14852" max="14852" width="11.84375" style="39" customWidth="1"/>
    <col min="14853" max="14853" width="23.765625" style="39" customWidth="1"/>
    <col min="14854" max="14854" width="14.53515625" style="39" customWidth="1"/>
    <col min="14855" max="15103" width="8.84375" style="39"/>
    <col min="15104" max="15104" width="1.3046875" style="39" customWidth="1"/>
    <col min="15105" max="15105" width="12.23046875" style="39" customWidth="1"/>
    <col min="15106" max="15106" width="10" style="39" customWidth="1"/>
    <col min="15107" max="15107" width="9" style="39" customWidth="1"/>
    <col min="15108" max="15108" width="11.84375" style="39" customWidth="1"/>
    <col min="15109" max="15109" width="23.765625" style="39" customWidth="1"/>
    <col min="15110" max="15110" width="14.53515625" style="39" customWidth="1"/>
    <col min="15111" max="15359" width="8.84375" style="39"/>
    <col min="15360" max="15360" width="1.3046875" style="39" customWidth="1"/>
    <col min="15361" max="15361" width="12.23046875" style="39" customWidth="1"/>
    <col min="15362" max="15362" width="10" style="39" customWidth="1"/>
    <col min="15363" max="15363" width="9" style="39" customWidth="1"/>
    <col min="15364" max="15364" width="11.84375" style="39" customWidth="1"/>
    <col min="15365" max="15365" width="23.765625" style="39" customWidth="1"/>
    <col min="15366" max="15366" width="14.53515625" style="39" customWidth="1"/>
    <col min="15367" max="15615" width="8.84375" style="39"/>
    <col min="15616" max="15616" width="1.3046875" style="39" customWidth="1"/>
    <col min="15617" max="15617" width="12.23046875" style="39" customWidth="1"/>
    <col min="15618" max="15618" width="10" style="39" customWidth="1"/>
    <col min="15619" max="15619" width="9" style="39" customWidth="1"/>
    <col min="15620" max="15620" width="11.84375" style="39" customWidth="1"/>
    <col min="15621" max="15621" width="23.765625" style="39" customWidth="1"/>
    <col min="15622" max="15622" width="14.53515625" style="39" customWidth="1"/>
    <col min="15623" max="15871" width="8.84375" style="39"/>
    <col min="15872" max="15872" width="1.3046875" style="39" customWidth="1"/>
    <col min="15873" max="15873" width="12.23046875" style="39" customWidth="1"/>
    <col min="15874" max="15874" width="10" style="39" customWidth="1"/>
    <col min="15875" max="15875" width="9" style="39" customWidth="1"/>
    <col min="15876" max="15876" width="11.84375" style="39" customWidth="1"/>
    <col min="15877" max="15877" width="23.765625" style="39" customWidth="1"/>
    <col min="15878" max="15878" width="14.53515625" style="39" customWidth="1"/>
    <col min="15879" max="16127" width="8.84375" style="39"/>
    <col min="16128" max="16128" width="1.3046875" style="39" customWidth="1"/>
    <col min="16129" max="16129" width="12.23046875" style="39" customWidth="1"/>
    <col min="16130" max="16130" width="10" style="39" customWidth="1"/>
    <col min="16131" max="16131" width="9" style="39" customWidth="1"/>
    <col min="16132" max="16132" width="11.84375" style="39" customWidth="1"/>
    <col min="16133" max="16133" width="23.765625" style="39" customWidth="1"/>
    <col min="16134" max="16134" width="14.53515625" style="39" customWidth="1"/>
    <col min="16135" max="16384" width="8.84375" style="39"/>
  </cols>
  <sheetData>
    <row r="1" spans="1:6" x14ac:dyDescent="0.35">
      <c r="A1" s="38" t="str">
        <f>Index!A1</f>
        <v>ABC &amp; Co.</v>
      </c>
      <c r="E1" s="40"/>
      <c r="F1" s="41"/>
    </row>
    <row r="2" spans="1:6" x14ac:dyDescent="0.35">
      <c r="A2" s="38" t="str">
        <f>Index!A2</f>
        <v>(Chartered Accountants)</v>
      </c>
      <c r="E2" s="40"/>
    </row>
    <row r="3" spans="1:6" ht="9.75" customHeight="1" thickBot="1" x14ac:dyDescent="0.4">
      <c r="E3" s="42"/>
    </row>
    <row r="4" spans="1:6" ht="15" thickBot="1" x14ac:dyDescent="0.4">
      <c r="A4" s="196" t="s">
        <v>275</v>
      </c>
      <c r="B4" s="197"/>
      <c r="C4" s="197"/>
      <c r="D4" s="197"/>
      <c r="E4" s="197"/>
      <c r="F4" s="198"/>
    </row>
    <row r="5" spans="1:6" ht="3" customHeight="1" x14ac:dyDescent="0.35"/>
    <row r="6" spans="1:6" s="47" customFormat="1" ht="21.75" customHeight="1" x14ac:dyDescent="0.35">
      <c r="A6" s="43" t="s">
        <v>0</v>
      </c>
      <c r="B6" s="44"/>
      <c r="C6" s="44"/>
      <c r="D6" s="44"/>
      <c r="E6" s="45" t="s">
        <v>163</v>
      </c>
      <c r="F6" s="46"/>
    </row>
    <row r="7" spans="1:6" s="47" customFormat="1" ht="21.75" customHeight="1" x14ac:dyDescent="0.35">
      <c r="A7" s="43" t="s">
        <v>172</v>
      </c>
      <c r="B7" s="44"/>
      <c r="C7" s="44"/>
      <c r="D7" s="44"/>
      <c r="E7" s="45" t="s">
        <v>164</v>
      </c>
      <c r="F7" s="46"/>
    </row>
    <row r="8" spans="1:6" s="47" customFormat="1" ht="21.75" customHeight="1" x14ac:dyDescent="0.35">
      <c r="A8" s="43" t="s">
        <v>167</v>
      </c>
      <c r="B8" s="44"/>
      <c r="C8" s="44"/>
      <c r="D8" s="44"/>
      <c r="E8" s="45" t="s">
        <v>177</v>
      </c>
      <c r="F8" s="46"/>
    </row>
    <row r="9" spans="1:6" ht="19.5" customHeight="1" thickBot="1" x14ac:dyDescent="0.4"/>
    <row r="10" spans="1:6" ht="15" thickBot="1" x14ac:dyDescent="0.4">
      <c r="A10" s="196" t="str">
        <f>'Cut off - Store'!A10:F10</f>
        <v>OPENING TRANSACTIONS AS AT 01-07-2022</v>
      </c>
      <c r="B10" s="199"/>
      <c r="C10" s="199"/>
      <c r="D10" s="199"/>
      <c r="E10" s="199"/>
      <c r="F10" s="200"/>
    </row>
    <row r="11" spans="1:6" ht="10.5" customHeight="1" thickBot="1" x14ac:dyDescent="0.4"/>
    <row r="12" spans="1:6" s="48" customFormat="1" ht="15" thickBot="1" x14ac:dyDescent="0.4">
      <c r="A12" s="137" t="s">
        <v>165</v>
      </c>
      <c r="B12" s="137" t="s">
        <v>168</v>
      </c>
      <c r="C12" s="137" t="s">
        <v>279</v>
      </c>
      <c r="D12" s="137" t="s">
        <v>171</v>
      </c>
      <c r="E12" s="137"/>
      <c r="F12" s="137" t="s">
        <v>135</v>
      </c>
    </row>
    <row r="13" spans="1:6" ht="21.75" customHeight="1" x14ac:dyDescent="0.35">
      <c r="A13" s="138"/>
      <c r="B13" s="138"/>
      <c r="C13" s="138"/>
      <c r="D13" s="138"/>
      <c r="E13" s="138"/>
      <c r="F13" s="138"/>
    </row>
    <row r="14" spans="1:6" ht="21.75" customHeight="1" x14ac:dyDescent="0.35">
      <c r="A14" s="136"/>
      <c r="B14" s="136"/>
      <c r="C14" s="136"/>
      <c r="D14" s="136"/>
      <c r="E14" s="136"/>
      <c r="F14" s="136"/>
    </row>
    <row r="15" spans="1:6" ht="21.75" customHeight="1" x14ac:dyDescent="0.35">
      <c r="A15" s="136"/>
      <c r="B15" s="136"/>
      <c r="C15" s="136"/>
      <c r="D15" s="136"/>
      <c r="E15" s="136"/>
      <c r="F15" s="136"/>
    </row>
    <row r="16" spans="1:6" ht="21.75" customHeight="1" x14ac:dyDescent="0.35">
      <c r="A16" s="136"/>
      <c r="B16" s="136"/>
      <c r="C16" s="136"/>
      <c r="D16" s="136"/>
      <c r="E16" s="136"/>
      <c r="F16" s="136"/>
    </row>
    <row r="17" spans="1:7" ht="21.75" customHeight="1" x14ac:dyDescent="0.35">
      <c r="A17" s="136"/>
      <c r="B17" s="136"/>
      <c r="C17" s="136"/>
      <c r="D17" s="136"/>
      <c r="E17" s="136"/>
      <c r="F17" s="136"/>
    </row>
    <row r="18" spans="1:7" ht="21.75" customHeight="1" x14ac:dyDescent="0.35">
      <c r="A18" s="136"/>
      <c r="B18" s="136"/>
      <c r="C18" s="136"/>
      <c r="D18" s="136"/>
      <c r="E18" s="136"/>
      <c r="F18" s="136"/>
    </row>
    <row r="19" spans="1:7" ht="18.75" customHeight="1" thickBot="1" x14ac:dyDescent="0.4"/>
    <row r="20" spans="1:7" ht="15" thickBot="1" x14ac:dyDescent="0.4">
      <c r="A20" s="196" t="str">
        <f>'Cut off - Store'!A20:F20</f>
        <v>CLOSING TRANSACTIONS AS AT 30-06-2023</v>
      </c>
      <c r="B20" s="199"/>
      <c r="C20" s="199"/>
      <c r="D20" s="199"/>
      <c r="E20" s="199"/>
      <c r="F20" s="200"/>
    </row>
    <row r="21" spans="1:7" ht="7.5" customHeight="1" thickBot="1" x14ac:dyDescent="0.4"/>
    <row r="22" spans="1:7" ht="15" thickBot="1" x14ac:dyDescent="0.4">
      <c r="A22" s="137" t="s">
        <v>165</v>
      </c>
      <c r="B22" s="137" t="s">
        <v>168</v>
      </c>
      <c r="C22" s="137" t="s">
        <v>279</v>
      </c>
      <c r="D22" s="137" t="s">
        <v>171</v>
      </c>
      <c r="E22" s="137"/>
      <c r="F22" s="137" t="s">
        <v>135</v>
      </c>
      <c r="G22" s="49"/>
    </row>
    <row r="23" spans="1:7" ht="21.75" customHeight="1" x14ac:dyDescent="0.35">
      <c r="A23" s="138"/>
      <c r="B23" s="138"/>
      <c r="C23" s="138"/>
      <c r="D23" s="138"/>
      <c r="E23" s="138"/>
      <c r="F23" s="138"/>
    </row>
    <row r="24" spans="1:7" ht="21.75" customHeight="1" x14ac:dyDescent="0.35">
      <c r="A24" s="136"/>
      <c r="B24" s="136"/>
      <c r="C24" s="136"/>
      <c r="D24" s="136"/>
      <c r="E24" s="136"/>
      <c r="F24" s="136"/>
    </row>
    <row r="25" spans="1:7" ht="21.75" customHeight="1" x14ac:dyDescent="0.35">
      <c r="A25" s="136"/>
      <c r="B25" s="136"/>
      <c r="C25" s="136"/>
      <c r="D25" s="136"/>
      <c r="E25" s="136"/>
      <c r="F25" s="136"/>
    </row>
    <row r="26" spans="1:7" ht="21.75" customHeight="1" x14ac:dyDescent="0.35">
      <c r="A26" s="136"/>
      <c r="B26" s="136"/>
      <c r="C26" s="136"/>
      <c r="D26" s="136"/>
      <c r="E26" s="136"/>
      <c r="F26" s="136"/>
    </row>
    <row r="27" spans="1:7" ht="21.75" customHeight="1" x14ac:dyDescent="0.35">
      <c r="A27" s="136"/>
      <c r="B27" s="136"/>
      <c r="C27" s="136"/>
      <c r="D27" s="136"/>
      <c r="E27" s="136"/>
      <c r="F27" s="136"/>
    </row>
    <row r="28" spans="1:7" ht="21.75" customHeight="1" x14ac:dyDescent="0.35">
      <c r="A28" s="136"/>
      <c r="B28" s="136"/>
      <c r="C28" s="136"/>
      <c r="D28" s="136"/>
      <c r="E28" s="136"/>
      <c r="F28" s="136"/>
    </row>
    <row r="29" spans="1:7" ht="20.25" customHeight="1" thickBot="1" x14ac:dyDescent="0.4"/>
    <row r="30" spans="1:7" ht="15" thickBot="1" x14ac:dyDescent="0.4">
      <c r="A30" s="196" t="str">
        <f>'Cut off - Store'!A30:F30</f>
        <v>OPENING TRANSACTION - SUBSEQUENT AFTER 30-06-2023</v>
      </c>
      <c r="B30" s="199"/>
      <c r="C30" s="199"/>
      <c r="D30" s="199"/>
      <c r="E30" s="199"/>
      <c r="F30" s="200"/>
    </row>
    <row r="31" spans="1:7" ht="8.25" customHeight="1" thickBot="1" x14ac:dyDescent="0.4"/>
    <row r="32" spans="1:7" ht="15" thickBot="1" x14ac:dyDescent="0.4">
      <c r="A32" s="137" t="s">
        <v>165</v>
      </c>
      <c r="B32" s="137" t="s">
        <v>168</v>
      </c>
      <c r="C32" s="137" t="s">
        <v>279</v>
      </c>
      <c r="D32" s="137" t="s">
        <v>171</v>
      </c>
      <c r="E32" s="137"/>
      <c r="F32" s="137" t="s">
        <v>135</v>
      </c>
    </row>
    <row r="33" spans="1:6" ht="21.75" customHeight="1" x14ac:dyDescent="0.35">
      <c r="A33" s="138"/>
      <c r="B33" s="138"/>
      <c r="C33" s="138"/>
      <c r="D33" s="138"/>
      <c r="E33" s="138"/>
      <c r="F33" s="138"/>
    </row>
    <row r="34" spans="1:6" ht="21.75" customHeight="1" x14ac:dyDescent="0.35">
      <c r="A34" s="136"/>
      <c r="B34" s="136"/>
      <c r="C34" s="136"/>
      <c r="D34" s="136"/>
      <c r="E34" s="136"/>
      <c r="F34" s="136"/>
    </row>
    <row r="35" spans="1:6" ht="21.75" customHeight="1" x14ac:dyDescent="0.35">
      <c r="A35" s="136"/>
      <c r="B35" s="136"/>
      <c r="C35" s="136"/>
      <c r="D35" s="136"/>
      <c r="E35" s="136"/>
      <c r="F35" s="136"/>
    </row>
    <row r="36" spans="1:6" ht="21.75" customHeight="1" x14ac:dyDescent="0.35">
      <c r="A36" s="136"/>
      <c r="B36" s="136"/>
      <c r="C36" s="136"/>
      <c r="D36" s="136"/>
      <c r="E36" s="136"/>
      <c r="F36" s="136"/>
    </row>
    <row r="37" spans="1:6" ht="21.75" customHeight="1" x14ac:dyDescent="0.35">
      <c r="A37" s="136"/>
      <c r="B37" s="136"/>
      <c r="C37" s="136"/>
      <c r="D37" s="136"/>
      <c r="E37" s="136"/>
      <c r="F37" s="136"/>
    </row>
    <row r="38" spans="1:6" ht="21.75" customHeight="1" x14ac:dyDescent="0.35">
      <c r="A38" s="136"/>
      <c r="B38" s="136"/>
      <c r="C38" s="136"/>
      <c r="D38" s="136"/>
      <c r="E38" s="136"/>
      <c r="F38" s="136"/>
    </row>
    <row r="39" spans="1:6" ht="9.75" customHeight="1" x14ac:dyDescent="0.35"/>
    <row r="40" spans="1:6" x14ac:dyDescent="0.35">
      <c r="A40" s="38" t="s">
        <v>166</v>
      </c>
    </row>
    <row r="41" spans="1:6" ht="21.75" customHeight="1" x14ac:dyDescent="0.35">
      <c r="A41" s="50"/>
      <c r="B41" s="50"/>
      <c r="C41" s="50"/>
      <c r="D41" s="50"/>
      <c r="E41" s="50"/>
      <c r="F41" s="50"/>
    </row>
    <row r="42" spans="1:6" ht="21.75" customHeight="1" x14ac:dyDescent="0.35">
      <c r="A42" s="50"/>
      <c r="B42" s="50"/>
      <c r="C42" s="50"/>
      <c r="D42" s="50"/>
      <c r="E42" s="50"/>
      <c r="F42" s="50"/>
    </row>
    <row r="43" spans="1:6" ht="21.75" customHeight="1" x14ac:dyDescent="0.35">
      <c r="A43" s="50"/>
      <c r="B43" s="50"/>
      <c r="C43" s="50"/>
      <c r="D43" s="50"/>
      <c r="E43" s="50"/>
      <c r="F43" s="50"/>
    </row>
    <row r="44" spans="1:6" ht="21" customHeight="1" x14ac:dyDescent="0.35">
      <c r="A44" s="51"/>
      <c r="B44" s="51"/>
      <c r="C44" s="51"/>
      <c r="D44" s="51"/>
      <c r="E44" s="51"/>
      <c r="F44" s="51"/>
    </row>
    <row r="45" spans="1:6" ht="7.5" customHeight="1" x14ac:dyDescent="0.35"/>
  </sheetData>
  <mergeCells count="4">
    <mergeCell ref="A4:F4"/>
    <mergeCell ref="A10:F10"/>
    <mergeCell ref="A20:F20"/>
    <mergeCell ref="A30:F30"/>
  </mergeCells>
  <pageMargins left="0.7" right="0.7" top="0.75" bottom="0.75" header="0.3" footer="0.3"/>
  <pageSetup paperSize="9" scale="8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Index</vt:lpstr>
      <vt:lpstr>Checklist</vt:lpstr>
      <vt:lpstr>Documents Requisition</vt:lpstr>
      <vt:lpstr>Cash Count Sheet</vt:lpstr>
      <vt:lpstr>StockTake Guideline</vt:lpstr>
      <vt:lpstr>Store Spares and Loose Tools</vt:lpstr>
      <vt:lpstr>Cut off - Store</vt:lpstr>
      <vt:lpstr>Cut off - Purchases</vt:lpstr>
      <vt:lpstr>Cut off - Sales</vt:lpstr>
      <vt:lpstr>Cut off - JV</vt:lpstr>
      <vt:lpstr>Cut off - BPV</vt:lpstr>
      <vt:lpstr>Cut off - BRV</vt:lpstr>
      <vt:lpstr>Cut off - CPV</vt:lpstr>
      <vt:lpstr>Cut off - CRV</vt:lpstr>
      <vt:lpstr>'Cash Count Sheet'!Print_Area</vt:lpstr>
      <vt:lpstr>Checklist!Print_Area</vt:lpstr>
      <vt:lpstr>'Cut off - BPV'!Print_Area</vt:lpstr>
      <vt:lpstr>'Cut off - BRV'!Print_Area</vt:lpstr>
      <vt:lpstr>'Cut off - CPV'!Print_Area</vt:lpstr>
      <vt:lpstr>'Cut off - CRV'!Print_Area</vt:lpstr>
      <vt:lpstr>'Cut off - JV'!Print_Area</vt:lpstr>
      <vt:lpstr>'Cut off - Purchases'!Print_Area</vt:lpstr>
      <vt:lpstr>'Cut off - Sales'!Print_Area</vt:lpstr>
      <vt:lpstr>'Cut off - Store'!Print_Area</vt:lpstr>
      <vt:lpstr>'Documents Requisition'!Print_Area</vt:lpstr>
      <vt:lpstr>'StockTake Guideline'!Print_Area</vt:lpstr>
      <vt:lpstr>'Store Spares and Loose Tools'!Print_Area</vt:lpstr>
      <vt:lpstr>Checklist!Print_Titles</vt:lpstr>
    </vt:vector>
  </TitlesOfParts>
  <Company>M. Hussain Chaudhury &amp;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Naveed</dc:creator>
  <cp:lastModifiedBy>Zahid Arshad</cp:lastModifiedBy>
  <cp:lastPrinted>2018-06-27T05:38:42Z</cp:lastPrinted>
  <dcterms:created xsi:type="dcterms:W3CDTF">2003-09-15T11:00:12Z</dcterms:created>
  <dcterms:modified xsi:type="dcterms:W3CDTF">2024-03-04T08:51:23Z</dcterms:modified>
</cp:coreProperties>
</file>