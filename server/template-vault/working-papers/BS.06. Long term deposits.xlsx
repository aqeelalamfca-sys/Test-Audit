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be553335c6809b/Desktop/"/>
    </mc:Choice>
  </mc:AlternateContent>
  <xr:revisionPtr revIDLastSave="10" documentId="11_2E42618EE800F86F5830E1135DF8ABE0118CC800" xr6:coauthVersionLast="47" xr6:coauthVersionMax="47" xr10:uidLastSave="{56D4EE06-1685-43DE-AEE0-8688DB72FB15}"/>
  <bookViews>
    <workbookView xWindow="-120" yWindow="-120" windowWidth="20730" windowHeight="11760" tabRatio="857" xr2:uid="{00000000-000D-0000-FFFF-FFFF00000000}"/>
  </bookViews>
  <sheets>
    <sheet name="Index" sheetId="6" r:id="rId1"/>
    <sheet name="AOC" sheetId="7" r:id="rId2"/>
    <sheet name="SubLead" sheetId="20" r:id="rId3"/>
    <sheet name="Lead" sheetId="3" r:id="rId4"/>
    <sheet name="Vouching-Additions" sheetId="23" r:id="rId5"/>
    <sheet name="Impairnment" sheetId="22" r:id="rId6"/>
    <sheet name="Adjusting Entries" sheetId="24" r:id="rId7"/>
  </sheets>
  <definedNames>
    <definedName name="_Fill" localSheetId="6" hidden="1">#REF!</definedName>
    <definedName name="_Fill" localSheetId="4" hidden="1">#REF!</definedName>
    <definedName name="_Fill" hidden="1">#REF!</definedName>
    <definedName name="_Key1" localSheetId="6" hidden="1">#REF!</definedName>
    <definedName name="_Key1" localSheetId="4" hidden="1">#REF!</definedName>
    <definedName name="_Key1" hidden="1">#REF!</definedName>
    <definedName name="_Key2" localSheetId="6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6" hidden="1">#REF!</definedName>
    <definedName name="_Sort" localSheetId="4" hidden="1">#REF!</definedName>
    <definedName name="_Sort" hidden="1">#REF!</definedName>
    <definedName name="_xlnm.Print_Area" localSheetId="6">'Adjusting Entries'!$A$1:$F$25</definedName>
    <definedName name="_xlnm.Print_Area" localSheetId="1">AOC!$A$1:$F$28</definedName>
    <definedName name="_xlnm.Print_Area" localSheetId="5">Impairnment!$A$1:$J$35</definedName>
    <definedName name="_xlnm.Print_Area" localSheetId="0">Index!$A$1:$I$38</definedName>
    <definedName name="_xlnm.Print_Area" localSheetId="3">Lead!$A$1:$L$48</definedName>
    <definedName name="_xlnm.Print_Area" localSheetId="2">SubLead!$A$1:$L$52</definedName>
    <definedName name="_xlnm.Print_Area" localSheetId="4">'Vouching-Additions'!$A$1:$J$37</definedName>
  </definedNames>
  <calcPr calcId="181029"/>
</workbook>
</file>

<file path=xl/calcChain.xml><?xml version="1.0" encoding="utf-8"?>
<calcChain xmlns="http://schemas.openxmlformats.org/spreadsheetml/2006/main">
  <c r="E7" i="24" l="1"/>
  <c r="D7" i="24"/>
  <c r="E6" i="24"/>
  <c r="D6" i="24"/>
  <c r="E5" i="24"/>
  <c r="D5" i="24"/>
  <c r="E4" i="24"/>
  <c r="D4" i="24"/>
  <c r="I7" i="22"/>
  <c r="H7" i="22"/>
  <c r="I6" i="22"/>
  <c r="H6" i="22"/>
  <c r="I5" i="22"/>
  <c r="H5" i="22"/>
  <c r="I4" i="22"/>
  <c r="H4" i="22"/>
  <c r="H4" i="23"/>
  <c r="I7" i="23"/>
  <c r="H7" i="23"/>
  <c r="I6" i="23"/>
  <c r="H6" i="23"/>
  <c r="I5" i="23"/>
  <c r="H5" i="23"/>
  <c r="I4" i="23"/>
  <c r="K7" i="20"/>
  <c r="J7" i="20"/>
  <c r="K6" i="20"/>
  <c r="J6" i="20"/>
  <c r="K5" i="20"/>
  <c r="J5" i="20"/>
  <c r="K4" i="20"/>
  <c r="J4" i="20"/>
  <c r="B1" i="20"/>
  <c r="J49" i="20"/>
  <c r="J44" i="20"/>
  <c r="J43" i="20"/>
  <c r="C6" i="3"/>
  <c r="C5" i="3"/>
  <c r="C4" i="3"/>
  <c r="B2" i="3"/>
  <c r="B1" i="3"/>
  <c r="K7" i="3"/>
  <c r="J7" i="3"/>
  <c r="K6" i="3"/>
  <c r="J6" i="3"/>
  <c r="K5" i="3"/>
  <c r="J5" i="3"/>
  <c r="K4" i="3"/>
  <c r="J4" i="3"/>
  <c r="B25" i="7"/>
  <c r="B26" i="7" s="1"/>
  <c r="B24" i="7"/>
  <c r="B17" i="7"/>
  <c r="B16" i="7"/>
  <c r="B15" i="7"/>
  <c r="B14" i="7"/>
  <c r="E7" i="7"/>
  <c r="E6" i="7"/>
  <c r="E5" i="7"/>
  <c r="E4" i="7"/>
  <c r="D7" i="7"/>
  <c r="D6" i="7"/>
  <c r="D5" i="7"/>
  <c r="D4" i="7"/>
  <c r="B2" i="7"/>
  <c r="B1" i="7"/>
  <c r="E12" i="6"/>
  <c r="B14" i="6" l="1"/>
  <c r="E14" i="6" s="1"/>
  <c r="G35" i="20"/>
  <c r="H35" i="20"/>
  <c r="B16" i="6" l="1"/>
  <c r="I48" i="20"/>
  <c r="J48" i="20" s="1"/>
  <c r="I47" i="20"/>
  <c r="J47" i="20" s="1"/>
  <c r="I46" i="20"/>
  <c r="J46" i="20" s="1"/>
  <c r="I45" i="20"/>
  <c r="J45" i="20" s="1"/>
  <c r="I40" i="20"/>
  <c r="J40" i="20" s="1"/>
  <c r="I41" i="20"/>
  <c r="J41" i="20" s="1"/>
  <c r="I42" i="20"/>
  <c r="J42" i="20" s="1"/>
  <c r="I39" i="20"/>
  <c r="J39" i="20" s="1"/>
  <c r="I36" i="3"/>
  <c r="J36" i="3" s="1"/>
  <c r="I35" i="3"/>
  <c r="J35" i="3" s="1"/>
  <c r="B18" i="6" l="1"/>
  <c r="E16" i="6"/>
  <c r="C6" i="24"/>
  <c r="B6" i="24"/>
  <c r="C5" i="24"/>
  <c r="B5" i="24"/>
  <c r="C4" i="24"/>
  <c r="B4" i="24"/>
  <c r="B2" i="24"/>
  <c r="B1" i="24"/>
  <c r="C6" i="23"/>
  <c r="C5" i="23"/>
  <c r="C4" i="23"/>
  <c r="B2" i="23"/>
  <c r="B1" i="23"/>
  <c r="I50" i="20"/>
  <c r="J50" i="20" s="1"/>
  <c r="H50" i="20"/>
  <c r="G50" i="20"/>
  <c r="B44" i="20"/>
  <c r="B38" i="20"/>
  <c r="B20" i="6" l="1"/>
  <c r="E18" i="6"/>
  <c r="K1" i="20"/>
  <c r="K1" i="3"/>
  <c r="E1" i="7"/>
  <c r="B22" i="6" l="1"/>
  <c r="E20" i="6"/>
  <c r="I1" i="23"/>
  <c r="C5" i="22"/>
  <c r="C6" i="22"/>
  <c r="C4" i="22"/>
  <c r="B2" i="22"/>
  <c r="B1" i="22"/>
  <c r="B24" i="6" l="1"/>
  <c r="E22" i="6"/>
  <c r="C6" i="20"/>
  <c r="C5" i="20"/>
  <c r="C4" i="20"/>
  <c r="B2" i="20"/>
  <c r="B26" i="6" l="1"/>
  <c r="E26" i="6" s="1"/>
  <c r="E1" i="24" s="1"/>
  <c r="E24" i="6"/>
  <c r="I1" i="22" s="1"/>
  <c r="B8" i="7"/>
  <c r="B6" i="7" l="1"/>
  <c r="B5" i="7"/>
  <c r="B4" i="7"/>
  <c r="C6" i="7" l="1"/>
  <c r="C5" i="7"/>
  <c r="C4" i="7"/>
  <c r="I46" i="3"/>
  <c r="B34" i="3" l="1"/>
  <c r="G46" i="3" l="1"/>
  <c r="H46" i="3" l="1"/>
</calcChain>
</file>

<file path=xl/sharedStrings.xml><?xml version="1.0" encoding="utf-8"?>
<sst xmlns="http://schemas.openxmlformats.org/spreadsheetml/2006/main" count="161" uniqueCount="108">
  <si>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</si>
  <si>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</si>
  <si>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</si>
  <si>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</si>
  <si>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</si>
  <si>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</si>
  <si>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</si>
  <si>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</si>
  <si>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</si>
  <si>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</si>
  <si>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</si>
  <si>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</si>
  <si>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</si>
  <si>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</si>
  <si>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Audit Objectives</t>
  </si>
  <si>
    <t>%</t>
  </si>
  <si>
    <t>SUB-LEAD SCHEDULE</t>
  </si>
  <si>
    <t>Test of Details</t>
  </si>
  <si>
    <t>Work performed</t>
  </si>
  <si>
    <t>Audit Objectives and Conclusions</t>
  </si>
  <si>
    <t>Lead Schedule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</si>
  <si>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</si>
  <si>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</si>
  <si>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</si>
  <si>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</si>
  <si>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Objective Met</t>
  </si>
  <si>
    <t>Satisfactory</t>
  </si>
  <si>
    <t>Conclusion</t>
  </si>
  <si>
    <t>Yes/No</t>
  </si>
  <si>
    <t>Initials</t>
  </si>
  <si>
    <t>Compared current year balances with last year balances and ensured that any significant variation has been properly and logically reasoned.</t>
  </si>
  <si>
    <t>Rupees</t>
  </si>
  <si>
    <t>Opening balance</t>
  </si>
  <si>
    <t>Sub-Lead Schedule</t>
  </si>
  <si>
    <t>Long term deposits</t>
  </si>
  <si>
    <t>Long term deposits and prepayments are completely and accurately recorded</t>
  </si>
  <si>
    <t>All recorded long term deposits and prepayments actually exist</t>
  </si>
  <si>
    <t>Long-term deposits and prepayments are recorded at appropriate values and all bad and doubtful balances have been provided for/ written off</t>
  </si>
  <si>
    <t>Long-term deposits and prepayments recorded are the right of the company</t>
  </si>
  <si>
    <t>Long term prepayments</t>
  </si>
  <si>
    <t>Add: Deposits made in the year</t>
  </si>
  <si>
    <t>Confirmation summary, reconciliation</t>
  </si>
  <si>
    <t>Copies of Documents/Summary</t>
  </si>
  <si>
    <t>Add: Prepayments made in the year</t>
  </si>
  <si>
    <t>Match replies with the amounts outstanding against each party</t>
  </si>
  <si>
    <t xml:space="preserve">Check subsequent recovery of deposits </t>
  </si>
  <si>
    <t>For prepayments made during the year check disbursements of funds with disbursement voucher and bank statement</t>
  </si>
  <si>
    <t>Circularized confirmations to selected parties.</t>
  </si>
  <si>
    <t>Ensured that closing balances as per our working paper file are matched with general ledger.</t>
  </si>
  <si>
    <t>Checked subsequent recovery of deposits and adjustment of prepayments etc.</t>
  </si>
  <si>
    <t>Matched replies with the amounts outstanding against each party.</t>
  </si>
  <si>
    <t>Check subsequent adjustment of prepayments etc.</t>
  </si>
  <si>
    <t>For a sample of refund of deposits during the year:</t>
  </si>
  <si>
    <t>(a) Ensured that amount and date of refund was in accordance with agreement.</t>
  </si>
  <si>
    <t>(b) Checked receipt of funds with receipt records and bank statement</t>
  </si>
  <si>
    <t>The working papers contain sufficient information, details of significant features and notes of unusual matters to enable us to form an opinion on financial statements.</t>
  </si>
  <si>
    <t>In my opinion above amounts are fairly stated and on a consistent basis with the previous period.</t>
  </si>
  <si>
    <t>For deposits made during the year check disbursements of funds with disbursement voucher and bank statement</t>
  </si>
  <si>
    <t>Impairment Testing</t>
  </si>
  <si>
    <t>IMPAIRNMENT TESTING</t>
  </si>
  <si>
    <t>Obtained age-analysis of long-term deposits and performed the following:</t>
  </si>
  <si>
    <t>(a) Verify that deposits had been classified in correct categories.</t>
  </si>
  <si>
    <t>(b) Current maturity had been appropriately identified and separately disclosed</t>
  </si>
  <si>
    <t>Closing balance</t>
  </si>
  <si>
    <t>Total closing balance</t>
  </si>
  <si>
    <t>Less: Deposits matured / transferred</t>
  </si>
  <si>
    <t>Less: Prepayments matured / transferred</t>
  </si>
  <si>
    <t>VOUCHING - ADDITIONS</t>
  </si>
  <si>
    <t>Date</t>
  </si>
  <si>
    <t>Voucher #</t>
  </si>
  <si>
    <t xml:space="preserve">Amount </t>
  </si>
  <si>
    <t>Cheque #</t>
  </si>
  <si>
    <t>Proper Classification</t>
  </si>
  <si>
    <t>Traced into Bank Statement</t>
  </si>
  <si>
    <t>Approved By</t>
  </si>
  <si>
    <t>Vouching - Additions</t>
  </si>
  <si>
    <t>Adjusting Entries</t>
  </si>
  <si>
    <t>Amount</t>
  </si>
  <si>
    <t>Ageing</t>
  </si>
  <si>
    <t>0 - 1 year</t>
  </si>
  <si>
    <t>1 - 2 year</t>
  </si>
  <si>
    <t>2 - 3 years</t>
  </si>
  <si>
    <t>More than 3 years</t>
  </si>
  <si>
    <t>Subsequent Position</t>
  </si>
  <si>
    <t>ADJUSTING ENTRIES</t>
  </si>
  <si>
    <t>Entry Proposed</t>
  </si>
  <si>
    <t>Debit</t>
  </si>
  <si>
    <t>Credit</t>
  </si>
  <si>
    <t>BS.06</t>
  </si>
  <si>
    <t>Analytical Procedures:</t>
  </si>
  <si>
    <t>Subhead:</t>
  </si>
  <si>
    <t>Long-term deposits and prepayments are presented and all disclosures have been given in accordance with the Fourth / Fifth Schedule of the Companies Act, 2017 and relevant IASs</t>
  </si>
  <si>
    <t>Determined that disclosures have been made in accordance with the requirements of Fifth Schedule to the Companies Act, 2017 and the applicable IASs/IFRSs.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</si>
  <si>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</si>
  <si>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</si>
  <si>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</si>
  <si>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</si>
  <si>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</si>
  <si>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</si>
  <si>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>Obtained a party-wise movement schedule of deposits and prepayments and trace the opening balances from the general ledger and last year working papers.</t>
  </si>
  <si>
    <t>Performed casting and cross casting of the schedule.</t>
  </si>
  <si>
    <t>For items stuck-up for considerable period of time, inquired about its status from the management.</t>
  </si>
  <si>
    <t>Computed provisions where required and asked for management representations.</t>
  </si>
  <si>
    <t xml:space="preserve">Ensured that none of the deposits or prepayments are impaired or the recoverable amount of same is not less than its carrying amount. </t>
  </si>
  <si>
    <t>If the carrying amount of a deposits or prepayments is more than its recoverable amount, then same should be reduced to recoverable amount.</t>
  </si>
  <si>
    <t>The reduction is recognized  as impairment loss.</t>
  </si>
  <si>
    <t>Observations</t>
  </si>
  <si>
    <t>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</si>
</sst>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]dd\-mmm\-yyyy;@" x16r2:formatCode16="[$-en-PK,1]dd\-mmm\-yy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sz val="10"/>
      <color indexed="8"/>
      <name val="Book Antiqua"/>
      <family val="1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dotted">
        <color rgb="FFC00000"/>
      </left>
      <right style="dotted">
        <color rgb="FFC00000"/>
      </right>
      <top/>
      <bottom/>
      <diagonal/>
    </border>
  </borders>
  <cellStyleXfs count="7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8" applyNumberFormat="0" applyFont="0" applyAlignment="0" applyProtection="0"/>
    <xf numFmtId="0" fontId="20" fillId="21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24" fillId="0" borderId="0" xfId="4" applyFont="1"/>
    <xf numFmtId="0" fontId="25" fillId="0" borderId="0" xfId="4" applyFont="1"/>
    <xf numFmtId="0" fontId="26" fillId="0" borderId="0" xfId="3" applyNumberFormat="1" applyFont="1" applyFill="1" applyBorder="1" applyAlignment="1" applyProtection="1">
      <alignment vertical="center"/>
    </xf>
    <xf numFmtId="0" fontId="26" fillId="0" borderId="0" xfId="3" applyNumberFormat="1" applyFont="1" applyFill="1" applyAlignment="1">
      <alignment vertical="center"/>
    </xf>
    <xf numFmtId="0" fontId="24" fillId="0" borderId="0" xfId="0" applyFont="1" applyAlignment="1">
      <alignment vertical="center"/>
    </xf>
    <xf numFmtId="0" fontId="26" fillId="0" borderId="0" xfId="4" applyFont="1" applyAlignment="1">
      <alignment horizontal="left" vertical="center"/>
    </xf>
    <xf numFmtId="0" fontId="25" fillId="0" borderId="0" xfId="4" applyFont="1" applyAlignment="1">
      <alignment horizontal="center" vertical="center"/>
    </xf>
    <xf numFmtId="169" fontId="25" fillId="0" borderId="1" xfId="4" applyNumberFormat="1" applyFont="1" applyBorder="1" applyAlignment="1">
      <alignment horizontal="center" vertical="center"/>
    </xf>
    <xf numFmtId="0" fontId="25" fillId="0" borderId="1" xfId="4" applyFont="1" applyBorder="1" applyAlignment="1">
      <alignment horizontal="center" vertical="center"/>
    </xf>
    <xf numFmtId="0" fontId="25" fillId="0" borderId="0" xfId="4" applyFont="1" applyAlignment="1">
      <alignment horizontal="center"/>
    </xf>
    <xf numFmtId="0" fontId="24" fillId="0" borderId="0" xfId="4" quotePrefix="1" applyFont="1" applyAlignment="1">
      <alignment horizontal="right" vertical="center"/>
    </xf>
    <xf numFmtId="0" fontId="25" fillId="0" borderId="0" xfId="4" applyFont="1" applyAlignment="1">
      <alignment vertical="center"/>
    </xf>
    <xf numFmtId="0" fontId="27" fillId="0" borderId="0" xfId="0" applyFont="1" applyAlignment="1">
      <alignment vertical="center"/>
    </xf>
    <xf numFmtId="0" fontId="26" fillId="0" borderId="0" xfId="3" applyNumberFormat="1" applyFont="1" applyAlignment="1">
      <alignment horizontal="center" vertical="center"/>
    </xf>
    <xf numFmtId="0" fontId="24" fillId="0" borderId="0" xfId="3" applyNumberFormat="1" applyFont="1" applyAlignment="1">
      <alignment horizontal="center" vertical="center"/>
    </xf>
    <xf numFmtId="0" fontId="24" fillId="0" borderId="0" xfId="4" applyFont="1" applyAlignment="1">
      <alignment horizontal="left"/>
    </xf>
    <xf numFmtId="0" fontId="24" fillId="0" borderId="0" xfId="4" applyFont="1" applyAlignment="1">
      <alignment horizontal="center"/>
    </xf>
    <xf numFmtId="0" fontId="28" fillId="0" borderId="12" xfId="4" applyFont="1" applyBorder="1" applyAlignment="1">
      <alignment horizontal="center" vertical="center"/>
    </xf>
    <xf numFmtId="0" fontId="28" fillId="0" borderId="12" xfId="4" applyFont="1" applyBorder="1" applyAlignment="1">
      <alignment horizontal="center" vertical="center" wrapText="1"/>
    </xf>
    <xf numFmtId="0" fontId="25" fillId="0" borderId="11" xfId="4" applyFont="1" applyBorder="1" applyAlignment="1">
      <alignment horizontal="center" vertical="center"/>
    </xf>
    <xf numFmtId="0" fontId="25" fillId="0" borderId="11" xfId="4" applyFont="1" applyBorder="1" applyAlignment="1">
      <alignment vertical="center"/>
    </xf>
    <xf numFmtId="0" fontId="25" fillId="0" borderId="11" xfId="4" applyFont="1" applyBorder="1"/>
    <xf numFmtId="0" fontId="25" fillId="0" borderId="11" xfId="4" applyFont="1" applyBorder="1" applyAlignment="1">
      <alignment horizontal="left" vertical="center"/>
    </xf>
    <xf numFmtId="0" fontId="24" fillId="0" borderId="0" xfId="4" applyFont="1" applyAlignment="1">
      <alignment vertical="center"/>
    </xf>
    <xf numFmtId="0" fontId="24" fillId="2" borderId="0" xfId="2" applyFont="1" applyFill="1" applyAlignment="1">
      <alignment horizontal="left" vertical="center"/>
    </xf>
    <xf numFmtId="0" fontId="24" fillId="0" borderId="0" xfId="4" applyFont="1" applyAlignment="1">
      <alignment horizontal="right" vertical="center"/>
    </xf>
    <xf numFmtId="0" fontId="26" fillId="0" borderId="0" xfId="3" applyNumberFormat="1" applyFont="1" applyAlignment="1">
      <alignment vertical="center"/>
    </xf>
    <xf numFmtId="0" fontId="28" fillId="0" borderId="1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2" xfId="0" applyFont="1" applyBorder="1" applyAlignment="1">
      <alignment horizontal="center" vertical="center" wrapText="1"/>
    </xf>
    <xf numFmtId="0" fontId="27" fillId="0" borderId="0" xfId="0" applyFont="1" applyAlignment="1">
      <alignment vertical="top"/>
    </xf>
    <xf numFmtId="0" fontId="27" fillId="0" borderId="11" xfId="0" quotePrefix="1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27" fillId="0" borderId="0" xfId="0" applyFont="1" applyAlignment="1">
      <alignment vertical="center" wrapText="1"/>
    </xf>
    <xf numFmtId="0" fontId="27" fillId="0" borderId="11" xfId="0" quotePrefix="1" applyFont="1" applyBorder="1" applyAlignment="1">
      <alignment horizontal="center" vertical="top" wrapText="1"/>
    </xf>
    <xf numFmtId="0" fontId="27" fillId="0" borderId="11" xfId="0" applyFont="1" applyBorder="1" applyAlignment="1">
      <alignment vertical="justify" wrapText="1"/>
    </xf>
    <xf numFmtId="0" fontId="27" fillId="0" borderId="11" xfId="0" applyFont="1" applyBorder="1" applyAlignment="1">
      <alignment vertical="top" wrapText="1"/>
    </xf>
    <xf numFmtId="0" fontId="27" fillId="0" borderId="0" xfId="0" applyFont="1" applyAlignment="1">
      <alignment vertical="top" wrapText="1"/>
    </xf>
    <xf numFmtId="0" fontId="27" fillId="0" borderId="0" xfId="0" quotePrefix="1" applyFont="1" applyAlignment="1">
      <alignment horizontal="center" vertical="top" wrapText="1"/>
    </xf>
    <xf numFmtId="0" fontId="27" fillId="0" borderId="0" xfId="0" applyFont="1" applyAlignment="1">
      <alignment vertical="justify" wrapText="1"/>
    </xf>
    <xf numFmtId="0" fontId="28" fillId="26" borderId="12" xfId="0" applyFont="1" applyFill="1" applyBorder="1" applyAlignment="1">
      <alignment horizontal="center" vertical="center" wrapText="1"/>
    </xf>
    <xf numFmtId="0" fontId="28" fillId="26" borderId="12" xfId="0" applyFont="1" applyFill="1" applyBorder="1" applyAlignment="1">
      <alignment horizontal="center" vertical="center"/>
    </xf>
    <xf numFmtId="0" fontId="25" fillId="2" borderId="0" xfId="2" applyFont="1" applyFill="1" applyAlignment="1">
      <alignment vertical="center"/>
    </xf>
    <xf numFmtId="0" fontId="25" fillId="2" borderId="11" xfId="2" quotePrefix="1" applyFont="1" applyFill="1" applyBorder="1" applyAlignment="1">
      <alignment horizontal="center" vertical="center" wrapText="1"/>
    </xf>
    <xf numFmtId="0" fontId="25" fillId="2" borderId="11" xfId="2" applyFont="1" applyFill="1" applyBorder="1" applyAlignment="1">
      <alignment vertical="center" wrapText="1"/>
    </xf>
    <xf numFmtId="0" fontId="25" fillId="2" borderId="0" xfId="2" applyFont="1" applyFill="1" applyAlignment="1">
      <alignment vertical="center" wrapText="1"/>
    </xf>
    <xf numFmtId="0" fontId="27" fillId="0" borderId="11" xfId="0" applyFont="1" applyBorder="1" applyAlignment="1">
      <alignment horizontal="center" vertical="center" wrapText="1"/>
    </xf>
    <xf numFmtId="0" fontId="25" fillId="2" borderId="0" xfId="2" quotePrefix="1" applyFont="1" applyFill="1" applyAlignment="1">
      <alignment horizontal="center" vertical="center"/>
    </xf>
    <xf numFmtId="0" fontId="25" fillId="2" borderId="0" xfId="2" applyFont="1" applyFill="1" applyAlignment="1">
      <alignment vertical="justify"/>
    </xf>
    <xf numFmtId="0" fontId="24" fillId="2" borderId="0" xfId="2" applyFont="1" applyFill="1" applyAlignment="1">
      <alignment vertical="center"/>
    </xf>
    <xf numFmtId="0" fontId="28" fillId="0" borderId="13" xfId="0" applyFont="1" applyBorder="1" applyAlignment="1">
      <alignment vertical="top"/>
    </xf>
    <xf numFmtId="0" fontId="27" fillId="0" borderId="13" xfId="0" applyFont="1" applyBorder="1" applyAlignment="1">
      <alignment vertical="top"/>
    </xf>
    <xf numFmtId="0" fontId="24" fillId="2" borderId="13" xfId="2" applyFont="1" applyFill="1" applyBorder="1" applyAlignment="1">
      <alignment vertical="center"/>
    </xf>
    <xf numFmtId="0" fontId="25" fillId="2" borderId="13" xfId="2" applyFont="1" applyFill="1" applyBorder="1" applyAlignment="1">
      <alignment vertical="center"/>
    </xf>
    <xf numFmtId="0" fontId="24" fillId="2" borderId="13" xfId="2" applyFont="1" applyFill="1" applyBorder="1" applyAlignment="1">
      <alignment horizontal="center" vertical="center"/>
    </xf>
    <xf numFmtId="0" fontId="24" fillId="2" borderId="0" xfId="2" applyFont="1" applyFill="1" applyAlignment="1">
      <alignment horizontal="right" vertical="center"/>
    </xf>
    <xf numFmtId="0" fontId="25" fillId="2" borderId="0" xfId="2" applyFont="1" applyFill="1" applyAlignment="1">
      <alignment horizontal="center" vertical="center"/>
    </xf>
    <xf numFmtId="0" fontId="29" fillId="0" borderId="0" xfId="3" applyNumberFormat="1" applyFont="1" applyFill="1" applyBorder="1" applyAlignment="1" applyProtection="1">
      <alignment vertical="center"/>
    </xf>
    <xf numFmtId="0" fontId="24" fillId="2" borderId="0" xfId="2" applyFont="1" applyFill="1" applyAlignment="1">
      <alignment horizontal="left" vertical="center" indent="1"/>
    </xf>
    <xf numFmtId="0" fontId="25" fillId="2" borderId="0" xfId="2" applyFont="1" applyFill="1" applyAlignment="1">
      <alignment horizontal="left" vertical="top" wrapText="1" indent="2"/>
    </xf>
    <xf numFmtId="0" fontId="25" fillId="2" borderId="0" xfId="2" applyFont="1" applyFill="1" applyAlignment="1">
      <alignment horizontal="left" vertical="top" wrapText="1"/>
    </xf>
    <xf numFmtId="0" fontId="27" fillId="25" borderId="0" xfId="0" applyFont="1" applyFill="1" applyAlignment="1">
      <alignment horizontal="left" vertical="top" wrapText="1" indent="2"/>
    </xf>
    <xf numFmtId="0" fontId="25" fillId="2" borderId="0" xfId="2" applyFont="1" applyFill="1" applyAlignment="1">
      <alignment horizontal="left" vertical="center" indent="2"/>
    </xf>
    <xf numFmtId="0" fontId="25" fillId="2" borderId="0" xfId="2" applyFont="1" applyFill="1" applyAlignment="1">
      <alignment horizontal="left" vertical="center" wrapText="1" indent="2"/>
    </xf>
    <xf numFmtId="0" fontId="28" fillId="0" borderId="12" xfId="2" applyFont="1" applyBorder="1" applyAlignment="1">
      <alignment horizontal="center" vertical="center" wrapText="1"/>
    </xf>
    <xf numFmtId="0" fontId="28" fillId="0" borderId="12" xfId="2" applyFont="1" applyBorder="1" applyAlignment="1">
      <alignment horizontal="center" vertical="center"/>
    </xf>
    <xf numFmtId="0" fontId="24" fillId="2" borderId="11" xfId="2" applyFont="1" applyFill="1" applyBorder="1" applyAlignment="1">
      <alignment horizontal="left" vertical="center" indent="1"/>
    </xf>
    <xf numFmtId="0" fontId="25" fillId="2" borderId="11" xfId="2" applyFont="1" applyFill="1" applyBorder="1" applyAlignment="1">
      <alignment vertical="center"/>
    </xf>
    <xf numFmtId="165" fontId="25" fillId="2" borderId="11" xfId="1" applyNumberFormat="1" applyFont="1" applyFill="1" applyBorder="1" applyAlignment="1">
      <alignment horizontal="right" vertical="center"/>
    </xf>
    <xf numFmtId="165" fontId="25" fillId="2" borderId="11" xfId="1" applyNumberFormat="1" applyFont="1" applyFill="1" applyBorder="1" applyAlignment="1">
      <alignment horizontal="center" vertical="center"/>
    </xf>
    <xf numFmtId="9" fontId="25" fillId="2" borderId="11" xfId="74" applyFont="1" applyFill="1" applyBorder="1" applyAlignment="1">
      <alignment horizontal="center" vertical="center"/>
    </xf>
    <xf numFmtId="0" fontId="25" fillId="2" borderId="11" xfId="2" applyFont="1" applyFill="1" applyBorder="1" applyAlignment="1">
      <alignment horizontal="left" vertical="center" indent="1"/>
    </xf>
    <xf numFmtId="0" fontId="24" fillId="2" borderId="11" xfId="2" applyFont="1" applyFill="1" applyBorder="1" applyAlignment="1">
      <alignment horizontal="center" vertical="center"/>
    </xf>
    <xf numFmtId="165" fontId="24" fillId="2" borderId="13" xfId="1" applyNumberFormat="1" applyFont="1" applyFill="1" applyBorder="1" applyAlignment="1">
      <alignment horizontal="right" vertical="center"/>
    </xf>
    <xf numFmtId="165" fontId="25" fillId="2" borderId="13" xfId="1" applyNumberFormat="1" applyFont="1" applyFill="1" applyBorder="1" applyAlignment="1">
      <alignment horizontal="right" vertical="center"/>
    </xf>
    <xf numFmtId="0" fontId="25" fillId="2" borderId="0" xfId="2" applyFont="1" applyFill="1" applyAlignment="1">
      <alignment vertical="top"/>
    </xf>
    <xf numFmtId="0" fontId="27" fillId="25" borderId="0" xfId="0" applyFont="1" applyFill="1" applyAlignment="1">
      <alignment vertical="top"/>
    </xf>
    <xf numFmtId="0" fontId="26" fillId="0" borderId="0" xfId="3" applyNumberFormat="1" applyFont="1" applyBorder="1" applyAlignment="1">
      <alignment vertical="center"/>
    </xf>
    <xf numFmtId="0" fontId="28" fillId="0" borderId="14" xfId="2" applyFont="1" applyBorder="1" applyAlignment="1">
      <alignment horizontal="center" vertical="center" wrapText="1"/>
    </xf>
    <xf numFmtId="0" fontId="25" fillId="2" borderId="0" xfId="2" applyFont="1" applyFill="1" applyAlignment="1">
      <alignment horizontal="left" vertical="center" indent="1"/>
    </xf>
    <xf numFmtId="0" fontId="24" fillId="2" borderId="15" xfId="2" applyFont="1" applyFill="1" applyBorder="1" applyAlignment="1">
      <alignment horizontal="left" vertical="center" indent="1"/>
    </xf>
    <xf numFmtId="0" fontId="25" fillId="0" borderId="15" xfId="3" applyNumberFormat="1" applyFont="1" applyFill="1" applyBorder="1" applyAlignment="1">
      <alignment horizontal="left" vertical="center" indent="3"/>
    </xf>
    <xf numFmtId="0" fontId="25" fillId="2" borderId="15" xfId="2" applyFont="1" applyFill="1" applyBorder="1" applyAlignment="1">
      <alignment horizontal="left" vertical="center" indent="3"/>
    </xf>
    <xf numFmtId="0" fontId="25" fillId="2" borderId="15" xfId="2" applyFont="1" applyFill="1" applyBorder="1" applyAlignment="1">
      <alignment horizontal="left" vertical="center" indent="1"/>
    </xf>
    <xf numFmtId="0" fontId="24" fillId="2" borderId="15" xfId="2" applyFont="1" applyFill="1" applyBorder="1" applyAlignment="1">
      <alignment horizontal="center" vertical="center"/>
    </xf>
    <xf numFmtId="0" fontId="25" fillId="2" borderId="15" xfId="2" applyFont="1" applyFill="1" applyBorder="1" applyAlignment="1">
      <alignment vertical="center"/>
    </xf>
    <xf numFmtId="0" fontId="27" fillId="25" borderId="0" xfId="0" applyFont="1" applyFill="1" applyAlignment="1">
      <alignment horizontal="left" vertical="top" indent="2"/>
    </xf>
    <xf numFmtId="0" fontId="27" fillId="25" borderId="0" xfId="0" applyFont="1" applyFill="1" applyAlignment="1">
      <alignment horizontal="left" vertical="top" indent="3"/>
    </xf>
    <xf numFmtId="0" fontId="25" fillId="2" borderId="0" xfId="2" applyFont="1" applyFill="1" applyAlignment="1">
      <alignment horizontal="left" vertical="center" indent="3"/>
    </xf>
    <xf numFmtId="0" fontId="25" fillId="2" borderId="11" xfId="2" applyFont="1" applyFill="1" applyBorder="1" applyAlignment="1">
      <alignment horizontal="left" vertical="center" indent="2"/>
    </xf>
    <xf numFmtId="0" fontId="25" fillId="2" borderId="15" xfId="2" applyFont="1" applyFill="1" applyBorder="1" applyAlignment="1">
      <alignment horizontal="left" vertical="center" indent="2"/>
    </xf>
    <xf numFmtId="0" fontId="27" fillId="0" borderId="0" xfId="0" applyFont="1"/>
    <xf numFmtId="0" fontId="24" fillId="2" borderId="0" xfId="2" applyFont="1" applyFill="1" applyAlignment="1">
      <alignment horizontal="center" vertical="center"/>
    </xf>
    <xf numFmtId="0" fontId="27" fillId="25" borderId="0" xfId="0" applyFont="1" applyFill="1" applyAlignment="1">
      <alignment horizontal="left" vertical="top" wrapText="1" indent="3"/>
    </xf>
    <xf numFmtId="0" fontId="28" fillId="0" borderId="0" xfId="0" applyFont="1" applyAlignment="1">
      <alignment horizontal="center" vertical="top"/>
    </xf>
    <xf numFmtId="0" fontId="27" fillId="0" borderId="11" xfId="0" applyFont="1" applyBorder="1" applyAlignment="1">
      <alignment vertical="center"/>
    </xf>
    <xf numFmtId="0" fontId="27" fillId="0" borderId="11" xfId="0" applyFont="1" applyBorder="1" applyAlignment="1">
      <alignment horizontal="center" vertical="center"/>
    </xf>
    <xf numFmtId="0" fontId="27" fillId="0" borderId="13" xfId="0" quotePrefix="1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/>
    </xf>
    <xf numFmtId="0" fontId="24" fillId="0" borderId="0" xfId="4" applyFont="1" applyAlignment="1">
      <alignment horizontal="left" vertical="center"/>
    </xf>
    <xf numFmtId="0" fontId="28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12" xfId="0" applyFont="1" applyBorder="1" applyAlignment="1">
      <alignment horizontal="center" vertical="center"/>
    </xf>
    <xf numFmtId="0" fontId="28" fillId="26" borderId="12" xfId="0" applyFont="1" applyFill="1" applyBorder="1" applyAlignment="1">
      <alignment horizontal="center" vertical="center" wrapText="1"/>
    </xf>
    <xf numFmtId="0" fontId="28" fillId="0" borderId="12" xfId="0" quotePrefix="1" applyFont="1" applyBorder="1" applyAlignment="1">
      <alignment horizontal="center" vertical="center" wrapText="1"/>
    </xf>
    <xf numFmtId="0" fontId="28" fillId="26" borderId="12" xfId="0" quotePrefix="1" applyFont="1" applyFill="1" applyBorder="1" applyAlignment="1">
      <alignment horizontal="center" vertical="center" wrapText="1"/>
    </xf>
    <xf numFmtId="0" fontId="28" fillId="0" borderId="12" xfId="2" applyFont="1" applyBorder="1" applyAlignment="1">
      <alignment horizontal="center" vertical="center" wrapText="1"/>
    </xf>
    <xf numFmtId="0" fontId="25" fillId="2" borderId="11" xfId="2" applyFont="1" applyFill="1" applyBorder="1" applyAlignment="1">
      <alignment horizontal="left" vertical="center" indent="3"/>
    </xf>
    <xf numFmtId="0" fontId="25" fillId="2" borderId="13" xfId="2" applyFont="1" applyFill="1" applyBorder="1" applyAlignment="1">
      <alignment horizontal="left" vertical="center" indent="1"/>
    </xf>
    <xf numFmtId="0" fontId="24" fillId="2" borderId="11" xfId="2" applyFont="1" applyFill="1" applyBorder="1" applyAlignment="1">
      <alignment horizontal="left" vertical="center" indent="1"/>
    </xf>
    <xf numFmtId="0" fontId="25" fillId="0" borderId="11" xfId="3" applyNumberFormat="1" applyFont="1" applyFill="1" applyBorder="1" applyAlignment="1">
      <alignment horizontal="left" vertical="center" indent="3"/>
    </xf>
    <xf numFmtId="0" fontId="25" fillId="2" borderId="11" xfId="2" applyFont="1" applyFill="1" applyBorder="1" applyAlignment="1">
      <alignment horizontal="left" vertical="center" indent="1"/>
    </xf>
    <xf numFmtId="0" fontId="24" fillId="2" borderId="11" xfId="2" applyFont="1" applyFill="1" applyBorder="1" applyAlignment="1">
      <alignment horizontal="center" vertical="center"/>
    </xf>
    <xf numFmtId="0" fontId="25" fillId="2" borderId="11" xfId="2" applyFont="1" applyFill="1" applyBorder="1" applyAlignment="1">
      <alignment horizontal="left" vertical="center" indent="2"/>
    </xf>
    <xf numFmtId="0" fontId="25" fillId="2" borderId="13" xfId="2" applyFont="1" applyFill="1" applyBorder="1" applyAlignment="1">
      <alignment horizontal="center" vertical="center"/>
    </xf>
    <xf numFmtId="0" fontId="28" fillId="0" borderId="12" xfId="2" applyFont="1" applyBorder="1" applyAlignment="1">
      <alignment horizontal="center" vertical="center"/>
    </xf>
    <xf numFmtId="0" fontId="25" fillId="2" borderId="11" xfId="2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top"/>
    </xf>
    <xf numFmtId="0" fontId="25" fillId="0" borderId="13" xfId="4" applyFont="1" applyBorder="1" applyAlignment="1">
      <alignment horizontal="center" vertical="center"/>
    </xf>
    <xf numFmtId="0" fontId="25" fillId="0" borderId="13" xfId="4" applyFont="1" applyBorder="1" applyAlignment="1">
      <alignment vertical="center"/>
    </xf>
    <xf numFmtId="0" fontId="25" fillId="0" borderId="13" xfId="4" applyFont="1" applyBorder="1"/>
    <xf numFmtId="0" fontId="25" fillId="0" borderId="0" xfId="4" applyFont="1" applyBorder="1"/>
    <xf numFmtId="0" fontId="24" fillId="0" borderId="0" xfId="4" applyFont="1" applyBorder="1"/>
    <xf numFmtId="0" fontId="26" fillId="0" borderId="0" xfId="3" applyNumberFormat="1" applyFont="1" applyFill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25" fillId="0" borderId="0" xfId="4" applyFont="1" applyBorder="1" applyAlignment="1">
      <alignment vertical="center"/>
    </xf>
    <xf numFmtId="0" fontId="24" fillId="0" borderId="0" xfId="4" applyFont="1" applyBorder="1" applyAlignment="1">
      <alignment horizontal="left"/>
    </xf>
    <xf numFmtId="0" fontId="24" fillId="0" borderId="0" xfId="4" applyFont="1" applyBorder="1" applyAlignment="1">
      <alignment horizontal="center"/>
    </xf>
    <xf numFmtId="0" fontId="28" fillId="0" borderId="14" xfId="4" applyFont="1" applyBorder="1" applyAlignment="1">
      <alignment horizontal="center" vertical="center"/>
    </xf>
    <xf numFmtId="0" fontId="25" fillId="0" borderId="15" xfId="4" applyFont="1" applyBorder="1" applyAlignment="1">
      <alignment vertical="center"/>
    </xf>
    <xf numFmtId="0" fontId="25" fillId="0" borderId="15" xfId="4" applyFont="1" applyBorder="1" applyAlignment="1">
      <alignment horizontal="left" vertical="center"/>
    </xf>
    <xf numFmtId="0" fontId="25" fillId="0" borderId="0" xfId="4" applyFont="1" applyBorder="1" applyAlignment="1">
      <alignment horizontal="center"/>
    </xf>
    <xf numFmtId="0" fontId="26" fillId="0" borderId="0" xfId="3" applyNumberFormat="1" applyFont="1" applyBorder="1" applyAlignment="1">
      <alignment horizontal="center" vertical="center"/>
    </xf>
    <xf numFmtId="0" fontId="24" fillId="0" borderId="0" xfId="3" applyNumberFormat="1" applyFont="1" applyBorder="1" applyAlignment="1">
      <alignment horizontal="center" vertical="center"/>
    </xf>
    <xf numFmtId="0" fontId="25" fillId="0" borderId="0" xfId="4" applyFont="1" applyBorder="1" applyAlignment="1">
      <alignment horizontal="center" vertical="center"/>
    </xf>
    <xf numFmtId="0" fontId="28" fillId="0" borderId="14" xfId="4" applyFont="1" applyBorder="1" applyAlignment="1">
      <alignment horizontal="center" vertical="center" wrapText="1"/>
    </xf>
    <xf numFmtId="0" fontId="25" fillId="0" borderId="15" xfId="4" applyFont="1" applyBorder="1" applyAlignment="1">
      <alignment horizontal="center" vertical="center"/>
    </xf>
  </cellXfs>
  <cellStyles count="7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" xfId="74" builtinId="5"/>
    <cellStyle name="Percent 2" xfId="62" xr:uid="{00000000-0005-0000-0000-000047000000}"/>
    <cellStyle name="Title 2" xfId="63" xr:uid="{00000000-0005-0000-0000-000048000000}"/>
    <cellStyle name="Total 2" xfId="64" xr:uid="{00000000-0005-0000-0000-000049000000}"/>
    <cellStyle name="Warning Text 2" xfId="65" xr:uid="{00000000-0005-0000-0000-00004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P38"/>
  <sheetViews>
    <sheetView showGridLines="0" tabSelected="1" topLeftCell="A12" zoomScaleSheetLayoutView="100" workbookViewId="0">
      <selection activeCell="F34" sqref="F34"/>
    </sheetView>
  </sheetViews>
  <sheetFormatPr defaultColWidth="0" defaultRowHeight="13.5" zeroHeight="1" x14ac:dyDescent="0.25"/>
  <cols>
    <col min="1" max="1" width="1.28515625" style="12" customWidth="1"/>
    <col min="2" max="2" width="8.42578125" style="12" customWidth="1"/>
    <col min="3" max="3" width="44" style="12" customWidth="1"/>
    <col min="4" max="4" width="2.7109375" style="126" customWidth="1"/>
    <col min="5" max="5" width="12.140625" style="7" customWidth="1"/>
    <col min="6" max="6" width="2.7109375" style="135" customWidth="1"/>
    <col min="7" max="7" width="14.5703125" style="12" bestFit="1" customWidth="1"/>
    <col min="8" max="8" width="18.85546875" style="12" customWidth="1"/>
    <col min="9" max="9" width="1.42578125" style="12" customWidth="1"/>
    <col min="10" max="255" width="10.42578125" style="12" hidden="1"/>
    <col min="256" max="256" width="8.42578125" style="12" hidden="1"/>
    <col min="257" max="258" width="12.85546875" style="12" hidden="1"/>
    <col min="259" max="259" width="9.7109375" style="12" hidden="1"/>
    <col min="260" max="260" width="7.28515625" style="12" hidden="1"/>
    <col min="261" max="261" width="8.140625" style="12" hidden="1"/>
    <col min="262" max="262" width="12.85546875" style="12" hidden="1"/>
    <col min="263" max="264" width="13.28515625" style="12" hidden="1"/>
    <col min="265" max="511" width="10.42578125" style="12" hidden="1"/>
    <col min="512" max="512" width="8.42578125" style="12" hidden="1"/>
    <col min="513" max="514" width="12.85546875" style="12" hidden="1"/>
    <col min="515" max="515" width="9.7109375" style="12" hidden="1"/>
    <col min="516" max="516" width="7.28515625" style="12" hidden="1"/>
    <col min="517" max="517" width="8.140625" style="12" hidden="1"/>
    <col min="518" max="518" width="12.85546875" style="12" hidden="1"/>
    <col min="519" max="520" width="13.28515625" style="12" hidden="1"/>
    <col min="521" max="767" width="10.42578125" style="12" hidden="1"/>
    <col min="768" max="768" width="8.42578125" style="12" hidden="1"/>
    <col min="769" max="770" width="12.85546875" style="12" hidden="1"/>
    <col min="771" max="771" width="9.7109375" style="12" hidden="1"/>
    <col min="772" max="772" width="7.28515625" style="12" hidden="1"/>
    <col min="773" max="773" width="8.140625" style="12" hidden="1"/>
    <col min="774" max="774" width="12.85546875" style="12" hidden="1"/>
    <col min="775" max="776" width="13.28515625" style="12" hidden="1"/>
    <col min="777" max="1023" width="10.42578125" style="12" hidden="1"/>
    <col min="1024" max="1024" width="8.42578125" style="12" hidden="1"/>
    <col min="1025" max="1026" width="12.85546875" style="12" hidden="1"/>
    <col min="1027" max="1027" width="9.7109375" style="12" hidden="1"/>
    <col min="1028" max="1028" width="7.28515625" style="12" hidden="1"/>
    <col min="1029" max="1029" width="8.140625" style="12" hidden="1"/>
    <col min="1030" max="1030" width="12.85546875" style="12" hidden="1"/>
    <col min="1031" max="1032" width="13.28515625" style="12" hidden="1"/>
    <col min="1033" max="1279" width="10.42578125" style="12" hidden="1"/>
    <col min="1280" max="1280" width="8.42578125" style="12" hidden="1"/>
    <col min="1281" max="1282" width="12.85546875" style="12" hidden="1"/>
    <col min="1283" max="1283" width="9.7109375" style="12" hidden="1"/>
    <col min="1284" max="1284" width="7.28515625" style="12" hidden="1"/>
    <col min="1285" max="1285" width="8.140625" style="12" hidden="1"/>
    <col min="1286" max="1286" width="12.85546875" style="12" hidden="1"/>
    <col min="1287" max="1288" width="13.28515625" style="12" hidden="1"/>
    <col min="1289" max="1535" width="10.42578125" style="12" hidden="1"/>
    <col min="1536" max="1536" width="8.42578125" style="12" hidden="1"/>
    <col min="1537" max="1538" width="12.85546875" style="12" hidden="1"/>
    <col min="1539" max="1539" width="9.7109375" style="12" hidden="1"/>
    <col min="1540" max="1540" width="7.28515625" style="12" hidden="1"/>
    <col min="1541" max="1541" width="8.140625" style="12" hidden="1"/>
    <col min="1542" max="1542" width="12.85546875" style="12" hidden="1"/>
    <col min="1543" max="1544" width="13.28515625" style="12" hidden="1"/>
    <col min="1545" max="1791" width="10.42578125" style="12" hidden="1"/>
    <col min="1792" max="1792" width="8.42578125" style="12" hidden="1"/>
    <col min="1793" max="1794" width="12.85546875" style="12" hidden="1"/>
    <col min="1795" max="1795" width="9.7109375" style="12" hidden="1"/>
    <col min="1796" max="1796" width="7.28515625" style="12" hidden="1"/>
    <col min="1797" max="1797" width="8.140625" style="12" hidden="1"/>
    <col min="1798" max="1798" width="12.85546875" style="12" hidden="1"/>
    <col min="1799" max="1800" width="13.28515625" style="12" hidden="1"/>
    <col min="1801" max="2047" width="10.42578125" style="12" hidden="1"/>
    <col min="2048" max="2048" width="8.42578125" style="12" hidden="1"/>
    <col min="2049" max="2050" width="12.85546875" style="12" hidden="1"/>
    <col min="2051" max="2051" width="9.7109375" style="12" hidden="1"/>
    <col min="2052" max="2052" width="7.28515625" style="12" hidden="1"/>
    <col min="2053" max="2053" width="8.140625" style="12" hidden="1"/>
    <col min="2054" max="2054" width="12.85546875" style="12" hidden="1"/>
    <col min="2055" max="2056" width="13.28515625" style="12" hidden="1"/>
    <col min="2057" max="2303" width="10.42578125" style="12" hidden="1"/>
    <col min="2304" max="2304" width="8.42578125" style="12" hidden="1"/>
    <col min="2305" max="2306" width="12.85546875" style="12" hidden="1"/>
    <col min="2307" max="2307" width="9.7109375" style="12" hidden="1"/>
    <col min="2308" max="2308" width="7.28515625" style="12" hidden="1"/>
    <col min="2309" max="2309" width="8.140625" style="12" hidden="1"/>
    <col min="2310" max="2310" width="12.85546875" style="12" hidden="1"/>
    <col min="2311" max="2312" width="13.28515625" style="12" hidden="1"/>
    <col min="2313" max="2559" width="10.42578125" style="12" hidden="1"/>
    <col min="2560" max="2560" width="8.42578125" style="12" hidden="1"/>
    <col min="2561" max="2562" width="12.85546875" style="12" hidden="1"/>
    <col min="2563" max="2563" width="9.7109375" style="12" hidden="1"/>
    <col min="2564" max="2564" width="7.28515625" style="12" hidden="1"/>
    <col min="2565" max="2565" width="8.140625" style="12" hidden="1"/>
    <col min="2566" max="2566" width="12.85546875" style="12" hidden="1"/>
    <col min="2567" max="2568" width="13.28515625" style="12" hidden="1"/>
    <col min="2569" max="2815" width="10.42578125" style="12" hidden="1"/>
    <col min="2816" max="2816" width="8.42578125" style="12" hidden="1"/>
    <col min="2817" max="2818" width="12.85546875" style="12" hidden="1"/>
    <col min="2819" max="2819" width="9.7109375" style="12" hidden="1"/>
    <col min="2820" max="2820" width="7.28515625" style="12" hidden="1"/>
    <col min="2821" max="2821" width="8.140625" style="12" hidden="1"/>
    <col min="2822" max="2822" width="12.85546875" style="12" hidden="1"/>
    <col min="2823" max="2824" width="13.28515625" style="12" hidden="1"/>
    <col min="2825" max="3071" width="10.42578125" style="12" hidden="1"/>
    <col min="3072" max="3072" width="8.42578125" style="12" hidden="1"/>
    <col min="3073" max="3074" width="12.85546875" style="12" hidden="1"/>
    <col min="3075" max="3075" width="9.7109375" style="12" hidden="1"/>
    <col min="3076" max="3076" width="7.28515625" style="12" hidden="1"/>
    <col min="3077" max="3077" width="8.140625" style="12" hidden="1"/>
    <col min="3078" max="3078" width="12.85546875" style="12" hidden="1"/>
    <col min="3079" max="3080" width="13.28515625" style="12" hidden="1"/>
    <col min="3081" max="3327" width="10.42578125" style="12" hidden="1"/>
    <col min="3328" max="3328" width="8.42578125" style="12" hidden="1"/>
    <col min="3329" max="3330" width="12.85546875" style="12" hidden="1"/>
    <col min="3331" max="3331" width="9.7109375" style="12" hidden="1"/>
    <col min="3332" max="3332" width="7.28515625" style="12" hidden="1"/>
    <col min="3333" max="3333" width="8.140625" style="12" hidden="1"/>
    <col min="3334" max="3334" width="12.85546875" style="12" hidden="1"/>
    <col min="3335" max="3336" width="13.28515625" style="12" hidden="1"/>
    <col min="3337" max="3583" width="10.42578125" style="12" hidden="1"/>
    <col min="3584" max="3584" width="8.42578125" style="12" hidden="1"/>
    <col min="3585" max="3586" width="12.85546875" style="12" hidden="1"/>
    <col min="3587" max="3587" width="9.7109375" style="12" hidden="1"/>
    <col min="3588" max="3588" width="7.28515625" style="12" hidden="1"/>
    <col min="3589" max="3589" width="8.140625" style="12" hidden="1"/>
    <col min="3590" max="3590" width="12.85546875" style="12" hidden="1"/>
    <col min="3591" max="3592" width="13.28515625" style="12" hidden="1"/>
    <col min="3593" max="3839" width="10.42578125" style="12" hidden="1"/>
    <col min="3840" max="3840" width="8.42578125" style="12" hidden="1"/>
    <col min="3841" max="3842" width="12.85546875" style="12" hidden="1"/>
    <col min="3843" max="3843" width="9.7109375" style="12" hidden="1"/>
    <col min="3844" max="3844" width="7.28515625" style="12" hidden="1"/>
    <col min="3845" max="3845" width="8.140625" style="12" hidden="1"/>
    <col min="3846" max="3846" width="12.85546875" style="12" hidden="1"/>
    <col min="3847" max="3848" width="13.28515625" style="12" hidden="1"/>
    <col min="3849" max="4095" width="10.42578125" style="12" hidden="1"/>
    <col min="4096" max="4096" width="8.42578125" style="12" hidden="1"/>
    <col min="4097" max="4098" width="12.85546875" style="12" hidden="1"/>
    <col min="4099" max="4099" width="9.7109375" style="12" hidden="1"/>
    <col min="4100" max="4100" width="7.28515625" style="12" hidden="1"/>
    <col min="4101" max="4101" width="8.140625" style="12" hidden="1"/>
    <col min="4102" max="4102" width="12.85546875" style="12" hidden="1"/>
    <col min="4103" max="4104" width="13.28515625" style="12" hidden="1"/>
    <col min="4105" max="4351" width="10.42578125" style="12" hidden="1"/>
    <col min="4352" max="4352" width="8.42578125" style="12" hidden="1"/>
    <col min="4353" max="4354" width="12.85546875" style="12" hidden="1"/>
    <col min="4355" max="4355" width="9.7109375" style="12" hidden="1"/>
    <col min="4356" max="4356" width="7.28515625" style="12" hidden="1"/>
    <col min="4357" max="4357" width="8.140625" style="12" hidden="1"/>
    <col min="4358" max="4358" width="12.85546875" style="12" hidden="1"/>
    <col min="4359" max="4360" width="13.28515625" style="12" hidden="1"/>
    <col min="4361" max="4607" width="10.42578125" style="12" hidden="1"/>
    <col min="4608" max="4608" width="8.42578125" style="12" hidden="1"/>
    <col min="4609" max="4610" width="12.85546875" style="12" hidden="1"/>
    <col min="4611" max="4611" width="9.7109375" style="12" hidden="1"/>
    <col min="4612" max="4612" width="7.28515625" style="12" hidden="1"/>
    <col min="4613" max="4613" width="8.140625" style="12" hidden="1"/>
    <col min="4614" max="4614" width="12.85546875" style="12" hidden="1"/>
    <col min="4615" max="4616" width="13.28515625" style="12" hidden="1"/>
    <col min="4617" max="4863" width="10.42578125" style="12" hidden="1"/>
    <col min="4864" max="4864" width="8.42578125" style="12" hidden="1"/>
    <col min="4865" max="4866" width="12.85546875" style="12" hidden="1"/>
    <col min="4867" max="4867" width="9.7109375" style="12" hidden="1"/>
    <col min="4868" max="4868" width="7.28515625" style="12" hidden="1"/>
    <col min="4869" max="4869" width="8.140625" style="12" hidden="1"/>
    <col min="4870" max="4870" width="12.85546875" style="12" hidden="1"/>
    <col min="4871" max="4872" width="13.28515625" style="12" hidden="1"/>
    <col min="4873" max="5119" width="10.42578125" style="12" hidden="1"/>
    <col min="5120" max="5120" width="8.42578125" style="12" hidden="1"/>
    <col min="5121" max="5122" width="12.85546875" style="12" hidden="1"/>
    <col min="5123" max="5123" width="9.7109375" style="12" hidden="1"/>
    <col min="5124" max="5124" width="7.28515625" style="12" hidden="1"/>
    <col min="5125" max="5125" width="8.140625" style="12" hidden="1"/>
    <col min="5126" max="5126" width="12.85546875" style="12" hidden="1"/>
    <col min="5127" max="5128" width="13.28515625" style="12" hidden="1"/>
    <col min="5129" max="5375" width="10.42578125" style="12" hidden="1"/>
    <col min="5376" max="5376" width="8.42578125" style="12" hidden="1"/>
    <col min="5377" max="5378" width="12.85546875" style="12" hidden="1"/>
    <col min="5379" max="5379" width="9.7109375" style="12" hidden="1"/>
    <col min="5380" max="5380" width="7.28515625" style="12" hidden="1"/>
    <col min="5381" max="5381" width="8.140625" style="12" hidden="1"/>
    <col min="5382" max="5382" width="12.85546875" style="12" hidden="1"/>
    <col min="5383" max="5384" width="13.28515625" style="12" hidden="1"/>
    <col min="5385" max="5631" width="10.42578125" style="12" hidden="1"/>
    <col min="5632" max="5632" width="8.42578125" style="12" hidden="1"/>
    <col min="5633" max="5634" width="12.85546875" style="12" hidden="1"/>
    <col min="5635" max="5635" width="9.7109375" style="12" hidden="1"/>
    <col min="5636" max="5636" width="7.28515625" style="12" hidden="1"/>
    <col min="5637" max="5637" width="8.140625" style="12" hidden="1"/>
    <col min="5638" max="5638" width="12.85546875" style="12" hidden="1"/>
    <col min="5639" max="5640" width="13.28515625" style="12" hidden="1"/>
    <col min="5641" max="5887" width="10.42578125" style="12" hidden="1"/>
    <col min="5888" max="5888" width="8.42578125" style="12" hidden="1"/>
    <col min="5889" max="5890" width="12.85546875" style="12" hidden="1"/>
    <col min="5891" max="5891" width="9.7109375" style="12" hidden="1"/>
    <col min="5892" max="5892" width="7.28515625" style="12" hidden="1"/>
    <col min="5893" max="5893" width="8.140625" style="12" hidden="1"/>
    <col min="5894" max="5894" width="12.85546875" style="12" hidden="1"/>
    <col min="5895" max="5896" width="13.28515625" style="12" hidden="1"/>
    <col min="5897" max="6143" width="10.42578125" style="12" hidden="1"/>
    <col min="6144" max="6144" width="8.42578125" style="12" hidden="1"/>
    <col min="6145" max="6146" width="12.85546875" style="12" hidden="1"/>
    <col min="6147" max="6147" width="9.7109375" style="12" hidden="1"/>
    <col min="6148" max="6148" width="7.28515625" style="12" hidden="1"/>
    <col min="6149" max="6149" width="8.140625" style="12" hidden="1"/>
    <col min="6150" max="6150" width="12.85546875" style="12" hidden="1"/>
    <col min="6151" max="6152" width="13.28515625" style="12" hidden="1"/>
    <col min="6153" max="6399" width="10.42578125" style="12" hidden="1"/>
    <col min="6400" max="6400" width="8.42578125" style="12" hidden="1"/>
    <col min="6401" max="6402" width="12.85546875" style="12" hidden="1"/>
    <col min="6403" max="6403" width="9.7109375" style="12" hidden="1"/>
    <col min="6404" max="6404" width="7.28515625" style="12" hidden="1"/>
    <col min="6405" max="6405" width="8.140625" style="12" hidden="1"/>
    <col min="6406" max="6406" width="12.85546875" style="12" hidden="1"/>
    <col min="6407" max="6408" width="13.28515625" style="12" hidden="1"/>
    <col min="6409" max="6655" width="10.42578125" style="12" hidden="1"/>
    <col min="6656" max="6656" width="8.42578125" style="12" hidden="1"/>
    <col min="6657" max="6658" width="12.85546875" style="12" hidden="1"/>
    <col min="6659" max="6659" width="9.7109375" style="12" hidden="1"/>
    <col min="6660" max="6660" width="7.28515625" style="12" hidden="1"/>
    <col min="6661" max="6661" width="8.140625" style="12" hidden="1"/>
    <col min="6662" max="6662" width="12.85546875" style="12" hidden="1"/>
    <col min="6663" max="6664" width="13.28515625" style="12" hidden="1"/>
    <col min="6665" max="6911" width="10.42578125" style="12" hidden="1"/>
    <col min="6912" max="6912" width="8.42578125" style="12" hidden="1"/>
    <col min="6913" max="6914" width="12.85546875" style="12" hidden="1"/>
    <col min="6915" max="6915" width="9.7109375" style="12" hidden="1"/>
    <col min="6916" max="6916" width="7.28515625" style="12" hidden="1"/>
    <col min="6917" max="6917" width="8.140625" style="12" hidden="1"/>
    <col min="6918" max="6918" width="12.85546875" style="12" hidden="1"/>
    <col min="6919" max="6920" width="13.28515625" style="12" hidden="1"/>
    <col min="6921" max="7167" width="10.42578125" style="12" hidden="1"/>
    <col min="7168" max="7168" width="8.42578125" style="12" hidden="1"/>
    <col min="7169" max="7170" width="12.85546875" style="12" hidden="1"/>
    <col min="7171" max="7171" width="9.7109375" style="12" hidden="1"/>
    <col min="7172" max="7172" width="7.28515625" style="12" hidden="1"/>
    <col min="7173" max="7173" width="8.140625" style="12" hidden="1"/>
    <col min="7174" max="7174" width="12.85546875" style="12" hidden="1"/>
    <col min="7175" max="7176" width="13.28515625" style="12" hidden="1"/>
    <col min="7177" max="7423" width="10.42578125" style="12" hidden="1"/>
    <col min="7424" max="7424" width="8.42578125" style="12" hidden="1"/>
    <col min="7425" max="7426" width="12.85546875" style="12" hidden="1"/>
    <col min="7427" max="7427" width="9.7109375" style="12" hidden="1"/>
    <col min="7428" max="7428" width="7.28515625" style="12" hidden="1"/>
    <col min="7429" max="7429" width="8.140625" style="12" hidden="1"/>
    <col min="7430" max="7430" width="12.85546875" style="12" hidden="1"/>
    <col min="7431" max="7432" width="13.28515625" style="12" hidden="1"/>
    <col min="7433" max="7679" width="10.42578125" style="12" hidden="1"/>
    <col min="7680" max="7680" width="8.42578125" style="12" hidden="1"/>
    <col min="7681" max="7682" width="12.85546875" style="12" hidden="1"/>
    <col min="7683" max="7683" width="9.7109375" style="12" hidden="1"/>
    <col min="7684" max="7684" width="7.28515625" style="12" hidden="1"/>
    <col min="7685" max="7685" width="8.140625" style="12" hidden="1"/>
    <col min="7686" max="7686" width="12.85546875" style="12" hidden="1"/>
    <col min="7687" max="7688" width="13.28515625" style="12" hidden="1"/>
    <col min="7689" max="7935" width="10.42578125" style="12" hidden="1"/>
    <col min="7936" max="7936" width="8.42578125" style="12" hidden="1"/>
    <col min="7937" max="7938" width="12.85546875" style="12" hidden="1"/>
    <col min="7939" max="7939" width="9.7109375" style="12" hidden="1"/>
    <col min="7940" max="7940" width="7.28515625" style="12" hidden="1"/>
    <col min="7941" max="7941" width="8.140625" style="12" hidden="1"/>
    <col min="7942" max="7942" width="12.85546875" style="12" hidden="1"/>
    <col min="7943" max="7944" width="13.28515625" style="12" hidden="1"/>
    <col min="7945" max="8191" width="10.42578125" style="12" hidden="1"/>
    <col min="8192" max="8192" width="8.42578125" style="12" hidden="1"/>
    <col min="8193" max="8194" width="12.85546875" style="12" hidden="1"/>
    <col min="8195" max="8195" width="9.7109375" style="12" hidden="1"/>
    <col min="8196" max="8196" width="7.28515625" style="12" hidden="1"/>
    <col min="8197" max="8197" width="8.140625" style="12" hidden="1"/>
    <col min="8198" max="8198" width="12.85546875" style="12" hidden="1"/>
    <col min="8199" max="8200" width="13.28515625" style="12" hidden="1"/>
    <col min="8201" max="8447" width="10.42578125" style="12" hidden="1"/>
    <col min="8448" max="8448" width="8.42578125" style="12" hidden="1"/>
    <col min="8449" max="8450" width="12.85546875" style="12" hidden="1"/>
    <col min="8451" max="8451" width="9.7109375" style="12" hidden="1"/>
    <col min="8452" max="8452" width="7.28515625" style="12" hidden="1"/>
    <col min="8453" max="8453" width="8.140625" style="12" hidden="1"/>
    <col min="8454" max="8454" width="12.85546875" style="12" hidden="1"/>
    <col min="8455" max="8456" width="13.28515625" style="12" hidden="1"/>
    <col min="8457" max="8703" width="10.42578125" style="12" hidden="1"/>
    <col min="8704" max="8704" width="8.42578125" style="12" hidden="1"/>
    <col min="8705" max="8706" width="12.85546875" style="12" hidden="1"/>
    <col min="8707" max="8707" width="9.7109375" style="12" hidden="1"/>
    <col min="8708" max="8708" width="7.28515625" style="12" hidden="1"/>
    <col min="8709" max="8709" width="8.140625" style="12" hidden="1"/>
    <col min="8710" max="8710" width="12.85546875" style="12" hidden="1"/>
    <col min="8711" max="8712" width="13.28515625" style="12" hidden="1"/>
    <col min="8713" max="8959" width="10.42578125" style="12" hidden="1"/>
    <col min="8960" max="8960" width="8.42578125" style="12" hidden="1"/>
    <col min="8961" max="8962" width="12.85546875" style="12" hidden="1"/>
    <col min="8963" max="8963" width="9.7109375" style="12" hidden="1"/>
    <col min="8964" max="8964" width="7.28515625" style="12" hidden="1"/>
    <col min="8965" max="8965" width="8.140625" style="12" hidden="1"/>
    <col min="8966" max="8966" width="12.85546875" style="12" hidden="1"/>
    <col min="8967" max="8968" width="13.28515625" style="12" hidden="1"/>
    <col min="8969" max="9215" width="10.42578125" style="12" hidden="1"/>
    <col min="9216" max="9216" width="8.42578125" style="12" hidden="1"/>
    <col min="9217" max="9218" width="12.85546875" style="12" hidden="1"/>
    <col min="9219" max="9219" width="9.7109375" style="12" hidden="1"/>
    <col min="9220" max="9220" width="7.28515625" style="12" hidden="1"/>
    <col min="9221" max="9221" width="8.140625" style="12" hidden="1"/>
    <col min="9222" max="9222" width="12.85546875" style="12" hidden="1"/>
    <col min="9223" max="9224" width="13.28515625" style="12" hidden="1"/>
    <col min="9225" max="9471" width="10.42578125" style="12" hidden="1"/>
    <col min="9472" max="9472" width="8.42578125" style="12" hidden="1"/>
    <col min="9473" max="9474" width="12.85546875" style="12" hidden="1"/>
    <col min="9475" max="9475" width="9.7109375" style="12" hidden="1"/>
    <col min="9476" max="9476" width="7.28515625" style="12" hidden="1"/>
    <col min="9477" max="9477" width="8.140625" style="12" hidden="1"/>
    <col min="9478" max="9478" width="12.85546875" style="12" hidden="1"/>
    <col min="9479" max="9480" width="13.28515625" style="12" hidden="1"/>
    <col min="9481" max="9727" width="10.42578125" style="12" hidden="1"/>
    <col min="9728" max="9728" width="8.42578125" style="12" hidden="1"/>
    <col min="9729" max="9730" width="12.85546875" style="12" hidden="1"/>
    <col min="9731" max="9731" width="9.7109375" style="12" hidden="1"/>
    <col min="9732" max="9732" width="7.28515625" style="12" hidden="1"/>
    <col min="9733" max="9733" width="8.140625" style="12" hidden="1"/>
    <col min="9734" max="9734" width="12.85546875" style="12" hidden="1"/>
    <col min="9735" max="9736" width="13.28515625" style="12" hidden="1"/>
    <col min="9737" max="9983" width="10.42578125" style="12" hidden="1"/>
    <col min="9984" max="9984" width="8.42578125" style="12" hidden="1"/>
    <col min="9985" max="9986" width="12.85546875" style="12" hidden="1"/>
    <col min="9987" max="9987" width="9.7109375" style="12" hidden="1"/>
    <col min="9988" max="9988" width="7.28515625" style="12" hidden="1"/>
    <col min="9989" max="9989" width="8.140625" style="12" hidden="1"/>
    <col min="9990" max="9990" width="12.85546875" style="12" hidden="1"/>
    <col min="9991" max="9992" width="13.28515625" style="12" hidden="1"/>
    <col min="9993" max="10239" width="10.42578125" style="12" hidden="1"/>
    <col min="10240" max="10240" width="8.42578125" style="12" hidden="1"/>
    <col min="10241" max="10242" width="12.85546875" style="12" hidden="1"/>
    <col min="10243" max="10243" width="9.7109375" style="12" hidden="1"/>
    <col min="10244" max="10244" width="7.28515625" style="12" hidden="1"/>
    <col min="10245" max="10245" width="8.140625" style="12" hidden="1"/>
    <col min="10246" max="10246" width="12.85546875" style="12" hidden="1"/>
    <col min="10247" max="10248" width="13.28515625" style="12" hidden="1"/>
    <col min="10249" max="10495" width="10.42578125" style="12" hidden="1"/>
    <col min="10496" max="10496" width="8.42578125" style="12" hidden="1"/>
    <col min="10497" max="10498" width="12.85546875" style="12" hidden="1"/>
    <col min="10499" max="10499" width="9.7109375" style="12" hidden="1"/>
    <col min="10500" max="10500" width="7.28515625" style="12" hidden="1"/>
    <col min="10501" max="10501" width="8.140625" style="12" hidden="1"/>
    <col min="10502" max="10502" width="12.85546875" style="12" hidden="1"/>
    <col min="10503" max="10504" width="13.28515625" style="12" hidden="1"/>
    <col min="10505" max="10751" width="10.42578125" style="12" hidden="1"/>
    <col min="10752" max="10752" width="8.42578125" style="12" hidden="1"/>
    <col min="10753" max="10754" width="12.85546875" style="12" hidden="1"/>
    <col min="10755" max="10755" width="9.7109375" style="12" hidden="1"/>
    <col min="10756" max="10756" width="7.28515625" style="12" hidden="1"/>
    <col min="10757" max="10757" width="8.140625" style="12" hidden="1"/>
    <col min="10758" max="10758" width="12.85546875" style="12" hidden="1"/>
    <col min="10759" max="10760" width="13.28515625" style="12" hidden="1"/>
    <col min="10761" max="11007" width="10.42578125" style="12" hidden="1"/>
    <col min="11008" max="11008" width="8.42578125" style="12" hidden="1"/>
    <col min="11009" max="11010" width="12.85546875" style="12" hidden="1"/>
    <col min="11011" max="11011" width="9.7109375" style="12" hidden="1"/>
    <col min="11012" max="11012" width="7.28515625" style="12" hidden="1"/>
    <col min="11013" max="11013" width="8.140625" style="12" hidden="1"/>
    <col min="11014" max="11014" width="12.85546875" style="12" hidden="1"/>
    <col min="11015" max="11016" width="13.28515625" style="12" hidden="1"/>
    <col min="11017" max="11263" width="10.42578125" style="12" hidden="1"/>
    <col min="11264" max="11264" width="8.42578125" style="12" hidden="1"/>
    <col min="11265" max="11266" width="12.85546875" style="12" hidden="1"/>
    <col min="11267" max="11267" width="9.7109375" style="12" hidden="1"/>
    <col min="11268" max="11268" width="7.28515625" style="12" hidden="1"/>
    <col min="11269" max="11269" width="8.140625" style="12" hidden="1"/>
    <col min="11270" max="11270" width="12.85546875" style="12" hidden="1"/>
    <col min="11271" max="11272" width="13.28515625" style="12" hidden="1"/>
    <col min="11273" max="11519" width="10.42578125" style="12" hidden="1"/>
    <col min="11520" max="11520" width="8.42578125" style="12" hidden="1"/>
    <col min="11521" max="11522" width="12.85546875" style="12" hidden="1"/>
    <col min="11523" max="11523" width="9.7109375" style="12" hidden="1"/>
    <col min="11524" max="11524" width="7.28515625" style="12" hidden="1"/>
    <col min="11525" max="11525" width="8.140625" style="12" hidden="1"/>
    <col min="11526" max="11526" width="12.85546875" style="12" hidden="1"/>
    <col min="11527" max="11528" width="13.28515625" style="12" hidden="1"/>
    <col min="11529" max="11775" width="10.42578125" style="12" hidden="1"/>
    <col min="11776" max="11776" width="8.42578125" style="12" hidden="1"/>
    <col min="11777" max="11778" width="12.85546875" style="12" hidden="1"/>
    <col min="11779" max="11779" width="9.7109375" style="12" hidden="1"/>
    <col min="11780" max="11780" width="7.28515625" style="12" hidden="1"/>
    <col min="11781" max="11781" width="8.140625" style="12" hidden="1"/>
    <col min="11782" max="11782" width="12.85546875" style="12" hidden="1"/>
    <col min="11783" max="11784" width="13.28515625" style="12" hidden="1"/>
    <col min="11785" max="12031" width="10.42578125" style="12" hidden="1"/>
    <col min="12032" max="12032" width="8.42578125" style="12" hidden="1"/>
    <col min="12033" max="12034" width="12.85546875" style="12" hidden="1"/>
    <col min="12035" max="12035" width="9.7109375" style="12" hidden="1"/>
    <col min="12036" max="12036" width="7.28515625" style="12" hidden="1"/>
    <col min="12037" max="12037" width="8.140625" style="12" hidden="1"/>
    <col min="12038" max="12038" width="12.85546875" style="12" hidden="1"/>
    <col min="12039" max="12040" width="13.28515625" style="12" hidden="1"/>
    <col min="12041" max="12287" width="10.42578125" style="12" hidden="1"/>
    <col min="12288" max="12288" width="8.42578125" style="12" hidden="1"/>
    <col min="12289" max="12290" width="12.85546875" style="12" hidden="1"/>
    <col min="12291" max="12291" width="9.7109375" style="12" hidden="1"/>
    <col min="12292" max="12292" width="7.28515625" style="12" hidden="1"/>
    <col min="12293" max="12293" width="8.140625" style="12" hidden="1"/>
    <col min="12294" max="12294" width="12.85546875" style="12" hidden="1"/>
    <col min="12295" max="12296" width="13.28515625" style="12" hidden="1"/>
    <col min="12297" max="12543" width="10.42578125" style="12" hidden="1"/>
    <col min="12544" max="12544" width="8.42578125" style="12" hidden="1"/>
    <col min="12545" max="12546" width="12.85546875" style="12" hidden="1"/>
    <col min="12547" max="12547" width="9.7109375" style="12" hidden="1"/>
    <col min="12548" max="12548" width="7.28515625" style="12" hidden="1"/>
    <col min="12549" max="12549" width="8.140625" style="12" hidden="1"/>
    <col min="12550" max="12550" width="12.85546875" style="12" hidden="1"/>
    <col min="12551" max="12552" width="13.28515625" style="12" hidden="1"/>
    <col min="12553" max="12799" width="10.42578125" style="12" hidden="1"/>
    <col min="12800" max="12800" width="8.42578125" style="12" hidden="1"/>
    <col min="12801" max="12802" width="12.85546875" style="12" hidden="1"/>
    <col min="12803" max="12803" width="9.7109375" style="12" hidden="1"/>
    <col min="12804" max="12804" width="7.28515625" style="12" hidden="1"/>
    <col min="12805" max="12805" width="8.140625" style="12" hidden="1"/>
    <col min="12806" max="12806" width="12.85546875" style="12" hidden="1"/>
    <col min="12807" max="12808" width="13.28515625" style="12" hidden="1"/>
    <col min="12809" max="13055" width="10.42578125" style="12" hidden="1"/>
    <col min="13056" max="13056" width="8.42578125" style="12" hidden="1"/>
    <col min="13057" max="13058" width="12.85546875" style="12" hidden="1"/>
    <col min="13059" max="13059" width="9.7109375" style="12" hidden="1"/>
    <col min="13060" max="13060" width="7.28515625" style="12" hidden="1"/>
    <col min="13061" max="13061" width="8.140625" style="12" hidden="1"/>
    <col min="13062" max="13062" width="12.85546875" style="12" hidden="1"/>
    <col min="13063" max="13064" width="13.28515625" style="12" hidden="1"/>
    <col min="13065" max="13311" width="10.42578125" style="12" hidden="1"/>
    <col min="13312" max="13312" width="8.42578125" style="12" hidden="1"/>
    <col min="13313" max="13314" width="12.85546875" style="12" hidden="1"/>
    <col min="13315" max="13315" width="9.7109375" style="12" hidden="1"/>
    <col min="13316" max="13316" width="7.28515625" style="12" hidden="1"/>
    <col min="13317" max="13317" width="8.140625" style="12" hidden="1"/>
    <col min="13318" max="13318" width="12.85546875" style="12" hidden="1"/>
    <col min="13319" max="13320" width="13.28515625" style="12" hidden="1"/>
    <col min="13321" max="13567" width="10.42578125" style="12" hidden="1"/>
    <col min="13568" max="13568" width="8.42578125" style="12" hidden="1"/>
    <col min="13569" max="13570" width="12.85546875" style="12" hidden="1"/>
    <col min="13571" max="13571" width="9.7109375" style="12" hidden="1"/>
    <col min="13572" max="13572" width="7.28515625" style="12" hidden="1"/>
    <col min="13573" max="13573" width="8.140625" style="12" hidden="1"/>
    <col min="13574" max="13574" width="12.85546875" style="12" hidden="1"/>
    <col min="13575" max="13576" width="13.28515625" style="12" hidden="1"/>
    <col min="13577" max="13823" width="10.42578125" style="12" hidden="1"/>
    <col min="13824" max="13824" width="8.42578125" style="12" hidden="1"/>
    <col min="13825" max="13826" width="12.85546875" style="12" hidden="1"/>
    <col min="13827" max="13827" width="9.7109375" style="12" hidden="1"/>
    <col min="13828" max="13828" width="7.28515625" style="12" hidden="1"/>
    <col min="13829" max="13829" width="8.140625" style="12" hidden="1"/>
    <col min="13830" max="13830" width="12.85546875" style="12" hidden="1"/>
    <col min="13831" max="13832" width="13.28515625" style="12" hidden="1"/>
    <col min="13833" max="14079" width="10.42578125" style="12" hidden="1"/>
    <col min="14080" max="14080" width="8.42578125" style="12" hidden="1"/>
    <col min="14081" max="14082" width="12.85546875" style="12" hidden="1"/>
    <col min="14083" max="14083" width="9.7109375" style="12" hidden="1"/>
    <col min="14084" max="14084" width="7.28515625" style="12" hidden="1"/>
    <col min="14085" max="14085" width="8.140625" style="12" hidden="1"/>
    <col min="14086" max="14086" width="12.85546875" style="12" hidden="1"/>
    <col min="14087" max="14088" width="13.28515625" style="12" hidden="1"/>
    <col min="14089" max="14335" width="10.42578125" style="12" hidden="1"/>
    <col min="14336" max="14336" width="8.42578125" style="12" hidden="1"/>
    <col min="14337" max="14338" width="12.85546875" style="12" hidden="1"/>
    <col min="14339" max="14339" width="9.7109375" style="12" hidden="1"/>
    <col min="14340" max="14340" width="7.28515625" style="12" hidden="1"/>
    <col min="14341" max="14341" width="8.140625" style="12" hidden="1"/>
    <col min="14342" max="14342" width="12.85546875" style="12" hidden="1"/>
    <col min="14343" max="14344" width="13.28515625" style="12" hidden="1"/>
    <col min="14345" max="14591" width="10.42578125" style="12" hidden="1"/>
    <col min="14592" max="14592" width="8.42578125" style="12" hidden="1"/>
    <col min="14593" max="14594" width="12.85546875" style="12" hidden="1"/>
    <col min="14595" max="14595" width="9.7109375" style="12" hidden="1"/>
    <col min="14596" max="14596" width="7.28515625" style="12" hidden="1"/>
    <col min="14597" max="14597" width="8.140625" style="12" hidden="1"/>
    <col min="14598" max="14598" width="12.85546875" style="12" hidden="1"/>
    <col min="14599" max="14600" width="13.28515625" style="12" hidden="1"/>
    <col min="14601" max="14847" width="10.42578125" style="12" hidden="1"/>
    <col min="14848" max="14848" width="8.42578125" style="12" hidden="1"/>
    <col min="14849" max="14850" width="12.85546875" style="12" hidden="1"/>
    <col min="14851" max="14851" width="9.7109375" style="12" hidden="1"/>
    <col min="14852" max="14852" width="7.28515625" style="12" hidden="1"/>
    <col min="14853" max="14853" width="8.140625" style="12" hidden="1"/>
    <col min="14854" max="14854" width="12.85546875" style="12" hidden="1"/>
    <col min="14855" max="14856" width="13.28515625" style="12" hidden="1"/>
    <col min="14857" max="15103" width="10.42578125" style="12" hidden="1"/>
    <col min="15104" max="15104" width="8.42578125" style="12" hidden="1"/>
    <col min="15105" max="15106" width="12.85546875" style="12" hidden="1"/>
    <col min="15107" max="15107" width="9.7109375" style="12" hidden="1"/>
    <col min="15108" max="15108" width="7.28515625" style="12" hidden="1"/>
    <col min="15109" max="15109" width="8.140625" style="12" hidden="1"/>
    <col min="15110" max="15110" width="12.85546875" style="12" hidden="1"/>
    <col min="15111" max="15112" width="13.28515625" style="12" hidden="1"/>
    <col min="15113" max="15359" width="10.42578125" style="12" hidden="1"/>
    <col min="15360" max="15360" width="8.42578125" style="12" hidden="1"/>
    <col min="15361" max="15362" width="12.85546875" style="12" hidden="1"/>
    <col min="15363" max="15363" width="9.7109375" style="12" hidden="1"/>
    <col min="15364" max="15364" width="7.28515625" style="12" hidden="1"/>
    <col min="15365" max="15365" width="8.140625" style="12" hidden="1"/>
    <col min="15366" max="15366" width="12.85546875" style="12" hidden="1"/>
    <col min="15367" max="15368" width="13.28515625" style="12" hidden="1"/>
    <col min="15369" max="15615" width="10.42578125" style="12" hidden="1"/>
    <col min="15616" max="15616" width="8.42578125" style="12" hidden="1"/>
    <col min="15617" max="15618" width="12.85546875" style="12" hidden="1"/>
    <col min="15619" max="15619" width="9.7109375" style="12" hidden="1"/>
    <col min="15620" max="15620" width="7.28515625" style="12" hidden="1"/>
    <col min="15621" max="15621" width="8.140625" style="12" hidden="1"/>
    <col min="15622" max="15622" width="12.85546875" style="12" hidden="1"/>
    <col min="15623" max="15624" width="13.28515625" style="12" hidden="1"/>
    <col min="15625" max="15871" width="10.42578125" style="12" hidden="1"/>
    <col min="15872" max="15872" width="8.42578125" style="12" hidden="1"/>
    <col min="15873" max="15874" width="12.85546875" style="12" hidden="1"/>
    <col min="15875" max="15875" width="9.7109375" style="12" hidden="1"/>
    <col min="15876" max="15876" width="7.28515625" style="12" hidden="1"/>
    <col min="15877" max="15877" width="8.140625" style="12" hidden="1"/>
    <col min="15878" max="15878" width="12.85546875" style="12" hidden="1"/>
    <col min="15879" max="15880" width="13.28515625" style="12" hidden="1"/>
    <col min="15881" max="16127" width="10.42578125" style="12" hidden="1"/>
    <col min="16128" max="16128" width="8.42578125" style="12" hidden="1"/>
    <col min="16129" max="16130" width="12.85546875" style="12" hidden="1"/>
    <col min="16131" max="16131" width="9.7109375" style="12" hidden="1"/>
    <col min="16132" max="16132" width="7.28515625" style="12" hidden="1"/>
    <col min="16133" max="16133" width="8.140625" style="12" hidden="1"/>
    <col min="16134" max="16134" width="12.85546875" style="12" hidden="1"/>
    <col min="16135" max="16136" width="13.28515625" style="12" hidden="1"/>
    <col min="16137" max="16384" width="10.42578125" style="12" hidden="1"/>
  </cols>
  <sheetData>
    <row r="1" spans="2:8" ht="15" x14ac:dyDescent="0.3">
      <c r="B1" s="1" t="s">
        <v>93</v>
      </c>
      <c r="C1" s="2"/>
      <c r="D1" s="122"/>
      <c r="E1" s="10"/>
      <c r="F1" s="132"/>
      <c r="G1" s="2"/>
      <c r="H1" s="11" t="s">
        <v>88</v>
      </c>
    </row>
    <row r="2" spans="2:8" ht="15" x14ac:dyDescent="0.3">
      <c r="B2" s="1" t="s">
        <v>94</v>
      </c>
      <c r="C2" s="1"/>
      <c r="D2" s="123"/>
      <c r="E2" s="10"/>
      <c r="F2" s="132"/>
      <c r="G2" s="2"/>
    </row>
    <row r="3" spans="2:8" x14ac:dyDescent="0.25">
      <c r="B3" s="2"/>
      <c r="C3" s="2"/>
      <c r="D3" s="122"/>
      <c r="E3" s="10"/>
      <c r="F3" s="132"/>
      <c r="G3" s="2"/>
      <c r="H3" s="13"/>
    </row>
    <row r="4" spans="2:8" ht="15" x14ac:dyDescent="0.25">
      <c r="B4" s="3" t="s">
        <v>0</v>
      </c>
      <c r="C4" s="4" t="s">
        <v>95</v>
      </c>
      <c r="D4" s="124"/>
      <c r="E4" s="14"/>
      <c r="F4" s="133"/>
      <c r="G4" s="6" t="s">
        <v>10</v>
      </c>
      <c r="H4" s="7"/>
    </row>
    <row r="5" spans="2:8" ht="15" x14ac:dyDescent="0.25">
      <c r="B5" s="3" t="s">
        <v>1</v>
      </c>
      <c r="C5" s="4" t="s">
        <v>96</v>
      </c>
      <c r="D5" s="124"/>
      <c r="E5" s="15"/>
      <c r="F5" s="134"/>
      <c r="G5" s="6" t="s">
        <v>97</v>
      </c>
      <c r="H5" s="8"/>
    </row>
    <row r="6" spans="2:8" ht="15" x14ac:dyDescent="0.25">
      <c r="B6" s="3" t="s">
        <v>2</v>
      </c>
      <c r="C6" s="5" t="s">
        <v>34</v>
      </c>
      <c r="D6" s="125"/>
      <c r="E6" s="15"/>
      <c r="F6" s="134"/>
      <c r="G6" s="6" t="s">
        <v>11</v>
      </c>
      <c r="H6" s="9"/>
    </row>
    <row r="7" spans="2:8" ht="15" x14ac:dyDescent="0.25">
      <c r="G7" s="6" t="s">
        <v>98</v>
      </c>
      <c r="H7" s="8"/>
    </row>
    <row r="8" spans="2:8" ht="15" x14ac:dyDescent="0.3">
      <c r="B8" s="16" t="s">
        <v>5</v>
      </c>
      <c r="C8" s="16"/>
      <c r="D8" s="127"/>
      <c r="E8" s="16"/>
      <c r="F8" s="127"/>
      <c r="G8" s="16"/>
      <c r="H8" s="16"/>
    </row>
    <row r="9" spans="2:8" ht="15" x14ac:dyDescent="0.3">
      <c r="B9" s="17"/>
      <c r="C9" s="17"/>
      <c r="D9" s="128"/>
      <c r="E9" s="17"/>
      <c r="F9" s="128"/>
      <c r="G9" s="17"/>
      <c r="H9" s="17"/>
    </row>
    <row r="10" spans="2:8" ht="30" x14ac:dyDescent="0.25">
      <c r="B10" s="18" t="s">
        <v>6</v>
      </c>
      <c r="C10" s="18" t="s">
        <v>22</v>
      </c>
      <c r="D10" s="129"/>
      <c r="E10" s="19" t="s">
        <v>21</v>
      </c>
      <c r="F10" s="136"/>
      <c r="G10" s="19" t="s">
        <v>7</v>
      </c>
      <c r="H10" s="19" t="s">
        <v>8</v>
      </c>
    </row>
    <row r="11" spans="2:8" x14ac:dyDescent="0.25">
      <c r="B11" s="119"/>
      <c r="C11" s="120"/>
      <c r="E11" s="119"/>
      <c r="G11" s="120"/>
      <c r="H11" s="121"/>
    </row>
    <row r="12" spans="2:8" x14ac:dyDescent="0.25">
      <c r="B12" s="20">
        <v>1</v>
      </c>
      <c r="C12" s="21" t="s">
        <v>19</v>
      </c>
      <c r="D12" s="130"/>
      <c r="E12" s="20" t="str">
        <f>$H$1&amp;" - "&amp;B12</f>
        <v>BS.06 - 1</v>
      </c>
      <c r="F12" s="137"/>
      <c r="G12" s="21"/>
      <c r="H12" s="22"/>
    </row>
    <row r="13" spans="2:8" x14ac:dyDescent="0.25">
      <c r="B13" s="20"/>
      <c r="C13" s="21"/>
      <c r="D13" s="130"/>
      <c r="E13" s="20"/>
      <c r="F13" s="137"/>
      <c r="G13" s="21"/>
      <c r="H13" s="22"/>
    </row>
    <row r="14" spans="2:8" x14ac:dyDescent="0.25">
      <c r="B14" s="20">
        <f>B12+1</f>
        <v>2</v>
      </c>
      <c r="C14" s="21" t="s">
        <v>20</v>
      </c>
      <c r="D14" s="130"/>
      <c r="E14" s="20" t="str">
        <f>$H$1&amp;" - "&amp;B14</f>
        <v>BS.06 - 2</v>
      </c>
      <c r="F14" s="137"/>
      <c r="G14" s="21"/>
      <c r="H14" s="22"/>
    </row>
    <row r="15" spans="2:8" x14ac:dyDescent="0.25">
      <c r="B15" s="20"/>
      <c r="C15" s="21"/>
      <c r="D15" s="130"/>
      <c r="E15" s="20"/>
      <c r="F15" s="137"/>
      <c r="G15" s="21"/>
      <c r="H15" s="22"/>
    </row>
    <row r="16" spans="2:8" x14ac:dyDescent="0.25">
      <c r="B16" s="20">
        <f>B14+1</f>
        <v>3</v>
      </c>
      <c r="C16" s="21" t="s">
        <v>33</v>
      </c>
      <c r="D16" s="130"/>
      <c r="E16" s="20" t="str">
        <f>$H$1&amp;" - "&amp;B16</f>
        <v>BS.06 - 3</v>
      </c>
      <c r="F16" s="137"/>
      <c r="G16" s="21"/>
      <c r="H16" s="22"/>
    </row>
    <row r="17" spans="2:8" x14ac:dyDescent="0.25">
      <c r="B17" s="20"/>
      <c r="C17" s="21"/>
      <c r="D17" s="130"/>
      <c r="E17" s="20"/>
      <c r="F17" s="137"/>
      <c r="G17" s="21"/>
      <c r="H17" s="22"/>
    </row>
    <row r="18" spans="2:8" x14ac:dyDescent="0.25">
      <c r="B18" s="20">
        <f>B16+1</f>
        <v>4</v>
      </c>
      <c r="C18" s="21" t="s">
        <v>75</v>
      </c>
      <c r="D18" s="130"/>
      <c r="E18" s="20" t="str">
        <f>$H$1&amp;" - "&amp;B18</f>
        <v>BS.06 - 4</v>
      </c>
      <c r="F18" s="137"/>
      <c r="G18" s="21"/>
      <c r="H18" s="22"/>
    </row>
    <row r="19" spans="2:8" x14ac:dyDescent="0.25">
      <c r="B19" s="20"/>
      <c r="C19" s="21"/>
      <c r="D19" s="130"/>
      <c r="E19" s="20"/>
      <c r="F19" s="137"/>
      <c r="G19" s="21"/>
      <c r="H19" s="22"/>
    </row>
    <row r="20" spans="2:8" x14ac:dyDescent="0.25">
      <c r="B20" s="20">
        <f>B18+1</f>
        <v>5</v>
      </c>
      <c r="C20" s="21" t="s">
        <v>41</v>
      </c>
      <c r="D20" s="130"/>
      <c r="E20" s="20" t="str">
        <f>$H$1&amp;" - "&amp;B20</f>
        <v>BS.06 - 5</v>
      </c>
      <c r="F20" s="137"/>
      <c r="G20" s="21"/>
      <c r="H20" s="22"/>
    </row>
    <row r="21" spans="2:8" x14ac:dyDescent="0.25">
      <c r="B21" s="20"/>
      <c r="C21" s="21"/>
      <c r="D21" s="130"/>
      <c r="E21" s="20"/>
      <c r="F21" s="137"/>
      <c r="G21" s="21"/>
      <c r="H21" s="22"/>
    </row>
    <row r="22" spans="2:8" x14ac:dyDescent="0.25">
      <c r="B22" s="20">
        <f>B20+1</f>
        <v>6</v>
      </c>
      <c r="C22" s="21" t="s">
        <v>42</v>
      </c>
      <c r="D22" s="130"/>
      <c r="E22" s="20" t="str">
        <f>$H$1&amp;" - "&amp;B22</f>
        <v>BS.06 - 6</v>
      </c>
      <c r="F22" s="137"/>
      <c r="G22" s="21"/>
      <c r="H22" s="22"/>
    </row>
    <row r="23" spans="2:8" x14ac:dyDescent="0.25">
      <c r="B23" s="20"/>
      <c r="C23" s="21"/>
      <c r="D23" s="130"/>
      <c r="E23" s="20"/>
      <c r="F23" s="137"/>
      <c r="G23" s="21"/>
      <c r="H23" s="22"/>
    </row>
    <row r="24" spans="2:8" x14ac:dyDescent="0.25">
      <c r="B24" s="20">
        <f>B22+1</f>
        <v>7</v>
      </c>
      <c r="C24" s="21" t="s">
        <v>58</v>
      </c>
      <c r="D24" s="130"/>
      <c r="E24" s="20" t="str">
        <f>$H$1&amp;" - "&amp;B24</f>
        <v>BS.06 - 7</v>
      </c>
      <c r="F24" s="137"/>
      <c r="G24" s="21"/>
      <c r="H24" s="22"/>
    </row>
    <row r="25" spans="2:8" x14ac:dyDescent="0.25">
      <c r="B25" s="20"/>
      <c r="C25" s="21"/>
      <c r="D25" s="130"/>
      <c r="E25" s="20"/>
      <c r="F25" s="137"/>
      <c r="G25" s="21"/>
      <c r="H25" s="22"/>
    </row>
    <row r="26" spans="2:8" x14ac:dyDescent="0.25">
      <c r="B26" s="20">
        <f>B24+1</f>
        <v>8</v>
      </c>
      <c r="C26" s="21" t="s">
        <v>76</v>
      </c>
      <c r="D26" s="130"/>
      <c r="E26" s="20" t="str">
        <f>$H$1&amp;" - "&amp;B26</f>
        <v>BS.06 - 8</v>
      </c>
      <c r="F26" s="137"/>
      <c r="G26" s="21"/>
      <c r="H26" s="22"/>
    </row>
    <row r="27" spans="2:8" x14ac:dyDescent="0.25">
      <c r="B27" s="20"/>
      <c r="C27" s="21"/>
      <c r="D27" s="130"/>
      <c r="E27" s="20"/>
      <c r="F27" s="137"/>
      <c r="G27" s="21"/>
      <c r="H27" s="22"/>
    </row>
    <row r="28" spans="2:8" x14ac:dyDescent="0.25">
      <c r="B28" s="20"/>
      <c r="C28" s="21"/>
      <c r="D28" s="130"/>
      <c r="E28" s="20"/>
      <c r="F28" s="137"/>
      <c r="G28" s="21"/>
      <c r="H28" s="22"/>
    </row>
    <row r="29" spans="2:8" x14ac:dyDescent="0.25">
      <c r="B29" s="20"/>
      <c r="C29" s="23"/>
      <c r="D29" s="131"/>
      <c r="E29" s="20"/>
      <c r="F29" s="137"/>
      <c r="G29" s="21"/>
      <c r="H29" s="22"/>
    </row>
    <row r="30" spans="2:8" x14ac:dyDescent="0.25">
      <c r="B30" s="20"/>
      <c r="C30" s="21"/>
      <c r="D30" s="130"/>
      <c r="E30" s="20"/>
      <c r="F30" s="137"/>
      <c r="G30" s="21"/>
      <c r="H30" s="22"/>
    </row>
    <row r="31" spans="2:8" x14ac:dyDescent="0.25">
      <c r="B31" s="20"/>
      <c r="C31" s="21"/>
      <c r="D31" s="130"/>
      <c r="E31" s="20"/>
      <c r="F31" s="137"/>
      <c r="G31" s="21"/>
      <c r="H31" s="22"/>
    </row>
    <row r="32" spans="2:8" x14ac:dyDescent="0.25">
      <c r="B32" s="20"/>
      <c r="C32" s="23"/>
      <c r="D32" s="131"/>
      <c r="E32" s="20"/>
      <c r="F32" s="137"/>
      <c r="G32" s="21"/>
      <c r="H32" s="22"/>
    </row>
    <row r="33" spans="2:8" x14ac:dyDescent="0.25">
      <c r="B33" s="20"/>
      <c r="C33" s="23"/>
      <c r="D33" s="131"/>
      <c r="E33" s="20"/>
      <c r="F33" s="137"/>
      <c r="G33" s="21"/>
      <c r="H33" s="22"/>
    </row>
    <row r="34" spans="2:8" x14ac:dyDescent="0.25">
      <c r="B34" s="20"/>
      <c r="C34" s="23"/>
      <c r="D34" s="131"/>
      <c r="E34" s="20"/>
      <c r="F34" s="137"/>
      <c r="G34" s="21"/>
      <c r="H34" s="22"/>
    </row>
    <row r="35" spans="2:8" x14ac:dyDescent="0.25">
      <c r="B35" s="20"/>
      <c r="C35" s="21"/>
      <c r="D35" s="130"/>
      <c r="E35" s="20"/>
      <c r="F35" s="137"/>
      <c r="G35" s="21"/>
      <c r="H35" s="22"/>
    </row>
    <row r="36" spans="2:8" x14ac:dyDescent="0.25">
      <c r="B36" s="20"/>
      <c r="C36" s="21"/>
      <c r="D36" s="130"/>
      <c r="E36" s="20"/>
      <c r="F36" s="137"/>
      <c r="G36" s="21"/>
      <c r="H36" s="22"/>
    </row>
    <row r="37" spans="2:8" x14ac:dyDescent="0.25">
      <c r="B37" s="20"/>
      <c r="C37" s="21"/>
      <c r="D37" s="130"/>
      <c r="E37" s="20"/>
      <c r="F37" s="137"/>
      <c r="G37" s="21"/>
      <c r="H37" s="22"/>
    </row>
    <row r="38" spans="2:8" x14ac:dyDescent="0.25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1"/>
  <sheetViews>
    <sheetView showGridLines="0" zoomScaleSheetLayoutView="100" workbookViewId="0">
      <selection activeCell="D4" sqref="D4"/>
    </sheetView>
  </sheetViews>
  <sheetFormatPr defaultColWidth="0" defaultRowHeight="13.5" zeroHeight="1" x14ac:dyDescent="0.25"/>
  <cols>
    <col min="1" max="1" width="1" style="13" customWidth="1"/>
    <col min="2" max="2" width="10" style="13" customWidth="1"/>
    <col min="3" max="3" width="61.42578125" style="13" customWidth="1"/>
    <col min="4" max="5" width="13.5703125" style="13" customWidth="1"/>
    <col min="6" max="6" width="1" style="13" customWidth="1"/>
    <col min="7" max="7" width="9.140625" style="13" hidden="1" customWidth="1"/>
    <col min="8" max="9" width="0" style="13" hidden="1" customWidth="1"/>
    <col min="10" max="16384" width="9.140625" style="13" hidden="1"/>
  </cols>
  <sheetData>
    <row r="1" spans="2:6" s="12" customFormat="1" ht="15" x14ac:dyDescent="0.25">
      <c r="B1" s="24" t="str">
        <f>Index!$B$1</f>
        <v>ABC &amp; Co.</v>
      </c>
      <c r="D1" s="25"/>
      <c r="E1" s="26" t="str">
        <f>Index!E12</f>
        <v>BS.06 - 1</v>
      </c>
    </row>
    <row r="2" spans="2:6" s="12" customFormat="1" ht="15" x14ac:dyDescent="0.25">
      <c r="B2" s="12" t="str">
        <f>Index!$B$2</f>
        <v>(Chartered Accountants)</v>
      </c>
      <c r="D2" s="25"/>
    </row>
    <row r="3" spans="2:6" s="12" customFormat="1" x14ac:dyDescent="0.25">
      <c r="E3" s="13"/>
      <c r="F3" s="13"/>
    </row>
    <row r="4" spans="2:6" s="12" customFormat="1" ht="15" x14ac:dyDescent="0.25">
      <c r="B4" s="3" t="str">
        <f>Index!B4</f>
        <v xml:space="preserve">Client: </v>
      </c>
      <c r="C4" s="27" t="str">
        <f>Index!C4</f>
        <v>ABC Limited</v>
      </c>
      <c r="D4" s="6" t="str">
        <f>Index!$G$4</f>
        <v>Prepared by:</v>
      </c>
      <c r="E4" s="7" t="str">
        <f>IF(Index!$H$4="","",Index!$H$4)</f>
        <v/>
      </c>
    </row>
    <row r="5" spans="2:6" s="12" customFormat="1" ht="15" x14ac:dyDescent="0.25">
      <c r="B5" s="3" t="str">
        <f>Index!B5</f>
        <v>Period:</v>
      </c>
      <c r="C5" s="27" t="str">
        <f>Index!C5</f>
        <v>Year ended June 30, 2023</v>
      </c>
      <c r="D5" s="6" t="str">
        <f>Index!$G$5</f>
        <v>Date prepared:</v>
      </c>
      <c r="E5" s="8" t="str">
        <f>IF(Index!$H$5="","",Index!$H$5)</f>
        <v/>
      </c>
    </row>
    <row r="6" spans="2:6" s="12" customFormat="1" ht="15" x14ac:dyDescent="0.25">
      <c r="B6" s="3" t="str">
        <f>Index!B6</f>
        <v>Head:</v>
      </c>
      <c r="C6" s="27" t="str">
        <f>Index!C6</f>
        <v>Long term deposits</v>
      </c>
      <c r="D6" s="6" t="str">
        <f>Index!$G$6</f>
        <v>Reviewed by:</v>
      </c>
      <c r="E6" s="9" t="str">
        <f>IF(Index!$H$6="","",Index!$H$6)</f>
        <v/>
      </c>
    </row>
    <row r="7" spans="2:6" ht="15" x14ac:dyDescent="0.25">
      <c r="B7" s="12"/>
      <c r="C7" s="12"/>
      <c r="D7" s="6" t="str">
        <f>Index!$G$7</f>
        <v>Date reviewed:</v>
      </c>
      <c r="E7" s="8" t="str">
        <f>IF(Index!$H$7="","",Index!$H$7)</f>
        <v/>
      </c>
      <c r="F7" s="12"/>
    </row>
    <row r="8" spans="2:6" s="12" customFormat="1" ht="15" x14ac:dyDescent="0.25">
      <c r="B8" s="24" t="str">
        <f>UPPER("Audit Objectives and Conclusions")</f>
        <v>AUDIT OBJECTIVES AND CONCLUSIONS</v>
      </c>
      <c r="C8" s="24"/>
      <c r="D8" s="24"/>
      <c r="E8" s="24"/>
      <c r="F8" s="24"/>
    </row>
    <row r="9" spans="2:6" x14ac:dyDescent="0.25"/>
    <row r="10" spans="2:6" ht="20.25" customHeight="1" x14ac:dyDescent="0.25">
      <c r="B10" s="105" t="s">
        <v>6</v>
      </c>
      <c r="C10" s="105" t="s">
        <v>14</v>
      </c>
      <c r="D10" s="103" t="s">
        <v>25</v>
      </c>
      <c r="E10" s="103"/>
      <c r="F10" s="29"/>
    </row>
    <row r="11" spans="2:6" ht="20.25" customHeight="1" x14ac:dyDescent="0.25">
      <c r="B11" s="105"/>
      <c r="C11" s="105"/>
      <c r="D11" s="28" t="s">
        <v>28</v>
      </c>
      <c r="E11" s="30" t="s">
        <v>29</v>
      </c>
      <c r="F11" s="29"/>
    </row>
    <row r="12" spans="2:6" s="31" customFormat="1" ht="15" x14ac:dyDescent="0.25">
      <c r="B12" s="51"/>
      <c r="C12" s="51"/>
      <c r="D12" s="52"/>
      <c r="E12" s="52"/>
    </row>
    <row r="13" spans="2:6" s="34" customFormat="1" ht="33" customHeight="1" x14ac:dyDescent="0.25">
      <c r="B13" s="32">
        <v>1</v>
      </c>
      <c r="C13" s="33" t="s">
        <v>35</v>
      </c>
      <c r="D13" s="33"/>
      <c r="E13" s="33"/>
    </row>
    <row r="14" spans="2:6" s="34" customFormat="1" ht="33" customHeight="1" x14ac:dyDescent="0.25">
      <c r="B14" s="32">
        <f>B13+1</f>
        <v>2</v>
      </c>
      <c r="C14" s="33" t="s">
        <v>36</v>
      </c>
      <c r="D14" s="33"/>
      <c r="E14" s="33"/>
    </row>
    <row r="15" spans="2:6" s="34" customFormat="1" ht="53.25" customHeight="1" x14ac:dyDescent="0.25">
      <c r="B15" s="32">
        <f>B14+1</f>
        <v>3</v>
      </c>
      <c r="C15" s="33" t="s">
        <v>37</v>
      </c>
      <c r="D15" s="33"/>
      <c r="E15" s="33"/>
    </row>
    <row r="16" spans="2:6" s="34" customFormat="1" ht="36.75" customHeight="1" x14ac:dyDescent="0.25">
      <c r="B16" s="32">
        <f>B15+1</f>
        <v>4</v>
      </c>
      <c r="C16" s="33" t="s">
        <v>38</v>
      </c>
      <c r="D16" s="33"/>
      <c r="E16" s="33"/>
    </row>
    <row r="17" spans="2:9" s="34" customFormat="1" ht="51.75" customHeight="1" x14ac:dyDescent="0.25">
      <c r="B17" s="32">
        <f>B16+1</f>
        <v>5</v>
      </c>
      <c r="C17" s="33" t="s">
        <v>91</v>
      </c>
      <c r="D17" s="33"/>
      <c r="E17" s="33"/>
    </row>
    <row r="18" spans="2:9" s="38" customFormat="1" x14ac:dyDescent="0.25">
      <c r="B18" s="35"/>
      <c r="C18" s="36"/>
      <c r="D18" s="37"/>
      <c r="E18" s="37"/>
    </row>
    <row r="19" spans="2:9" s="38" customFormat="1" x14ac:dyDescent="0.25">
      <c r="B19" s="39"/>
      <c r="C19" s="40"/>
    </row>
    <row r="20" spans="2:9" s="34" customFormat="1" ht="19.5" customHeight="1" x14ac:dyDescent="0.25">
      <c r="B20" s="106" t="s">
        <v>6</v>
      </c>
      <c r="C20" s="106" t="s">
        <v>27</v>
      </c>
      <c r="D20" s="104" t="s">
        <v>26</v>
      </c>
      <c r="E20" s="104"/>
    </row>
    <row r="21" spans="2:9" s="43" customFormat="1" ht="19.5" customHeight="1" x14ac:dyDescent="0.25">
      <c r="B21" s="106"/>
      <c r="C21" s="106"/>
      <c r="D21" s="42" t="s">
        <v>28</v>
      </c>
      <c r="E21" s="41" t="s">
        <v>29</v>
      </c>
    </row>
    <row r="22" spans="2:9" s="43" customFormat="1" ht="15" x14ac:dyDescent="0.25">
      <c r="B22" s="53"/>
      <c r="C22" s="54"/>
      <c r="D22" s="55"/>
      <c r="E22" s="55"/>
    </row>
    <row r="23" spans="2:9" s="46" customFormat="1" ht="34.5" customHeight="1" x14ac:dyDescent="0.25">
      <c r="B23" s="44">
        <v>1</v>
      </c>
      <c r="C23" s="45" t="s">
        <v>23</v>
      </c>
      <c r="D23" s="45"/>
      <c r="E23" s="45"/>
    </row>
    <row r="24" spans="2:9" s="46" customFormat="1" ht="34.5" customHeight="1" x14ac:dyDescent="0.25">
      <c r="B24" s="44">
        <f>B23+1</f>
        <v>2</v>
      </c>
      <c r="C24" s="45" t="s">
        <v>24</v>
      </c>
      <c r="D24" s="45"/>
      <c r="E24" s="45"/>
    </row>
    <row r="25" spans="2:9" s="46" customFormat="1" ht="48.75" customHeight="1" x14ac:dyDescent="0.25">
      <c r="B25" s="44">
        <f>B24+1</f>
        <v>3</v>
      </c>
      <c r="C25" s="45" t="s">
        <v>55</v>
      </c>
      <c r="D25" s="45"/>
      <c r="E25" s="45"/>
    </row>
    <row r="26" spans="2:9" s="46" customFormat="1" ht="34.5" customHeight="1" x14ac:dyDescent="0.25">
      <c r="B26" s="44">
        <f>B25+1</f>
        <v>4</v>
      </c>
      <c r="C26" s="45" t="s">
        <v>56</v>
      </c>
      <c r="D26" s="45"/>
      <c r="E26" s="45"/>
    </row>
    <row r="27" spans="2:9" s="34" customFormat="1" x14ac:dyDescent="0.25">
      <c r="B27" s="47"/>
      <c r="C27" s="33"/>
      <c r="D27" s="33"/>
      <c r="E27" s="33"/>
    </row>
    <row r="28" spans="2:9" s="43" customFormat="1" x14ac:dyDescent="0.25">
      <c r="B28" s="48"/>
      <c r="C28" s="49"/>
    </row>
    <row r="29" spans="2:9" s="43" customFormat="1" hidden="1" x14ac:dyDescent="0.25"/>
    <row r="30" spans="2:9" s="43" customFormat="1" ht="15" hidden="1" x14ac:dyDescent="0.25">
      <c r="D30" s="50"/>
      <c r="E30" s="50"/>
      <c r="F30" s="50"/>
      <c r="G30" s="50"/>
      <c r="H30" s="50"/>
      <c r="I30" s="50"/>
    </row>
    <row r="31" spans="2:9" s="43" customFormat="1" hidden="1" x14ac:dyDescent="0.25"/>
  </sheetData>
  <mergeCells count="6">
    <mergeCell ref="D10:E10"/>
    <mergeCell ref="D20:E20"/>
    <mergeCell ref="C10:C11"/>
    <mergeCell ref="B10:B11"/>
    <mergeCell ref="B20:B21"/>
    <mergeCell ref="C20:C2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9"/>
  <sheetViews>
    <sheetView showGridLines="0" topLeftCell="A9" zoomScaleSheetLayoutView="100" workbookViewId="0">
      <selection activeCell="B44" sqref="B44"/>
    </sheetView>
  </sheetViews>
  <sheetFormatPr defaultColWidth="0" defaultRowHeight="13.5" zeroHeight="1" x14ac:dyDescent="0.25"/>
  <cols>
    <col min="1" max="1" width="1" style="13" customWidth="1"/>
    <col min="2" max="2" width="12" style="43" customWidth="1"/>
    <col min="3" max="3" width="33" style="43" customWidth="1"/>
    <col min="4" max="4" width="2.7109375" style="43" customWidth="1"/>
    <col min="5" max="5" width="11.7109375" style="43" bestFit="1" customWidth="1"/>
    <col min="6" max="6" width="2.7109375" style="43" customWidth="1"/>
    <col min="7" max="10" width="14.42578125" style="43" customWidth="1"/>
    <col min="11" max="11" width="21.7109375" style="43" bestFit="1" customWidth="1"/>
    <col min="12" max="12" width="1" style="13" customWidth="1"/>
    <col min="13" max="16384" width="9.140625" style="43" hidden="1"/>
  </cols>
  <sheetData>
    <row r="1" spans="1:16" ht="15" x14ac:dyDescent="0.3">
      <c r="A1" s="12"/>
      <c r="B1" s="1" t="str">
        <f>Index!B1</f>
        <v>ABC &amp; Co.</v>
      </c>
      <c r="G1" s="50"/>
      <c r="J1" s="12"/>
      <c r="K1" s="56" t="str">
        <f>Index!E16</f>
        <v>BS.06 - 3</v>
      </c>
      <c r="L1" s="43"/>
    </row>
    <row r="2" spans="1:16" x14ac:dyDescent="0.25">
      <c r="A2" s="12"/>
      <c r="B2" s="2" t="str">
        <f>Index!B2</f>
        <v>(Chartered Accountants)</v>
      </c>
      <c r="E2" s="57"/>
      <c r="F2" s="57"/>
      <c r="G2" s="13"/>
      <c r="J2" s="12"/>
      <c r="L2" s="43"/>
    </row>
    <row r="3" spans="1:16" x14ac:dyDescent="0.25">
      <c r="A3" s="12"/>
      <c r="L3" s="12"/>
    </row>
    <row r="4" spans="1:16" s="2" customFormat="1" ht="15" x14ac:dyDescent="0.25">
      <c r="A4" s="13"/>
      <c r="B4" s="3" t="s">
        <v>0</v>
      </c>
      <c r="C4" s="27" t="str">
        <f>Index!C4</f>
        <v>ABC Limited</v>
      </c>
      <c r="D4" s="78"/>
      <c r="J4" s="6" t="str">
        <f>Index!$G$4</f>
        <v>Prepared by:</v>
      </c>
      <c r="K4" s="7" t="str">
        <f>IF(Index!$H$4="","",Index!$H$4)</f>
        <v/>
      </c>
      <c r="L4" s="13"/>
    </row>
    <row r="5" spans="1:16" s="2" customFormat="1" ht="15" x14ac:dyDescent="0.25">
      <c r="A5" s="12"/>
      <c r="B5" s="3" t="s">
        <v>1</v>
      </c>
      <c r="C5" s="27" t="str">
        <f>Index!C5</f>
        <v>Year ended June 30, 2023</v>
      </c>
      <c r="D5" s="78"/>
      <c r="J5" s="6" t="str">
        <f>Index!$G$5</f>
        <v>Date prepared:</v>
      </c>
      <c r="K5" s="8" t="str">
        <f>IF(Index!$H$5="","",Index!$H$5)</f>
        <v/>
      </c>
      <c r="L5" s="12"/>
    </row>
    <row r="6" spans="1:16" s="2" customFormat="1" ht="15" x14ac:dyDescent="0.25">
      <c r="A6" s="12"/>
      <c r="B6" s="3" t="s">
        <v>2</v>
      </c>
      <c r="C6" s="27" t="str">
        <f>Index!C6</f>
        <v>Long term deposits</v>
      </c>
      <c r="D6" s="78"/>
      <c r="J6" s="6" t="str">
        <f>Index!$G$6</f>
        <v>Reviewed by:</v>
      </c>
      <c r="K6" s="9" t="str">
        <f>IF(Index!$H$6="","",Index!$H$6)</f>
        <v/>
      </c>
      <c r="L6" s="12"/>
    </row>
    <row r="7" spans="1:16" s="2" customFormat="1" ht="15" x14ac:dyDescent="0.25">
      <c r="A7" s="12"/>
      <c r="B7" s="58"/>
      <c r="C7" s="27"/>
      <c r="D7" s="78"/>
      <c r="J7" s="6" t="str">
        <f>Index!$G$7</f>
        <v>Date reviewed:</v>
      </c>
      <c r="K7" s="8" t="str">
        <f>IF(Index!$H$7="","",Index!$H$7)</f>
        <v/>
      </c>
      <c r="L7" s="12"/>
    </row>
    <row r="8" spans="1:16" ht="15" x14ac:dyDescent="0.25">
      <c r="B8" s="25" t="s">
        <v>16</v>
      </c>
      <c r="C8" s="25"/>
      <c r="D8" s="25"/>
      <c r="E8" s="25"/>
      <c r="F8" s="25"/>
      <c r="G8" s="25"/>
      <c r="H8" s="25"/>
      <c r="I8" s="25"/>
      <c r="J8" s="25"/>
      <c r="K8" s="25"/>
    </row>
    <row r="9" spans="1:16" ht="15" x14ac:dyDescent="0.25">
      <c r="A9" s="43"/>
      <c r="B9" s="50" t="s">
        <v>18</v>
      </c>
      <c r="L9" s="43"/>
    </row>
    <row r="10" spans="1:16" x14ac:dyDescent="0.25">
      <c r="A10" s="43"/>
      <c r="B10" s="87" t="s">
        <v>57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</row>
    <row r="11" spans="1:16" ht="14.25" customHeight="1" x14ac:dyDescent="0.25">
      <c r="B11" s="77" t="s">
        <v>52</v>
      </c>
      <c r="C11" s="77"/>
      <c r="D11" s="77"/>
      <c r="E11" s="77"/>
      <c r="F11" s="77"/>
      <c r="G11" s="77"/>
      <c r="H11" s="77"/>
      <c r="I11" s="77"/>
      <c r="J11" s="77"/>
      <c r="K11" s="77"/>
      <c r="L11" s="62"/>
      <c r="M11" s="62"/>
      <c r="N11" s="62"/>
      <c r="O11" s="62"/>
      <c r="P11" s="62"/>
    </row>
    <row r="12" spans="1:16" x14ac:dyDescent="0.25">
      <c r="A12" s="43"/>
      <c r="B12" s="88" t="s">
        <v>53</v>
      </c>
      <c r="C12" s="87"/>
      <c r="D12" s="87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</row>
    <row r="13" spans="1:16" ht="14.25" customHeight="1" x14ac:dyDescent="0.25">
      <c r="A13" s="43"/>
      <c r="B13" s="89" t="s">
        <v>54</v>
      </c>
      <c r="C13" s="87"/>
      <c r="D13" s="87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</row>
    <row r="14" spans="1:16" ht="14.25" customHeight="1" x14ac:dyDescent="0.25">
      <c r="A14" s="43"/>
      <c r="B14" s="63" t="s">
        <v>44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</row>
    <row r="15" spans="1:16" ht="14.25" customHeight="1" x14ac:dyDescent="0.25">
      <c r="A15" s="43"/>
      <c r="B15" s="63" t="s">
        <v>45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</row>
    <row r="16" spans="1:16" ht="14.25" customHeight="1" x14ac:dyDescent="0.25">
      <c r="A16" s="43"/>
      <c r="B16" s="87" t="s">
        <v>46</v>
      </c>
      <c r="C16" s="87"/>
      <c r="D16" s="87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</row>
    <row r="17" spans="2:2" hidden="1" x14ac:dyDescent="0.25">
      <c r="B17" s="63" t="s">
        <v>51</v>
      </c>
    </row>
    <row r="18" spans="2:2" hidden="1" x14ac:dyDescent="0.25">
      <c r="B18" s="80"/>
    </row>
    <row r="19" spans="2:2" hidden="1" x14ac:dyDescent="0.25">
      <c r="B19" s="80"/>
    </row>
    <row r="20" spans="2:2" hidden="1" x14ac:dyDescent="0.25">
      <c r="B20" s="80"/>
    </row>
    <row r="21" spans="2:2" hidden="1" x14ac:dyDescent="0.25">
      <c r="B21" s="80"/>
    </row>
    <row r="22" spans="2:2" hidden="1" x14ac:dyDescent="0.25">
      <c r="B22" s="80"/>
    </row>
    <row r="23" spans="2:2" hidden="1" x14ac:dyDescent="0.25">
      <c r="B23" s="80"/>
    </row>
    <row r="24" spans="2:2" hidden="1" x14ac:dyDescent="0.25">
      <c r="B24" s="80"/>
    </row>
    <row r="25" spans="2:2" hidden="1" x14ac:dyDescent="0.25">
      <c r="B25" s="80"/>
    </row>
    <row r="26" spans="2:2" hidden="1" x14ac:dyDescent="0.25">
      <c r="B26" s="80"/>
    </row>
    <row r="27" spans="2:2" x14ac:dyDescent="0.25">
      <c r="B27" s="63" t="s">
        <v>51</v>
      </c>
    </row>
    <row r="28" spans="2:2" x14ac:dyDescent="0.25">
      <c r="B28" s="63"/>
    </row>
    <row r="29" spans="2:2" ht="15" x14ac:dyDescent="0.3">
      <c r="B29" s="101" t="s">
        <v>106</v>
      </c>
    </row>
    <row r="30" spans="2:2" x14ac:dyDescent="0.25">
      <c r="B30" s="102" t="s">
        <v>107</v>
      </c>
    </row>
    <row r="31" spans="2:2" x14ac:dyDescent="0.25">
      <c r="B31" s="76"/>
    </row>
    <row r="32" spans="2:2" ht="15" x14ac:dyDescent="0.3">
      <c r="B32" s="101" t="s">
        <v>27</v>
      </c>
    </row>
    <row r="33" spans="1:12" x14ac:dyDescent="0.25">
      <c r="B33" s="102" t="s">
        <v>26</v>
      </c>
    </row>
    <row r="34" spans="1:12" x14ac:dyDescent="0.25">
      <c r="A34" s="12"/>
      <c r="B34" s="43" t="s">
        <v>3</v>
      </c>
      <c r="L34" s="12"/>
    </row>
    <row r="35" spans="1:12" ht="15" customHeight="1" x14ac:dyDescent="0.25">
      <c r="B35" s="107" t="s">
        <v>22</v>
      </c>
      <c r="C35" s="107"/>
      <c r="D35" s="79"/>
      <c r="E35" s="107" t="s">
        <v>21</v>
      </c>
      <c r="F35" s="79"/>
      <c r="G35" s="66">
        <f>Lead!G31</f>
        <v>2022</v>
      </c>
      <c r="H35" s="66">
        <f>Lead!H31</f>
        <v>2021</v>
      </c>
      <c r="I35" s="66" t="s">
        <v>12</v>
      </c>
      <c r="J35" s="66" t="s">
        <v>12</v>
      </c>
      <c r="K35" s="107" t="s">
        <v>13</v>
      </c>
    </row>
    <row r="36" spans="1:12" ht="15" x14ac:dyDescent="0.25">
      <c r="A36" s="31"/>
      <c r="B36" s="107"/>
      <c r="C36" s="107"/>
      <c r="D36" s="79"/>
      <c r="E36" s="107"/>
      <c r="F36" s="79"/>
      <c r="G36" s="66" t="s">
        <v>31</v>
      </c>
      <c r="H36" s="66" t="s">
        <v>31</v>
      </c>
      <c r="I36" s="66" t="s">
        <v>31</v>
      </c>
      <c r="J36" s="66" t="s">
        <v>15</v>
      </c>
      <c r="K36" s="107"/>
      <c r="L36" s="31"/>
    </row>
    <row r="37" spans="1:12" ht="15" x14ac:dyDescent="0.25">
      <c r="B37" s="115"/>
      <c r="C37" s="115"/>
      <c r="D37" s="57"/>
      <c r="E37" s="54"/>
      <c r="G37" s="74"/>
      <c r="H37" s="75"/>
      <c r="I37" s="75"/>
      <c r="J37" s="75"/>
      <c r="K37" s="75"/>
    </row>
    <row r="38" spans="1:12" ht="15" x14ac:dyDescent="0.25">
      <c r="A38" s="31"/>
      <c r="B38" s="67" t="str">
        <f>Lead!B35</f>
        <v>Long term deposits</v>
      </c>
      <c r="C38" s="72"/>
      <c r="D38" s="84"/>
      <c r="E38" s="68"/>
      <c r="F38" s="86"/>
      <c r="G38" s="69"/>
      <c r="H38" s="69"/>
      <c r="I38" s="69"/>
      <c r="J38" s="69"/>
      <c r="K38" s="69"/>
      <c r="L38" s="31"/>
    </row>
    <row r="39" spans="1:12" x14ac:dyDescent="0.25">
      <c r="A39" s="31"/>
      <c r="B39" s="114" t="s">
        <v>32</v>
      </c>
      <c r="C39" s="114"/>
      <c r="D39" s="91"/>
      <c r="E39" s="68"/>
      <c r="F39" s="86"/>
      <c r="G39" s="69"/>
      <c r="H39" s="69"/>
      <c r="I39" s="69">
        <f>G39-H39</f>
        <v>0</v>
      </c>
      <c r="J39" s="71" t="str">
        <f>IFERROR(I39/H39,"")</f>
        <v/>
      </c>
      <c r="K39" s="69"/>
      <c r="L39" s="31"/>
    </row>
    <row r="40" spans="1:12" x14ac:dyDescent="0.25">
      <c r="A40" s="38"/>
      <c r="B40" s="114" t="s">
        <v>40</v>
      </c>
      <c r="C40" s="114"/>
      <c r="D40" s="91"/>
      <c r="E40" s="68"/>
      <c r="F40" s="86"/>
      <c r="G40" s="70"/>
      <c r="H40" s="69"/>
      <c r="I40" s="69">
        <f t="shared" ref="I40:I42" si="0">G40-H40</f>
        <v>0</v>
      </c>
      <c r="J40" s="71" t="str">
        <f t="shared" ref="J40:J50" si="1">IFERROR(I40/H40,"")</f>
        <v/>
      </c>
      <c r="K40" s="69"/>
      <c r="L40" s="38"/>
    </row>
    <row r="41" spans="1:12" x14ac:dyDescent="0.25">
      <c r="A41" s="38"/>
      <c r="B41" s="114" t="s">
        <v>65</v>
      </c>
      <c r="C41" s="114"/>
      <c r="D41" s="91"/>
      <c r="E41" s="68"/>
      <c r="F41" s="86"/>
      <c r="G41" s="69"/>
      <c r="H41" s="69"/>
      <c r="I41" s="69">
        <f t="shared" si="0"/>
        <v>0</v>
      </c>
      <c r="J41" s="71" t="str">
        <f t="shared" si="1"/>
        <v/>
      </c>
      <c r="K41" s="69"/>
      <c r="L41" s="38"/>
    </row>
    <row r="42" spans="1:12" x14ac:dyDescent="0.25">
      <c r="A42" s="38"/>
      <c r="B42" s="114" t="s">
        <v>63</v>
      </c>
      <c r="C42" s="114"/>
      <c r="D42" s="91"/>
      <c r="E42" s="68"/>
      <c r="F42" s="86"/>
      <c r="G42" s="69"/>
      <c r="H42" s="69"/>
      <c r="I42" s="69">
        <f t="shared" si="0"/>
        <v>0</v>
      </c>
      <c r="J42" s="71" t="str">
        <f t="shared" si="1"/>
        <v/>
      </c>
      <c r="K42" s="69"/>
      <c r="L42" s="38"/>
    </row>
    <row r="43" spans="1:12" x14ac:dyDescent="0.25">
      <c r="A43" s="38"/>
      <c r="B43" s="112"/>
      <c r="C43" s="112"/>
      <c r="D43" s="84"/>
      <c r="E43" s="68"/>
      <c r="F43" s="86"/>
      <c r="G43" s="69"/>
      <c r="H43" s="69"/>
      <c r="I43" s="69"/>
      <c r="J43" s="71" t="str">
        <f t="shared" si="1"/>
        <v/>
      </c>
      <c r="K43" s="69"/>
      <c r="L43" s="38"/>
    </row>
    <row r="44" spans="1:12" ht="15" x14ac:dyDescent="0.25">
      <c r="A44" s="31"/>
      <c r="B44" s="67" t="str">
        <f>Lead!B36</f>
        <v>Long term prepayments</v>
      </c>
      <c r="C44" s="72"/>
      <c r="D44" s="84"/>
      <c r="E44" s="68"/>
      <c r="F44" s="86"/>
      <c r="G44" s="69"/>
      <c r="H44" s="69"/>
      <c r="I44" s="69"/>
      <c r="J44" s="71" t="str">
        <f t="shared" si="1"/>
        <v/>
      </c>
      <c r="K44" s="69"/>
      <c r="L44" s="31"/>
    </row>
    <row r="45" spans="1:12" x14ac:dyDescent="0.25">
      <c r="A45" s="31"/>
      <c r="B45" s="114" t="s">
        <v>32</v>
      </c>
      <c r="C45" s="114"/>
      <c r="D45" s="91"/>
      <c r="E45" s="68"/>
      <c r="F45" s="86"/>
      <c r="G45" s="69"/>
      <c r="H45" s="69"/>
      <c r="I45" s="69">
        <f>G45-H45</f>
        <v>0</v>
      </c>
      <c r="J45" s="71" t="str">
        <f t="shared" si="1"/>
        <v/>
      </c>
      <c r="K45" s="69"/>
      <c r="L45" s="31"/>
    </row>
    <row r="46" spans="1:12" x14ac:dyDescent="0.25">
      <c r="A46" s="38"/>
      <c r="B46" s="114" t="s">
        <v>43</v>
      </c>
      <c r="C46" s="114"/>
      <c r="D46" s="91"/>
      <c r="E46" s="68"/>
      <c r="F46" s="86"/>
      <c r="G46" s="70"/>
      <c r="H46" s="69"/>
      <c r="I46" s="69">
        <f t="shared" ref="I46:I48" si="2">G46-H46</f>
        <v>0</v>
      </c>
      <c r="J46" s="71" t="str">
        <f t="shared" si="1"/>
        <v/>
      </c>
      <c r="K46" s="69"/>
      <c r="L46" s="38"/>
    </row>
    <row r="47" spans="1:12" x14ac:dyDescent="0.25">
      <c r="A47" s="38"/>
      <c r="B47" s="114" t="s">
        <v>66</v>
      </c>
      <c r="C47" s="114"/>
      <c r="D47" s="91"/>
      <c r="E47" s="68"/>
      <c r="F47" s="86"/>
      <c r="G47" s="69"/>
      <c r="H47" s="69"/>
      <c r="I47" s="69">
        <f t="shared" si="2"/>
        <v>0</v>
      </c>
      <c r="J47" s="71" t="str">
        <f t="shared" si="1"/>
        <v/>
      </c>
      <c r="K47" s="69"/>
      <c r="L47" s="38"/>
    </row>
    <row r="48" spans="1:12" x14ac:dyDescent="0.25">
      <c r="A48" s="38"/>
      <c r="B48" s="114" t="s">
        <v>63</v>
      </c>
      <c r="C48" s="114"/>
      <c r="D48" s="91"/>
      <c r="E48" s="68"/>
      <c r="F48" s="86"/>
      <c r="G48" s="69"/>
      <c r="H48" s="69"/>
      <c r="I48" s="69">
        <f t="shared" si="2"/>
        <v>0</v>
      </c>
      <c r="J48" s="71" t="str">
        <f t="shared" si="1"/>
        <v/>
      </c>
      <c r="K48" s="69"/>
      <c r="L48" s="38"/>
    </row>
    <row r="49" spans="1:12" x14ac:dyDescent="0.25">
      <c r="A49" s="38"/>
      <c r="B49" s="112"/>
      <c r="C49" s="112"/>
      <c r="D49" s="84"/>
      <c r="E49" s="68"/>
      <c r="F49" s="86"/>
      <c r="G49" s="69"/>
      <c r="H49" s="69"/>
      <c r="I49" s="69"/>
      <c r="J49" s="71" t="str">
        <f t="shared" si="1"/>
        <v/>
      </c>
      <c r="K49" s="69"/>
      <c r="L49" s="38"/>
    </row>
    <row r="50" spans="1:12" ht="15" x14ac:dyDescent="0.25">
      <c r="A50" s="43"/>
      <c r="B50" s="113" t="s">
        <v>64</v>
      </c>
      <c r="C50" s="113"/>
      <c r="D50" s="85"/>
      <c r="E50" s="68"/>
      <c r="F50" s="86"/>
      <c r="G50" s="69">
        <f>G48+G42</f>
        <v>0</v>
      </c>
      <c r="H50" s="69">
        <f>H48+H42</f>
        <v>0</v>
      </c>
      <c r="I50" s="69">
        <f>I48+I42</f>
        <v>0</v>
      </c>
      <c r="J50" s="71" t="str">
        <f t="shared" si="1"/>
        <v/>
      </c>
      <c r="K50" s="69"/>
      <c r="L50" s="43"/>
    </row>
    <row r="51" spans="1:12" x14ac:dyDescent="0.25">
      <c r="A51" s="43"/>
      <c r="L51" s="43"/>
    </row>
    <row r="52" spans="1:12" x14ac:dyDescent="0.25"/>
    <row r="53" spans="1:12" x14ac:dyDescent="0.25"/>
    <row r="54" spans="1:12" x14ac:dyDescent="0.25"/>
    <row r="61" spans="1:12" x14ac:dyDescent="0.25"/>
    <row r="62" spans="1:12" x14ac:dyDescent="0.25"/>
    <row r="63" spans="1:12" x14ac:dyDescent="0.25"/>
    <row r="64" spans="1:12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</sheetData>
  <mergeCells count="15">
    <mergeCell ref="B50:C50"/>
    <mergeCell ref="B40:C40"/>
    <mergeCell ref="B41:C41"/>
    <mergeCell ref="B42:C42"/>
    <mergeCell ref="B43:C43"/>
    <mergeCell ref="B49:C49"/>
    <mergeCell ref="B45:C45"/>
    <mergeCell ref="B46:C46"/>
    <mergeCell ref="B47:C47"/>
    <mergeCell ref="B48:C48"/>
    <mergeCell ref="B35:C36"/>
    <mergeCell ref="E35:E36"/>
    <mergeCell ref="K35:K36"/>
    <mergeCell ref="B39:C39"/>
    <mergeCell ref="B37:C37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67"/>
  <sheetViews>
    <sheetView showGridLines="0" topLeftCell="A18" zoomScaleSheetLayoutView="100" workbookViewId="0">
      <selection activeCell="B43" sqref="B43:C43"/>
    </sheetView>
  </sheetViews>
  <sheetFormatPr defaultColWidth="0" defaultRowHeight="13.5" zeroHeight="1" x14ac:dyDescent="0.25"/>
  <cols>
    <col min="1" max="1" width="1" style="13" customWidth="1"/>
    <col min="2" max="2" width="7.7109375" style="43" customWidth="1"/>
    <col min="3" max="3" width="33" style="43" customWidth="1"/>
    <col min="4" max="4" width="2.7109375" style="43" customWidth="1"/>
    <col min="5" max="5" width="11.7109375" style="43" bestFit="1" customWidth="1"/>
    <col min="6" max="6" width="2.7109375" style="43" customWidth="1"/>
    <col min="7" max="10" width="14.42578125" style="43" customWidth="1"/>
    <col min="11" max="11" width="21.7109375" style="43" bestFit="1" customWidth="1"/>
    <col min="12" max="12" width="1" style="13" customWidth="1"/>
    <col min="13" max="16384" width="9.140625" style="43" hidden="1"/>
  </cols>
  <sheetData>
    <row r="1" spans="1:15" ht="15" x14ac:dyDescent="0.3">
      <c r="A1" s="12"/>
      <c r="B1" s="1" t="str">
        <f>Index!$B$1</f>
        <v>ABC &amp; Co.</v>
      </c>
      <c r="G1" s="50"/>
      <c r="J1" s="12"/>
      <c r="K1" s="56" t="str">
        <f>Index!E14</f>
        <v>BS.06 - 2</v>
      </c>
      <c r="L1" s="43"/>
    </row>
    <row r="2" spans="1:15" x14ac:dyDescent="0.25">
      <c r="A2" s="12"/>
      <c r="B2" s="2" t="str">
        <f>Index!$B$2</f>
        <v>(Chartered Accountants)</v>
      </c>
      <c r="E2" s="57"/>
      <c r="F2" s="57"/>
      <c r="G2" s="13"/>
      <c r="J2" s="12"/>
      <c r="L2" s="43"/>
    </row>
    <row r="3" spans="1:15" x14ac:dyDescent="0.25">
      <c r="A3" s="12"/>
      <c r="L3" s="12"/>
    </row>
    <row r="4" spans="1:15" s="2" customFormat="1" ht="15" x14ac:dyDescent="0.25">
      <c r="A4" s="13"/>
      <c r="B4" s="3" t="s">
        <v>0</v>
      </c>
      <c r="C4" s="27" t="str">
        <f>Index!$C$4</f>
        <v>ABC Limited</v>
      </c>
      <c r="D4" s="78"/>
      <c r="J4" s="6" t="str">
        <f>Index!$G$4</f>
        <v>Prepared by:</v>
      </c>
      <c r="K4" s="7" t="str">
        <f>IF(Index!$H$4="","",Index!$H$4)</f>
        <v/>
      </c>
      <c r="L4" s="13"/>
    </row>
    <row r="5" spans="1:15" s="2" customFormat="1" ht="15" x14ac:dyDescent="0.25">
      <c r="A5" s="12"/>
      <c r="B5" s="3" t="s">
        <v>1</v>
      </c>
      <c r="C5" s="27" t="str">
        <f>Index!$C$5</f>
        <v>Year ended June 30, 2023</v>
      </c>
      <c r="D5" s="78"/>
      <c r="J5" s="6" t="str">
        <f>Index!$G$5</f>
        <v>Date prepared:</v>
      </c>
      <c r="K5" s="8" t="str">
        <f>IF(Index!$H$5="","",Index!$H$5)</f>
        <v/>
      </c>
      <c r="L5" s="12"/>
    </row>
    <row r="6" spans="1:15" s="2" customFormat="1" ht="15" x14ac:dyDescent="0.25">
      <c r="A6" s="12"/>
      <c r="B6" s="3" t="s">
        <v>2</v>
      </c>
      <c r="C6" s="27" t="str">
        <f>Index!$C$6</f>
        <v>Long term deposits</v>
      </c>
      <c r="D6" s="78"/>
      <c r="J6" s="6" t="str">
        <f>Index!$G$6</f>
        <v>Reviewed by:</v>
      </c>
      <c r="K6" s="9" t="str">
        <f>IF(Index!$H$6="","",Index!$H$6)</f>
        <v/>
      </c>
      <c r="L6" s="12"/>
    </row>
    <row r="7" spans="1:15" s="2" customFormat="1" ht="15" x14ac:dyDescent="0.25">
      <c r="A7" s="12"/>
      <c r="B7" s="58"/>
      <c r="C7" s="27"/>
      <c r="D7" s="78"/>
      <c r="J7" s="6" t="str">
        <f>Index!$G$7</f>
        <v>Date reviewed:</v>
      </c>
      <c r="K7" s="8" t="str">
        <f>IF(Index!$H$7="","",Index!$H$7)</f>
        <v/>
      </c>
      <c r="L7" s="12"/>
    </row>
    <row r="8" spans="1:15" ht="15" x14ac:dyDescent="0.25">
      <c r="B8" s="25" t="s">
        <v>9</v>
      </c>
      <c r="C8" s="25"/>
      <c r="D8" s="25"/>
      <c r="E8" s="25"/>
      <c r="F8" s="25"/>
      <c r="G8" s="25"/>
      <c r="H8" s="25"/>
      <c r="I8" s="25"/>
      <c r="J8" s="25"/>
      <c r="K8" s="25"/>
    </row>
    <row r="9" spans="1:15" ht="15" x14ac:dyDescent="0.25">
      <c r="A9" s="43"/>
      <c r="B9" s="50" t="s">
        <v>18</v>
      </c>
      <c r="L9" s="43"/>
    </row>
    <row r="10" spans="1:15" ht="15" x14ac:dyDescent="0.25">
      <c r="A10" s="43"/>
      <c r="B10" s="59" t="s">
        <v>89</v>
      </c>
      <c r="L10" s="43"/>
    </row>
    <row r="11" spans="1:15" ht="14.25" customHeight="1" x14ac:dyDescent="0.25">
      <c r="B11" s="76" t="s">
        <v>30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</row>
    <row r="12" spans="1:15" ht="14.25" customHeight="1" x14ac:dyDescent="0.25"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</row>
    <row r="13" spans="1:15" ht="15" x14ac:dyDescent="0.25">
      <c r="A13" s="43"/>
      <c r="B13" s="59" t="s">
        <v>17</v>
      </c>
      <c r="C13" s="61"/>
      <c r="D13" s="61"/>
      <c r="E13" s="61"/>
      <c r="F13" s="61"/>
      <c r="G13" s="61"/>
      <c r="H13" s="61"/>
      <c r="I13" s="61"/>
      <c r="J13" s="61"/>
      <c r="K13" s="61"/>
      <c r="L13" s="43"/>
    </row>
    <row r="14" spans="1:15" ht="14.25" customHeight="1" x14ac:dyDescent="0.25">
      <c r="A14" s="43"/>
      <c r="B14" s="77" t="s">
        <v>99</v>
      </c>
      <c r="C14" s="77"/>
      <c r="D14" s="77"/>
      <c r="E14" s="77"/>
      <c r="F14" s="77"/>
      <c r="G14" s="77"/>
      <c r="H14" s="77"/>
      <c r="I14" s="77"/>
      <c r="J14" s="77"/>
      <c r="K14" s="77"/>
      <c r="L14" s="62"/>
      <c r="M14" s="62"/>
      <c r="N14" s="62"/>
      <c r="O14" s="62"/>
    </row>
    <row r="15" spans="1:15" ht="14.25" customHeight="1" x14ac:dyDescent="0.25">
      <c r="A15" s="43"/>
      <c r="B15" s="77" t="s">
        <v>100</v>
      </c>
      <c r="C15" s="77"/>
      <c r="D15" s="77"/>
      <c r="E15" s="77"/>
      <c r="F15" s="77"/>
      <c r="G15" s="77"/>
      <c r="H15" s="77"/>
      <c r="I15" s="77"/>
      <c r="J15" s="77"/>
      <c r="K15" s="77"/>
      <c r="L15" s="62"/>
      <c r="M15" s="62"/>
      <c r="N15" s="62"/>
      <c r="O15" s="62"/>
    </row>
    <row r="16" spans="1:15" ht="14.25" customHeight="1" x14ac:dyDescent="0.25">
      <c r="A16" s="43"/>
      <c r="B16" s="76" t="s">
        <v>47</v>
      </c>
      <c r="C16" s="76"/>
      <c r="D16" s="76"/>
      <c r="E16" s="76"/>
      <c r="F16" s="76"/>
      <c r="G16" s="76"/>
      <c r="H16" s="76"/>
      <c r="I16" s="76"/>
      <c r="J16" s="76"/>
      <c r="K16" s="76"/>
      <c r="L16" s="62"/>
      <c r="M16" s="62"/>
      <c r="N16" s="62"/>
      <c r="O16" s="62"/>
    </row>
    <row r="17" spans="1:15" ht="14.25" customHeight="1" x14ac:dyDescent="0.25">
      <c r="A17" s="43"/>
      <c r="B17" s="76" t="s">
        <v>50</v>
      </c>
      <c r="C17" s="76"/>
      <c r="D17" s="76"/>
      <c r="E17" s="76"/>
      <c r="F17" s="76"/>
      <c r="G17" s="76"/>
      <c r="H17" s="76"/>
      <c r="I17" s="76"/>
      <c r="J17" s="76"/>
      <c r="K17" s="76"/>
      <c r="L17" s="63"/>
      <c r="M17" s="63"/>
      <c r="N17" s="63"/>
      <c r="O17" s="63"/>
    </row>
    <row r="18" spans="1:15" ht="14.25" customHeight="1" x14ac:dyDescent="0.25">
      <c r="A18" s="43"/>
      <c r="B18" s="76" t="s">
        <v>49</v>
      </c>
      <c r="C18" s="76"/>
      <c r="D18" s="76"/>
      <c r="E18" s="76"/>
      <c r="F18" s="76"/>
      <c r="G18" s="76"/>
      <c r="H18" s="76"/>
      <c r="I18" s="76"/>
      <c r="J18" s="76"/>
      <c r="K18" s="76"/>
      <c r="L18" s="63"/>
      <c r="M18" s="63"/>
      <c r="N18" s="63"/>
      <c r="O18" s="63"/>
    </row>
    <row r="19" spans="1:15" ht="14.25" customHeight="1" x14ac:dyDescent="0.25">
      <c r="A19" s="43"/>
      <c r="B19" s="76" t="s">
        <v>101</v>
      </c>
      <c r="C19" s="76"/>
      <c r="D19" s="76"/>
      <c r="E19" s="76"/>
      <c r="F19" s="76"/>
      <c r="G19" s="76"/>
      <c r="H19" s="76"/>
      <c r="I19" s="76"/>
      <c r="J19" s="76"/>
      <c r="K19" s="76"/>
      <c r="L19" s="64"/>
      <c r="M19" s="64"/>
      <c r="N19" s="64"/>
      <c r="O19" s="64"/>
    </row>
    <row r="20" spans="1:15" ht="14.25" customHeight="1" x14ac:dyDescent="0.25">
      <c r="A20" s="43"/>
      <c r="B20" s="76" t="s">
        <v>102</v>
      </c>
      <c r="C20" s="76"/>
      <c r="D20" s="76"/>
      <c r="E20" s="76"/>
      <c r="F20" s="76"/>
      <c r="G20" s="76"/>
      <c r="H20" s="76"/>
      <c r="I20" s="76"/>
      <c r="J20" s="76"/>
      <c r="K20" s="76"/>
      <c r="L20" s="64"/>
      <c r="M20" s="64"/>
      <c r="N20" s="64"/>
      <c r="O20" s="64"/>
    </row>
    <row r="21" spans="1:15" ht="14.25" customHeight="1" x14ac:dyDescent="0.25">
      <c r="A21" s="43"/>
      <c r="B21" s="76" t="s">
        <v>48</v>
      </c>
      <c r="C21" s="76"/>
      <c r="D21" s="76"/>
      <c r="E21" s="76"/>
      <c r="F21" s="76"/>
      <c r="G21" s="76"/>
      <c r="H21" s="76"/>
      <c r="I21" s="76"/>
      <c r="J21" s="76"/>
      <c r="K21" s="76"/>
      <c r="L21" s="63"/>
      <c r="M21" s="63"/>
      <c r="N21" s="63"/>
      <c r="O21" s="63"/>
    </row>
    <row r="22" spans="1:15" ht="14.25" customHeight="1" x14ac:dyDescent="0.25">
      <c r="A22" s="43"/>
      <c r="B22" s="76" t="s">
        <v>92</v>
      </c>
      <c r="C22" s="76"/>
      <c r="D22" s="76"/>
      <c r="E22" s="76"/>
      <c r="F22" s="76"/>
      <c r="G22" s="76"/>
      <c r="H22" s="76"/>
      <c r="I22" s="76"/>
      <c r="J22" s="76"/>
      <c r="K22" s="76"/>
      <c r="L22" s="64"/>
      <c r="M22" s="64"/>
      <c r="N22" s="64"/>
      <c r="O22" s="64"/>
    </row>
    <row r="23" spans="1:15" ht="14.25" customHeight="1" x14ac:dyDescent="0.25">
      <c r="A23" s="43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64"/>
      <c r="M23" s="64"/>
      <c r="N23" s="64"/>
      <c r="O23" s="64"/>
    </row>
    <row r="24" spans="1:15" ht="14.25" customHeight="1" x14ac:dyDescent="0.3">
      <c r="A24" s="43"/>
      <c r="B24" s="101" t="s">
        <v>106</v>
      </c>
      <c r="C24" s="76"/>
      <c r="D24" s="76"/>
      <c r="E24" s="76"/>
      <c r="F24" s="76"/>
      <c r="G24" s="76"/>
      <c r="H24" s="76"/>
      <c r="I24" s="76"/>
      <c r="J24" s="76"/>
      <c r="K24" s="76"/>
      <c r="L24" s="64"/>
      <c r="M24" s="64"/>
      <c r="N24" s="64"/>
      <c r="O24" s="64"/>
    </row>
    <row r="25" spans="1:15" ht="14.25" customHeight="1" x14ac:dyDescent="0.25">
      <c r="A25" s="43"/>
      <c r="B25" s="102" t="s">
        <v>107</v>
      </c>
      <c r="C25" s="76"/>
      <c r="D25" s="76"/>
      <c r="E25" s="76"/>
      <c r="F25" s="76"/>
      <c r="G25" s="76"/>
      <c r="H25" s="76"/>
      <c r="I25" s="76"/>
      <c r="J25" s="76"/>
      <c r="K25" s="76"/>
      <c r="L25" s="64"/>
      <c r="M25" s="64"/>
      <c r="N25" s="64"/>
      <c r="O25" s="64"/>
    </row>
    <row r="26" spans="1:15" ht="14.25" customHeight="1" x14ac:dyDescent="0.25">
      <c r="A26" s="43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64"/>
      <c r="M26" s="64"/>
      <c r="N26" s="64"/>
      <c r="O26" s="64"/>
    </row>
    <row r="27" spans="1:15" ht="14.25" customHeight="1" x14ac:dyDescent="0.3">
      <c r="A27" s="43"/>
      <c r="B27" s="101" t="s">
        <v>27</v>
      </c>
      <c r="C27" s="76"/>
      <c r="D27" s="76"/>
      <c r="E27" s="76"/>
      <c r="F27" s="76"/>
      <c r="G27" s="76"/>
      <c r="H27" s="76"/>
      <c r="I27" s="76"/>
      <c r="J27" s="76"/>
      <c r="K27" s="76"/>
      <c r="L27" s="64"/>
      <c r="M27" s="64"/>
      <c r="N27" s="64"/>
      <c r="O27" s="64"/>
    </row>
    <row r="28" spans="1:15" ht="14.25" customHeight="1" x14ac:dyDescent="0.25">
      <c r="A28" s="43"/>
      <c r="B28" s="102" t="s">
        <v>26</v>
      </c>
      <c r="C28" s="76"/>
      <c r="D28" s="76"/>
      <c r="E28" s="76"/>
      <c r="F28" s="76"/>
      <c r="G28" s="76"/>
      <c r="H28" s="76"/>
      <c r="I28" s="76"/>
      <c r="J28" s="76"/>
      <c r="K28" s="76"/>
      <c r="L28" s="64"/>
      <c r="M28" s="64"/>
      <c r="N28" s="64"/>
      <c r="O28" s="64"/>
    </row>
    <row r="29" spans="1:15" ht="14.25" customHeight="1" x14ac:dyDescent="0.25">
      <c r="A29" s="43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64"/>
      <c r="M29" s="64"/>
      <c r="N29" s="64"/>
      <c r="O29" s="64"/>
    </row>
    <row r="30" spans="1:15" x14ac:dyDescent="0.25">
      <c r="A30" s="12"/>
      <c r="B30" s="43" t="s">
        <v>3</v>
      </c>
      <c r="L30" s="12"/>
    </row>
    <row r="31" spans="1:15" ht="15" customHeight="1" x14ac:dyDescent="0.25">
      <c r="B31" s="107" t="s">
        <v>22</v>
      </c>
      <c r="C31" s="107"/>
      <c r="D31" s="79"/>
      <c r="E31" s="107" t="s">
        <v>21</v>
      </c>
      <c r="F31" s="79"/>
      <c r="G31" s="66">
        <v>2022</v>
      </c>
      <c r="H31" s="66">
        <v>2021</v>
      </c>
      <c r="I31" s="66" t="s">
        <v>12</v>
      </c>
      <c r="J31" s="66" t="s">
        <v>12</v>
      </c>
      <c r="K31" s="107" t="s">
        <v>13</v>
      </c>
    </row>
    <row r="32" spans="1:15" ht="15" x14ac:dyDescent="0.25">
      <c r="A32" s="31"/>
      <c r="B32" s="107"/>
      <c r="C32" s="107"/>
      <c r="D32" s="79"/>
      <c r="E32" s="107"/>
      <c r="F32" s="79"/>
      <c r="G32" s="66" t="s">
        <v>31</v>
      </c>
      <c r="H32" s="66" t="s">
        <v>31</v>
      </c>
      <c r="I32" s="66" t="s">
        <v>31</v>
      </c>
      <c r="J32" s="66" t="s">
        <v>15</v>
      </c>
      <c r="K32" s="107"/>
      <c r="L32" s="31"/>
    </row>
    <row r="33" spans="1:16" ht="15" x14ac:dyDescent="0.25">
      <c r="B33" s="109"/>
      <c r="C33" s="109"/>
      <c r="D33" s="80"/>
      <c r="E33" s="54"/>
      <c r="G33" s="74"/>
      <c r="H33" s="75"/>
      <c r="I33" s="75"/>
      <c r="J33" s="75"/>
      <c r="K33" s="75"/>
    </row>
    <row r="34" spans="1:16" ht="15" x14ac:dyDescent="0.25">
      <c r="A34" s="31"/>
      <c r="B34" s="110" t="str">
        <f>C6</f>
        <v>Long term deposits</v>
      </c>
      <c r="C34" s="110"/>
      <c r="D34" s="81"/>
      <c r="E34" s="68"/>
      <c r="F34" s="86"/>
      <c r="G34" s="69"/>
      <c r="H34" s="69"/>
      <c r="I34" s="69"/>
      <c r="J34" s="69"/>
      <c r="K34" s="69"/>
      <c r="L34" s="31"/>
    </row>
    <row r="35" spans="1:16" x14ac:dyDescent="0.25">
      <c r="A35" s="38"/>
      <c r="B35" s="111" t="s">
        <v>34</v>
      </c>
      <c r="C35" s="111"/>
      <c r="D35" s="82"/>
      <c r="E35" s="68"/>
      <c r="F35" s="86"/>
      <c r="G35" s="70"/>
      <c r="H35" s="69"/>
      <c r="I35" s="69">
        <f>G35-H35</f>
        <v>0</v>
      </c>
      <c r="J35" s="71" t="str">
        <f>IFERROR(I35/H35," ")</f>
        <v xml:space="preserve"> </v>
      </c>
      <c r="K35" s="69"/>
      <c r="L35" s="38"/>
    </row>
    <row r="36" spans="1:16" x14ac:dyDescent="0.25">
      <c r="A36" s="38"/>
      <c r="B36" s="111" t="s">
        <v>39</v>
      </c>
      <c r="C36" s="111"/>
      <c r="D36" s="82"/>
      <c r="E36" s="68"/>
      <c r="F36" s="86"/>
      <c r="G36" s="70"/>
      <c r="H36" s="69"/>
      <c r="I36" s="69">
        <f>G36-H36</f>
        <v>0</v>
      </c>
      <c r="J36" s="71" t="str">
        <f>IFERROR(I36/H36," ")</f>
        <v xml:space="preserve"> </v>
      </c>
      <c r="K36" s="69"/>
      <c r="L36" s="38"/>
    </row>
    <row r="37" spans="1:16" x14ac:dyDescent="0.25">
      <c r="A37" s="38"/>
      <c r="B37" s="108"/>
      <c r="C37" s="108"/>
      <c r="D37" s="83"/>
      <c r="E37" s="68"/>
      <c r="F37" s="86"/>
      <c r="G37" s="69"/>
      <c r="H37" s="69"/>
      <c r="I37" s="69"/>
      <c r="J37" s="69"/>
      <c r="K37" s="69"/>
      <c r="L37" s="38"/>
    </row>
    <row r="38" spans="1:16" x14ac:dyDescent="0.25">
      <c r="A38" s="38"/>
      <c r="B38" s="108"/>
      <c r="C38" s="108"/>
      <c r="D38" s="83"/>
      <c r="E38" s="68"/>
      <c r="F38" s="86"/>
      <c r="G38" s="69"/>
      <c r="H38" s="69"/>
      <c r="I38" s="69"/>
      <c r="J38" s="69"/>
      <c r="K38" s="69"/>
      <c r="L38" s="38"/>
    </row>
    <row r="39" spans="1:16" x14ac:dyDescent="0.25">
      <c r="A39" s="38"/>
      <c r="B39" s="108"/>
      <c r="C39" s="108"/>
      <c r="D39" s="83"/>
      <c r="E39" s="68"/>
      <c r="F39" s="86"/>
      <c r="G39" s="69"/>
      <c r="H39" s="69"/>
      <c r="I39" s="69"/>
      <c r="J39" s="69"/>
      <c r="K39" s="69"/>
      <c r="L39" s="38"/>
    </row>
    <row r="40" spans="1:16" x14ac:dyDescent="0.25">
      <c r="A40" s="38"/>
      <c r="B40" s="108"/>
      <c r="C40" s="108"/>
      <c r="D40" s="83"/>
      <c r="E40" s="68"/>
      <c r="F40" s="86"/>
      <c r="G40" s="69"/>
      <c r="H40" s="69"/>
      <c r="I40" s="69"/>
      <c r="J40" s="69"/>
      <c r="K40" s="69"/>
      <c r="L40" s="38"/>
    </row>
    <row r="41" spans="1:16" x14ac:dyDescent="0.25">
      <c r="A41" s="38"/>
      <c r="B41" s="108"/>
      <c r="C41" s="108"/>
      <c r="D41" s="83"/>
      <c r="E41" s="68"/>
      <c r="F41" s="86"/>
      <c r="G41" s="69"/>
      <c r="H41" s="69"/>
      <c r="I41" s="69"/>
      <c r="J41" s="69"/>
      <c r="K41" s="69"/>
      <c r="L41" s="38"/>
    </row>
    <row r="42" spans="1:16" x14ac:dyDescent="0.25">
      <c r="A42" s="38"/>
      <c r="B42" s="108"/>
      <c r="C42" s="108"/>
      <c r="D42" s="83"/>
      <c r="E42" s="68"/>
      <c r="F42" s="86"/>
      <c r="G42" s="69"/>
      <c r="H42" s="69"/>
      <c r="I42" s="69"/>
      <c r="J42" s="69"/>
      <c r="K42" s="69"/>
      <c r="L42" s="38"/>
    </row>
    <row r="43" spans="1:16" x14ac:dyDescent="0.25">
      <c r="A43" s="38"/>
      <c r="B43" s="108"/>
      <c r="C43" s="108"/>
      <c r="D43" s="83"/>
      <c r="E43" s="68"/>
      <c r="F43" s="86"/>
      <c r="G43" s="69"/>
      <c r="H43" s="69"/>
      <c r="I43" s="69"/>
      <c r="J43" s="69"/>
      <c r="K43" s="69"/>
      <c r="L43" s="38"/>
    </row>
    <row r="44" spans="1:16" x14ac:dyDescent="0.25">
      <c r="A44" s="43"/>
      <c r="B44" s="108"/>
      <c r="C44" s="108"/>
      <c r="D44" s="83"/>
      <c r="E44" s="68"/>
      <c r="F44" s="86"/>
      <c r="G44" s="69"/>
      <c r="H44" s="69"/>
      <c r="I44" s="69"/>
      <c r="J44" s="69"/>
      <c r="K44" s="69"/>
      <c r="L44" s="43"/>
    </row>
    <row r="45" spans="1:16" x14ac:dyDescent="0.25">
      <c r="A45" s="43"/>
      <c r="B45" s="112"/>
      <c r="C45" s="112"/>
      <c r="D45" s="84"/>
      <c r="E45" s="68"/>
      <c r="F45" s="86"/>
      <c r="G45" s="69"/>
      <c r="H45" s="69"/>
      <c r="I45" s="69"/>
      <c r="J45" s="69"/>
      <c r="K45" s="69"/>
      <c r="L45" s="43"/>
    </row>
    <row r="46" spans="1:16" ht="15" x14ac:dyDescent="0.25">
      <c r="A46" s="43"/>
      <c r="B46" s="113" t="s">
        <v>4</v>
      </c>
      <c r="C46" s="113"/>
      <c r="D46" s="85"/>
      <c r="E46" s="68"/>
      <c r="F46" s="86"/>
      <c r="G46" s="69">
        <f>SUM(G33:G45)</f>
        <v>0</v>
      </c>
      <c r="H46" s="69">
        <f>SUM(H33:H44)</f>
        <v>0</v>
      </c>
      <c r="I46" s="69">
        <f>SUM(I33:I44)</f>
        <v>0</v>
      </c>
      <c r="J46" s="69"/>
      <c r="K46" s="69"/>
      <c r="L46" s="43"/>
    </row>
    <row r="47" spans="1:16" x14ac:dyDescent="0.25">
      <c r="A47" s="43"/>
      <c r="L47" s="43"/>
    </row>
    <row r="48" spans="1:16" x14ac:dyDescent="0.25"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</row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</sheetData>
  <mergeCells count="17">
    <mergeCell ref="B45:C45"/>
    <mergeCell ref="B46:C46"/>
    <mergeCell ref="B36:C36"/>
    <mergeCell ref="B37:C37"/>
    <mergeCell ref="B38:C38"/>
    <mergeCell ref="K31:K32"/>
    <mergeCell ref="B31:C32"/>
    <mergeCell ref="E31:E32"/>
    <mergeCell ref="B44:C44"/>
    <mergeCell ref="B39:C39"/>
    <mergeCell ref="B40:C40"/>
    <mergeCell ref="B41:C41"/>
    <mergeCell ref="B42:C42"/>
    <mergeCell ref="B43:C43"/>
    <mergeCell ref="B33:C33"/>
    <mergeCell ref="B34:C34"/>
    <mergeCell ref="B35:C35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5"/>
  <sheetViews>
    <sheetView showGridLines="0" zoomScaleSheetLayoutView="100" workbookViewId="0">
      <selection activeCell="B11" sqref="B11"/>
    </sheetView>
  </sheetViews>
  <sheetFormatPr defaultColWidth="0" defaultRowHeight="13.5" zeroHeight="1" x14ac:dyDescent="0.25"/>
  <cols>
    <col min="1" max="1" width="1" style="13" customWidth="1"/>
    <col min="2" max="2" width="12" style="43" customWidth="1"/>
    <col min="3" max="3" width="13.85546875" style="43" customWidth="1"/>
    <col min="4" max="4" width="35.85546875" style="43" customWidth="1"/>
    <col min="5" max="7" width="14.42578125" style="43" customWidth="1"/>
    <col min="8" max="8" width="15.5703125" style="43" customWidth="1"/>
    <col min="9" max="9" width="17.28515625" style="43" customWidth="1"/>
    <col min="10" max="10" width="1" style="13" customWidth="1"/>
    <col min="11" max="16384" width="9.140625" style="43" hidden="1"/>
  </cols>
  <sheetData>
    <row r="1" spans="1:10" ht="15" x14ac:dyDescent="0.3">
      <c r="A1" s="12"/>
      <c r="B1" s="1" t="str">
        <f>Index!B1</f>
        <v>ABC &amp; Co.</v>
      </c>
      <c r="E1" s="50"/>
      <c r="H1" s="12"/>
      <c r="I1" s="56" t="str">
        <f>Index!E18</f>
        <v>BS.06 - 4</v>
      </c>
      <c r="J1" s="43"/>
    </row>
    <row r="2" spans="1:10" x14ac:dyDescent="0.25">
      <c r="A2" s="12"/>
      <c r="B2" s="2" t="str">
        <f>Index!B2</f>
        <v>(Chartered Accountants)</v>
      </c>
      <c r="D2" s="57"/>
      <c r="E2" s="13"/>
      <c r="H2" s="12"/>
      <c r="J2" s="43"/>
    </row>
    <row r="3" spans="1:10" x14ac:dyDescent="0.25">
      <c r="A3" s="12"/>
      <c r="J3" s="12"/>
    </row>
    <row r="4" spans="1:10" s="2" customFormat="1" ht="15" x14ac:dyDescent="0.25">
      <c r="A4" s="13"/>
      <c r="B4" s="3" t="s">
        <v>0</v>
      </c>
      <c r="C4" s="27" t="str">
        <f>Index!C4</f>
        <v>ABC Limited</v>
      </c>
      <c r="H4" s="6" t="str">
        <f>Index!$G$4</f>
        <v>Prepared by:</v>
      </c>
      <c r="I4" s="7" t="str">
        <f>IF(Index!$H$4="","",Index!$H$4)</f>
        <v/>
      </c>
      <c r="J4" s="13"/>
    </row>
    <row r="5" spans="1:10" s="2" customFormat="1" ht="15" x14ac:dyDescent="0.25">
      <c r="A5" s="12"/>
      <c r="B5" s="3" t="s">
        <v>1</v>
      </c>
      <c r="C5" s="27" t="str">
        <f>Index!C5</f>
        <v>Year ended June 30, 2023</v>
      </c>
      <c r="H5" s="6" t="str">
        <f>Index!$G$5</f>
        <v>Date prepared:</v>
      </c>
      <c r="I5" s="8" t="str">
        <f>IF(Index!$H$5="","",Index!$H$5)</f>
        <v/>
      </c>
      <c r="J5" s="12"/>
    </row>
    <row r="6" spans="1:10" s="2" customFormat="1" ht="15" x14ac:dyDescent="0.25">
      <c r="A6" s="12"/>
      <c r="B6" s="3" t="s">
        <v>2</v>
      </c>
      <c r="C6" s="27" t="str">
        <f>Index!C6</f>
        <v>Long term deposits</v>
      </c>
      <c r="H6" s="6" t="str">
        <f>Index!$G$6</f>
        <v>Reviewed by:</v>
      </c>
      <c r="I6" s="9" t="str">
        <f>IF(Index!$H$6="","",Index!$H$6)</f>
        <v/>
      </c>
      <c r="J6" s="12"/>
    </row>
    <row r="7" spans="1:10" s="2" customFormat="1" ht="15" x14ac:dyDescent="0.25">
      <c r="A7" s="12"/>
      <c r="B7" s="3" t="s">
        <v>90</v>
      </c>
      <c r="C7" s="27"/>
      <c r="H7" s="6" t="str">
        <f>Index!$G$7</f>
        <v>Date reviewed:</v>
      </c>
      <c r="I7" s="8" t="str">
        <f>IF(Index!$H$7="","",Index!$H$7)</f>
        <v/>
      </c>
      <c r="J7" s="12"/>
    </row>
    <row r="8" spans="1:10" ht="15" x14ac:dyDescent="0.25">
      <c r="B8" s="25" t="s">
        <v>67</v>
      </c>
      <c r="C8" s="25"/>
      <c r="D8" s="25"/>
      <c r="E8" s="25"/>
      <c r="F8" s="25"/>
      <c r="G8" s="25"/>
      <c r="H8" s="25"/>
      <c r="I8" s="25"/>
    </row>
    <row r="9" spans="1:10" ht="15" x14ac:dyDescent="0.25">
      <c r="B9" s="50" t="s">
        <v>18</v>
      </c>
    </row>
    <row r="10" spans="1:10" x14ac:dyDescent="0.25">
      <c r="A10" s="12"/>
      <c r="B10" s="43" t="s">
        <v>3</v>
      </c>
      <c r="J10" s="12"/>
    </row>
    <row r="11" spans="1:10" ht="30" x14ac:dyDescent="0.25">
      <c r="B11" s="65" t="s">
        <v>68</v>
      </c>
      <c r="C11" s="65" t="s">
        <v>69</v>
      </c>
      <c r="D11" s="65" t="s">
        <v>22</v>
      </c>
      <c r="E11" s="65" t="s">
        <v>74</v>
      </c>
      <c r="F11" s="65" t="s">
        <v>71</v>
      </c>
      <c r="G11" s="65" t="s">
        <v>70</v>
      </c>
      <c r="H11" s="65" t="s">
        <v>73</v>
      </c>
      <c r="I11" s="65" t="s">
        <v>72</v>
      </c>
    </row>
    <row r="12" spans="1:10" ht="15" x14ac:dyDescent="0.25">
      <c r="B12" s="54"/>
      <c r="C12" s="54"/>
      <c r="D12" s="54"/>
      <c r="E12" s="74"/>
      <c r="F12" s="75"/>
      <c r="G12" s="75"/>
      <c r="H12" s="75"/>
      <c r="I12" s="75"/>
    </row>
    <row r="13" spans="1:10" ht="15" x14ac:dyDescent="0.25">
      <c r="A13" s="31"/>
      <c r="B13" s="67"/>
      <c r="C13" s="72"/>
      <c r="D13" s="68"/>
      <c r="E13" s="69"/>
      <c r="F13" s="69"/>
      <c r="G13" s="69"/>
      <c r="H13" s="69"/>
      <c r="I13" s="69"/>
      <c r="J13" s="31"/>
    </row>
    <row r="14" spans="1:10" x14ac:dyDescent="0.25">
      <c r="A14" s="31"/>
      <c r="B14" s="90"/>
      <c r="C14" s="90"/>
      <c r="D14" s="68"/>
      <c r="E14" s="69"/>
      <c r="F14" s="69"/>
      <c r="G14" s="69"/>
      <c r="H14" s="69"/>
      <c r="I14" s="69"/>
      <c r="J14" s="31"/>
    </row>
    <row r="15" spans="1:10" x14ac:dyDescent="0.25">
      <c r="A15" s="38"/>
      <c r="B15" s="90"/>
      <c r="C15" s="90"/>
      <c r="D15" s="68"/>
      <c r="E15" s="70"/>
      <c r="F15" s="69"/>
      <c r="G15" s="69"/>
      <c r="H15" s="69"/>
      <c r="I15" s="69"/>
      <c r="J15" s="38"/>
    </row>
    <row r="16" spans="1:10" x14ac:dyDescent="0.25">
      <c r="A16" s="38"/>
      <c r="B16" s="90"/>
      <c r="C16" s="90"/>
      <c r="D16" s="68"/>
      <c r="E16" s="69"/>
      <c r="F16" s="69"/>
      <c r="G16" s="69"/>
      <c r="H16" s="69"/>
      <c r="I16" s="69"/>
      <c r="J16" s="38"/>
    </row>
    <row r="17" spans="1:14" x14ac:dyDescent="0.25">
      <c r="A17" s="38"/>
      <c r="B17" s="90"/>
      <c r="C17" s="90"/>
      <c r="D17" s="68"/>
      <c r="E17" s="69"/>
      <c r="F17" s="69"/>
      <c r="G17" s="69"/>
      <c r="H17" s="69"/>
      <c r="I17" s="69"/>
      <c r="J17" s="38"/>
    </row>
    <row r="18" spans="1:14" x14ac:dyDescent="0.25">
      <c r="A18" s="38"/>
      <c r="B18" s="72"/>
      <c r="C18" s="72"/>
      <c r="D18" s="68"/>
      <c r="E18" s="69"/>
      <c r="F18" s="69"/>
      <c r="G18" s="69"/>
      <c r="H18" s="69"/>
      <c r="I18" s="69"/>
      <c r="J18" s="38"/>
    </row>
    <row r="19" spans="1:14" ht="15" x14ac:dyDescent="0.25">
      <c r="A19" s="31"/>
      <c r="B19" s="67"/>
      <c r="C19" s="72"/>
      <c r="D19" s="68"/>
      <c r="E19" s="69"/>
      <c r="F19" s="69"/>
      <c r="G19" s="69"/>
      <c r="H19" s="69"/>
      <c r="I19" s="69"/>
      <c r="J19" s="31"/>
    </row>
    <row r="20" spans="1:14" x14ac:dyDescent="0.25">
      <c r="A20" s="31"/>
      <c r="B20" s="90"/>
      <c r="C20" s="90"/>
      <c r="D20" s="68"/>
      <c r="E20" s="69"/>
      <c r="F20" s="69"/>
      <c r="G20" s="69"/>
      <c r="H20" s="69"/>
      <c r="I20" s="69"/>
      <c r="J20" s="31"/>
    </row>
    <row r="21" spans="1:14" x14ac:dyDescent="0.25">
      <c r="A21" s="38"/>
      <c r="B21" s="90"/>
      <c r="C21" s="90"/>
      <c r="D21" s="68"/>
      <c r="E21" s="70"/>
      <c r="F21" s="69"/>
      <c r="G21" s="69"/>
      <c r="H21" s="69"/>
      <c r="I21" s="69"/>
      <c r="J21" s="38"/>
    </row>
    <row r="22" spans="1:14" x14ac:dyDescent="0.25">
      <c r="A22" s="38"/>
      <c r="B22" s="90"/>
      <c r="C22" s="90"/>
      <c r="D22" s="68"/>
      <c r="E22" s="69"/>
      <c r="F22" s="69"/>
      <c r="G22" s="69"/>
      <c r="H22" s="69"/>
      <c r="I22" s="69"/>
      <c r="J22" s="38"/>
    </row>
    <row r="23" spans="1:14" x14ac:dyDescent="0.25">
      <c r="A23" s="38"/>
      <c r="B23" s="90"/>
      <c r="C23" s="90"/>
      <c r="D23" s="68"/>
      <c r="E23" s="69"/>
      <c r="F23" s="69"/>
      <c r="G23" s="69"/>
      <c r="H23" s="69"/>
      <c r="I23" s="69"/>
      <c r="J23" s="38"/>
    </row>
    <row r="24" spans="1:14" x14ac:dyDescent="0.25">
      <c r="A24" s="38"/>
      <c r="B24" s="72"/>
      <c r="C24" s="72"/>
      <c r="D24" s="68"/>
      <c r="E24" s="69"/>
      <c r="F24" s="69"/>
      <c r="G24" s="69"/>
      <c r="H24" s="69"/>
      <c r="I24" s="69"/>
      <c r="J24" s="38"/>
    </row>
    <row r="25" spans="1:14" ht="15" x14ac:dyDescent="0.25">
      <c r="A25" s="43"/>
      <c r="B25" s="73"/>
      <c r="C25" s="73"/>
      <c r="D25" s="68"/>
      <c r="E25" s="69"/>
      <c r="F25" s="69"/>
      <c r="G25" s="69"/>
      <c r="H25" s="69"/>
      <c r="I25" s="69"/>
      <c r="J25" s="43"/>
    </row>
    <row r="26" spans="1:14" x14ac:dyDescent="0.25">
      <c r="A26" s="43"/>
      <c r="J26" s="43"/>
    </row>
    <row r="29" spans="1:14" s="13" customFormat="1" hidden="1" x14ac:dyDescent="0.25">
      <c r="B29" s="43"/>
      <c r="C29" s="43"/>
      <c r="D29" s="43"/>
      <c r="E29" s="43"/>
      <c r="F29" s="43"/>
      <c r="G29" s="43"/>
      <c r="H29" s="43"/>
      <c r="I29" s="43"/>
      <c r="K29" s="43"/>
      <c r="L29" s="43"/>
      <c r="M29" s="43"/>
      <c r="N29" s="43"/>
    </row>
    <row r="30" spans="1:14" s="13" customFormat="1" hidden="1" x14ac:dyDescent="0.25">
      <c r="B30" s="43"/>
      <c r="C30" s="43"/>
      <c r="D30" s="43"/>
      <c r="E30" s="43"/>
      <c r="F30" s="43"/>
      <c r="G30" s="43"/>
      <c r="H30" s="43"/>
      <c r="I30" s="43"/>
      <c r="K30" s="43"/>
      <c r="L30" s="43"/>
      <c r="M30" s="43"/>
      <c r="N30" s="43"/>
    </row>
    <row r="31" spans="1:14" s="13" customFormat="1" hidden="1" x14ac:dyDescent="0.25">
      <c r="B31" s="43"/>
      <c r="C31" s="43"/>
      <c r="D31" s="43"/>
      <c r="E31" s="43"/>
      <c r="F31" s="43"/>
      <c r="G31" s="43"/>
      <c r="H31" s="43"/>
      <c r="I31" s="43"/>
      <c r="K31" s="43"/>
      <c r="L31" s="43"/>
      <c r="M31" s="43"/>
      <c r="N31" s="43"/>
    </row>
    <row r="32" spans="1:14" s="13" customFormat="1" hidden="1" x14ac:dyDescent="0.25">
      <c r="B32" s="43"/>
      <c r="C32" s="43"/>
      <c r="D32" s="43"/>
      <c r="E32" s="43"/>
      <c r="F32" s="43"/>
      <c r="G32" s="43"/>
      <c r="H32" s="43"/>
      <c r="I32" s="43"/>
      <c r="K32" s="43"/>
      <c r="L32" s="43"/>
      <c r="M32" s="43"/>
      <c r="N32" s="43"/>
    </row>
    <row r="33" spans="2:14" s="13" customFormat="1" hidden="1" x14ac:dyDescent="0.25">
      <c r="B33" s="43"/>
      <c r="C33" s="43"/>
      <c r="D33" s="43"/>
      <c r="E33" s="43"/>
      <c r="F33" s="43"/>
      <c r="G33" s="43"/>
      <c r="H33" s="43"/>
      <c r="I33" s="43"/>
      <c r="K33" s="43"/>
      <c r="L33" s="43"/>
      <c r="M33" s="43"/>
      <c r="N33" s="43"/>
    </row>
    <row r="34" spans="2:14" s="13" customFormat="1" hidden="1" x14ac:dyDescent="0.25">
      <c r="B34" s="43"/>
      <c r="C34" s="43"/>
      <c r="D34" s="43"/>
      <c r="E34" s="43"/>
      <c r="F34" s="43"/>
      <c r="G34" s="43"/>
      <c r="H34" s="43"/>
      <c r="I34" s="43"/>
      <c r="K34" s="43"/>
      <c r="L34" s="43"/>
      <c r="M34" s="43"/>
      <c r="N34" s="43"/>
    </row>
    <row r="35" spans="2:14" x14ac:dyDescent="0.25"/>
    <row r="36" spans="2:14" x14ac:dyDescent="0.25"/>
    <row r="37" spans="2:14" x14ac:dyDescent="0.25"/>
    <row r="55" x14ac:dyDescent="0.25"/>
  </sheetData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9"/>
  <sheetViews>
    <sheetView showGridLines="0" topLeftCell="A8" zoomScaleSheetLayoutView="100" workbookViewId="0">
      <selection activeCell="B27" sqref="B27:C27"/>
    </sheetView>
  </sheetViews>
  <sheetFormatPr defaultColWidth="0" defaultRowHeight="13.5" zeroHeight="1" x14ac:dyDescent="0.25"/>
  <cols>
    <col min="1" max="1" width="1" style="92" customWidth="1"/>
    <col min="2" max="2" width="12" style="92" customWidth="1"/>
    <col min="3" max="3" width="33" style="92" customWidth="1"/>
    <col min="4" max="4" width="11.7109375" style="92" bestFit="1" customWidth="1"/>
    <col min="5" max="8" width="14.42578125" style="92" customWidth="1"/>
    <col min="9" max="9" width="17.140625" style="92" customWidth="1"/>
    <col min="10" max="10" width="1" style="92" customWidth="1"/>
    <col min="11" max="13" width="0" style="92" hidden="1" customWidth="1"/>
    <col min="14" max="16384" width="9.140625" style="92" hidden="1"/>
  </cols>
  <sheetData>
    <row r="1" spans="2:10" ht="15" x14ac:dyDescent="0.3">
      <c r="B1" s="1" t="str">
        <f>Index!B1</f>
        <v>ABC &amp; Co.</v>
      </c>
      <c r="C1" s="43"/>
      <c r="D1" s="43"/>
      <c r="E1" s="50"/>
      <c r="F1" s="43"/>
      <c r="G1" s="43"/>
      <c r="H1" s="12"/>
      <c r="I1" s="26" t="str">
        <f>Index!E24</f>
        <v>BS.06 - 7</v>
      </c>
      <c r="J1" s="43"/>
    </row>
    <row r="2" spans="2:10" x14ac:dyDescent="0.25">
      <c r="B2" s="2" t="str">
        <f>Index!B2</f>
        <v>(Chartered Accountants)</v>
      </c>
      <c r="C2" s="43"/>
      <c r="D2" s="57"/>
      <c r="E2" s="13"/>
      <c r="F2" s="43"/>
      <c r="G2" s="43"/>
      <c r="H2" s="12"/>
      <c r="J2" s="43"/>
    </row>
    <row r="3" spans="2:10" ht="15" customHeight="1" x14ac:dyDescent="0.25">
      <c r="B3" s="43"/>
      <c r="C3" s="43"/>
      <c r="D3" s="43"/>
      <c r="E3" s="43"/>
      <c r="F3" s="43"/>
      <c r="G3" s="43"/>
      <c r="H3" s="43"/>
      <c r="J3" s="43"/>
    </row>
    <row r="4" spans="2:10" ht="15" x14ac:dyDescent="0.25">
      <c r="B4" s="3" t="s">
        <v>0</v>
      </c>
      <c r="C4" s="27" t="str">
        <f>Index!C4</f>
        <v>ABC Limited</v>
      </c>
      <c r="D4" s="2"/>
      <c r="E4" s="2"/>
      <c r="F4" s="2"/>
      <c r="G4" s="2"/>
      <c r="H4" s="6" t="str">
        <f>Index!$G$4</f>
        <v>Prepared by:</v>
      </c>
      <c r="I4" s="7" t="str">
        <f>IF(Index!$H$4="","",Index!$H$4)</f>
        <v/>
      </c>
    </row>
    <row r="5" spans="2:10" ht="15" x14ac:dyDescent="0.25">
      <c r="B5" s="3" t="s">
        <v>1</v>
      </c>
      <c r="C5" s="27" t="str">
        <f>Index!C5</f>
        <v>Year ended June 30, 2023</v>
      </c>
      <c r="D5" s="2"/>
      <c r="E5" s="2"/>
      <c r="F5" s="2"/>
      <c r="G5" s="2"/>
      <c r="H5" s="6" t="str">
        <f>Index!$G$5</f>
        <v>Date prepared:</v>
      </c>
      <c r="I5" s="8" t="str">
        <f>IF(Index!$H$5="","",Index!$H$5)</f>
        <v/>
      </c>
    </row>
    <row r="6" spans="2:10" ht="15" customHeight="1" x14ac:dyDescent="0.25">
      <c r="B6" s="3" t="s">
        <v>2</v>
      </c>
      <c r="C6" s="27" t="str">
        <f>Index!C6</f>
        <v>Long term deposits</v>
      </c>
      <c r="D6" s="2"/>
      <c r="E6" s="2"/>
      <c r="F6" s="2"/>
      <c r="G6" s="2"/>
      <c r="H6" s="6" t="str">
        <f>Index!$G$6</f>
        <v>Reviewed by:</v>
      </c>
      <c r="I6" s="9" t="str">
        <f>IF(Index!$H$6="","",Index!$H$6)</f>
        <v/>
      </c>
    </row>
    <row r="7" spans="2:10" ht="15" x14ac:dyDescent="0.25">
      <c r="B7" s="3"/>
      <c r="C7" s="27"/>
      <c r="D7" s="2"/>
      <c r="E7" s="2"/>
      <c r="F7" s="2"/>
      <c r="G7" s="2"/>
      <c r="H7" s="6" t="str">
        <f>Index!$G$7</f>
        <v>Date reviewed:</v>
      </c>
      <c r="I7" s="8" t="str">
        <f>IF(Index!$H$7="","",Index!$H$7)</f>
        <v/>
      </c>
      <c r="J7" s="2"/>
    </row>
    <row r="8" spans="2:10" ht="15" x14ac:dyDescent="0.25">
      <c r="B8" s="25" t="s">
        <v>59</v>
      </c>
      <c r="C8" s="25"/>
      <c r="D8" s="50"/>
      <c r="E8" s="50"/>
      <c r="F8" s="50"/>
      <c r="G8" s="50"/>
      <c r="H8" s="50"/>
      <c r="I8" s="50"/>
      <c r="J8" s="50"/>
    </row>
    <row r="9" spans="2:10" ht="15" x14ac:dyDescent="0.25">
      <c r="B9" s="50" t="s">
        <v>18</v>
      </c>
      <c r="C9" s="93"/>
      <c r="D9" s="93"/>
      <c r="E9" s="93"/>
      <c r="F9" s="93"/>
      <c r="G9" s="93"/>
      <c r="H9" s="93"/>
      <c r="J9" s="93"/>
    </row>
    <row r="10" spans="2:10" ht="15" customHeight="1" x14ac:dyDescent="0.25">
      <c r="B10" s="77" t="s">
        <v>60</v>
      </c>
      <c r="C10" s="77"/>
      <c r="D10" s="77"/>
      <c r="E10" s="77"/>
      <c r="F10" s="77"/>
      <c r="G10" s="77"/>
      <c r="H10" s="77"/>
      <c r="I10" s="77"/>
      <c r="J10" s="94"/>
    </row>
    <row r="11" spans="2:10" ht="15" customHeight="1" x14ac:dyDescent="0.25">
      <c r="B11" s="77" t="s">
        <v>61</v>
      </c>
      <c r="C11" s="77"/>
      <c r="D11" s="77"/>
      <c r="E11" s="77"/>
      <c r="F11" s="77"/>
      <c r="G11" s="77"/>
      <c r="H11" s="77"/>
      <c r="I11" s="77"/>
      <c r="J11" s="94"/>
    </row>
    <row r="12" spans="2:10" ht="15" customHeight="1" x14ac:dyDescent="0.25">
      <c r="B12" s="77" t="s">
        <v>62</v>
      </c>
      <c r="C12" s="77"/>
      <c r="D12" s="77"/>
      <c r="E12" s="77"/>
      <c r="F12" s="77"/>
      <c r="G12" s="77"/>
      <c r="H12" s="77"/>
      <c r="I12" s="77"/>
      <c r="J12" s="94"/>
    </row>
    <row r="13" spans="2:10" ht="15" customHeight="1" x14ac:dyDescent="0.25">
      <c r="B13" s="77" t="s">
        <v>103</v>
      </c>
      <c r="C13" s="77"/>
      <c r="D13" s="77"/>
      <c r="E13" s="77"/>
      <c r="F13" s="77"/>
      <c r="G13" s="77"/>
      <c r="H13" s="77"/>
      <c r="I13" s="77"/>
      <c r="J13" s="94"/>
    </row>
    <row r="14" spans="2:10" x14ac:dyDescent="0.25">
      <c r="B14" s="77" t="s">
        <v>104</v>
      </c>
      <c r="C14" s="77"/>
      <c r="D14" s="77"/>
      <c r="E14" s="77"/>
      <c r="F14" s="77"/>
      <c r="G14" s="77"/>
      <c r="H14" s="77"/>
      <c r="I14" s="77"/>
      <c r="J14" s="94"/>
    </row>
    <row r="15" spans="2:10" x14ac:dyDescent="0.25">
      <c r="B15" s="77" t="s">
        <v>105</v>
      </c>
      <c r="C15" s="77"/>
      <c r="D15" s="77"/>
      <c r="E15" s="77"/>
      <c r="F15" s="77"/>
      <c r="G15" s="77"/>
      <c r="H15" s="77"/>
      <c r="I15" s="77"/>
      <c r="J15" s="94"/>
    </row>
    <row r="16" spans="2:10" x14ac:dyDescent="0.25">
      <c r="B16" s="77"/>
      <c r="C16" s="77"/>
      <c r="D16" s="77"/>
      <c r="E16" s="77"/>
      <c r="F16" s="77"/>
      <c r="G16" s="77"/>
      <c r="H16" s="77"/>
      <c r="I16" s="77"/>
      <c r="J16" s="94"/>
    </row>
    <row r="17" spans="2:10" ht="15" x14ac:dyDescent="0.3">
      <c r="B17" s="101" t="s">
        <v>106</v>
      </c>
      <c r="C17" s="77"/>
      <c r="D17" s="77"/>
      <c r="E17" s="77"/>
      <c r="F17" s="77"/>
      <c r="G17" s="77"/>
      <c r="H17" s="77"/>
      <c r="I17" s="77"/>
      <c r="J17" s="94"/>
    </row>
    <row r="18" spans="2:10" x14ac:dyDescent="0.25">
      <c r="B18" s="102" t="s">
        <v>107</v>
      </c>
      <c r="C18" s="77"/>
      <c r="D18" s="77"/>
      <c r="E18" s="77"/>
      <c r="F18" s="77"/>
      <c r="G18" s="77"/>
      <c r="H18" s="77"/>
      <c r="I18" s="77"/>
      <c r="J18" s="94"/>
    </row>
    <row r="19" spans="2:10" x14ac:dyDescent="0.25">
      <c r="B19" s="76"/>
      <c r="C19" s="77"/>
      <c r="D19" s="77"/>
      <c r="E19" s="77"/>
      <c r="F19" s="77"/>
      <c r="G19" s="77"/>
      <c r="H19" s="77"/>
      <c r="I19" s="77"/>
      <c r="J19" s="94"/>
    </row>
    <row r="20" spans="2:10" ht="15" x14ac:dyDescent="0.3">
      <c r="B20" s="101" t="s">
        <v>27</v>
      </c>
      <c r="C20" s="77"/>
      <c r="D20" s="77"/>
      <c r="E20" s="77"/>
      <c r="F20" s="77"/>
      <c r="G20" s="77"/>
      <c r="H20" s="77"/>
      <c r="I20" s="77"/>
      <c r="J20" s="94"/>
    </row>
    <row r="21" spans="2:10" x14ac:dyDescent="0.25">
      <c r="B21" s="102" t="s">
        <v>26</v>
      </c>
      <c r="C21" s="77"/>
      <c r="D21" s="77"/>
      <c r="E21" s="77"/>
      <c r="F21" s="77"/>
      <c r="G21" s="77"/>
      <c r="H21" s="77"/>
      <c r="I21" s="77"/>
      <c r="J21" s="94"/>
    </row>
    <row r="22" spans="2:10" ht="15" x14ac:dyDescent="0.25">
      <c r="B22" s="93"/>
      <c r="C22" s="93"/>
      <c r="D22" s="93"/>
      <c r="E22" s="93"/>
      <c r="F22" s="93"/>
      <c r="G22" s="93"/>
      <c r="H22" s="93"/>
      <c r="I22" s="93"/>
      <c r="J22" s="93"/>
    </row>
    <row r="23" spans="2:10" ht="15" x14ac:dyDescent="0.25">
      <c r="B23" s="107" t="s">
        <v>22</v>
      </c>
      <c r="C23" s="107"/>
      <c r="D23" s="107" t="s">
        <v>77</v>
      </c>
      <c r="E23" s="116" t="s">
        <v>78</v>
      </c>
      <c r="F23" s="116"/>
      <c r="G23" s="116"/>
      <c r="H23" s="116"/>
      <c r="I23" s="107" t="s">
        <v>83</v>
      </c>
      <c r="J23" s="93"/>
    </row>
    <row r="24" spans="2:10" ht="30" x14ac:dyDescent="0.25">
      <c r="B24" s="107"/>
      <c r="C24" s="107"/>
      <c r="D24" s="107"/>
      <c r="E24" s="66" t="s">
        <v>79</v>
      </c>
      <c r="F24" s="66" t="s">
        <v>80</v>
      </c>
      <c r="G24" s="66" t="s">
        <v>81</v>
      </c>
      <c r="H24" s="65" t="s">
        <v>82</v>
      </c>
      <c r="I24" s="107"/>
      <c r="J24" s="93"/>
    </row>
    <row r="25" spans="2:10" ht="15" x14ac:dyDescent="0.25">
      <c r="B25" s="109"/>
      <c r="C25" s="109"/>
      <c r="D25" s="54"/>
      <c r="E25" s="74"/>
      <c r="F25" s="75"/>
      <c r="G25" s="75"/>
      <c r="H25" s="75"/>
      <c r="I25" s="75"/>
      <c r="J25" s="93"/>
    </row>
    <row r="26" spans="2:10" ht="15" x14ac:dyDescent="0.25">
      <c r="B26" s="117"/>
      <c r="C26" s="117"/>
      <c r="D26" s="68"/>
      <c r="E26" s="69"/>
      <c r="F26" s="69"/>
      <c r="G26" s="69"/>
      <c r="H26" s="69"/>
      <c r="I26" s="69"/>
      <c r="J26" s="93"/>
    </row>
    <row r="27" spans="2:10" ht="15" x14ac:dyDescent="0.25">
      <c r="B27" s="117"/>
      <c r="C27" s="117"/>
      <c r="D27" s="68"/>
      <c r="E27" s="69"/>
      <c r="F27" s="69"/>
      <c r="G27" s="69"/>
      <c r="H27" s="69"/>
      <c r="I27" s="69"/>
      <c r="J27" s="93"/>
    </row>
    <row r="28" spans="2:10" ht="15" x14ac:dyDescent="0.25">
      <c r="B28" s="117"/>
      <c r="C28" s="117"/>
      <c r="D28" s="68"/>
      <c r="E28" s="69"/>
      <c r="F28" s="69"/>
      <c r="G28" s="69"/>
      <c r="H28" s="69"/>
      <c r="I28" s="69"/>
      <c r="J28" s="93"/>
    </row>
    <row r="29" spans="2:10" ht="15" x14ac:dyDescent="0.25">
      <c r="B29" s="117"/>
      <c r="C29" s="117"/>
      <c r="D29" s="68"/>
      <c r="E29" s="69"/>
      <c r="F29" s="69"/>
      <c r="G29" s="69"/>
      <c r="H29" s="69"/>
      <c r="I29" s="69"/>
      <c r="J29" s="93"/>
    </row>
    <row r="30" spans="2:10" ht="15" x14ac:dyDescent="0.25">
      <c r="B30" s="117"/>
      <c r="C30" s="117"/>
      <c r="D30" s="68"/>
      <c r="E30" s="69"/>
      <c r="F30" s="69"/>
      <c r="G30" s="69"/>
      <c r="H30" s="69"/>
      <c r="I30" s="69"/>
      <c r="J30" s="93"/>
    </row>
    <row r="31" spans="2:10" ht="15" x14ac:dyDescent="0.25">
      <c r="B31" s="117"/>
      <c r="C31" s="117"/>
      <c r="D31" s="68"/>
      <c r="E31" s="69"/>
      <c r="F31" s="69"/>
      <c r="G31" s="69"/>
      <c r="H31" s="69"/>
      <c r="I31" s="69"/>
      <c r="J31" s="93"/>
    </row>
    <row r="32" spans="2:10" ht="15" x14ac:dyDescent="0.25">
      <c r="B32" s="111"/>
      <c r="C32" s="111"/>
      <c r="D32" s="68"/>
      <c r="E32" s="70"/>
      <c r="F32" s="69"/>
      <c r="G32" s="69"/>
      <c r="H32" s="69"/>
      <c r="I32" s="69"/>
      <c r="J32" s="93"/>
    </row>
    <row r="33" spans="2:10" ht="15" x14ac:dyDescent="0.25">
      <c r="B33" s="111"/>
      <c r="C33" s="111"/>
      <c r="D33" s="68"/>
      <c r="E33" s="70"/>
      <c r="F33" s="69"/>
      <c r="G33" s="69"/>
      <c r="H33" s="69"/>
      <c r="I33" s="69"/>
      <c r="J33" s="93"/>
    </row>
    <row r="34" spans="2:10" ht="15" x14ac:dyDescent="0.25">
      <c r="B34" s="93"/>
      <c r="C34" s="93"/>
      <c r="D34" s="93"/>
      <c r="E34" s="93"/>
      <c r="F34" s="93"/>
      <c r="G34" s="93"/>
      <c r="H34" s="93"/>
      <c r="I34" s="93"/>
      <c r="J34" s="93"/>
    </row>
    <row r="35" spans="2:10" x14ac:dyDescent="0.25">
      <c r="B35" s="94"/>
      <c r="C35" s="94"/>
      <c r="D35" s="94"/>
      <c r="E35" s="94"/>
      <c r="F35" s="94"/>
      <c r="G35" s="94"/>
      <c r="H35" s="94"/>
      <c r="J35" s="94"/>
    </row>
    <row r="36" spans="2:10" x14ac:dyDescent="0.25"/>
    <row r="37" spans="2:10" x14ac:dyDescent="0.25"/>
    <row r="38" spans="2:10" x14ac:dyDescent="0.25"/>
    <row r="39" spans="2:10" x14ac:dyDescent="0.25"/>
    <row r="40" spans="2:10" x14ac:dyDescent="0.25"/>
    <row r="41" spans="2:10" x14ac:dyDescent="0.25"/>
    <row r="42" spans="2:10" x14ac:dyDescent="0.25"/>
    <row r="43" spans="2:10" x14ac:dyDescent="0.25"/>
    <row r="44" spans="2:10" x14ac:dyDescent="0.25"/>
    <row r="45" spans="2:10" x14ac:dyDescent="0.25"/>
    <row r="46" spans="2:10" x14ac:dyDescent="0.25"/>
    <row r="47" spans="2:10" x14ac:dyDescent="0.25"/>
    <row r="48" spans="2:10" x14ac:dyDescent="0.25"/>
    <row r="49" x14ac:dyDescent="0.25"/>
  </sheetData>
  <mergeCells count="13">
    <mergeCell ref="I23:I24"/>
    <mergeCell ref="B25:C25"/>
    <mergeCell ref="B32:C32"/>
    <mergeCell ref="B33:C33"/>
    <mergeCell ref="E23:H23"/>
    <mergeCell ref="B26:C26"/>
    <mergeCell ref="B27:C27"/>
    <mergeCell ref="B28:C28"/>
    <mergeCell ref="B29:C29"/>
    <mergeCell ref="B30:C30"/>
    <mergeCell ref="B31:C31"/>
    <mergeCell ref="B23:C24"/>
    <mergeCell ref="D23:D24"/>
  </mergeCells>
  <pageMargins left="0.7" right="0.7" top="0.75" bottom="0.75" header="0.3" footer="0.3"/>
  <pageSetup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"/>
  <sheetViews>
    <sheetView showGridLines="0" zoomScaleSheetLayoutView="100" workbookViewId="0">
      <selection activeCell="E4" sqref="E4"/>
    </sheetView>
  </sheetViews>
  <sheetFormatPr defaultColWidth="0" defaultRowHeight="13.5" zeroHeight="1" x14ac:dyDescent="0.25"/>
  <cols>
    <col min="1" max="1" width="1" style="13" customWidth="1"/>
    <col min="2" max="2" width="10" style="13" customWidth="1"/>
    <col min="3" max="3" width="61.42578125" style="13" customWidth="1"/>
    <col min="4" max="5" width="13.5703125" style="13" customWidth="1"/>
    <col min="6" max="6" width="1" style="13" customWidth="1"/>
    <col min="7" max="7" width="9.140625" style="13" hidden="1" customWidth="1"/>
    <col min="8" max="9" width="0" style="13" hidden="1" customWidth="1"/>
    <col min="10" max="16384" width="9.140625" style="13" hidden="1"/>
  </cols>
  <sheetData>
    <row r="1" spans="2:10" s="12" customFormat="1" ht="15" x14ac:dyDescent="0.25">
      <c r="B1" s="24" t="str">
        <f>Index!B1</f>
        <v>ABC &amp; Co.</v>
      </c>
      <c r="D1" s="25"/>
      <c r="E1" s="26" t="str">
        <f>Index!E26</f>
        <v>BS.06 - 8</v>
      </c>
    </row>
    <row r="2" spans="2:10" s="12" customFormat="1" ht="15" x14ac:dyDescent="0.25">
      <c r="B2" s="12" t="str">
        <f>Index!B2</f>
        <v>(Chartered Accountants)</v>
      </c>
      <c r="D2" s="25"/>
    </row>
    <row r="3" spans="2:10" s="12" customFormat="1" x14ac:dyDescent="0.25">
      <c r="E3" s="13"/>
      <c r="F3" s="13"/>
    </row>
    <row r="4" spans="2:10" s="12" customFormat="1" ht="15" x14ac:dyDescent="0.25">
      <c r="B4" s="3" t="str">
        <f>Index!B4</f>
        <v xml:space="preserve">Client: </v>
      </c>
      <c r="C4" s="27" t="str">
        <f>Index!C4</f>
        <v>ABC Limited</v>
      </c>
      <c r="D4" s="6" t="str">
        <f>Index!$G$4</f>
        <v>Prepared by:</v>
      </c>
      <c r="E4" s="7" t="str">
        <f>IF(Index!$H$4="","",Index!$H$4)</f>
        <v/>
      </c>
    </row>
    <row r="5" spans="2:10" s="12" customFormat="1" ht="15" x14ac:dyDescent="0.25">
      <c r="B5" s="3" t="str">
        <f>Index!B5</f>
        <v>Period:</v>
      </c>
      <c r="C5" s="27" t="str">
        <f>Index!C5</f>
        <v>Year ended June 30, 2023</v>
      </c>
      <c r="D5" s="6" t="str">
        <f>Index!$G$5</f>
        <v>Date prepared:</v>
      </c>
      <c r="E5" s="8" t="str">
        <f>IF(Index!$H$5="","",Index!$H$5)</f>
        <v/>
      </c>
    </row>
    <row r="6" spans="2:10" s="12" customFormat="1" ht="15" x14ac:dyDescent="0.25">
      <c r="B6" s="3" t="str">
        <f>Index!B6</f>
        <v>Head:</v>
      </c>
      <c r="C6" s="27" t="str">
        <f>Index!C6</f>
        <v>Long term deposits</v>
      </c>
      <c r="D6" s="6" t="str">
        <f>Index!$G$6</f>
        <v>Reviewed by:</v>
      </c>
      <c r="E6" s="9" t="str">
        <f>IF(Index!$H$6="","",Index!$H$6)</f>
        <v/>
      </c>
    </row>
    <row r="7" spans="2:10" ht="15" x14ac:dyDescent="0.25">
      <c r="B7" s="12"/>
      <c r="C7" s="12"/>
      <c r="D7" s="6" t="str">
        <f>Index!$G$7</f>
        <v>Date reviewed:</v>
      </c>
      <c r="E7" s="8" t="str">
        <f>IF(Index!$H$7="","",Index!$H$7)</f>
        <v/>
      </c>
      <c r="F7" s="12"/>
    </row>
    <row r="8" spans="2:10" s="12" customFormat="1" ht="15" x14ac:dyDescent="0.25">
      <c r="B8" s="100" t="s">
        <v>84</v>
      </c>
      <c r="C8" s="100"/>
      <c r="D8" s="100"/>
      <c r="E8" s="100"/>
      <c r="F8" s="24"/>
    </row>
    <row r="9" spans="2:10" x14ac:dyDescent="0.25"/>
    <row r="10" spans="2:10" s="31" customFormat="1" ht="14.25" customHeight="1" x14ac:dyDescent="0.25">
      <c r="B10" s="105" t="s">
        <v>6</v>
      </c>
      <c r="C10" s="105" t="s">
        <v>85</v>
      </c>
      <c r="D10" s="118" t="s">
        <v>77</v>
      </c>
      <c r="E10" s="118"/>
      <c r="F10" s="95"/>
    </row>
    <row r="11" spans="2:10" ht="15" x14ac:dyDescent="0.25">
      <c r="B11" s="105"/>
      <c r="C11" s="105"/>
      <c r="D11" s="28" t="s">
        <v>86</v>
      </c>
      <c r="E11" s="30" t="s">
        <v>87</v>
      </c>
      <c r="F11" s="29"/>
    </row>
    <row r="12" spans="2:10" x14ac:dyDescent="0.25">
      <c r="B12" s="98"/>
      <c r="C12" s="99"/>
      <c r="D12" s="99"/>
      <c r="E12" s="99"/>
    </row>
    <row r="13" spans="2:10" s="34" customFormat="1" x14ac:dyDescent="0.25">
      <c r="B13" s="32"/>
      <c r="C13" s="96"/>
      <c r="D13" s="96"/>
      <c r="E13" s="96"/>
      <c r="F13" s="13"/>
      <c r="G13" s="13"/>
      <c r="H13" s="13"/>
      <c r="I13" s="13"/>
      <c r="J13" s="13"/>
    </row>
    <row r="14" spans="2:10" s="34" customFormat="1" x14ac:dyDescent="0.25">
      <c r="B14" s="32"/>
      <c r="C14" s="96"/>
      <c r="D14" s="96"/>
      <c r="E14" s="96"/>
      <c r="F14" s="13"/>
      <c r="G14" s="13"/>
      <c r="H14" s="13"/>
      <c r="I14" s="13"/>
      <c r="J14" s="13"/>
    </row>
    <row r="15" spans="2:10" s="34" customFormat="1" x14ac:dyDescent="0.25">
      <c r="B15" s="32"/>
      <c r="C15" s="96"/>
      <c r="D15" s="96"/>
      <c r="E15" s="96"/>
      <c r="F15" s="13"/>
      <c r="G15" s="13"/>
      <c r="H15" s="13"/>
      <c r="I15" s="13"/>
      <c r="J15" s="13"/>
    </row>
    <row r="16" spans="2:10" s="34" customFormat="1" x14ac:dyDescent="0.25">
      <c r="B16" s="32"/>
      <c r="C16" s="96"/>
      <c r="D16" s="96"/>
      <c r="E16" s="96"/>
      <c r="F16" s="13"/>
      <c r="G16" s="13"/>
      <c r="H16" s="13"/>
      <c r="I16" s="13"/>
      <c r="J16" s="13"/>
    </row>
    <row r="17" spans="2:10" s="34" customFormat="1" x14ac:dyDescent="0.25">
      <c r="B17" s="32"/>
      <c r="C17" s="96"/>
      <c r="D17" s="96"/>
      <c r="E17" s="96"/>
      <c r="F17" s="13"/>
      <c r="G17" s="13"/>
      <c r="H17" s="13"/>
      <c r="I17" s="13"/>
      <c r="J17" s="13"/>
    </row>
    <row r="18" spans="2:10" s="34" customFormat="1" x14ac:dyDescent="0.25">
      <c r="B18" s="32"/>
      <c r="C18" s="96"/>
      <c r="D18" s="96"/>
      <c r="E18" s="96"/>
      <c r="F18" s="13"/>
      <c r="G18" s="13"/>
      <c r="H18" s="13"/>
      <c r="I18" s="13"/>
      <c r="J18" s="13"/>
    </row>
    <row r="19" spans="2:10" s="34" customFormat="1" x14ac:dyDescent="0.25">
      <c r="B19" s="32"/>
      <c r="C19" s="96"/>
      <c r="D19" s="96"/>
      <c r="E19" s="96"/>
      <c r="F19" s="13"/>
      <c r="G19" s="13"/>
      <c r="H19" s="13"/>
      <c r="I19" s="13"/>
      <c r="J19" s="13"/>
    </row>
    <row r="20" spans="2:10" s="34" customFormat="1" x14ac:dyDescent="0.25">
      <c r="B20" s="32"/>
      <c r="C20" s="96"/>
      <c r="D20" s="96"/>
      <c r="E20" s="96"/>
      <c r="F20" s="13"/>
      <c r="G20" s="13"/>
      <c r="H20" s="13"/>
      <c r="I20" s="13"/>
      <c r="J20" s="13"/>
    </row>
    <row r="21" spans="2:10" s="34" customFormat="1" x14ac:dyDescent="0.25">
      <c r="B21" s="32"/>
      <c r="C21" s="96"/>
      <c r="D21" s="96"/>
      <c r="E21" s="96"/>
      <c r="F21" s="13"/>
      <c r="G21" s="13"/>
      <c r="H21" s="13"/>
      <c r="I21" s="13"/>
      <c r="J21" s="13"/>
    </row>
    <row r="22" spans="2:10" s="34" customFormat="1" x14ac:dyDescent="0.25">
      <c r="B22" s="32"/>
      <c r="C22" s="33"/>
      <c r="D22" s="97"/>
      <c r="E22" s="97"/>
      <c r="F22" s="13"/>
      <c r="G22" s="13"/>
      <c r="H22" s="13"/>
      <c r="I22" s="13"/>
      <c r="J22" s="13"/>
    </row>
    <row r="23" spans="2:10" s="34" customFormat="1" x14ac:dyDescent="0.25">
      <c r="B23" s="32"/>
      <c r="C23" s="33"/>
      <c r="D23" s="47"/>
      <c r="E23" s="47"/>
    </row>
    <row r="24" spans="2:10" s="34" customFormat="1" x14ac:dyDescent="0.25">
      <c r="B24" s="32"/>
      <c r="C24" s="33"/>
      <c r="D24" s="33"/>
      <c r="E24" s="33"/>
    </row>
    <row r="25" spans="2:10" s="43" customFormat="1" x14ac:dyDescent="0.25">
      <c r="B25" s="48"/>
      <c r="C25" s="49"/>
    </row>
    <row r="26" spans="2:10" s="43" customFormat="1" hidden="1" x14ac:dyDescent="0.25"/>
    <row r="27" spans="2:10" s="43" customFormat="1" ht="15" hidden="1" x14ac:dyDescent="0.25">
      <c r="D27" s="50"/>
      <c r="E27" s="50"/>
      <c r="F27" s="50"/>
      <c r="G27" s="50"/>
      <c r="H27" s="50"/>
      <c r="I27" s="50"/>
    </row>
    <row r="28" spans="2:10" s="43" customFormat="1" hidden="1" x14ac:dyDescent="0.25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Index</vt:lpstr>
      <vt:lpstr>AOC</vt:lpstr>
      <vt:lpstr>SubLead</vt:lpstr>
      <vt:lpstr>Lead</vt:lpstr>
      <vt:lpstr>Vouching-Additions</vt:lpstr>
      <vt:lpstr>Impairnment</vt:lpstr>
      <vt:lpstr>Adjusting Entries</vt:lpstr>
      <vt:lpstr>'Adjusting Entries'!Print_Area</vt:lpstr>
      <vt:lpstr>AOC!Print_Area</vt:lpstr>
      <vt:lpstr>Impairnment!Print_Area</vt:lpstr>
      <vt:lpstr>Index!Print_Area</vt:lpstr>
      <vt:lpstr>Lead!Print_Area</vt:lpstr>
      <vt:lpstr>SubLead!Print_Area</vt:lpstr>
      <vt:lpstr>'Vouching-Additions'!Print_Area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Hamid Ali</cp:lastModifiedBy>
  <cp:lastPrinted>2017-05-30T06:28:56Z</cp:lastPrinted>
  <dcterms:created xsi:type="dcterms:W3CDTF">2013-09-04T12:17:25Z</dcterms:created>
  <dcterms:modified xsi:type="dcterms:W3CDTF">2023-06-23T10:14:32Z</dcterms:modified>
</cp:coreProperties>
</file>