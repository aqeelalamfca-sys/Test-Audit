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amid\OneDrive\Desktop\"/>
    </mc:Choice>
  </mc:AlternateContent>
  <xr:revisionPtr revIDLastSave="0" documentId="13_ncr:1_{6482AEFF-3476-4698-9C9F-5FFD5CDE85D0}" xr6:coauthVersionLast="47" xr6:coauthVersionMax="47" xr10:uidLastSave="{00000000-0000-0000-0000-000000000000}"/>
  <bookViews>
    <workbookView xWindow="-120" yWindow="-120" windowWidth="20730" windowHeight="11760" tabRatio="857" activeTab="5" xr2:uid="{00000000-000D-0000-FFFF-FFFF00000000}"/>
  </bookViews>
  <sheets>
    <sheet name="Index" sheetId="6" r:id="rId1"/>
    <sheet name="AOC" sheetId="7" r:id="rId2"/>
    <sheet name="Lead" sheetId="3" r:id="rId3"/>
    <sheet name="SubLead" sheetId="20" r:id="rId4"/>
    <sheet name="BankConfirmation-CS" sheetId="23" r:id="rId5"/>
    <sheet name="Adjusting Entries" sheetId="24" r:id="rId6"/>
  </sheets>
  <definedNames>
    <definedName name="_Fill" localSheetId="5" hidden="1">#REF!</definedName>
    <definedName name="_Fill" localSheetId="4" hidden="1">#REF!</definedName>
    <definedName name="_Fill" hidden="1">#REF!</definedName>
    <definedName name="_Key1" localSheetId="5" hidden="1">#REF!</definedName>
    <definedName name="_Key1" localSheetId="4" hidden="1">#REF!</definedName>
    <definedName name="_Key1" hidden="1">#REF!</definedName>
    <definedName name="_Key2" localSheetId="5" hidden="1">#REF!</definedName>
    <definedName name="_Key2" localSheetId="4" hidden="1">#REF!</definedName>
    <definedName name="_Key2" hidden="1">#REF!</definedName>
    <definedName name="_Order1" hidden="1">255</definedName>
    <definedName name="_Order2" hidden="1">255</definedName>
    <definedName name="_Sort" localSheetId="5" hidden="1">#REF!</definedName>
    <definedName name="_Sort" localSheetId="4" hidden="1">#REF!</definedName>
    <definedName name="_Sort" hidden="1">#REF!</definedName>
    <definedName name="_xlnm.Print_Area" localSheetId="5">'Adjusting Entries'!$A$1:$F$25</definedName>
    <definedName name="_xlnm.Print_Area" localSheetId="1">AOC!$A$1:$F$28</definedName>
    <definedName name="_xlnm.Print_Area" localSheetId="4">'BankConfirmation-CS'!$A$1:$J$41</definedName>
    <definedName name="_xlnm.Print_Area" localSheetId="0">Index!$A$1:$I$34</definedName>
    <definedName name="_xlnm.Print_Area" localSheetId="2">Lead!$A$1:$J$54</definedName>
    <definedName name="_xlnm.Print_Area" localSheetId="3">SubLead!$A$1:$J$47</definedName>
  </definedNames>
  <calcPr calcId="181029"/>
</workbook>
</file>

<file path=xl/calcChain.xml><?xml version="1.0" encoding="utf-8"?>
<calcChain xmlns="http://schemas.openxmlformats.org/spreadsheetml/2006/main">
  <c r="H42" i="20" l="1"/>
  <c r="H40" i="20"/>
  <c r="H39" i="20"/>
  <c r="H36" i="20"/>
  <c r="H35" i="20"/>
  <c r="B24" i="7"/>
  <c r="B25" i="7" s="1"/>
  <c r="B26" i="7" s="1"/>
  <c r="B17" i="7"/>
  <c r="B16" i="7"/>
  <c r="B15" i="7"/>
  <c r="B14" i="7"/>
  <c r="E7" i="7"/>
  <c r="D7" i="7"/>
  <c r="E6" i="7"/>
  <c r="D6" i="7"/>
  <c r="E5" i="7"/>
  <c r="D5" i="7"/>
  <c r="E4" i="7"/>
  <c r="D4" i="7"/>
  <c r="E7" i="24"/>
  <c r="D7" i="24"/>
  <c r="E6" i="24"/>
  <c r="D6" i="24"/>
  <c r="E5" i="24"/>
  <c r="D5" i="24"/>
  <c r="E4" i="24"/>
  <c r="D4" i="24"/>
  <c r="I7" i="23"/>
  <c r="H7" i="23"/>
  <c r="I6" i="23"/>
  <c r="H6" i="23"/>
  <c r="I5" i="23"/>
  <c r="H5" i="23"/>
  <c r="I4" i="23"/>
  <c r="H4" i="23"/>
  <c r="I7" i="20"/>
  <c r="H7" i="20"/>
  <c r="I6" i="20"/>
  <c r="H6" i="20"/>
  <c r="I5" i="20"/>
  <c r="H5" i="20"/>
  <c r="I4" i="20"/>
  <c r="H4" i="20"/>
  <c r="I7" i="3"/>
  <c r="H7" i="3"/>
  <c r="I6" i="3"/>
  <c r="H6" i="3"/>
  <c r="I5" i="3"/>
  <c r="H5" i="3"/>
  <c r="I4" i="3"/>
  <c r="H4" i="3"/>
  <c r="C6" i="24"/>
  <c r="B6" i="24"/>
  <c r="C5" i="24"/>
  <c r="B5" i="24"/>
  <c r="C4" i="24"/>
  <c r="B4" i="24"/>
  <c r="B2" i="24"/>
  <c r="B1" i="24"/>
  <c r="C6" i="23"/>
  <c r="B6" i="23"/>
  <c r="C5" i="23"/>
  <c r="B5" i="23"/>
  <c r="C4" i="23"/>
  <c r="B4" i="23"/>
  <c r="B2" i="23"/>
  <c r="B1" i="23"/>
  <c r="C6" i="20"/>
  <c r="B6" i="20"/>
  <c r="C5" i="20"/>
  <c r="B5" i="20"/>
  <c r="C4" i="20"/>
  <c r="B4" i="20"/>
  <c r="B2" i="20"/>
  <c r="B1" i="20"/>
  <c r="C6" i="3"/>
  <c r="B6" i="3"/>
  <c r="C5" i="3"/>
  <c r="B5" i="3"/>
  <c r="C4" i="3"/>
  <c r="B4" i="3"/>
  <c r="B2" i="3"/>
  <c r="B1" i="3"/>
  <c r="C6" i="7"/>
  <c r="C5" i="7"/>
  <c r="C4" i="7"/>
  <c r="B6" i="7"/>
  <c r="B5" i="7"/>
  <c r="B4" i="7"/>
  <c r="B2" i="7"/>
  <c r="B1" i="7"/>
  <c r="E12" i="6"/>
  <c r="B14" i="6"/>
  <c r="E14" i="6" s="1"/>
  <c r="E30" i="20"/>
  <c r="F29" i="3"/>
  <c r="F30" i="20" s="1"/>
  <c r="B16" i="6" l="1"/>
  <c r="F44" i="20"/>
  <c r="E44" i="20"/>
  <c r="G42" i="20"/>
  <c r="G40" i="20"/>
  <c r="G39" i="20"/>
  <c r="G36" i="20"/>
  <c r="G35" i="20"/>
  <c r="G49" i="3"/>
  <c r="H49" i="3" s="1"/>
  <c r="G48" i="3"/>
  <c r="H48" i="3" s="1"/>
  <c r="G45" i="3"/>
  <c r="H45" i="3" s="1"/>
  <c r="G44" i="3"/>
  <c r="H44" i="3" s="1"/>
  <c r="G41" i="3"/>
  <c r="H41" i="3" s="1"/>
  <c r="G40" i="3"/>
  <c r="H40" i="3" s="1"/>
  <c r="G39" i="3"/>
  <c r="H39" i="3" s="1"/>
  <c r="G35" i="3"/>
  <c r="H35" i="3" s="1"/>
  <c r="G36" i="3"/>
  <c r="H36" i="3" s="1"/>
  <c r="G34" i="3"/>
  <c r="H34" i="3" s="1"/>
  <c r="B18" i="6" l="1"/>
  <c r="E16" i="6"/>
  <c r="G44" i="20"/>
  <c r="C7" i="20"/>
  <c r="C7" i="23" s="1"/>
  <c r="B33" i="20"/>
  <c r="B20" i="6" l="1"/>
  <c r="E18" i="6"/>
  <c r="C18" i="6"/>
  <c r="C16" i="6"/>
  <c r="C14" i="6"/>
  <c r="B22" i="6" l="1"/>
  <c r="E22" i="6" s="1"/>
  <c r="E1" i="24" s="1"/>
  <c r="E20" i="6"/>
  <c r="I1" i="20" l="1"/>
  <c r="I1" i="3"/>
  <c r="E1" i="7"/>
  <c r="I1" i="23" l="1"/>
  <c r="B8" i="7" l="1"/>
  <c r="C12" i="6" s="1"/>
  <c r="G52" i="3" l="1"/>
  <c r="E52" i="3" l="1"/>
  <c r="F52" i="3" l="1"/>
</calcChain>
</file>

<file path=xl/sharedStrings.xml><?xml version="1.0" encoding="utf-8"?>
<sst xmlns="http://schemas.openxmlformats.org/spreadsheetml/2006/main" count="137" uniqueCount="101">
  <si>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</si>
  <si>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</si>
  <si>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</si>
  <si>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</si>
  <si>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</si>
  <si>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</si>
  <si>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</si>
  <si>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</si>
  <si>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</si>
  <si>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</si>
  <si>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</si>
  <si>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</si>
  <si>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</si>
  <si>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</si>
  <si>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Audit Objectives</t>
  </si>
  <si>
    <t>%</t>
  </si>
  <si>
    <t>SUB-LEAD SCHEDULE</t>
  </si>
  <si>
    <t>Test of Details</t>
  </si>
  <si>
    <t>Work performed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</si>
  <si>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</si>
  <si>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</si>
  <si>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</si>
  <si>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</si>
  <si>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Objective Met</t>
  </si>
  <si>
    <t>Satisfactory</t>
  </si>
  <si>
    <t>Conclusion</t>
  </si>
  <si>
    <t>Yes/No</t>
  </si>
  <si>
    <t>Initials</t>
  </si>
  <si>
    <t>Compared current year balances with last year balances and ensured that any significant variation has been properly and logically reasoned.</t>
  </si>
  <si>
    <t>Rupees</t>
  </si>
  <si>
    <t>Ensured that closing balances as per our working paper file are matched with general ledger.</t>
  </si>
  <si>
    <t>The working papers contain sufficient information, details of significant features and notes of unusual matters to enable us to form an opinion on financial statements.</t>
  </si>
  <si>
    <t>In my opinion above amounts are fairly stated and on a consistent basis with the previous period.</t>
  </si>
  <si>
    <t>Total closing balance</t>
  </si>
  <si>
    <t>Adjusting Entries</t>
  </si>
  <si>
    <t>Amount</t>
  </si>
  <si>
    <t>ADJUSTING ENTRIES</t>
  </si>
  <si>
    <t>Entry Proposed</t>
  </si>
  <si>
    <t>Debit</t>
  </si>
  <si>
    <t>Credit</t>
  </si>
  <si>
    <t>Cash and bank balance</t>
  </si>
  <si>
    <t>All cash and bank balances are completely and accurately recorded</t>
  </si>
  <si>
    <t>All recorded cash and bank balances actually exist</t>
  </si>
  <si>
    <t>All cash and bank balances are recorded at appropriate values</t>
  </si>
  <si>
    <t>All cash and bank balances recorded are owned by the client and title is also in the name of client</t>
  </si>
  <si>
    <t>a)  In Current  Accounts</t>
  </si>
  <si>
    <t>Local Currency</t>
  </si>
  <si>
    <t>Foreign Currency</t>
  </si>
  <si>
    <t>b) In Deposit Accounts</t>
  </si>
  <si>
    <t>Balances in transit</t>
  </si>
  <si>
    <t>Cash in hand</t>
  </si>
  <si>
    <t>- Cash in Transit</t>
  </si>
  <si>
    <t>- Cash in Hand - Imperest</t>
  </si>
  <si>
    <t>- Cash in Hand - Petty Cash</t>
  </si>
  <si>
    <t>on deposit account</t>
  </si>
  <si>
    <t>on current account</t>
  </si>
  <si>
    <t>other accounts</t>
  </si>
  <si>
    <t>Cash at Bank</t>
  </si>
  <si>
    <t>In Current  Accounts</t>
  </si>
  <si>
    <t>- Local Currency</t>
  </si>
  <si>
    <t>- Foreign Currency</t>
  </si>
  <si>
    <t>In Deposit Accounts</t>
  </si>
  <si>
    <t>Obtained list of banks from client and documented logical commercial reasons for new bank accounts opened and closed during the year.</t>
  </si>
  <si>
    <t>Traced opening balance in general ledger from last year working papers</t>
  </si>
  <si>
    <t>Ensured that no balances are subject any encumbrance, if so then disclosure is made</t>
  </si>
  <si>
    <t>Obtained certificates of cash in hand and matched them to the accounting records and cash count report.</t>
  </si>
  <si>
    <t>Attended year-end cash count and deposit verification.</t>
  </si>
  <si>
    <t>Circularized banks balances confirmation and matched them to accounting records and bank statements.</t>
  </si>
  <si>
    <t>For significant variation between bank balances as per ledger and as per bank record, obtained bank reconciliation from management.</t>
  </si>
  <si>
    <t>Ensure that all balances and bank details reported by bank in replies to bank confirmation request are included in records of the client.</t>
  </si>
  <si>
    <t>Ensured that all bank accounts are in company's name.</t>
  </si>
  <si>
    <t>Ensured that all bank accounts have been appropriately classified.</t>
  </si>
  <si>
    <t>BANK CONFIRMATION - CONTROL SHEET</t>
  </si>
  <si>
    <t>All deposit made should be cleared within two days</t>
  </si>
  <si>
    <t>No revenue nature item should be appearing</t>
  </si>
  <si>
    <t>No long outstanding item should remain un-followed,</t>
  </si>
  <si>
    <t>Obtained and examined bank reconciliations to ensure the following:</t>
  </si>
  <si>
    <t>Performed cut-off procedures to ensure transactions are recorded in correct accounting period.</t>
  </si>
  <si>
    <t>BS.15</t>
  </si>
  <si>
    <t>Bank Statements and Reconciliations</t>
  </si>
  <si>
    <t>Analytical Procedures:</t>
  </si>
  <si>
    <t>Subhead:</t>
  </si>
  <si>
    <t>Converted Foreign current accounts into functional currency of the company at the year-end rate.</t>
  </si>
  <si>
    <t>Balance Amount</t>
  </si>
  <si>
    <t>Date - Confirmation Sent</t>
  </si>
  <si>
    <t>Balance Confirmed</t>
  </si>
  <si>
    <t>Difference</t>
  </si>
  <si>
    <t>Bank Name</t>
  </si>
  <si>
    <t>Account Number</t>
  </si>
  <si>
    <t>All cash and bank balances are presented and all disclosures have been given in accordance with the Fourth / Fifth Schedule of the Companies Act, 2017 and relevant IASs</t>
  </si>
  <si>
    <t>Determined that disclosures have been made in accordance with the requirements of Fifth Schedule to the Companies Act, 2017 and the applicable IASs/IFRSs.</t>
  </si>
  <si>
    <t>ABC &amp; Co.</t>
  </si>
  <si>
    <t>(Chartered Accountants)</t>
  </si>
  <si>
    <t>ABC Limited</t>
  </si>
  <si>
    <t>Year ended June 30, 2023</t>
  </si>
  <si>
    <t>Date prepared:</t>
  </si>
  <si>
    <t>Date reviewed:</t>
  </si>
  <si>
    <t>No long outstanding cheque of significant amount are unpresented; if so then check their payment voucher.</t>
  </si>
  <si>
    <t>Ensure that no discrepancy is involved.</t>
  </si>
  <si>
    <t>Observations</t>
  </si>
  <si>
    <t>None.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</si>
</sst>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&quot;Rs.&quot;#,##0"/>
    <numFmt numFmtId="167" formatCode="&quot;£&quot;#,##0_);\(&quot;£&quot;#,##0\)"/>
    <numFmt numFmtId="168" formatCode="[$-409]d/mmm/yy;@"/>
    <numFmt numFmtId="169" formatCode="[$]dd\-mmm\-yyyy;@" x16r2:formatCode16="[$-en-PK,1]dd\-mmm\-yyyy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Book Antiqua"/>
      <family val="1"/>
    </font>
    <font>
      <sz val="11"/>
      <color theme="1"/>
      <name val="Book Antiqua"/>
      <family val="1"/>
    </font>
    <font>
      <b/>
      <sz val="11"/>
      <color indexed="8"/>
      <name val="Book Antiqua"/>
      <family val="1"/>
    </font>
    <font>
      <b/>
      <sz val="11"/>
      <name val="Book Antiqua"/>
      <family val="1"/>
    </font>
    <font>
      <b/>
      <sz val="11"/>
      <color theme="1"/>
      <name val="Book Antiqua"/>
      <family val="1"/>
    </font>
    <font>
      <sz val="11"/>
      <color indexed="8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indexed="8"/>
      <name val="Book Antiqua"/>
      <family val="1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dotted">
        <color rgb="FFC00000"/>
      </left>
      <right style="dotted">
        <color rgb="FFC00000"/>
      </right>
      <top/>
      <bottom/>
      <diagonal/>
    </border>
    <border>
      <left/>
      <right/>
      <top style="thin">
        <color rgb="FFC00000"/>
      </top>
      <bottom style="dotted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dotted">
        <color rgb="FFC00000"/>
      </left>
      <right/>
      <top style="dotted">
        <color rgb="FFC00000"/>
      </top>
      <bottom style="dotted">
        <color rgb="FFC00000"/>
      </bottom>
      <diagonal/>
    </border>
    <border>
      <left/>
      <right style="dotted">
        <color rgb="FFC00000"/>
      </right>
      <top style="dotted">
        <color rgb="FFC00000"/>
      </top>
      <bottom style="dotted">
        <color rgb="FFC00000"/>
      </bottom>
      <diagonal/>
    </border>
  </borders>
  <cellStyleXfs count="7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8" applyNumberFormat="0" applyFont="0" applyAlignment="0" applyProtection="0"/>
    <xf numFmtId="0" fontId="20" fillId="21" borderId="9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/>
    <xf numFmtId="168" fontId="3" fillId="0" borderId="0"/>
    <xf numFmtId="168" fontId="3" fillId="0" borderId="0"/>
    <xf numFmtId="0" fontId="3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24" fillId="0" borderId="0" xfId="4" applyFont="1"/>
    <xf numFmtId="0" fontId="25" fillId="0" borderId="0" xfId="0" applyFont="1" applyAlignment="1">
      <alignment vertical="center"/>
    </xf>
    <xf numFmtId="0" fontId="24" fillId="0" borderId="0" xfId="4" applyFont="1" applyAlignment="1">
      <alignment vertical="center"/>
    </xf>
    <xf numFmtId="0" fontId="26" fillId="0" borderId="0" xfId="3" applyNumberFormat="1" applyFont="1" applyFill="1" applyBorder="1" applyAlignment="1" applyProtection="1">
      <alignment vertical="center"/>
    </xf>
    <xf numFmtId="0" fontId="26" fillId="0" borderId="0" xfId="3" applyNumberFormat="1" applyFont="1" applyAlignment="1">
      <alignment vertical="center"/>
    </xf>
    <xf numFmtId="0" fontId="27" fillId="0" borderId="0" xfId="4" applyFont="1" applyAlignment="1">
      <alignment vertical="center"/>
    </xf>
    <xf numFmtId="0" fontId="28" fillId="0" borderId="0" xfId="0" applyFont="1" applyAlignment="1">
      <alignment horizontal="center" vertical="top"/>
    </xf>
    <xf numFmtId="0" fontId="25" fillId="0" borderId="0" xfId="0" applyFont="1" applyAlignment="1">
      <alignment vertical="top"/>
    </xf>
    <xf numFmtId="0" fontId="28" fillId="0" borderId="0" xfId="0" applyFont="1" applyAlignment="1">
      <alignment horizontal="center" vertical="center"/>
    </xf>
    <xf numFmtId="0" fontId="25" fillId="0" borderId="12" xfId="0" quotePrefix="1" applyFont="1" applyBorder="1" applyAlignment="1">
      <alignment horizontal="center" vertical="center" wrapText="1"/>
    </xf>
    <xf numFmtId="0" fontId="25" fillId="0" borderId="12" xfId="0" applyFont="1" applyBorder="1" applyAlignment="1">
      <alignment vertical="center"/>
    </xf>
    <xf numFmtId="0" fontId="25" fillId="0" borderId="0" xfId="0" applyFont="1" applyAlignment="1">
      <alignment vertical="center" wrapText="1"/>
    </xf>
    <xf numFmtId="0" fontId="25" fillId="0" borderId="12" xfId="0" applyFont="1" applyBorder="1" applyAlignment="1">
      <alignment vertical="center" wrapText="1"/>
    </xf>
    <xf numFmtId="0" fontId="25" fillId="0" borderId="12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0" fontId="24" fillId="2" borderId="0" xfId="2" quotePrefix="1" applyFont="1" applyFill="1" applyAlignment="1">
      <alignment horizontal="center" vertical="center"/>
    </xf>
    <xf numFmtId="0" fontId="24" fillId="2" borderId="0" xfId="2" applyFont="1" applyFill="1" applyAlignment="1">
      <alignment vertical="justify"/>
    </xf>
    <xf numFmtId="0" fontId="24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27" fillId="2" borderId="12" xfId="2" applyFont="1" applyFill="1" applyBorder="1" applyAlignment="1">
      <alignment horizontal="left" vertical="center" indent="1"/>
    </xf>
    <xf numFmtId="0" fontId="24" fillId="2" borderId="12" xfId="2" applyFont="1" applyFill="1" applyBorder="1" applyAlignment="1">
      <alignment horizontal="left" vertical="center" indent="1"/>
    </xf>
    <xf numFmtId="0" fontId="24" fillId="2" borderId="12" xfId="2" applyFont="1" applyFill="1" applyBorder="1" applyAlignment="1">
      <alignment vertical="center"/>
    </xf>
    <xf numFmtId="165" fontId="24" fillId="2" borderId="12" xfId="1" applyNumberFormat="1" applyFont="1" applyFill="1" applyBorder="1" applyAlignment="1">
      <alignment horizontal="right" vertical="center"/>
    </xf>
    <xf numFmtId="0" fontId="24" fillId="2" borderId="12" xfId="2" applyFont="1" applyFill="1" applyBorder="1" applyAlignment="1">
      <alignment horizontal="left" vertical="center" indent="2"/>
    </xf>
    <xf numFmtId="0" fontId="25" fillId="0" borderId="0" xfId="0" applyFont="1" applyAlignment="1">
      <alignment vertical="top" wrapText="1"/>
    </xf>
    <xf numFmtId="0" fontId="27" fillId="2" borderId="12" xfId="2" applyFont="1" applyFill="1" applyBorder="1" applyAlignment="1">
      <alignment horizontal="center" vertical="center"/>
    </xf>
    <xf numFmtId="0" fontId="25" fillId="25" borderId="0" xfId="0" applyFont="1" applyFill="1" applyAlignment="1">
      <alignment horizontal="justify" vertical="top" wrapText="1"/>
    </xf>
    <xf numFmtId="0" fontId="25" fillId="25" borderId="0" xfId="0" applyFont="1" applyFill="1" applyAlignment="1">
      <alignment horizontal="left" vertical="top" wrapText="1" indent="2"/>
    </xf>
    <xf numFmtId="0" fontId="24" fillId="2" borderId="0" xfId="2" applyFont="1" applyFill="1" applyAlignment="1">
      <alignment horizontal="left" vertical="center" indent="2"/>
    </xf>
    <xf numFmtId="165" fontId="24" fillId="2" borderId="12" xfId="1" applyNumberFormat="1" applyFont="1" applyFill="1" applyBorder="1" applyAlignment="1">
      <alignment horizontal="center" vertical="center"/>
    </xf>
    <xf numFmtId="9" fontId="24" fillId="2" borderId="12" xfId="74" applyFont="1" applyFill="1" applyBorder="1" applyAlignment="1">
      <alignment horizontal="center" vertical="center"/>
    </xf>
    <xf numFmtId="0" fontId="29" fillId="0" borderId="0" xfId="3" applyNumberFormat="1" applyFont="1" applyFill="1" applyBorder="1" applyAlignment="1" applyProtection="1">
      <alignment vertical="center"/>
    </xf>
    <xf numFmtId="0" fontId="27" fillId="2" borderId="0" xfId="2" applyFont="1" applyFill="1" applyAlignment="1">
      <alignment horizontal="left" vertical="center" indent="1"/>
    </xf>
    <xf numFmtId="0" fontId="24" fillId="2" borderId="0" xfId="2" applyFont="1" applyFill="1" applyAlignment="1">
      <alignment horizontal="left" vertical="top" wrapText="1" indent="2"/>
    </xf>
    <xf numFmtId="0" fontId="24" fillId="2" borderId="0" xfId="2" applyFont="1" applyFill="1" applyAlignment="1">
      <alignment horizontal="left" vertical="center" wrapText="1" indent="2"/>
    </xf>
    <xf numFmtId="0" fontId="27" fillId="2" borderId="0" xfId="2" applyFont="1" applyFill="1" applyAlignment="1">
      <alignment horizontal="left" vertical="center"/>
    </xf>
    <xf numFmtId="0" fontId="27" fillId="0" borderId="0" xfId="4" applyFont="1" applyAlignment="1">
      <alignment horizontal="right" vertical="center"/>
    </xf>
    <xf numFmtId="0" fontId="27" fillId="2" borderId="0" xfId="2" applyFont="1" applyFill="1" applyAlignment="1">
      <alignment horizontal="right" vertical="center"/>
    </xf>
    <xf numFmtId="0" fontId="24" fillId="2" borderId="0" xfId="2" applyFont="1" applyFill="1" applyAlignment="1">
      <alignment horizontal="center" vertical="center"/>
    </xf>
    <xf numFmtId="0" fontId="24" fillId="0" borderId="12" xfId="3" quotePrefix="1" applyNumberFormat="1" applyFont="1" applyFill="1" applyBorder="1" applyAlignment="1">
      <alignment horizontal="left" vertical="center" indent="3"/>
    </xf>
    <xf numFmtId="0" fontId="24" fillId="2" borderId="12" xfId="2" applyFont="1" applyFill="1" applyBorder="1" applyAlignment="1">
      <alignment horizontal="left" vertical="center" indent="6"/>
    </xf>
    <xf numFmtId="0" fontId="24" fillId="2" borderId="12" xfId="2" applyFont="1" applyFill="1" applyBorder="1" applyAlignment="1">
      <alignment horizontal="left" vertical="center" indent="3"/>
    </xf>
    <xf numFmtId="0" fontId="24" fillId="2" borderId="12" xfId="2" applyFont="1" applyFill="1" applyBorder="1" applyAlignment="1">
      <alignment horizontal="left" vertical="center" indent="1"/>
    </xf>
    <xf numFmtId="0" fontId="24" fillId="2" borderId="12" xfId="2" applyFont="1" applyFill="1" applyBorder="1" applyAlignment="1">
      <alignment horizontal="left" vertical="center" indent="2"/>
    </xf>
    <xf numFmtId="0" fontId="27" fillId="2" borderId="12" xfId="2" applyFont="1" applyFill="1" applyBorder="1" applyAlignment="1">
      <alignment horizontal="center" vertical="center"/>
    </xf>
    <xf numFmtId="0" fontId="27" fillId="2" borderId="12" xfId="2" applyFont="1" applyFill="1" applyBorder="1" applyAlignment="1">
      <alignment horizontal="left" vertical="center" indent="1"/>
    </xf>
    <xf numFmtId="0" fontId="24" fillId="2" borderId="12" xfId="2" quotePrefix="1" applyFont="1" applyFill="1" applyBorder="1" applyAlignment="1">
      <alignment horizontal="left" vertical="center" indent="3"/>
    </xf>
    <xf numFmtId="0" fontId="28" fillId="0" borderId="11" xfId="0" quotePrefix="1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center"/>
    </xf>
    <xf numFmtId="0" fontId="28" fillId="0" borderId="11" xfId="0" applyFont="1" applyFill="1" applyBorder="1" applyAlignment="1">
      <alignment horizontal="center" vertical="center" wrapText="1"/>
    </xf>
    <xf numFmtId="0" fontId="28" fillId="0" borderId="11" xfId="2" applyFont="1" applyFill="1" applyBorder="1" applyAlignment="1">
      <alignment horizontal="center" vertical="center" wrapText="1"/>
    </xf>
    <xf numFmtId="0" fontId="28" fillId="0" borderId="11" xfId="2" applyFont="1" applyFill="1" applyBorder="1" applyAlignment="1">
      <alignment horizontal="center" vertical="center"/>
    </xf>
    <xf numFmtId="0" fontId="28" fillId="0" borderId="11" xfId="2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top"/>
    </xf>
    <xf numFmtId="0" fontId="30" fillId="0" borderId="0" xfId="4" applyFont="1"/>
    <xf numFmtId="0" fontId="31" fillId="0" borderId="0" xfId="4" applyFont="1"/>
    <xf numFmtId="0" fontId="32" fillId="0" borderId="0" xfId="3" applyNumberFormat="1" applyFont="1" applyFill="1" applyBorder="1" applyAlignment="1" applyProtection="1">
      <alignment vertical="center"/>
    </xf>
    <xf numFmtId="0" fontId="32" fillId="0" borderId="0" xfId="3" applyNumberFormat="1" applyFont="1" applyFill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4" applyFont="1" applyAlignment="1">
      <alignment horizontal="center"/>
    </xf>
    <xf numFmtId="0" fontId="30" fillId="0" borderId="0" xfId="4" quotePrefix="1" applyFont="1" applyAlignment="1">
      <alignment horizontal="right" vertical="center"/>
    </xf>
    <xf numFmtId="0" fontId="31" fillId="0" borderId="0" xfId="4" applyFont="1" applyAlignment="1">
      <alignment vertical="center"/>
    </xf>
    <xf numFmtId="0" fontId="33" fillId="0" borderId="0" xfId="0" applyFont="1" applyAlignment="1">
      <alignment vertical="center"/>
    </xf>
    <xf numFmtId="0" fontId="32" fillId="0" borderId="0" xfId="3" applyNumberFormat="1" applyFont="1" applyAlignment="1">
      <alignment horizontal="center" vertical="center"/>
    </xf>
    <xf numFmtId="0" fontId="32" fillId="0" borderId="0" xfId="4" applyFont="1" applyAlignment="1">
      <alignment horizontal="left" vertical="center"/>
    </xf>
    <xf numFmtId="0" fontId="30" fillId="0" borderId="0" xfId="3" applyNumberFormat="1" applyFont="1" applyAlignment="1">
      <alignment horizontal="center" vertical="center"/>
    </xf>
    <xf numFmtId="0" fontId="31" fillId="0" borderId="0" xfId="4" applyFont="1" applyAlignment="1">
      <alignment horizontal="center" vertical="center"/>
    </xf>
    <xf numFmtId="0" fontId="30" fillId="0" borderId="0" xfId="4" applyFont="1" applyAlignment="1"/>
    <xf numFmtId="0" fontId="30" fillId="0" borderId="0" xfId="4" applyFont="1" applyAlignment="1">
      <alignment horizontal="center"/>
    </xf>
    <xf numFmtId="0" fontId="34" fillId="0" borderId="11" xfId="4" applyFont="1" applyFill="1" applyBorder="1" applyAlignment="1">
      <alignment horizontal="center" vertical="center"/>
    </xf>
    <xf numFmtId="0" fontId="34" fillId="0" borderId="11" xfId="4" applyFont="1" applyFill="1" applyBorder="1" applyAlignment="1">
      <alignment horizontal="center" vertical="center" wrapText="1"/>
    </xf>
    <xf numFmtId="0" fontId="31" fillId="0" borderId="12" xfId="4" applyFont="1" applyBorder="1" applyAlignment="1">
      <alignment horizontal="center" vertical="center"/>
    </xf>
    <xf numFmtId="0" fontId="31" fillId="0" borderId="12" xfId="4" applyFont="1" applyBorder="1" applyAlignment="1">
      <alignment vertical="center"/>
    </xf>
    <xf numFmtId="0" fontId="31" fillId="0" borderId="12" xfId="4" applyFont="1" applyBorder="1"/>
    <xf numFmtId="0" fontId="31" fillId="0" borderId="12" xfId="4" applyFont="1" applyBorder="1" applyAlignment="1">
      <alignment horizontal="left" vertical="center"/>
    </xf>
    <xf numFmtId="169" fontId="31" fillId="0" borderId="1" xfId="4" applyNumberFormat="1" applyFont="1" applyBorder="1" applyAlignment="1">
      <alignment horizontal="center" vertical="center"/>
    </xf>
    <xf numFmtId="0" fontId="31" fillId="0" borderId="1" xfId="4" applyFont="1" applyBorder="1" applyAlignment="1">
      <alignment horizontal="center" vertical="center"/>
    </xf>
    <xf numFmtId="0" fontId="30" fillId="0" borderId="0" xfId="4" applyFont="1" applyAlignment="1">
      <alignment vertical="center"/>
    </xf>
    <xf numFmtId="0" fontId="30" fillId="2" borderId="0" xfId="2" applyFont="1" applyFill="1" applyAlignment="1">
      <alignment horizontal="left" vertical="center"/>
    </xf>
    <xf numFmtId="0" fontId="30" fillId="0" borderId="0" xfId="4" applyFont="1" applyAlignment="1">
      <alignment horizontal="right" vertical="center"/>
    </xf>
    <xf numFmtId="0" fontId="32" fillId="0" borderId="0" xfId="3" applyNumberFormat="1" applyFont="1" applyAlignment="1">
      <alignment vertical="center"/>
    </xf>
    <xf numFmtId="0" fontId="34" fillId="0" borderId="11" xfId="0" quotePrefix="1" applyFont="1" applyFill="1" applyBorder="1" applyAlignment="1">
      <alignment horizontal="center" vertical="center" wrapText="1"/>
    </xf>
    <xf numFmtId="0" fontId="34" fillId="0" borderId="11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11" xfId="0" applyFont="1" applyFill="1" applyBorder="1" applyAlignment="1">
      <alignment horizontal="center" vertical="center"/>
    </xf>
    <xf numFmtId="0" fontId="34" fillId="0" borderId="11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top"/>
    </xf>
    <xf numFmtId="0" fontId="33" fillId="0" borderId="12" xfId="0" quotePrefix="1" applyFont="1" applyBorder="1" applyAlignment="1">
      <alignment horizontal="center" vertical="center" wrapText="1"/>
    </xf>
    <xf numFmtId="0" fontId="33" fillId="0" borderId="12" xfId="0" applyFont="1" applyBorder="1" applyAlignment="1">
      <alignment vertical="center" wrapText="1"/>
    </xf>
    <xf numFmtId="0" fontId="33" fillId="0" borderId="0" xfId="0" applyFont="1" applyAlignment="1">
      <alignment vertical="center" wrapText="1"/>
    </xf>
    <xf numFmtId="0" fontId="33" fillId="0" borderId="12" xfId="0" quotePrefix="1" applyFont="1" applyBorder="1" applyAlignment="1">
      <alignment horizontal="center" vertical="top" wrapText="1"/>
    </xf>
    <xf numFmtId="0" fontId="33" fillId="0" borderId="12" xfId="0" applyFont="1" applyBorder="1" applyAlignment="1">
      <alignment vertical="justify" wrapText="1"/>
    </xf>
    <xf numFmtId="0" fontId="33" fillId="0" borderId="12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33" fillId="0" borderId="0" xfId="0" quotePrefix="1" applyFont="1" applyAlignment="1">
      <alignment horizontal="center" vertical="top" wrapText="1"/>
    </xf>
    <xf numFmtId="0" fontId="33" fillId="0" borderId="0" xfId="0" applyFont="1" applyAlignment="1">
      <alignment vertical="justify" wrapText="1"/>
    </xf>
    <xf numFmtId="0" fontId="34" fillId="0" borderId="11" xfId="0" applyFont="1" applyFill="1" applyBorder="1" applyAlignment="1">
      <alignment horizontal="center" vertical="center" wrapText="1"/>
    </xf>
    <xf numFmtId="0" fontId="31" fillId="2" borderId="0" xfId="2" applyFont="1" applyFill="1" applyAlignment="1">
      <alignment vertical="center"/>
    </xf>
    <xf numFmtId="0" fontId="31" fillId="2" borderId="12" xfId="2" quotePrefix="1" applyFont="1" applyFill="1" applyBorder="1" applyAlignment="1">
      <alignment horizontal="center" vertical="center" wrapText="1"/>
    </xf>
    <xf numFmtId="0" fontId="31" fillId="2" borderId="12" xfId="2" applyFont="1" applyFill="1" applyBorder="1" applyAlignment="1">
      <alignment vertical="center" wrapText="1"/>
    </xf>
    <xf numFmtId="0" fontId="31" fillId="2" borderId="0" xfId="2" applyFont="1" applyFill="1" applyAlignment="1">
      <alignment vertical="center" wrapText="1"/>
    </xf>
    <xf numFmtId="0" fontId="33" fillId="0" borderId="12" xfId="0" applyFont="1" applyBorder="1" applyAlignment="1">
      <alignment horizontal="center" vertical="center" wrapText="1"/>
    </xf>
    <xf numFmtId="0" fontId="31" fillId="2" borderId="0" xfId="2" quotePrefix="1" applyFont="1" applyFill="1" applyAlignment="1">
      <alignment horizontal="center" vertical="center"/>
    </xf>
    <xf numFmtId="0" fontId="31" fillId="2" borderId="0" xfId="2" applyFont="1" applyFill="1" applyAlignment="1">
      <alignment vertical="justify"/>
    </xf>
    <xf numFmtId="0" fontId="30" fillId="2" borderId="0" xfId="2" applyFont="1" applyFill="1" applyAlignment="1">
      <alignment vertical="center"/>
    </xf>
    <xf numFmtId="0" fontId="31" fillId="0" borderId="0" xfId="4" applyFont="1" applyBorder="1"/>
    <xf numFmtId="0" fontId="30" fillId="0" borderId="0" xfId="4" applyFont="1" applyBorder="1"/>
    <xf numFmtId="0" fontId="32" fillId="0" borderId="0" xfId="3" applyNumberFormat="1" applyFont="1" applyFill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31" fillId="0" borderId="0" xfId="4" applyFont="1" applyBorder="1" applyAlignment="1">
      <alignment vertical="center"/>
    </xf>
    <xf numFmtId="0" fontId="30" fillId="0" borderId="0" xfId="4" applyFont="1" applyBorder="1" applyAlignment="1"/>
    <xf numFmtId="0" fontId="30" fillId="0" borderId="0" xfId="4" applyFont="1" applyBorder="1" applyAlignment="1">
      <alignment horizontal="center"/>
    </xf>
    <xf numFmtId="0" fontId="34" fillId="0" borderId="13" xfId="4" applyFont="1" applyFill="1" applyBorder="1" applyAlignment="1">
      <alignment horizontal="center" vertical="center"/>
    </xf>
    <xf numFmtId="0" fontId="31" fillId="0" borderId="14" xfId="4" applyFont="1" applyBorder="1" applyAlignment="1">
      <alignment vertical="center"/>
    </xf>
    <xf numFmtId="0" fontId="31" fillId="0" borderId="14" xfId="4" applyFont="1" applyBorder="1" applyAlignment="1">
      <alignment horizontal="left" vertical="center"/>
    </xf>
    <xf numFmtId="0" fontId="31" fillId="0" borderId="0" xfId="4" applyFont="1" applyBorder="1" applyAlignment="1">
      <alignment horizontal="center"/>
    </xf>
    <xf numFmtId="0" fontId="32" fillId="0" borderId="0" xfId="3" applyNumberFormat="1" applyFont="1" applyBorder="1" applyAlignment="1">
      <alignment horizontal="center" vertical="center"/>
    </xf>
    <xf numFmtId="0" fontId="30" fillId="0" borderId="0" xfId="3" applyNumberFormat="1" applyFont="1" applyBorder="1" applyAlignment="1">
      <alignment horizontal="center" vertical="center"/>
    </xf>
    <xf numFmtId="0" fontId="31" fillId="0" borderId="0" xfId="4" applyFont="1" applyBorder="1" applyAlignment="1">
      <alignment horizontal="center" vertical="center"/>
    </xf>
    <xf numFmtId="0" fontId="34" fillId="0" borderId="13" xfId="4" applyFont="1" applyFill="1" applyBorder="1" applyAlignment="1">
      <alignment horizontal="center" vertical="center" wrapText="1"/>
    </xf>
    <xf numFmtId="0" fontId="31" fillId="0" borderId="14" xfId="4" applyFont="1" applyBorder="1" applyAlignment="1">
      <alignment horizontal="center" vertical="center"/>
    </xf>
    <xf numFmtId="0" fontId="31" fillId="0" borderId="15" xfId="4" applyFont="1" applyBorder="1" applyAlignment="1">
      <alignment horizontal="center" vertical="center"/>
    </xf>
    <xf numFmtId="0" fontId="31" fillId="0" borderId="15" xfId="4" applyFont="1" applyBorder="1" applyAlignment="1">
      <alignment vertical="center"/>
    </xf>
    <xf numFmtId="0" fontId="31" fillId="0" borderId="15" xfId="4" applyFont="1" applyBorder="1"/>
    <xf numFmtId="0" fontId="34" fillId="0" borderId="15" xfId="0" applyFont="1" applyBorder="1" applyAlignment="1">
      <alignment vertical="top"/>
    </xf>
    <xf numFmtId="0" fontId="33" fillId="0" borderId="15" xfId="0" applyFont="1" applyBorder="1" applyAlignment="1">
      <alignment vertical="top"/>
    </xf>
    <xf numFmtId="0" fontId="33" fillId="0" borderId="0" xfId="0" applyFont="1" applyBorder="1" applyAlignment="1">
      <alignment vertical="top"/>
    </xf>
    <xf numFmtId="0" fontId="30" fillId="2" borderId="15" xfId="2" applyFont="1" applyFill="1" applyBorder="1" applyAlignment="1">
      <alignment vertical="center"/>
    </xf>
    <xf numFmtId="0" fontId="31" fillId="2" borderId="15" xfId="2" applyFont="1" applyFill="1" applyBorder="1" applyAlignment="1">
      <alignment vertical="center"/>
    </xf>
    <xf numFmtId="0" fontId="30" fillId="2" borderId="15" xfId="2" applyFont="1" applyFill="1" applyBorder="1" applyAlignment="1">
      <alignment horizontal="center" vertical="center"/>
    </xf>
    <xf numFmtId="0" fontId="24" fillId="2" borderId="15" xfId="2" applyFont="1" applyFill="1" applyBorder="1" applyAlignment="1">
      <alignment horizontal="left" vertical="center" indent="1"/>
    </xf>
    <xf numFmtId="0" fontId="24" fillId="2" borderId="15" xfId="2" applyFont="1" applyFill="1" applyBorder="1" applyAlignment="1">
      <alignment vertical="center"/>
    </xf>
    <xf numFmtId="165" fontId="27" fillId="2" borderId="15" xfId="1" applyNumberFormat="1" applyFont="1" applyFill="1" applyBorder="1" applyAlignment="1">
      <alignment horizontal="right" vertical="center"/>
    </xf>
    <xf numFmtId="165" fontId="24" fillId="2" borderId="15" xfId="1" applyNumberFormat="1" applyFont="1" applyFill="1" applyBorder="1" applyAlignment="1">
      <alignment horizontal="right" vertical="center"/>
    </xf>
    <xf numFmtId="0" fontId="25" fillId="0" borderId="0" xfId="0" applyFont="1" applyBorder="1" applyAlignment="1">
      <alignment vertical="center"/>
    </xf>
    <xf numFmtId="0" fontId="24" fillId="2" borderId="0" xfId="2" applyFont="1" applyFill="1" applyBorder="1" applyAlignment="1">
      <alignment vertical="center"/>
    </xf>
    <xf numFmtId="0" fontId="25" fillId="0" borderId="15" xfId="0" quotePrefix="1" applyFont="1" applyBorder="1" applyAlignment="1">
      <alignment horizontal="center" vertical="center" wrapText="1"/>
    </xf>
    <xf numFmtId="0" fontId="25" fillId="0" borderId="15" xfId="0" applyFont="1" applyBorder="1" applyAlignment="1">
      <alignment vertical="center"/>
    </xf>
    <xf numFmtId="0" fontId="34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24" fillId="2" borderId="0" xfId="2" applyFont="1" applyFill="1" applyAlignment="1">
      <alignment vertical="top"/>
    </xf>
    <xf numFmtId="0" fontId="24" fillId="2" borderId="0" xfId="2" applyFont="1" applyFill="1" applyAlignment="1">
      <alignment horizontal="left" vertical="top"/>
    </xf>
    <xf numFmtId="0" fontId="24" fillId="2" borderId="0" xfId="2" applyFont="1" applyFill="1" applyAlignment="1">
      <alignment horizontal="left" vertical="center"/>
    </xf>
    <xf numFmtId="0" fontId="30" fillId="2" borderId="0" xfId="2" applyFont="1" applyFill="1" applyAlignment="1">
      <alignment horizontal="right" vertical="center"/>
    </xf>
    <xf numFmtId="0" fontId="31" fillId="2" borderId="0" xfId="2" applyFont="1" applyFill="1" applyAlignment="1">
      <alignment horizontal="center" vertical="center"/>
    </xf>
    <xf numFmtId="0" fontId="33" fillId="25" borderId="0" xfId="0" applyFont="1" applyFill="1" applyAlignment="1">
      <alignment vertical="top"/>
    </xf>
    <xf numFmtId="0" fontId="33" fillId="25" borderId="0" xfId="0" applyFont="1" applyFill="1" applyAlignment="1">
      <alignment horizontal="left" vertical="top" wrapText="1" indent="2"/>
    </xf>
    <xf numFmtId="0" fontId="31" fillId="2" borderId="0" xfId="2" applyFont="1" applyFill="1" applyAlignment="1">
      <alignment horizontal="left" vertical="center" indent="2"/>
    </xf>
    <xf numFmtId="0" fontId="34" fillId="0" borderId="11" xfId="2" applyFont="1" applyFill="1" applyBorder="1" applyAlignment="1">
      <alignment vertical="center" wrapText="1"/>
    </xf>
    <xf numFmtId="0" fontId="34" fillId="0" borderId="11" xfId="2" applyFont="1" applyFill="1" applyBorder="1" applyAlignment="1">
      <alignment horizontal="center" vertical="center"/>
    </xf>
    <xf numFmtId="0" fontId="33" fillId="0" borderId="0" xfId="0" applyFont="1" applyBorder="1" applyAlignment="1">
      <alignment vertical="center"/>
    </xf>
    <xf numFmtId="165" fontId="30" fillId="2" borderId="15" xfId="1" applyNumberFormat="1" applyFont="1" applyFill="1" applyBorder="1" applyAlignment="1">
      <alignment horizontal="right" vertical="center"/>
    </xf>
    <xf numFmtId="165" fontId="31" fillId="2" borderId="15" xfId="1" applyNumberFormat="1" applyFont="1" applyFill="1" applyBorder="1" applyAlignment="1">
      <alignment horizontal="right" vertical="center"/>
    </xf>
    <xf numFmtId="0" fontId="31" fillId="2" borderId="0" xfId="2" applyFont="1" applyFill="1" applyBorder="1" applyAlignment="1">
      <alignment vertical="center"/>
    </xf>
    <xf numFmtId="0" fontId="30" fillId="2" borderId="12" xfId="2" applyFont="1" applyFill="1" applyBorder="1" applyAlignment="1">
      <alignment vertical="center"/>
    </xf>
    <xf numFmtId="0" fontId="31" fillId="2" borderId="12" xfId="2" applyFont="1" applyFill="1" applyBorder="1" applyAlignment="1">
      <alignment vertical="center"/>
    </xf>
    <xf numFmtId="165" fontId="31" fillId="2" borderId="12" xfId="1" applyNumberFormat="1" applyFont="1" applyFill="1" applyBorder="1" applyAlignment="1">
      <alignment horizontal="right" vertical="center"/>
    </xf>
    <xf numFmtId="0" fontId="31" fillId="2" borderId="12" xfId="2" quotePrefix="1" applyFont="1" applyFill="1" applyBorder="1" applyAlignment="1">
      <alignment vertical="center"/>
    </xf>
    <xf numFmtId="165" fontId="31" fillId="2" borderId="12" xfId="1" applyNumberFormat="1" applyFont="1" applyFill="1" applyBorder="1" applyAlignment="1">
      <alignment horizontal="center" vertical="center"/>
    </xf>
    <xf numFmtId="9" fontId="31" fillId="2" borderId="12" xfId="74" applyFont="1" applyFill="1" applyBorder="1" applyAlignment="1">
      <alignment horizontal="center" vertical="center"/>
    </xf>
    <xf numFmtId="0" fontId="33" fillId="25" borderId="0" xfId="0" applyFont="1" applyFill="1" applyAlignment="1">
      <alignment vertical="top" wrapText="1"/>
    </xf>
    <xf numFmtId="0" fontId="34" fillId="0" borderId="16" xfId="2" applyFont="1" applyFill="1" applyBorder="1" applyAlignment="1">
      <alignment horizontal="center" vertical="center" wrapText="1"/>
    </xf>
    <xf numFmtId="0" fontId="34" fillId="0" borderId="17" xfId="2" applyFont="1" applyFill="1" applyBorder="1" applyAlignment="1">
      <alignment horizontal="center" vertical="center" wrapText="1"/>
    </xf>
    <xf numFmtId="0" fontId="31" fillId="2" borderId="19" xfId="2" applyFont="1" applyFill="1" applyBorder="1" applyAlignment="1">
      <alignment vertical="center"/>
    </xf>
    <xf numFmtId="0" fontId="31" fillId="2" borderId="18" xfId="2" applyFont="1" applyFill="1" applyBorder="1" applyAlignment="1">
      <alignment vertical="center"/>
    </xf>
    <xf numFmtId="0" fontId="30" fillId="2" borderId="19" xfId="2" applyFont="1" applyFill="1" applyBorder="1" applyAlignment="1">
      <alignment vertical="center"/>
    </xf>
    <xf numFmtId="0" fontId="30" fillId="2" borderId="18" xfId="2" applyFont="1" applyFill="1" applyBorder="1" applyAlignment="1">
      <alignment vertical="center"/>
    </xf>
  </cellXfs>
  <cellStyles count="75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" xfId="73" xr:uid="{00000000-0005-0000-0000-000034000000}"/>
    <cellStyle name="Normal - Style1 2 2" xfId="70" xr:uid="{00000000-0005-0000-0000-000035000000}"/>
    <cellStyle name="Normal 2" xfId="10" xr:uid="{00000000-0005-0000-0000-000036000000}"/>
    <cellStyle name="Normal 2 2" xfId="55" xr:uid="{00000000-0005-0000-0000-000037000000}"/>
    <cellStyle name="Normal 29" xfId="72" xr:uid="{00000000-0005-0000-0000-000038000000}"/>
    <cellStyle name="Normal 3" xfId="2" xr:uid="{00000000-0005-0000-0000-000039000000}"/>
    <cellStyle name="Normal 3 2" xfId="56" xr:uid="{00000000-0005-0000-0000-00003A000000}"/>
    <cellStyle name="Normal 3 2 2" xfId="71" xr:uid="{00000000-0005-0000-0000-00003B000000}"/>
    <cellStyle name="Normal 3 3" xfId="11" xr:uid="{00000000-0005-0000-0000-00003C000000}"/>
    <cellStyle name="Normal 4" xfId="4" xr:uid="{00000000-0005-0000-0000-00003D000000}"/>
    <cellStyle name="Normal 4 2" xfId="12" xr:uid="{00000000-0005-0000-0000-00003E000000}"/>
    <cellStyle name="Normal 4 3" xfId="57" xr:uid="{00000000-0005-0000-0000-00003F000000}"/>
    <cellStyle name="Normal 5" xfId="13" xr:uid="{00000000-0005-0000-0000-000040000000}"/>
    <cellStyle name="Normal 5 2" xfId="58" xr:uid="{00000000-0005-0000-0000-000041000000}"/>
    <cellStyle name="Normal 7" xfId="59" xr:uid="{00000000-0005-0000-0000-000042000000}"/>
    <cellStyle name="Normal 9" xfId="14" xr:uid="{00000000-0005-0000-0000-000043000000}"/>
    <cellStyle name="Note 2" xfId="60" xr:uid="{00000000-0005-0000-0000-000044000000}"/>
    <cellStyle name="Output 2" xfId="61" xr:uid="{00000000-0005-0000-0000-000045000000}"/>
    <cellStyle name="Percent" xfId="74" builtinId="5"/>
    <cellStyle name="Percent 2" xfId="62" xr:uid="{00000000-0005-0000-0000-000047000000}"/>
    <cellStyle name="Title 2" xfId="63" xr:uid="{00000000-0005-0000-0000-000048000000}"/>
    <cellStyle name="Total 2" xfId="64" xr:uid="{00000000-0005-0000-0000-000049000000}"/>
    <cellStyle name="Warning Text 2" xfId="65" xr:uid="{00000000-0005-0000-0000-00004A000000}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P38"/>
  <sheetViews>
    <sheetView showGridLines="0" zoomScaleNormal="100" zoomScaleSheetLayoutView="100" workbookViewId="0">
      <selection activeCell="C6" sqref="C6"/>
    </sheetView>
  </sheetViews>
  <sheetFormatPr defaultColWidth="0" defaultRowHeight="13.5" zeroHeight="1" x14ac:dyDescent="0.25"/>
  <cols>
    <col min="1" max="1" width="1.28515625" style="62" customWidth="1"/>
    <col min="2" max="2" width="8.42578125" style="62" customWidth="1"/>
    <col min="3" max="3" width="44" style="62" customWidth="1"/>
    <col min="4" max="4" width="2.7109375" style="110" customWidth="1"/>
    <col min="5" max="5" width="12.140625" style="67" customWidth="1"/>
    <col min="6" max="6" width="2.7109375" style="119" customWidth="1"/>
    <col min="7" max="7" width="14.5703125" style="62" bestFit="1" customWidth="1"/>
    <col min="8" max="8" width="18.85546875" style="62" customWidth="1"/>
    <col min="9" max="9" width="1.42578125" style="62" customWidth="1"/>
    <col min="10" max="255" width="10.42578125" style="62" hidden="1"/>
    <col min="256" max="256" width="8.42578125" style="62" hidden="1"/>
    <col min="257" max="258" width="12.85546875" style="62" hidden="1"/>
    <col min="259" max="259" width="9.7109375" style="62" hidden="1"/>
    <col min="260" max="260" width="7.28515625" style="62" hidden="1"/>
    <col min="261" max="261" width="8.140625" style="62" hidden="1"/>
    <col min="262" max="262" width="12.85546875" style="62" hidden="1"/>
    <col min="263" max="264" width="13.28515625" style="62" hidden="1"/>
    <col min="265" max="511" width="10.42578125" style="62" hidden="1"/>
    <col min="512" max="512" width="8.42578125" style="62" hidden="1"/>
    <col min="513" max="514" width="12.85546875" style="62" hidden="1"/>
    <col min="515" max="515" width="9.7109375" style="62" hidden="1"/>
    <col min="516" max="516" width="7.28515625" style="62" hidden="1"/>
    <col min="517" max="517" width="8.140625" style="62" hidden="1"/>
    <col min="518" max="518" width="12.85546875" style="62" hidden="1"/>
    <col min="519" max="520" width="13.28515625" style="62" hidden="1"/>
    <col min="521" max="767" width="10.42578125" style="62" hidden="1"/>
    <col min="768" max="768" width="8.42578125" style="62" hidden="1"/>
    <col min="769" max="770" width="12.85546875" style="62" hidden="1"/>
    <col min="771" max="771" width="9.7109375" style="62" hidden="1"/>
    <col min="772" max="772" width="7.28515625" style="62" hidden="1"/>
    <col min="773" max="773" width="8.140625" style="62" hidden="1"/>
    <col min="774" max="774" width="12.85546875" style="62" hidden="1"/>
    <col min="775" max="776" width="13.28515625" style="62" hidden="1"/>
    <col min="777" max="1023" width="10.42578125" style="62" hidden="1"/>
    <col min="1024" max="1024" width="8.42578125" style="62" hidden="1"/>
    <col min="1025" max="1026" width="12.85546875" style="62" hidden="1"/>
    <col min="1027" max="1027" width="9.7109375" style="62" hidden="1"/>
    <col min="1028" max="1028" width="7.28515625" style="62" hidden="1"/>
    <col min="1029" max="1029" width="8.140625" style="62" hidden="1"/>
    <col min="1030" max="1030" width="12.85546875" style="62" hidden="1"/>
    <col min="1031" max="1032" width="13.28515625" style="62" hidden="1"/>
    <col min="1033" max="1279" width="10.42578125" style="62" hidden="1"/>
    <col min="1280" max="1280" width="8.42578125" style="62" hidden="1"/>
    <col min="1281" max="1282" width="12.85546875" style="62" hidden="1"/>
    <col min="1283" max="1283" width="9.7109375" style="62" hidden="1"/>
    <col min="1284" max="1284" width="7.28515625" style="62" hidden="1"/>
    <col min="1285" max="1285" width="8.140625" style="62" hidden="1"/>
    <col min="1286" max="1286" width="12.85546875" style="62" hidden="1"/>
    <col min="1287" max="1288" width="13.28515625" style="62" hidden="1"/>
    <col min="1289" max="1535" width="10.42578125" style="62" hidden="1"/>
    <col min="1536" max="1536" width="8.42578125" style="62" hidden="1"/>
    <col min="1537" max="1538" width="12.85546875" style="62" hidden="1"/>
    <col min="1539" max="1539" width="9.7109375" style="62" hidden="1"/>
    <col min="1540" max="1540" width="7.28515625" style="62" hidden="1"/>
    <col min="1541" max="1541" width="8.140625" style="62" hidden="1"/>
    <col min="1542" max="1542" width="12.85546875" style="62" hidden="1"/>
    <col min="1543" max="1544" width="13.28515625" style="62" hidden="1"/>
    <col min="1545" max="1791" width="10.42578125" style="62" hidden="1"/>
    <col min="1792" max="1792" width="8.42578125" style="62" hidden="1"/>
    <col min="1793" max="1794" width="12.85546875" style="62" hidden="1"/>
    <col min="1795" max="1795" width="9.7109375" style="62" hidden="1"/>
    <col min="1796" max="1796" width="7.28515625" style="62" hidden="1"/>
    <col min="1797" max="1797" width="8.140625" style="62" hidden="1"/>
    <col min="1798" max="1798" width="12.85546875" style="62" hidden="1"/>
    <col min="1799" max="1800" width="13.28515625" style="62" hidden="1"/>
    <col min="1801" max="2047" width="10.42578125" style="62" hidden="1"/>
    <col min="2048" max="2048" width="8.42578125" style="62" hidden="1"/>
    <col min="2049" max="2050" width="12.85546875" style="62" hidden="1"/>
    <col min="2051" max="2051" width="9.7109375" style="62" hidden="1"/>
    <col min="2052" max="2052" width="7.28515625" style="62" hidden="1"/>
    <col min="2053" max="2053" width="8.140625" style="62" hidden="1"/>
    <col min="2054" max="2054" width="12.85546875" style="62" hidden="1"/>
    <col min="2055" max="2056" width="13.28515625" style="62" hidden="1"/>
    <col min="2057" max="2303" width="10.42578125" style="62" hidden="1"/>
    <col min="2304" max="2304" width="8.42578125" style="62" hidden="1"/>
    <col min="2305" max="2306" width="12.85546875" style="62" hidden="1"/>
    <col min="2307" max="2307" width="9.7109375" style="62" hidden="1"/>
    <col min="2308" max="2308" width="7.28515625" style="62" hidden="1"/>
    <col min="2309" max="2309" width="8.140625" style="62" hidden="1"/>
    <col min="2310" max="2310" width="12.85546875" style="62" hidden="1"/>
    <col min="2311" max="2312" width="13.28515625" style="62" hidden="1"/>
    <col min="2313" max="2559" width="10.42578125" style="62" hidden="1"/>
    <col min="2560" max="2560" width="8.42578125" style="62" hidden="1"/>
    <col min="2561" max="2562" width="12.85546875" style="62" hidden="1"/>
    <col min="2563" max="2563" width="9.7109375" style="62" hidden="1"/>
    <col min="2564" max="2564" width="7.28515625" style="62" hidden="1"/>
    <col min="2565" max="2565" width="8.140625" style="62" hidden="1"/>
    <col min="2566" max="2566" width="12.85546875" style="62" hidden="1"/>
    <col min="2567" max="2568" width="13.28515625" style="62" hidden="1"/>
    <col min="2569" max="2815" width="10.42578125" style="62" hidden="1"/>
    <col min="2816" max="2816" width="8.42578125" style="62" hidden="1"/>
    <col min="2817" max="2818" width="12.85546875" style="62" hidden="1"/>
    <col min="2819" max="2819" width="9.7109375" style="62" hidden="1"/>
    <col min="2820" max="2820" width="7.28515625" style="62" hidden="1"/>
    <col min="2821" max="2821" width="8.140625" style="62" hidden="1"/>
    <col min="2822" max="2822" width="12.85546875" style="62" hidden="1"/>
    <col min="2823" max="2824" width="13.28515625" style="62" hidden="1"/>
    <col min="2825" max="3071" width="10.42578125" style="62" hidden="1"/>
    <col min="3072" max="3072" width="8.42578125" style="62" hidden="1"/>
    <col min="3073" max="3074" width="12.85546875" style="62" hidden="1"/>
    <col min="3075" max="3075" width="9.7109375" style="62" hidden="1"/>
    <col min="3076" max="3076" width="7.28515625" style="62" hidden="1"/>
    <col min="3077" max="3077" width="8.140625" style="62" hidden="1"/>
    <col min="3078" max="3078" width="12.85546875" style="62" hidden="1"/>
    <col min="3079" max="3080" width="13.28515625" style="62" hidden="1"/>
    <col min="3081" max="3327" width="10.42578125" style="62" hidden="1"/>
    <col min="3328" max="3328" width="8.42578125" style="62" hidden="1"/>
    <col min="3329" max="3330" width="12.85546875" style="62" hidden="1"/>
    <col min="3331" max="3331" width="9.7109375" style="62" hidden="1"/>
    <col min="3332" max="3332" width="7.28515625" style="62" hidden="1"/>
    <col min="3333" max="3333" width="8.140625" style="62" hidden="1"/>
    <col min="3334" max="3334" width="12.85546875" style="62" hidden="1"/>
    <col min="3335" max="3336" width="13.28515625" style="62" hidden="1"/>
    <col min="3337" max="3583" width="10.42578125" style="62" hidden="1"/>
    <col min="3584" max="3584" width="8.42578125" style="62" hidden="1"/>
    <col min="3585" max="3586" width="12.85546875" style="62" hidden="1"/>
    <col min="3587" max="3587" width="9.7109375" style="62" hidden="1"/>
    <col min="3588" max="3588" width="7.28515625" style="62" hidden="1"/>
    <col min="3589" max="3589" width="8.140625" style="62" hidden="1"/>
    <col min="3590" max="3590" width="12.85546875" style="62" hidden="1"/>
    <col min="3591" max="3592" width="13.28515625" style="62" hidden="1"/>
    <col min="3593" max="3839" width="10.42578125" style="62" hidden="1"/>
    <col min="3840" max="3840" width="8.42578125" style="62" hidden="1"/>
    <col min="3841" max="3842" width="12.85546875" style="62" hidden="1"/>
    <col min="3843" max="3843" width="9.7109375" style="62" hidden="1"/>
    <col min="3844" max="3844" width="7.28515625" style="62" hidden="1"/>
    <col min="3845" max="3845" width="8.140625" style="62" hidden="1"/>
    <col min="3846" max="3846" width="12.85546875" style="62" hidden="1"/>
    <col min="3847" max="3848" width="13.28515625" style="62" hidden="1"/>
    <col min="3849" max="4095" width="10.42578125" style="62" hidden="1"/>
    <col min="4096" max="4096" width="8.42578125" style="62" hidden="1"/>
    <col min="4097" max="4098" width="12.85546875" style="62" hidden="1"/>
    <col min="4099" max="4099" width="9.7109375" style="62" hidden="1"/>
    <col min="4100" max="4100" width="7.28515625" style="62" hidden="1"/>
    <col min="4101" max="4101" width="8.140625" style="62" hidden="1"/>
    <col min="4102" max="4102" width="12.85546875" style="62" hidden="1"/>
    <col min="4103" max="4104" width="13.28515625" style="62" hidden="1"/>
    <col min="4105" max="4351" width="10.42578125" style="62" hidden="1"/>
    <col min="4352" max="4352" width="8.42578125" style="62" hidden="1"/>
    <col min="4353" max="4354" width="12.85546875" style="62" hidden="1"/>
    <col min="4355" max="4355" width="9.7109375" style="62" hidden="1"/>
    <col min="4356" max="4356" width="7.28515625" style="62" hidden="1"/>
    <col min="4357" max="4357" width="8.140625" style="62" hidden="1"/>
    <col min="4358" max="4358" width="12.85546875" style="62" hidden="1"/>
    <col min="4359" max="4360" width="13.28515625" style="62" hidden="1"/>
    <col min="4361" max="4607" width="10.42578125" style="62" hidden="1"/>
    <col min="4608" max="4608" width="8.42578125" style="62" hidden="1"/>
    <col min="4609" max="4610" width="12.85546875" style="62" hidden="1"/>
    <col min="4611" max="4611" width="9.7109375" style="62" hidden="1"/>
    <col min="4612" max="4612" width="7.28515625" style="62" hidden="1"/>
    <col min="4613" max="4613" width="8.140625" style="62" hidden="1"/>
    <col min="4614" max="4614" width="12.85546875" style="62" hidden="1"/>
    <col min="4615" max="4616" width="13.28515625" style="62" hidden="1"/>
    <col min="4617" max="4863" width="10.42578125" style="62" hidden="1"/>
    <col min="4864" max="4864" width="8.42578125" style="62" hidden="1"/>
    <col min="4865" max="4866" width="12.85546875" style="62" hidden="1"/>
    <col min="4867" max="4867" width="9.7109375" style="62" hidden="1"/>
    <col min="4868" max="4868" width="7.28515625" style="62" hidden="1"/>
    <col min="4869" max="4869" width="8.140625" style="62" hidden="1"/>
    <col min="4870" max="4870" width="12.85546875" style="62" hidden="1"/>
    <col min="4871" max="4872" width="13.28515625" style="62" hidden="1"/>
    <col min="4873" max="5119" width="10.42578125" style="62" hidden="1"/>
    <col min="5120" max="5120" width="8.42578125" style="62" hidden="1"/>
    <col min="5121" max="5122" width="12.85546875" style="62" hidden="1"/>
    <col min="5123" max="5123" width="9.7109375" style="62" hidden="1"/>
    <col min="5124" max="5124" width="7.28515625" style="62" hidden="1"/>
    <col min="5125" max="5125" width="8.140625" style="62" hidden="1"/>
    <col min="5126" max="5126" width="12.85546875" style="62" hidden="1"/>
    <col min="5127" max="5128" width="13.28515625" style="62" hidden="1"/>
    <col min="5129" max="5375" width="10.42578125" style="62" hidden="1"/>
    <col min="5376" max="5376" width="8.42578125" style="62" hidden="1"/>
    <col min="5377" max="5378" width="12.85546875" style="62" hidden="1"/>
    <col min="5379" max="5379" width="9.7109375" style="62" hidden="1"/>
    <col min="5380" max="5380" width="7.28515625" style="62" hidden="1"/>
    <col min="5381" max="5381" width="8.140625" style="62" hidden="1"/>
    <col min="5382" max="5382" width="12.85546875" style="62" hidden="1"/>
    <col min="5383" max="5384" width="13.28515625" style="62" hidden="1"/>
    <col min="5385" max="5631" width="10.42578125" style="62" hidden="1"/>
    <col min="5632" max="5632" width="8.42578125" style="62" hidden="1"/>
    <col min="5633" max="5634" width="12.85546875" style="62" hidden="1"/>
    <col min="5635" max="5635" width="9.7109375" style="62" hidden="1"/>
    <col min="5636" max="5636" width="7.28515625" style="62" hidden="1"/>
    <col min="5637" max="5637" width="8.140625" style="62" hidden="1"/>
    <col min="5638" max="5638" width="12.85546875" style="62" hidden="1"/>
    <col min="5639" max="5640" width="13.28515625" style="62" hidden="1"/>
    <col min="5641" max="5887" width="10.42578125" style="62" hidden="1"/>
    <col min="5888" max="5888" width="8.42578125" style="62" hidden="1"/>
    <col min="5889" max="5890" width="12.85546875" style="62" hidden="1"/>
    <col min="5891" max="5891" width="9.7109375" style="62" hidden="1"/>
    <col min="5892" max="5892" width="7.28515625" style="62" hidden="1"/>
    <col min="5893" max="5893" width="8.140625" style="62" hidden="1"/>
    <col min="5894" max="5894" width="12.85546875" style="62" hidden="1"/>
    <col min="5895" max="5896" width="13.28515625" style="62" hidden="1"/>
    <col min="5897" max="6143" width="10.42578125" style="62" hidden="1"/>
    <col min="6144" max="6144" width="8.42578125" style="62" hidden="1"/>
    <col min="6145" max="6146" width="12.85546875" style="62" hidden="1"/>
    <col min="6147" max="6147" width="9.7109375" style="62" hidden="1"/>
    <col min="6148" max="6148" width="7.28515625" style="62" hidden="1"/>
    <col min="6149" max="6149" width="8.140625" style="62" hidden="1"/>
    <col min="6150" max="6150" width="12.85546875" style="62" hidden="1"/>
    <col min="6151" max="6152" width="13.28515625" style="62" hidden="1"/>
    <col min="6153" max="6399" width="10.42578125" style="62" hidden="1"/>
    <col min="6400" max="6400" width="8.42578125" style="62" hidden="1"/>
    <col min="6401" max="6402" width="12.85546875" style="62" hidden="1"/>
    <col min="6403" max="6403" width="9.7109375" style="62" hidden="1"/>
    <col min="6404" max="6404" width="7.28515625" style="62" hidden="1"/>
    <col min="6405" max="6405" width="8.140625" style="62" hidden="1"/>
    <col min="6406" max="6406" width="12.85546875" style="62" hidden="1"/>
    <col min="6407" max="6408" width="13.28515625" style="62" hidden="1"/>
    <col min="6409" max="6655" width="10.42578125" style="62" hidden="1"/>
    <col min="6656" max="6656" width="8.42578125" style="62" hidden="1"/>
    <col min="6657" max="6658" width="12.85546875" style="62" hidden="1"/>
    <col min="6659" max="6659" width="9.7109375" style="62" hidden="1"/>
    <col min="6660" max="6660" width="7.28515625" style="62" hidden="1"/>
    <col min="6661" max="6661" width="8.140625" style="62" hidden="1"/>
    <col min="6662" max="6662" width="12.85546875" style="62" hidden="1"/>
    <col min="6663" max="6664" width="13.28515625" style="62" hidden="1"/>
    <col min="6665" max="6911" width="10.42578125" style="62" hidden="1"/>
    <col min="6912" max="6912" width="8.42578125" style="62" hidden="1"/>
    <col min="6913" max="6914" width="12.85546875" style="62" hidden="1"/>
    <col min="6915" max="6915" width="9.7109375" style="62" hidden="1"/>
    <col min="6916" max="6916" width="7.28515625" style="62" hidden="1"/>
    <col min="6917" max="6917" width="8.140625" style="62" hidden="1"/>
    <col min="6918" max="6918" width="12.85546875" style="62" hidden="1"/>
    <col min="6919" max="6920" width="13.28515625" style="62" hidden="1"/>
    <col min="6921" max="7167" width="10.42578125" style="62" hidden="1"/>
    <col min="7168" max="7168" width="8.42578125" style="62" hidden="1"/>
    <col min="7169" max="7170" width="12.85546875" style="62" hidden="1"/>
    <col min="7171" max="7171" width="9.7109375" style="62" hidden="1"/>
    <col min="7172" max="7172" width="7.28515625" style="62" hidden="1"/>
    <col min="7173" max="7173" width="8.140625" style="62" hidden="1"/>
    <col min="7174" max="7174" width="12.85546875" style="62" hidden="1"/>
    <col min="7175" max="7176" width="13.28515625" style="62" hidden="1"/>
    <col min="7177" max="7423" width="10.42578125" style="62" hidden="1"/>
    <col min="7424" max="7424" width="8.42578125" style="62" hidden="1"/>
    <col min="7425" max="7426" width="12.85546875" style="62" hidden="1"/>
    <col min="7427" max="7427" width="9.7109375" style="62" hidden="1"/>
    <col min="7428" max="7428" width="7.28515625" style="62" hidden="1"/>
    <col min="7429" max="7429" width="8.140625" style="62" hidden="1"/>
    <col min="7430" max="7430" width="12.85546875" style="62" hidden="1"/>
    <col min="7431" max="7432" width="13.28515625" style="62" hidden="1"/>
    <col min="7433" max="7679" width="10.42578125" style="62" hidden="1"/>
    <col min="7680" max="7680" width="8.42578125" style="62" hidden="1"/>
    <col min="7681" max="7682" width="12.85546875" style="62" hidden="1"/>
    <col min="7683" max="7683" width="9.7109375" style="62" hidden="1"/>
    <col min="7684" max="7684" width="7.28515625" style="62" hidden="1"/>
    <col min="7685" max="7685" width="8.140625" style="62" hidden="1"/>
    <col min="7686" max="7686" width="12.85546875" style="62" hidden="1"/>
    <col min="7687" max="7688" width="13.28515625" style="62" hidden="1"/>
    <col min="7689" max="7935" width="10.42578125" style="62" hidden="1"/>
    <col min="7936" max="7936" width="8.42578125" style="62" hidden="1"/>
    <col min="7937" max="7938" width="12.85546875" style="62" hidden="1"/>
    <col min="7939" max="7939" width="9.7109375" style="62" hidden="1"/>
    <col min="7940" max="7940" width="7.28515625" style="62" hidden="1"/>
    <col min="7941" max="7941" width="8.140625" style="62" hidden="1"/>
    <col min="7942" max="7942" width="12.85546875" style="62" hidden="1"/>
    <col min="7943" max="7944" width="13.28515625" style="62" hidden="1"/>
    <col min="7945" max="8191" width="10.42578125" style="62" hidden="1"/>
    <col min="8192" max="8192" width="8.42578125" style="62" hidden="1"/>
    <col min="8193" max="8194" width="12.85546875" style="62" hidden="1"/>
    <col min="8195" max="8195" width="9.7109375" style="62" hidden="1"/>
    <col min="8196" max="8196" width="7.28515625" style="62" hidden="1"/>
    <col min="8197" max="8197" width="8.140625" style="62" hidden="1"/>
    <col min="8198" max="8198" width="12.85546875" style="62" hidden="1"/>
    <col min="8199" max="8200" width="13.28515625" style="62" hidden="1"/>
    <col min="8201" max="8447" width="10.42578125" style="62" hidden="1"/>
    <col min="8448" max="8448" width="8.42578125" style="62" hidden="1"/>
    <col min="8449" max="8450" width="12.85546875" style="62" hidden="1"/>
    <col min="8451" max="8451" width="9.7109375" style="62" hidden="1"/>
    <col min="8452" max="8452" width="7.28515625" style="62" hidden="1"/>
    <col min="8453" max="8453" width="8.140625" style="62" hidden="1"/>
    <col min="8454" max="8454" width="12.85546875" style="62" hidden="1"/>
    <col min="8455" max="8456" width="13.28515625" style="62" hidden="1"/>
    <col min="8457" max="8703" width="10.42578125" style="62" hidden="1"/>
    <col min="8704" max="8704" width="8.42578125" style="62" hidden="1"/>
    <col min="8705" max="8706" width="12.85546875" style="62" hidden="1"/>
    <col min="8707" max="8707" width="9.7109375" style="62" hidden="1"/>
    <col min="8708" max="8708" width="7.28515625" style="62" hidden="1"/>
    <col min="8709" max="8709" width="8.140625" style="62" hidden="1"/>
    <col min="8710" max="8710" width="12.85546875" style="62" hidden="1"/>
    <col min="8711" max="8712" width="13.28515625" style="62" hidden="1"/>
    <col min="8713" max="8959" width="10.42578125" style="62" hidden="1"/>
    <col min="8960" max="8960" width="8.42578125" style="62" hidden="1"/>
    <col min="8961" max="8962" width="12.85546875" style="62" hidden="1"/>
    <col min="8963" max="8963" width="9.7109375" style="62" hidden="1"/>
    <col min="8964" max="8964" width="7.28515625" style="62" hidden="1"/>
    <col min="8965" max="8965" width="8.140625" style="62" hidden="1"/>
    <col min="8966" max="8966" width="12.85546875" style="62" hidden="1"/>
    <col min="8967" max="8968" width="13.28515625" style="62" hidden="1"/>
    <col min="8969" max="9215" width="10.42578125" style="62" hidden="1"/>
    <col min="9216" max="9216" width="8.42578125" style="62" hidden="1"/>
    <col min="9217" max="9218" width="12.85546875" style="62" hidden="1"/>
    <col min="9219" max="9219" width="9.7109375" style="62" hidden="1"/>
    <col min="9220" max="9220" width="7.28515625" style="62" hidden="1"/>
    <col min="9221" max="9221" width="8.140625" style="62" hidden="1"/>
    <col min="9222" max="9222" width="12.85546875" style="62" hidden="1"/>
    <col min="9223" max="9224" width="13.28515625" style="62" hidden="1"/>
    <col min="9225" max="9471" width="10.42578125" style="62" hidden="1"/>
    <col min="9472" max="9472" width="8.42578125" style="62" hidden="1"/>
    <col min="9473" max="9474" width="12.85546875" style="62" hidden="1"/>
    <col min="9475" max="9475" width="9.7109375" style="62" hidden="1"/>
    <col min="9476" max="9476" width="7.28515625" style="62" hidden="1"/>
    <col min="9477" max="9477" width="8.140625" style="62" hidden="1"/>
    <col min="9478" max="9478" width="12.85546875" style="62" hidden="1"/>
    <col min="9479" max="9480" width="13.28515625" style="62" hidden="1"/>
    <col min="9481" max="9727" width="10.42578125" style="62" hidden="1"/>
    <col min="9728" max="9728" width="8.42578125" style="62" hidden="1"/>
    <col min="9729" max="9730" width="12.85546875" style="62" hidden="1"/>
    <col min="9731" max="9731" width="9.7109375" style="62" hidden="1"/>
    <col min="9732" max="9732" width="7.28515625" style="62" hidden="1"/>
    <col min="9733" max="9733" width="8.140625" style="62" hidden="1"/>
    <col min="9734" max="9734" width="12.85546875" style="62" hidden="1"/>
    <col min="9735" max="9736" width="13.28515625" style="62" hidden="1"/>
    <col min="9737" max="9983" width="10.42578125" style="62" hidden="1"/>
    <col min="9984" max="9984" width="8.42578125" style="62" hidden="1"/>
    <col min="9985" max="9986" width="12.85546875" style="62" hidden="1"/>
    <col min="9987" max="9987" width="9.7109375" style="62" hidden="1"/>
    <col min="9988" max="9988" width="7.28515625" style="62" hidden="1"/>
    <col min="9989" max="9989" width="8.140625" style="62" hidden="1"/>
    <col min="9990" max="9990" width="12.85546875" style="62" hidden="1"/>
    <col min="9991" max="9992" width="13.28515625" style="62" hidden="1"/>
    <col min="9993" max="10239" width="10.42578125" style="62" hidden="1"/>
    <col min="10240" max="10240" width="8.42578125" style="62" hidden="1"/>
    <col min="10241" max="10242" width="12.85546875" style="62" hidden="1"/>
    <col min="10243" max="10243" width="9.7109375" style="62" hidden="1"/>
    <col min="10244" max="10244" width="7.28515625" style="62" hidden="1"/>
    <col min="10245" max="10245" width="8.140625" style="62" hidden="1"/>
    <col min="10246" max="10246" width="12.85546875" style="62" hidden="1"/>
    <col min="10247" max="10248" width="13.28515625" style="62" hidden="1"/>
    <col min="10249" max="10495" width="10.42578125" style="62" hidden="1"/>
    <col min="10496" max="10496" width="8.42578125" style="62" hidden="1"/>
    <col min="10497" max="10498" width="12.85546875" style="62" hidden="1"/>
    <col min="10499" max="10499" width="9.7109375" style="62" hidden="1"/>
    <col min="10500" max="10500" width="7.28515625" style="62" hidden="1"/>
    <col min="10501" max="10501" width="8.140625" style="62" hidden="1"/>
    <col min="10502" max="10502" width="12.85546875" style="62" hidden="1"/>
    <col min="10503" max="10504" width="13.28515625" style="62" hidden="1"/>
    <col min="10505" max="10751" width="10.42578125" style="62" hidden="1"/>
    <col min="10752" max="10752" width="8.42578125" style="62" hidden="1"/>
    <col min="10753" max="10754" width="12.85546875" style="62" hidden="1"/>
    <col min="10755" max="10755" width="9.7109375" style="62" hidden="1"/>
    <col min="10756" max="10756" width="7.28515625" style="62" hidden="1"/>
    <col min="10757" max="10757" width="8.140625" style="62" hidden="1"/>
    <col min="10758" max="10758" width="12.85546875" style="62" hidden="1"/>
    <col min="10759" max="10760" width="13.28515625" style="62" hidden="1"/>
    <col min="10761" max="11007" width="10.42578125" style="62" hidden="1"/>
    <col min="11008" max="11008" width="8.42578125" style="62" hidden="1"/>
    <col min="11009" max="11010" width="12.85546875" style="62" hidden="1"/>
    <col min="11011" max="11011" width="9.7109375" style="62" hidden="1"/>
    <col min="11012" max="11012" width="7.28515625" style="62" hidden="1"/>
    <col min="11013" max="11013" width="8.140625" style="62" hidden="1"/>
    <col min="11014" max="11014" width="12.85546875" style="62" hidden="1"/>
    <col min="11015" max="11016" width="13.28515625" style="62" hidden="1"/>
    <col min="11017" max="11263" width="10.42578125" style="62" hidden="1"/>
    <col min="11264" max="11264" width="8.42578125" style="62" hidden="1"/>
    <col min="11265" max="11266" width="12.85546875" style="62" hidden="1"/>
    <col min="11267" max="11267" width="9.7109375" style="62" hidden="1"/>
    <col min="11268" max="11268" width="7.28515625" style="62" hidden="1"/>
    <col min="11269" max="11269" width="8.140625" style="62" hidden="1"/>
    <col min="11270" max="11270" width="12.85546875" style="62" hidden="1"/>
    <col min="11271" max="11272" width="13.28515625" style="62" hidden="1"/>
    <col min="11273" max="11519" width="10.42578125" style="62" hidden="1"/>
    <col min="11520" max="11520" width="8.42578125" style="62" hidden="1"/>
    <col min="11521" max="11522" width="12.85546875" style="62" hidden="1"/>
    <col min="11523" max="11523" width="9.7109375" style="62" hidden="1"/>
    <col min="11524" max="11524" width="7.28515625" style="62" hidden="1"/>
    <col min="11525" max="11525" width="8.140625" style="62" hidden="1"/>
    <col min="11526" max="11526" width="12.85546875" style="62" hidden="1"/>
    <col min="11527" max="11528" width="13.28515625" style="62" hidden="1"/>
    <col min="11529" max="11775" width="10.42578125" style="62" hidden="1"/>
    <col min="11776" max="11776" width="8.42578125" style="62" hidden="1"/>
    <col min="11777" max="11778" width="12.85546875" style="62" hidden="1"/>
    <col min="11779" max="11779" width="9.7109375" style="62" hidden="1"/>
    <col min="11780" max="11780" width="7.28515625" style="62" hidden="1"/>
    <col min="11781" max="11781" width="8.140625" style="62" hidden="1"/>
    <col min="11782" max="11782" width="12.85546875" style="62" hidden="1"/>
    <col min="11783" max="11784" width="13.28515625" style="62" hidden="1"/>
    <col min="11785" max="12031" width="10.42578125" style="62" hidden="1"/>
    <col min="12032" max="12032" width="8.42578125" style="62" hidden="1"/>
    <col min="12033" max="12034" width="12.85546875" style="62" hidden="1"/>
    <col min="12035" max="12035" width="9.7109375" style="62" hidden="1"/>
    <col min="12036" max="12036" width="7.28515625" style="62" hidden="1"/>
    <col min="12037" max="12037" width="8.140625" style="62" hidden="1"/>
    <col min="12038" max="12038" width="12.85546875" style="62" hidden="1"/>
    <col min="12039" max="12040" width="13.28515625" style="62" hidden="1"/>
    <col min="12041" max="12287" width="10.42578125" style="62" hidden="1"/>
    <col min="12288" max="12288" width="8.42578125" style="62" hidden="1"/>
    <col min="12289" max="12290" width="12.85546875" style="62" hidden="1"/>
    <col min="12291" max="12291" width="9.7109375" style="62" hidden="1"/>
    <col min="12292" max="12292" width="7.28515625" style="62" hidden="1"/>
    <col min="12293" max="12293" width="8.140625" style="62" hidden="1"/>
    <col min="12294" max="12294" width="12.85546875" style="62" hidden="1"/>
    <col min="12295" max="12296" width="13.28515625" style="62" hidden="1"/>
    <col min="12297" max="12543" width="10.42578125" style="62" hidden="1"/>
    <col min="12544" max="12544" width="8.42578125" style="62" hidden="1"/>
    <col min="12545" max="12546" width="12.85546875" style="62" hidden="1"/>
    <col min="12547" max="12547" width="9.7109375" style="62" hidden="1"/>
    <col min="12548" max="12548" width="7.28515625" style="62" hidden="1"/>
    <col min="12549" max="12549" width="8.140625" style="62" hidden="1"/>
    <col min="12550" max="12550" width="12.85546875" style="62" hidden="1"/>
    <col min="12551" max="12552" width="13.28515625" style="62" hidden="1"/>
    <col min="12553" max="12799" width="10.42578125" style="62" hidden="1"/>
    <col min="12800" max="12800" width="8.42578125" style="62" hidden="1"/>
    <col min="12801" max="12802" width="12.85546875" style="62" hidden="1"/>
    <col min="12803" max="12803" width="9.7109375" style="62" hidden="1"/>
    <col min="12804" max="12804" width="7.28515625" style="62" hidden="1"/>
    <col min="12805" max="12805" width="8.140625" style="62" hidden="1"/>
    <col min="12806" max="12806" width="12.85546875" style="62" hidden="1"/>
    <col min="12807" max="12808" width="13.28515625" style="62" hidden="1"/>
    <col min="12809" max="13055" width="10.42578125" style="62" hidden="1"/>
    <col min="13056" max="13056" width="8.42578125" style="62" hidden="1"/>
    <col min="13057" max="13058" width="12.85546875" style="62" hidden="1"/>
    <col min="13059" max="13059" width="9.7109375" style="62" hidden="1"/>
    <col min="13060" max="13060" width="7.28515625" style="62" hidden="1"/>
    <col min="13061" max="13061" width="8.140625" style="62" hidden="1"/>
    <col min="13062" max="13062" width="12.85546875" style="62" hidden="1"/>
    <col min="13063" max="13064" width="13.28515625" style="62" hidden="1"/>
    <col min="13065" max="13311" width="10.42578125" style="62" hidden="1"/>
    <col min="13312" max="13312" width="8.42578125" style="62" hidden="1"/>
    <col min="13313" max="13314" width="12.85546875" style="62" hidden="1"/>
    <col min="13315" max="13315" width="9.7109375" style="62" hidden="1"/>
    <col min="13316" max="13316" width="7.28515625" style="62" hidden="1"/>
    <col min="13317" max="13317" width="8.140625" style="62" hidden="1"/>
    <col min="13318" max="13318" width="12.85546875" style="62" hidden="1"/>
    <col min="13319" max="13320" width="13.28515625" style="62" hidden="1"/>
    <col min="13321" max="13567" width="10.42578125" style="62" hidden="1"/>
    <col min="13568" max="13568" width="8.42578125" style="62" hidden="1"/>
    <col min="13569" max="13570" width="12.85546875" style="62" hidden="1"/>
    <col min="13571" max="13571" width="9.7109375" style="62" hidden="1"/>
    <col min="13572" max="13572" width="7.28515625" style="62" hidden="1"/>
    <col min="13573" max="13573" width="8.140625" style="62" hidden="1"/>
    <col min="13574" max="13574" width="12.85546875" style="62" hidden="1"/>
    <col min="13575" max="13576" width="13.28515625" style="62" hidden="1"/>
    <col min="13577" max="13823" width="10.42578125" style="62" hidden="1"/>
    <col min="13824" max="13824" width="8.42578125" style="62" hidden="1"/>
    <col min="13825" max="13826" width="12.85546875" style="62" hidden="1"/>
    <col min="13827" max="13827" width="9.7109375" style="62" hidden="1"/>
    <col min="13828" max="13828" width="7.28515625" style="62" hidden="1"/>
    <col min="13829" max="13829" width="8.140625" style="62" hidden="1"/>
    <col min="13830" max="13830" width="12.85546875" style="62" hidden="1"/>
    <col min="13831" max="13832" width="13.28515625" style="62" hidden="1"/>
    <col min="13833" max="14079" width="10.42578125" style="62" hidden="1"/>
    <col min="14080" max="14080" width="8.42578125" style="62" hidden="1"/>
    <col min="14081" max="14082" width="12.85546875" style="62" hidden="1"/>
    <col min="14083" max="14083" width="9.7109375" style="62" hidden="1"/>
    <col min="14084" max="14084" width="7.28515625" style="62" hidden="1"/>
    <col min="14085" max="14085" width="8.140625" style="62" hidden="1"/>
    <col min="14086" max="14086" width="12.85546875" style="62" hidden="1"/>
    <col min="14087" max="14088" width="13.28515625" style="62" hidden="1"/>
    <col min="14089" max="14335" width="10.42578125" style="62" hidden="1"/>
    <col min="14336" max="14336" width="8.42578125" style="62" hidden="1"/>
    <col min="14337" max="14338" width="12.85546875" style="62" hidden="1"/>
    <col min="14339" max="14339" width="9.7109375" style="62" hidden="1"/>
    <col min="14340" max="14340" width="7.28515625" style="62" hidden="1"/>
    <col min="14341" max="14341" width="8.140625" style="62" hidden="1"/>
    <col min="14342" max="14342" width="12.85546875" style="62" hidden="1"/>
    <col min="14343" max="14344" width="13.28515625" style="62" hidden="1"/>
    <col min="14345" max="14591" width="10.42578125" style="62" hidden="1"/>
    <col min="14592" max="14592" width="8.42578125" style="62" hidden="1"/>
    <col min="14593" max="14594" width="12.85546875" style="62" hidden="1"/>
    <col min="14595" max="14595" width="9.7109375" style="62" hidden="1"/>
    <col min="14596" max="14596" width="7.28515625" style="62" hidden="1"/>
    <col min="14597" max="14597" width="8.140625" style="62" hidden="1"/>
    <col min="14598" max="14598" width="12.85546875" style="62" hidden="1"/>
    <col min="14599" max="14600" width="13.28515625" style="62" hidden="1"/>
    <col min="14601" max="14847" width="10.42578125" style="62" hidden="1"/>
    <col min="14848" max="14848" width="8.42578125" style="62" hidden="1"/>
    <col min="14849" max="14850" width="12.85546875" style="62" hidden="1"/>
    <col min="14851" max="14851" width="9.7109375" style="62" hidden="1"/>
    <col min="14852" max="14852" width="7.28515625" style="62" hidden="1"/>
    <col min="14853" max="14853" width="8.140625" style="62" hidden="1"/>
    <col min="14854" max="14854" width="12.85546875" style="62" hidden="1"/>
    <col min="14855" max="14856" width="13.28515625" style="62" hidden="1"/>
    <col min="14857" max="15103" width="10.42578125" style="62" hidden="1"/>
    <col min="15104" max="15104" width="8.42578125" style="62" hidden="1"/>
    <col min="15105" max="15106" width="12.85546875" style="62" hidden="1"/>
    <col min="15107" max="15107" width="9.7109375" style="62" hidden="1"/>
    <col min="15108" max="15108" width="7.28515625" style="62" hidden="1"/>
    <col min="15109" max="15109" width="8.140625" style="62" hidden="1"/>
    <col min="15110" max="15110" width="12.85546875" style="62" hidden="1"/>
    <col min="15111" max="15112" width="13.28515625" style="62" hidden="1"/>
    <col min="15113" max="15359" width="10.42578125" style="62" hidden="1"/>
    <col min="15360" max="15360" width="8.42578125" style="62" hidden="1"/>
    <col min="15361" max="15362" width="12.85546875" style="62" hidden="1"/>
    <col min="15363" max="15363" width="9.7109375" style="62" hidden="1"/>
    <col min="15364" max="15364" width="7.28515625" style="62" hidden="1"/>
    <col min="15365" max="15365" width="8.140625" style="62" hidden="1"/>
    <col min="15366" max="15366" width="12.85546875" style="62" hidden="1"/>
    <col min="15367" max="15368" width="13.28515625" style="62" hidden="1"/>
    <col min="15369" max="15615" width="10.42578125" style="62" hidden="1"/>
    <col min="15616" max="15616" width="8.42578125" style="62" hidden="1"/>
    <col min="15617" max="15618" width="12.85546875" style="62" hidden="1"/>
    <col min="15619" max="15619" width="9.7109375" style="62" hidden="1"/>
    <col min="15620" max="15620" width="7.28515625" style="62" hidden="1"/>
    <col min="15621" max="15621" width="8.140625" style="62" hidden="1"/>
    <col min="15622" max="15622" width="12.85546875" style="62" hidden="1"/>
    <col min="15623" max="15624" width="13.28515625" style="62" hidden="1"/>
    <col min="15625" max="15871" width="10.42578125" style="62" hidden="1"/>
    <col min="15872" max="15872" width="8.42578125" style="62" hidden="1"/>
    <col min="15873" max="15874" width="12.85546875" style="62" hidden="1"/>
    <col min="15875" max="15875" width="9.7109375" style="62" hidden="1"/>
    <col min="15876" max="15876" width="7.28515625" style="62" hidden="1"/>
    <col min="15877" max="15877" width="8.140625" style="62" hidden="1"/>
    <col min="15878" max="15878" width="12.85546875" style="62" hidden="1"/>
    <col min="15879" max="15880" width="13.28515625" style="62" hidden="1"/>
    <col min="15881" max="16127" width="10.42578125" style="62" hidden="1"/>
    <col min="16128" max="16128" width="8.42578125" style="62" hidden="1"/>
    <col min="16129" max="16130" width="12.85546875" style="62" hidden="1"/>
    <col min="16131" max="16131" width="9.7109375" style="62" hidden="1"/>
    <col min="16132" max="16132" width="7.28515625" style="62" hidden="1"/>
    <col min="16133" max="16133" width="8.140625" style="62" hidden="1"/>
    <col min="16134" max="16134" width="12.85546875" style="62" hidden="1"/>
    <col min="16135" max="16136" width="13.28515625" style="62" hidden="1"/>
    <col min="16137" max="16384" width="10.42578125" style="62" hidden="1"/>
  </cols>
  <sheetData>
    <row r="1" spans="2:8" ht="15" x14ac:dyDescent="0.3">
      <c r="B1" s="55" t="s">
        <v>91</v>
      </c>
      <c r="C1" s="56"/>
      <c r="D1" s="106"/>
      <c r="E1" s="60"/>
      <c r="F1" s="116"/>
      <c r="G1" s="56"/>
      <c r="H1" s="61" t="s">
        <v>78</v>
      </c>
    </row>
    <row r="2" spans="2:8" ht="15" x14ac:dyDescent="0.3">
      <c r="B2" s="55" t="s">
        <v>92</v>
      </c>
      <c r="C2" s="55"/>
      <c r="D2" s="107"/>
      <c r="E2" s="60"/>
      <c r="F2" s="116"/>
      <c r="G2" s="56"/>
    </row>
    <row r="3" spans="2:8" x14ac:dyDescent="0.25">
      <c r="B3" s="56"/>
      <c r="C3" s="56"/>
      <c r="D3" s="106"/>
      <c r="E3" s="60"/>
      <c r="F3" s="116"/>
      <c r="G3" s="56"/>
      <c r="H3" s="63"/>
    </row>
    <row r="4" spans="2:8" ht="15" x14ac:dyDescent="0.25">
      <c r="B4" s="57" t="s">
        <v>0</v>
      </c>
      <c r="C4" s="58" t="s">
        <v>93</v>
      </c>
      <c r="D4" s="108"/>
      <c r="E4" s="64"/>
      <c r="F4" s="117"/>
      <c r="G4" s="65" t="s">
        <v>10</v>
      </c>
      <c r="H4" s="67"/>
    </row>
    <row r="5" spans="2:8" ht="15" x14ac:dyDescent="0.25">
      <c r="B5" s="57" t="s">
        <v>1</v>
      </c>
      <c r="C5" s="58" t="s">
        <v>94</v>
      </c>
      <c r="D5" s="108"/>
      <c r="E5" s="66"/>
      <c r="F5" s="118"/>
      <c r="G5" s="65" t="s">
        <v>95</v>
      </c>
      <c r="H5" s="76"/>
    </row>
    <row r="6" spans="2:8" ht="15" x14ac:dyDescent="0.25">
      <c r="B6" s="57" t="s">
        <v>2</v>
      </c>
      <c r="C6" s="59" t="s">
        <v>40</v>
      </c>
      <c r="D6" s="109"/>
      <c r="E6" s="66"/>
      <c r="F6" s="118"/>
      <c r="G6" s="65" t="s">
        <v>11</v>
      </c>
      <c r="H6" s="77"/>
    </row>
    <row r="7" spans="2:8" ht="15" x14ac:dyDescent="0.25">
      <c r="G7" s="65" t="s">
        <v>96</v>
      </c>
      <c r="H7" s="76"/>
    </row>
    <row r="8" spans="2:8" ht="15" x14ac:dyDescent="0.3">
      <c r="B8" s="68" t="s">
        <v>5</v>
      </c>
      <c r="C8" s="68"/>
      <c r="D8" s="111"/>
      <c r="E8" s="68"/>
      <c r="F8" s="111"/>
      <c r="G8" s="68"/>
      <c r="H8" s="68"/>
    </row>
    <row r="9" spans="2:8" ht="15" x14ac:dyDescent="0.3">
      <c r="B9" s="69"/>
      <c r="C9" s="69"/>
      <c r="D9" s="112"/>
      <c r="E9" s="69"/>
      <c r="F9" s="112"/>
      <c r="G9" s="69"/>
      <c r="H9" s="69"/>
    </row>
    <row r="10" spans="2:8" ht="30" x14ac:dyDescent="0.25">
      <c r="B10" s="70" t="s">
        <v>6</v>
      </c>
      <c r="C10" s="70" t="s">
        <v>20</v>
      </c>
      <c r="D10" s="113"/>
      <c r="E10" s="71" t="s">
        <v>19</v>
      </c>
      <c r="F10" s="120"/>
      <c r="G10" s="71" t="s">
        <v>7</v>
      </c>
      <c r="H10" s="71" t="s">
        <v>8</v>
      </c>
    </row>
    <row r="11" spans="2:8" s="110" customFormat="1" x14ac:dyDescent="0.25">
      <c r="B11" s="122"/>
      <c r="C11" s="123"/>
      <c r="E11" s="122"/>
      <c r="F11" s="119"/>
      <c r="G11" s="123"/>
      <c r="H11" s="124"/>
    </row>
    <row r="12" spans="2:8" x14ac:dyDescent="0.25">
      <c r="B12" s="72">
        <v>1</v>
      </c>
      <c r="C12" s="73" t="str">
        <f>PROPER(AOC!B8)</f>
        <v>Audit Objectives And Conclusions</v>
      </c>
      <c r="D12" s="114"/>
      <c r="E12" s="72" t="str">
        <f>$H$1&amp;" - "&amp;B12</f>
        <v>BS.15 - 1</v>
      </c>
      <c r="F12" s="121"/>
      <c r="G12" s="73"/>
      <c r="H12" s="74"/>
    </row>
    <row r="13" spans="2:8" x14ac:dyDescent="0.25">
      <c r="B13" s="72"/>
      <c r="C13" s="73"/>
      <c r="D13" s="114"/>
      <c r="E13" s="72"/>
      <c r="F13" s="121"/>
      <c r="G13" s="73"/>
      <c r="H13" s="74"/>
    </row>
    <row r="14" spans="2:8" x14ac:dyDescent="0.25">
      <c r="B14" s="72">
        <f>B12+1</f>
        <v>2</v>
      </c>
      <c r="C14" s="73" t="str">
        <f>PROPER(Lead!B8)</f>
        <v>Lead Schedule</v>
      </c>
      <c r="D14" s="114"/>
      <c r="E14" s="72" t="str">
        <f>$H$1&amp;" - "&amp;B14</f>
        <v>BS.15 - 2</v>
      </c>
      <c r="F14" s="121"/>
      <c r="G14" s="73"/>
      <c r="H14" s="74"/>
    </row>
    <row r="15" spans="2:8" x14ac:dyDescent="0.25">
      <c r="B15" s="72"/>
      <c r="C15" s="73"/>
      <c r="D15" s="114"/>
      <c r="E15" s="72"/>
      <c r="F15" s="121"/>
      <c r="G15" s="73"/>
      <c r="H15" s="74"/>
    </row>
    <row r="16" spans="2:8" x14ac:dyDescent="0.25">
      <c r="B16" s="72">
        <f>B14+1</f>
        <v>3</v>
      </c>
      <c r="C16" s="73" t="str">
        <f>PROPER(SubLead!B8)</f>
        <v>Sub-Lead Schedule</v>
      </c>
      <c r="D16" s="114"/>
      <c r="E16" s="72" t="str">
        <f>$H$1&amp;" - "&amp;B16</f>
        <v>BS.15 - 3</v>
      </c>
      <c r="F16" s="121"/>
      <c r="G16" s="73"/>
      <c r="H16" s="74"/>
    </row>
    <row r="17" spans="2:8" x14ac:dyDescent="0.25">
      <c r="B17" s="72"/>
      <c r="C17" s="73"/>
      <c r="D17" s="114"/>
      <c r="E17" s="72"/>
      <c r="F17" s="121"/>
      <c r="G17" s="73"/>
      <c r="H17" s="74"/>
    </row>
    <row r="18" spans="2:8" x14ac:dyDescent="0.25">
      <c r="B18" s="72">
        <f>B16+1</f>
        <v>4</v>
      </c>
      <c r="C18" s="73" t="str">
        <f>PROPER('BankConfirmation-CS'!B8)</f>
        <v>Bank Confirmation - Control Sheet</v>
      </c>
      <c r="D18" s="114"/>
      <c r="E18" s="72" t="str">
        <f>$H$1&amp;" - "&amp;B18</f>
        <v>BS.15 - 4</v>
      </c>
      <c r="F18" s="121"/>
      <c r="G18" s="73"/>
      <c r="H18" s="74"/>
    </row>
    <row r="19" spans="2:8" x14ac:dyDescent="0.25">
      <c r="B19" s="72"/>
      <c r="C19" s="73"/>
      <c r="D19" s="114"/>
      <c r="E19" s="72"/>
      <c r="F19" s="121"/>
      <c r="G19" s="73"/>
      <c r="H19" s="74"/>
    </row>
    <row r="20" spans="2:8" x14ac:dyDescent="0.25">
      <c r="B20" s="72">
        <f>B18+1</f>
        <v>5</v>
      </c>
      <c r="C20" s="73" t="s">
        <v>79</v>
      </c>
      <c r="D20" s="114"/>
      <c r="E20" s="72" t="str">
        <f>$H$1&amp;" - "&amp;B20</f>
        <v>BS.15 - 5</v>
      </c>
      <c r="F20" s="121"/>
      <c r="G20" s="73"/>
      <c r="H20" s="74"/>
    </row>
    <row r="21" spans="2:8" x14ac:dyDescent="0.25">
      <c r="B21" s="72"/>
      <c r="C21" s="73"/>
      <c r="D21" s="114"/>
      <c r="E21" s="72"/>
      <c r="F21" s="121"/>
      <c r="G21" s="73"/>
      <c r="H21" s="74"/>
    </row>
    <row r="22" spans="2:8" x14ac:dyDescent="0.25">
      <c r="B22" s="72">
        <f>B20+1</f>
        <v>6</v>
      </c>
      <c r="C22" s="73" t="s">
        <v>34</v>
      </c>
      <c r="D22" s="114"/>
      <c r="E22" s="72" t="str">
        <f>$H$1&amp;" - "&amp;B22</f>
        <v>BS.15 - 6</v>
      </c>
      <c r="F22" s="121"/>
      <c r="G22" s="73"/>
      <c r="H22" s="74"/>
    </row>
    <row r="23" spans="2:8" x14ac:dyDescent="0.25">
      <c r="B23" s="72"/>
      <c r="C23" s="73"/>
      <c r="D23" s="114"/>
      <c r="E23" s="72"/>
      <c r="F23" s="121"/>
      <c r="G23" s="73"/>
      <c r="H23" s="74"/>
    </row>
    <row r="24" spans="2:8" x14ac:dyDescent="0.25">
      <c r="B24" s="72"/>
      <c r="C24" s="73"/>
      <c r="D24" s="114"/>
      <c r="E24" s="72"/>
      <c r="F24" s="121"/>
      <c r="G24" s="73"/>
      <c r="H24" s="74"/>
    </row>
    <row r="25" spans="2:8" x14ac:dyDescent="0.25">
      <c r="B25" s="72"/>
      <c r="C25" s="75"/>
      <c r="D25" s="115"/>
      <c r="E25" s="72"/>
      <c r="F25" s="121"/>
      <c r="G25" s="73"/>
      <c r="H25" s="74"/>
    </row>
    <row r="26" spans="2:8" x14ac:dyDescent="0.25">
      <c r="B26" s="72"/>
      <c r="C26" s="73"/>
      <c r="D26" s="114"/>
      <c r="E26" s="72"/>
      <c r="F26" s="121"/>
      <c r="G26" s="73"/>
      <c r="H26" s="74"/>
    </row>
    <row r="27" spans="2:8" x14ac:dyDescent="0.25">
      <c r="B27" s="72"/>
      <c r="C27" s="73"/>
      <c r="D27" s="114"/>
      <c r="E27" s="72"/>
      <c r="F27" s="121"/>
      <c r="G27" s="73"/>
      <c r="H27" s="74"/>
    </row>
    <row r="28" spans="2:8" x14ac:dyDescent="0.25">
      <c r="B28" s="72"/>
      <c r="C28" s="75"/>
      <c r="D28" s="115"/>
      <c r="E28" s="72"/>
      <c r="F28" s="121"/>
      <c r="G28" s="73"/>
      <c r="H28" s="74"/>
    </row>
    <row r="29" spans="2:8" x14ac:dyDescent="0.25">
      <c r="B29" s="72"/>
      <c r="C29" s="75"/>
      <c r="D29" s="115"/>
      <c r="E29" s="72"/>
      <c r="F29" s="121"/>
      <c r="G29" s="73"/>
      <c r="H29" s="74"/>
    </row>
    <row r="30" spans="2:8" x14ac:dyDescent="0.25">
      <c r="B30" s="72"/>
      <c r="C30" s="75"/>
      <c r="D30" s="115"/>
      <c r="E30" s="72"/>
      <c r="F30" s="121"/>
      <c r="G30" s="73"/>
      <c r="H30" s="74"/>
    </row>
    <row r="31" spans="2:8" x14ac:dyDescent="0.25">
      <c r="B31" s="72"/>
      <c r="C31" s="73"/>
      <c r="D31" s="114"/>
      <c r="E31" s="72"/>
      <c r="F31" s="121"/>
      <c r="G31" s="73"/>
      <c r="H31" s="74"/>
    </row>
    <row r="32" spans="2:8" x14ac:dyDescent="0.25">
      <c r="B32" s="72"/>
      <c r="C32" s="73"/>
      <c r="D32" s="114"/>
      <c r="E32" s="72"/>
      <c r="F32" s="121"/>
      <c r="G32" s="73"/>
      <c r="H32" s="74"/>
    </row>
    <row r="33" spans="2:8" x14ac:dyDescent="0.25">
      <c r="B33" s="72"/>
      <c r="C33" s="73"/>
      <c r="D33" s="114"/>
      <c r="E33" s="72"/>
      <c r="F33" s="121"/>
      <c r="G33" s="73"/>
      <c r="H33" s="74"/>
    </row>
    <row r="34" spans="2:8" x14ac:dyDescent="0.25"/>
    <row r="35" spans="2:8" x14ac:dyDescent="0.25"/>
    <row r="36" spans="2:8" x14ac:dyDescent="0.25"/>
    <row r="37" spans="2:8" ht="15" x14ac:dyDescent="0.25">
      <c r="C37" s="59"/>
      <c r="D37" s="109"/>
    </row>
    <row r="38" spans="2:8" x14ac:dyDescent="0.25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3"/>
  <sheetViews>
    <sheetView showGridLines="0" zoomScaleNormal="100" zoomScaleSheetLayoutView="100" workbookViewId="0">
      <selection activeCell="C12" sqref="C12"/>
    </sheetView>
  </sheetViews>
  <sheetFormatPr defaultColWidth="0" defaultRowHeight="13.5" zeroHeight="1" x14ac:dyDescent="0.25"/>
  <cols>
    <col min="1" max="1" width="1" style="63" customWidth="1"/>
    <col min="2" max="2" width="10" style="63" customWidth="1"/>
    <col min="3" max="3" width="61.42578125" style="63" customWidth="1"/>
    <col min="4" max="5" width="13.5703125" style="63" customWidth="1"/>
    <col min="6" max="6" width="1" style="63" customWidth="1"/>
    <col min="7" max="7" width="9.140625" style="63" hidden="1" customWidth="1"/>
    <col min="8" max="9" width="0" style="63" hidden="1" customWidth="1"/>
    <col min="10" max="16384" width="9.140625" style="63" hidden="1"/>
  </cols>
  <sheetData>
    <row r="1" spans="2:6" s="62" customFormat="1" ht="15" x14ac:dyDescent="0.25">
      <c r="B1" s="78" t="str">
        <f>Index!$B$1</f>
        <v>ABC &amp; Co.</v>
      </c>
      <c r="D1" s="79"/>
      <c r="E1" s="80" t="str">
        <f>Index!E12</f>
        <v>BS.15 - 1</v>
      </c>
    </row>
    <row r="2" spans="2:6" s="62" customFormat="1" ht="15" x14ac:dyDescent="0.25">
      <c r="B2" s="62" t="str">
        <f>Index!$B$2</f>
        <v>(Chartered Accountants)</v>
      </c>
      <c r="D2" s="79"/>
    </row>
    <row r="3" spans="2:6" s="62" customFormat="1" x14ac:dyDescent="0.25">
      <c r="E3" s="63"/>
      <c r="F3" s="63"/>
    </row>
    <row r="4" spans="2:6" s="62" customFormat="1" ht="15" x14ac:dyDescent="0.25">
      <c r="B4" s="57" t="str">
        <f>Index!$B$4</f>
        <v xml:space="preserve">Client: </v>
      </c>
      <c r="C4" s="81" t="str">
        <f>Index!$C$4</f>
        <v>ABC Limited</v>
      </c>
      <c r="D4" s="65" t="str">
        <f>Index!$G$4</f>
        <v>Prepared by:</v>
      </c>
      <c r="E4" s="67" t="str">
        <f>IF(Index!$H$4="","",Index!$H$4)</f>
        <v/>
      </c>
    </row>
    <row r="5" spans="2:6" s="62" customFormat="1" ht="15" x14ac:dyDescent="0.25">
      <c r="B5" s="57" t="str">
        <f>Index!$B$5</f>
        <v>Period:</v>
      </c>
      <c r="C5" s="81" t="str">
        <f>Index!$C$5</f>
        <v>Year ended June 30, 2023</v>
      </c>
      <c r="D5" s="65" t="str">
        <f>Index!$G$5</f>
        <v>Date prepared:</v>
      </c>
      <c r="E5" s="76" t="str">
        <f>IF(Index!$H$5="","",Index!$H$5)</f>
        <v/>
      </c>
    </row>
    <row r="6" spans="2:6" s="62" customFormat="1" ht="15" x14ac:dyDescent="0.25">
      <c r="B6" s="57" t="str">
        <f>Index!$B$6</f>
        <v>Head:</v>
      </c>
      <c r="C6" s="81" t="str">
        <f>Index!$C$6</f>
        <v>Cash and bank balance</v>
      </c>
      <c r="D6" s="65" t="str">
        <f>Index!$G$6</f>
        <v>Reviewed by:</v>
      </c>
      <c r="E6" s="77" t="str">
        <f>IF(Index!$H$6="","",Index!$H$6)</f>
        <v/>
      </c>
    </row>
    <row r="7" spans="2:6" ht="15" x14ac:dyDescent="0.25">
      <c r="B7" s="62"/>
      <c r="C7" s="62"/>
      <c r="D7" s="65" t="str">
        <f>Index!$G$7</f>
        <v>Date reviewed:</v>
      </c>
      <c r="E7" s="76" t="str">
        <f>IF(Index!$H$7="","",Index!$H$7)</f>
        <v/>
      </c>
      <c r="F7" s="62"/>
    </row>
    <row r="8" spans="2:6" s="62" customFormat="1" ht="15" x14ac:dyDescent="0.25">
      <c r="B8" s="78" t="str">
        <f>UPPER("Audit Objectives and Conclusions")</f>
        <v>AUDIT OBJECTIVES AND CONCLUSIONS</v>
      </c>
      <c r="C8" s="78"/>
      <c r="D8" s="78"/>
      <c r="E8" s="78"/>
      <c r="F8" s="78"/>
    </row>
    <row r="9" spans="2:6" x14ac:dyDescent="0.25"/>
    <row r="10" spans="2:6" ht="20.25" customHeight="1" x14ac:dyDescent="0.25">
      <c r="B10" s="82" t="s">
        <v>6</v>
      </c>
      <c r="C10" s="82" t="s">
        <v>14</v>
      </c>
      <c r="D10" s="83" t="s">
        <v>23</v>
      </c>
      <c r="E10" s="83"/>
      <c r="F10" s="84"/>
    </row>
    <row r="11" spans="2:6" ht="20.25" customHeight="1" x14ac:dyDescent="0.25">
      <c r="B11" s="82"/>
      <c r="C11" s="82"/>
      <c r="D11" s="85" t="s">
        <v>26</v>
      </c>
      <c r="E11" s="86" t="s">
        <v>27</v>
      </c>
      <c r="F11" s="84"/>
    </row>
    <row r="12" spans="2:6" s="127" customFormat="1" ht="15" x14ac:dyDescent="0.25">
      <c r="B12" s="125"/>
      <c r="C12" s="125"/>
      <c r="D12" s="126"/>
      <c r="E12" s="126"/>
    </row>
    <row r="13" spans="2:6" s="90" customFormat="1" ht="33" customHeight="1" x14ac:dyDescent="0.25">
      <c r="B13" s="88">
        <v>1</v>
      </c>
      <c r="C13" s="89" t="s">
        <v>41</v>
      </c>
      <c r="D13" s="89"/>
      <c r="E13" s="89"/>
    </row>
    <row r="14" spans="2:6" s="90" customFormat="1" ht="33" customHeight="1" x14ac:dyDescent="0.25">
      <c r="B14" s="88">
        <f>B13+1</f>
        <v>2</v>
      </c>
      <c r="C14" s="89" t="s">
        <v>42</v>
      </c>
      <c r="D14" s="89"/>
      <c r="E14" s="89"/>
    </row>
    <row r="15" spans="2:6" s="90" customFormat="1" ht="30.75" customHeight="1" x14ac:dyDescent="0.25">
      <c r="B15" s="88">
        <f>B14+1</f>
        <v>3</v>
      </c>
      <c r="C15" s="89" t="s">
        <v>43</v>
      </c>
      <c r="D15" s="89"/>
      <c r="E15" s="89"/>
    </row>
    <row r="16" spans="2:6" s="90" customFormat="1" ht="36.75" customHeight="1" x14ac:dyDescent="0.25">
      <c r="B16" s="88">
        <f>B15+1</f>
        <v>4</v>
      </c>
      <c r="C16" s="89" t="s">
        <v>44</v>
      </c>
      <c r="D16" s="89"/>
      <c r="E16" s="89"/>
    </row>
    <row r="17" spans="2:9" s="90" customFormat="1" ht="51.75" customHeight="1" x14ac:dyDescent="0.25">
      <c r="B17" s="88">
        <f>B16+1</f>
        <v>5</v>
      </c>
      <c r="C17" s="89" t="s">
        <v>89</v>
      </c>
      <c r="D17" s="89"/>
      <c r="E17" s="89"/>
    </row>
    <row r="18" spans="2:9" s="94" customFormat="1" x14ac:dyDescent="0.25">
      <c r="B18" s="91"/>
      <c r="C18" s="92"/>
      <c r="D18" s="93"/>
      <c r="E18" s="93"/>
    </row>
    <row r="19" spans="2:9" s="94" customFormat="1" x14ac:dyDescent="0.25">
      <c r="B19" s="95"/>
      <c r="C19" s="96"/>
    </row>
    <row r="20" spans="2:9" s="90" customFormat="1" ht="19.5" customHeight="1" x14ac:dyDescent="0.25">
      <c r="B20" s="82" t="s">
        <v>6</v>
      </c>
      <c r="C20" s="82" t="s">
        <v>25</v>
      </c>
      <c r="D20" s="97" t="s">
        <v>24</v>
      </c>
      <c r="E20" s="97"/>
    </row>
    <row r="21" spans="2:9" s="98" customFormat="1" ht="19.5" customHeight="1" x14ac:dyDescent="0.25">
      <c r="B21" s="82"/>
      <c r="C21" s="82"/>
      <c r="D21" s="85" t="s">
        <v>26</v>
      </c>
      <c r="E21" s="86" t="s">
        <v>27</v>
      </c>
    </row>
    <row r="22" spans="2:9" s="98" customFormat="1" ht="15" x14ac:dyDescent="0.25">
      <c r="B22" s="128"/>
      <c r="C22" s="129"/>
      <c r="D22" s="130"/>
      <c r="E22" s="130"/>
    </row>
    <row r="23" spans="2:9" s="101" customFormat="1" ht="34.5" customHeight="1" x14ac:dyDescent="0.25">
      <c r="B23" s="99">
        <v>1</v>
      </c>
      <c r="C23" s="100" t="s">
        <v>21</v>
      </c>
      <c r="D23" s="100"/>
      <c r="E23" s="100"/>
    </row>
    <row r="24" spans="2:9" s="101" customFormat="1" ht="34.5" customHeight="1" x14ac:dyDescent="0.25">
      <c r="B24" s="88">
        <f>B23+1</f>
        <v>2</v>
      </c>
      <c r="C24" s="100" t="s">
        <v>22</v>
      </c>
      <c r="D24" s="100"/>
      <c r="E24" s="100"/>
    </row>
    <row r="25" spans="2:9" s="101" customFormat="1" ht="48.75" customHeight="1" x14ac:dyDescent="0.25">
      <c r="B25" s="88">
        <f>B24+1</f>
        <v>3</v>
      </c>
      <c r="C25" s="100" t="s">
        <v>31</v>
      </c>
      <c r="D25" s="100"/>
      <c r="E25" s="100"/>
    </row>
    <row r="26" spans="2:9" s="101" customFormat="1" ht="34.5" customHeight="1" x14ac:dyDescent="0.25">
      <c r="B26" s="88">
        <f>B25+1</f>
        <v>4</v>
      </c>
      <c r="C26" s="100" t="s">
        <v>32</v>
      </c>
      <c r="D26" s="100"/>
      <c r="E26" s="100"/>
    </row>
    <row r="27" spans="2:9" s="90" customFormat="1" x14ac:dyDescent="0.25">
      <c r="B27" s="102"/>
      <c r="C27" s="89"/>
      <c r="D27" s="89"/>
      <c r="E27" s="89"/>
    </row>
    <row r="28" spans="2:9" s="98" customFormat="1" x14ac:dyDescent="0.25">
      <c r="B28" s="103"/>
      <c r="C28" s="104"/>
    </row>
    <row r="29" spans="2:9" s="98" customFormat="1" hidden="1" x14ac:dyDescent="0.25"/>
    <row r="30" spans="2:9" s="98" customFormat="1" ht="15" hidden="1" x14ac:dyDescent="0.25">
      <c r="D30" s="105"/>
      <c r="E30" s="105"/>
      <c r="F30" s="105"/>
      <c r="G30" s="105"/>
      <c r="H30" s="105"/>
      <c r="I30" s="105"/>
    </row>
    <row r="31" spans="2:9" s="98" customFormat="1" hidden="1" x14ac:dyDescent="0.25"/>
    <row r="32" spans="2:9" x14ac:dyDescent="0.25"/>
    <row r="33" x14ac:dyDescent="0.25"/>
  </sheetData>
  <mergeCells count="6">
    <mergeCell ref="D10:E10"/>
    <mergeCell ref="D20:E20"/>
    <mergeCell ref="C10:C11"/>
    <mergeCell ref="B10:B11"/>
    <mergeCell ref="B20:B21"/>
    <mergeCell ref="C20:C21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89"/>
  <sheetViews>
    <sheetView showGridLines="0" zoomScaleNormal="100" zoomScaleSheetLayoutView="100" workbookViewId="0">
      <selection activeCell="C10" sqref="C10"/>
    </sheetView>
  </sheetViews>
  <sheetFormatPr defaultColWidth="0" defaultRowHeight="16.5" zeroHeight="1" x14ac:dyDescent="0.25"/>
  <cols>
    <col min="1" max="1" width="1" style="2" customWidth="1"/>
    <col min="2" max="2" width="7.7109375" style="18" customWidth="1"/>
    <col min="3" max="3" width="33" style="18" customWidth="1"/>
    <col min="4" max="4" width="11.7109375" style="18" bestFit="1" customWidth="1"/>
    <col min="5" max="8" width="14.42578125" style="18" customWidth="1"/>
    <col min="9" max="9" width="24.5703125" style="18" customWidth="1"/>
    <col min="10" max="10" width="1" style="2" customWidth="1"/>
    <col min="11" max="16384" width="9.140625" style="18" hidden="1"/>
  </cols>
  <sheetData>
    <row r="1" spans="1:13" x14ac:dyDescent="0.25">
      <c r="A1" s="3"/>
      <c r="B1" s="78" t="str">
        <f>Index!$B$1</f>
        <v>ABC &amp; Co.</v>
      </c>
      <c r="C1" s="62"/>
      <c r="E1" s="19"/>
      <c r="H1" s="3"/>
      <c r="I1" s="38" t="str">
        <f>Index!E14</f>
        <v>BS.15 - 2</v>
      </c>
      <c r="J1" s="18"/>
    </row>
    <row r="2" spans="1:13" x14ac:dyDescent="0.25">
      <c r="A2" s="3"/>
      <c r="B2" s="62" t="str">
        <f>Index!$B$2</f>
        <v>(Chartered Accountants)</v>
      </c>
      <c r="C2" s="62"/>
      <c r="D2" s="39"/>
      <c r="E2" s="2"/>
      <c r="H2" s="3"/>
      <c r="J2" s="18"/>
    </row>
    <row r="3" spans="1:13" x14ac:dyDescent="0.25">
      <c r="A3" s="3"/>
      <c r="B3" s="62"/>
      <c r="C3" s="62"/>
      <c r="J3" s="3"/>
    </row>
    <row r="4" spans="1:13" s="1" customFormat="1" x14ac:dyDescent="0.3">
      <c r="A4" s="2"/>
      <c r="B4" s="57" t="str">
        <f>Index!$B$4</f>
        <v xml:space="preserve">Client: </v>
      </c>
      <c r="C4" s="81" t="str">
        <f>Index!$C$4</f>
        <v>ABC Limited</v>
      </c>
      <c r="H4" s="65" t="str">
        <f>Index!$G$4</f>
        <v>Prepared by:</v>
      </c>
      <c r="I4" s="67" t="str">
        <f>IF(Index!$H$4="","",Index!$H$4)</f>
        <v/>
      </c>
      <c r="J4" s="2"/>
    </row>
    <row r="5" spans="1:13" s="1" customFormat="1" x14ac:dyDescent="0.3">
      <c r="A5" s="3"/>
      <c r="B5" s="57" t="str">
        <f>Index!$B$5</f>
        <v>Period:</v>
      </c>
      <c r="C5" s="81" t="str">
        <f>Index!$C$5</f>
        <v>Year ended June 30, 2023</v>
      </c>
      <c r="H5" s="65" t="str">
        <f>Index!$G$5</f>
        <v>Date prepared:</v>
      </c>
      <c r="I5" s="76" t="str">
        <f>IF(Index!$H$5="","",Index!$H$5)</f>
        <v/>
      </c>
      <c r="J5" s="3"/>
    </row>
    <row r="6" spans="1:13" s="1" customFormat="1" x14ac:dyDescent="0.3">
      <c r="A6" s="3"/>
      <c r="B6" s="57" t="str">
        <f>Index!$B$6</f>
        <v>Head:</v>
      </c>
      <c r="C6" s="81" t="str">
        <f>Index!$C$6</f>
        <v>Cash and bank balance</v>
      </c>
      <c r="H6" s="65" t="str">
        <f>Index!$G$6</f>
        <v>Reviewed by:</v>
      </c>
      <c r="I6" s="77" t="str">
        <f>IF(Index!$H$6="","",Index!$H$6)</f>
        <v/>
      </c>
      <c r="J6" s="3"/>
    </row>
    <row r="7" spans="1:13" s="1" customFormat="1" x14ac:dyDescent="0.3">
      <c r="A7" s="3"/>
      <c r="B7" s="32"/>
      <c r="C7" s="5"/>
      <c r="H7" s="65" t="str">
        <f>Index!$G$7</f>
        <v>Date reviewed:</v>
      </c>
      <c r="I7" s="76" t="str">
        <f>IF(Index!$H$7="","",Index!$H$7)</f>
        <v/>
      </c>
      <c r="J7" s="3"/>
    </row>
    <row r="8" spans="1:13" x14ac:dyDescent="0.25">
      <c r="B8" s="19" t="s">
        <v>9</v>
      </c>
      <c r="C8" s="19"/>
      <c r="D8" s="19"/>
      <c r="E8" s="19"/>
      <c r="F8" s="19"/>
      <c r="G8" s="19"/>
      <c r="H8" s="19"/>
      <c r="I8" s="19"/>
    </row>
    <row r="9" spans="1:13" x14ac:dyDescent="0.25">
      <c r="A9" s="18"/>
      <c r="B9" s="19" t="s">
        <v>18</v>
      </c>
      <c r="J9" s="18"/>
    </row>
    <row r="10" spans="1:13" x14ac:dyDescent="0.25">
      <c r="A10" s="18"/>
      <c r="B10" s="33" t="s">
        <v>80</v>
      </c>
      <c r="J10" s="18"/>
    </row>
    <row r="11" spans="1:13" ht="14.25" customHeight="1" x14ac:dyDescent="0.25">
      <c r="B11" s="141" t="s">
        <v>28</v>
      </c>
      <c r="C11" s="141"/>
      <c r="D11" s="141"/>
      <c r="E11" s="141"/>
      <c r="F11" s="141"/>
      <c r="G11" s="141"/>
      <c r="H11" s="141"/>
      <c r="I11" s="141"/>
      <c r="J11" s="141"/>
    </row>
    <row r="12" spans="1:13" ht="14.25" customHeight="1" x14ac:dyDescent="0.25">
      <c r="B12" s="141" t="s">
        <v>62</v>
      </c>
      <c r="C12" s="141"/>
      <c r="D12" s="141"/>
      <c r="E12" s="141"/>
      <c r="F12" s="141"/>
      <c r="G12" s="141"/>
      <c r="H12" s="141"/>
      <c r="I12" s="141"/>
      <c r="J12" s="141"/>
    </row>
    <row r="13" spans="1:13" ht="14.25" customHeight="1" x14ac:dyDescent="0.25">
      <c r="B13" s="34"/>
      <c r="C13" s="34"/>
      <c r="D13" s="34"/>
      <c r="E13" s="34"/>
      <c r="F13" s="34"/>
      <c r="G13" s="34"/>
      <c r="H13" s="34"/>
      <c r="I13" s="34"/>
      <c r="J13" s="34"/>
    </row>
    <row r="14" spans="1:13" x14ac:dyDescent="0.25">
      <c r="A14" s="18"/>
      <c r="B14" s="36" t="s">
        <v>17</v>
      </c>
      <c r="C14" s="142"/>
      <c r="D14" s="142"/>
      <c r="E14" s="142"/>
      <c r="F14" s="142"/>
      <c r="G14" s="142"/>
      <c r="H14" s="142"/>
      <c r="I14" s="142"/>
      <c r="J14" s="18"/>
    </row>
    <row r="15" spans="1:13" ht="14.25" customHeight="1" x14ac:dyDescent="0.25">
      <c r="A15" s="18"/>
      <c r="B15" s="141" t="s">
        <v>66</v>
      </c>
      <c r="C15" s="141"/>
      <c r="D15" s="141"/>
      <c r="E15" s="141"/>
      <c r="F15" s="141"/>
      <c r="G15" s="141"/>
      <c r="H15" s="141"/>
      <c r="I15" s="141"/>
      <c r="J15" s="141"/>
      <c r="K15" s="28"/>
      <c r="L15" s="28"/>
      <c r="M15" s="28"/>
    </row>
    <row r="16" spans="1:13" ht="14.25" customHeight="1" x14ac:dyDescent="0.25">
      <c r="A16" s="18"/>
      <c r="B16" s="141" t="s">
        <v>77</v>
      </c>
      <c r="C16" s="141"/>
      <c r="D16" s="141"/>
      <c r="E16" s="141"/>
      <c r="F16" s="141"/>
      <c r="G16" s="141"/>
      <c r="H16" s="141"/>
      <c r="I16" s="141"/>
      <c r="J16" s="141"/>
      <c r="K16" s="28"/>
      <c r="L16" s="28"/>
      <c r="M16" s="28"/>
    </row>
    <row r="17" spans="1:13" ht="14.25" customHeight="1" x14ac:dyDescent="0.25">
      <c r="A17" s="18"/>
      <c r="B17" s="141" t="s">
        <v>63</v>
      </c>
      <c r="C17" s="141"/>
      <c r="D17" s="141"/>
      <c r="E17" s="141"/>
      <c r="F17" s="141"/>
      <c r="G17" s="141"/>
      <c r="H17" s="141"/>
      <c r="I17" s="141"/>
      <c r="J17" s="141"/>
      <c r="K17" s="28"/>
      <c r="L17" s="28"/>
      <c r="M17" s="28"/>
    </row>
    <row r="18" spans="1:13" ht="14.25" customHeight="1" x14ac:dyDescent="0.25">
      <c r="A18" s="18"/>
      <c r="B18" s="141" t="s">
        <v>64</v>
      </c>
      <c r="C18" s="141"/>
      <c r="D18" s="141"/>
      <c r="E18" s="141"/>
      <c r="F18" s="141"/>
      <c r="G18" s="141"/>
      <c r="H18" s="141"/>
      <c r="I18" s="141"/>
      <c r="J18" s="141"/>
      <c r="K18" s="28"/>
      <c r="L18" s="28"/>
      <c r="M18" s="28"/>
    </row>
    <row r="19" spans="1:13" ht="14.25" customHeight="1" x14ac:dyDescent="0.25">
      <c r="A19" s="18"/>
      <c r="B19" s="141" t="s">
        <v>65</v>
      </c>
      <c r="C19" s="141"/>
      <c r="D19" s="141"/>
      <c r="E19" s="141"/>
      <c r="F19" s="141"/>
      <c r="G19" s="141"/>
      <c r="H19" s="141"/>
      <c r="I19" s="141"/>
      <c r="J19" s="141"/>
      <c r="K19" s="35"/>
      <c r="L19" s="35"/>
      <c r="M19" s="35"/>
    </row>
    <row r="20" spans="1:13" ht="14.25" customHeight="1" x14ac:dyDescent="0.25">
      <c r="A20" s="18"/>
      <c r="B20" s="141" t="s">
        <v>30</v>
      </c>
      <c r="C20" s="141"/>
      <c r="D20" s="141"/>
      <c r="E20" s="141"/>
      <c r="F20" s="141"/>
      <c r="G20" s="141"/>
      <c r="H20" s="141"/>
      <c r="I20" s="141"/>
      <c r="J20" s="143"/>
      <c r="K20" s="29"/>
      <c r="L20" s="29"/>
      <c r="M20" s="29"/>
    </row>
    <row r="21" spans="1:13" ht="14.25" customHeight="1" x14ac:dyDescent="0.25">
      <c r="A21" s="18"/>
      <c r="B21" s="141" t="s">
        <v>90</v>
      </c>
      <c r="C21" s="141"/>
      <c r="D21" s="141"/>
      <c r="E21" s="141"/>
      <c r="F21" s="141"/>
      <c r="G21" s="141"/>
      <c r="H21" s="141"/>
      <c r="I21" s="141"/>
      <c r="J21" s="143"/>
      <c r="K21" s="35"/>
      <c r="L21" s="35"/>
      <c r="M21" s="35"/>
    </row>
    <row r="22" spans="1:13" ht="14.25" customHeight="1" x14ac:dyDescent="0.25">
      <c r="A22" s="18"/>
      <c r="B22" s="141"/>
      <c r="C22" s="141"/>
      <c r="D22" s="141"/>
      <c r="E22" s="141"/>
      <c r="F22" s="141"/>
      <c r="G22" s="141"/>
      <c r="H22" s="141"/>
      <c r="I22" s="141"/>
      <c r="J22" s="143"/>
      <c r="K22" s="35"/>
      <c r="L22" s="35"/>
      <c r="M22" s="35"/>
    </row>
    <row r="23" spans="1:13" ht="14.25" customHeight="1" x14ac:dyDescent="0.3">
      <c r="A23" s="18"/>
      <c r="B23" s="139" t="s">
        <v>99</v>
      </c>
      <c r="C23" s="141"/>
      <c r="D23" s="141"/>
      <c r="E23" s="141"/>
      <c r="F23" s="141"/>
      <c r="G23" s="141"/>
      <c r="H23" s="141"/>
      <c r="I23" s="141"/>
      <c r="J23" s="143"/>
      <c r="K23" s="35"/>
      <c r="L23" s="35"/>
      <c r="M23" s="35"/>
    </row>
    <row r="24" spans="1:13" ht="14.25" customHeight="1" x14ac:dyDescent="0.25">
      <c r="A24" s="18"/>
      <c r="B24" s="140" t="s">
        <v>100</v>
      </c>
      <c r="C24" s="141"/>
      <c r="D24" s="141"/>
      <c r="E24" s="141"/>
      <c r="F24" s="141"/>
      <c r="G24" s="141"/>
      <c r="H24" s="141"/>
      <c r="I24" s="141"/>
      <c r="J24" s="143"/>
      <c r="K24" s="35"/>
      <c r="L24" s="35"/>
      <c r="M24" s="35"/>
    </row>
    <row r="25" spans="1:13" ht="14.25" customHeight="1" x14ac:dyDescent="0.25">
      <c r="A25" s="18"/>
      <c r="B25" s="140"/>
      <c r="C25" s="141"/>
      <c r="D25" s="141"/>
      <c r="E25" s="141"/>
      <c r="F25" s="141"/>
      <c r="G25" s="141"/>
      <c r="H25" s="141"/>
      <c r="I25" s="141"/>
      <c r="J25" s="143"/>
      <c r="K25" s="35"/>
      <c r="L25" s="35"/>
      <c r="M25" s="35"/>
    </row>
    <row r="26" spans="1:13" ht="14.25" customHeight="1" x14ac:dyDescent="0.3">
      <c r="A26" s="18"/>
      <c r="B26" s="139" t="s">
        <v>25</v>
      </c>
      <c r="C26" s="141"/>
      <c r="D26" s="141"/>
      <c r="E26" s="141"/>
      <c r="F26" s="141"/>
      <c r="G26" s="141"/>
      <c r="H26" s="141"/>
      <c r="I26" s="141"/>
      <c r="J26" s="143"/>
      <c r="K26" s="35"/>
      <c r="L26" s="35"/>
      <c r="M26" s="35"/>
    </row>
    <row r="27" spans="1:13" ht="14.25" customHeight="1" x14ac:dyDescent="0.25">
      <c r="A27" s="18"/>
      <c r="B27" s="140" t="s">
        <v>24</v>
      </c>
      <c r="C27" s="141"/>
      <c r="D27" s="141"/>
      <c r="E27" s="141"/>
      <c r="F27" s="141"/>
      <c r="G27" s="141"/>
      <c r="H27" s="141"/>
      <c r="I27" s="141"/>
      <c r="J27" s="143"/>
      <c r="K27" s="35"/>
      <c r="L27" s="35"/>
      <c r="M27" s="35"/>
    </row>
    <row r="28" spans="1:13" x14ac:dyDescent="0.25">
      <c r="A28" s="3"/>
      <c r="J28" s="3"/>
    </row>
    <row r="29" spans="1:13" ht="15" customHeight="1" x14ac:dyDescent="0.25">
      <c r="B29" s="51" t="s">
        <v>20</v>
      </c>
      <c r="C29" s="51"/>
      <c r="D29" s="51" t="s">
        <v>19</v>
      </c>
      <c r="E29" s="52">
        <v>2021</v>
      </c>
      <c r="F29" s="52">
        <f>E29-1</f>
        <v>2020</v>
      </c>
      <c r="G29" s="52" t="s">
        <v>12</v>
      </c>
      <c r="H29" s="52" t="s">
        <v>12</v>
      </c>
      <c r="I29" s="51" t="s">
        <v>13</v>
      </c>
    </row>
    <row r="30" spans="1:13" x14ac:dyDescent="0.25">
      <c r="A30" s="8"/>
      <c r="B30" s="51"/>
      <c r="C30" s="51"/>
      <c r="D30" s="51"/>
      <c r="E30" s="52" t="s">
        <v>29</v>
      </c>
      <c r="F30" s="52" t="s">
        <v>29</v>
      </c>
      <c r="G30" s="52" t="s">
        <v>29</v>
      </c>
      <c r="H30" s="52" t="s">
        <v>15</v>
      </c>
      <c r="I30" s="51"/>
      <c r="J30" s="8"/>
    </row>
    <row r="31" spans="1:13" x14ac:dyDescent="0.25">
      <c r="B31" s="131"/>
      <c r="C31" s="131"/>
      <c r="D31" s="132"/>
      <c r="E31" s="133"/>
      <c r="F31" s="134"/>
      <c r="G31" s="134"/>
      <c r="H31" s="134"/>
      <c r="I31" s="134"/>
    </row>
    <row r="32" spans="1:13" x14ac:dyDescent="0.25">
      <c r="A32" s="8"/>
      <c r="B32" s="46" t="s">
        <v>40</v>
      </c>
      <c r="C32" s="46"/>
      <c r="D32" s="22"/>
      <c r="E32" s="23"/>
      <c r="F32" s="23"/>
      <c r="G32" s="23"/>
      <c r="H32" s="23"/>
      <c r="I32" s="23"/>
      <c r="J32" s="8"/>
    </row>
    <row r="33" spans="1:10" x14ac:dyDescent="0.25">
      <c r="A33" s="8"/>
      <c r="B33" s="44" t="s">
        <v>50</v>
      </c>
      <c r="C33" s="44"/>
      <c r="D33" s="22"/>
      <c r="E33" s="23"/>
      <c r="F33" s="23"/>
      <c r="G33" s="23"/>
      <c r="H33" s="23"/>
      <c r="I33" s="23"/>
      <c r="J33" s="8"/>
    </row>
    <row r="34" spans="1:10" x14ac:dyDescent="0.25">
      <c r="A34" s="25"/>
      <c r="B34" s="40" t="s">
        <v>52</v>
      </c>
      <c r="C34" s="40"/>
      <c r="D34" s="22"/>
      <c r="E34" s="30"/>
      <c r="F34" s="23"/>
      <c r="G34" s="23">
        <f t="shared" ref="G34" si="0">E34-F34</f>
        <v>0</v>
      </c>
      <c r="H34" s="31" t="str">
        <f>IFERROR(G34/F34,"")</f>
        <v/>
      </c>
      <c r="I34" s="23"/>
      <c r="J34" s="25"/>
    </row>
    <row r="35" spans="1:10" x14ac:dyDescent="0.25">
      <c r="A35" s="25"/>
      <c r="B35" s="40" t="s">
        <v>53</v>
      </c>
      <c r="C35" s="40"/>
      <c r="D35" s="22"/>
      <c r="E35" s="30"/>
      <c r="F35" s="23"/>
      <c r="G35" s="23">
        <f t="shared" ref="G35:G36" si="1">E35-F35</f>
        <v>0</v>
      </c>
      <c r="H35" s="31" t="str">
        <f t="shared" ref="H35:H36" si="2">IFERROR(G35/F35,"")</f>
        <v/>
      </c>
      <c r="I35" s="23"/>
      <c r="J35" s="25"/>
    </row>
    <row r="36" spans="1:10" x14ac:dyDescent="0.25">
      <c r="A36" s="25"/>
      <c r="B36" s="47" t="s">
        <v>51</v>
      </c>
      <c r="C36" s="47"/>
      <c r="D36" s="22"/>
      <c r="E36" s="23"/>
      <c r="F36" s="23"/>
      <c r="G36" s="23">
        <f t="shared" si="1"/>
        <v>0</v>
      </c>
      <c r="H36" s="31" t="str">
        <f t="shared" si="2"/>
        <v/>
      </c>
      <c r="I36" s="23"/>
      <c r="J36" s="25"/>
    </row>
    <row r="37" spans="1:10" x14ac:dyDescent="0.25">
      <c r="A37" s="25"/>
      <c r="B37" s="42"/>
      <c r="C37" s="42"/>
      <c r="D37" s="22"/>
      <c r="E37" s="23"/>
      <c r="F37" s="23"/>
      <c r="G37" s="23"/>
      <c r="H37" s="23"/>
      <c r="I37" s="23"/>
      <c r="J37" s="25"/>
    </row>
    <row r="38" spans="1:10" x14ac:dyDescent="0.25">
      <c r="A38" s="25"/>
      <c r="B38" s="44" t="s">
        <v>57</v>
      </c>
      <c r="C38" s="44"/>
      <c r="D38" s="22"/>
      <c r="E38" s="23"/>
      <c r="F38" s="23"/>
      <c r="G38" s="23"/>
      <c r="H38" s="23"/>
      <c r="I38" s="23"/>
      <c r="J38" s="25"/>
    </row>
    <row r="39" spans="1:10" x14ac:dyDescent="0.25">
      <c r="A39" s="25"/>
      <c r="B39" s="42" t="s">
        <v>54</v>
      </c>
      <c r="C39" s="42"/>
      <c r="D39" s="22"/>
      <c r="E39" s="23"/>
      <c r="F39" s="23"/>
      <c r="G39" s="23">
        <f t="shared" ref="G39:G41" si="3">E39-F39</f>
        <v>0</v>
      </c>
      <c r="H39" s="31" t="str">
        <f t="shared" ref="H39:H41" si="4">IFERROR(G39/F39,"")</f>
        <v/>
      </c>
      <c r="I39" s="23"/>
      <c r="J39" s="25"/>
    </row>
    <row r="40" spans="1:10" x14ac:dyDescent="0.25">
      <c r="A40" s="25"/>
      <c r="B40" s="42" t="s">
        <v>55</v>
      </c>
      <c r="C40" s="42"/>
      <c r="D40" s="22"/>
      <c r="E40" s="23"/>
      <c r="F40" s="23"/>
      <c r="G40" s="23">
        <f t="shared" si="3"/>
        <v>0</v>
      </c>
      <c r="H40" s="31" t="str">
        <f t="shared" si="4"/>
        <v/>
      </c>
      <c r="I40" s="23"/>
      <c r="J40" s="25"/>
    </row>
    <row r="41" spans="1:10" x14ac:dyDescent="0.25">
      <c r="A41" s="25"/>
      <c r="B41" s="42" t="s">
        <v>56</v>
      </c>
      <c r="C41" s="42"/>
      <c r="D41" s="22"/>
      <c r="E41" s="23"/>
      <c r="F41" s="23"/>
      <c r="G41" s="23">
        <f t="shared" si="3"/>
        <v>0</v>
      </c>
      <c r="H41" s="31" t="str">
        <f t="shared" si="4"/>
        <v/>
      </c>
      <c r="I41" s="23"/>
      <c r="J41" s="25"/>
    </row>
    <row r="42" spans="1:10" x14ac:dyDescent="0.25">
      <c r="A42" s="25"/>
      <c r="B42" s="42"/>
      <c r="C42" s="42"/>
      <c r="D42" s="22"/>
      <c r="E42" s="23"/>
      <c r="F42" s="23"/>
      <c r="G42" s="23"/>
      <c r="H42" s="23"/>
      <c r="I42" s="23"/>
      <c r="J42" s="25"/>
    </row>
    <row r="43" spans="1:10" x14ac:dyDescent="0.25">
      <c r="A43" s="25"/>
      <c r="B43" s="42" t="s">
        <v>45</v>
      </c>
      <c r="C43" s="42"/>
      <c r="D43" s="22"/>
      <c r="E43" s="23"/>
      <c r="F43" s="23"/>
      <c r="G43" s="23"/>
      <c r="H43" s="23"/>
      <c r="I43" s="23"/>
      <c r="J43" s="25"/>
    </row>
    <row r="44" spans="1:10" ht="15" customHeight="1" x14ac:dyDescent="0.25">
      <c r="A44" s="25"/>
      <c r="B44" s="41" t="s">
        <v>46</v>
      </c>
      <c r="C44" s="41"/>
      <c r="D44" s="22"/>
      <c r="E44" s="23"/>
      <c r="F44" s="23"/>
      <c r="G44" s="23">
        <f t="shared" ref="G44:G45" si="5">E44-F44</f>
        <v>0</v>
      </c>
      <c r="H44" s="31" t="str">
        <f t="shared" ref="H44:H45" si="6">IFERROR(G44/F44,"")</f>
        <v/>
      </c>
      <c r="I44" s="23"/>
      <c r="J44" s="25"/>
    </row>
    <row r="45" spans="1:10" ht="15" customHeight="1" x14ac:dyDescent="0.25">
      <c r="A45" s="25"/>
      <c r="B45" s="41" t="s">
        <v>47</v>
      </c>
      <c r="C45" s="41"/>
      <c r="D45" s="22"/>
      <c r="E45" s="23"/>
      <c r="F45" s="23"/>
      <c r="G45" s="23">
        <f t="shared" si="5"/>
        <v>0</v>
      </c>
      <c r="H45" s="31" t="str">
        <f t="shared" si="6"/>
        <v/>
      </c>
      <c r="I45" s="23"/>
      <c r="J45" s="25"/>
    </row>
    <row r="46" spans="1:10" x14ac:dyDescent="0.25">
      <c r="A46" s="25"/>
      <c r="B46" s="42"/>
      <c r="C46" s="42"/>
      <c r="D46" s="22"/>
      <c r="E46" s="23"/>
      <c r="F46" s="23"/>
      <c r="G46" s="23"/>
      <c r="H46" s="23"/>
      <c r="I46" s="23"/>
      <c r="J46" s="25"/>
    </row>
    <row r="47" spans="1:10" x14ac:dyDescent="0.25">
      <c r="A47" s="25"/>
      <c r="B47" s="43" t="s">
        <v>48</v>
      </c>
      <c r="C47" s="43"/>
      <c r="D47" s="22"/>
      <c r="E47" s="23"/>
      <c r="F47" s="23"/>
      <c r="G47" s="23"/>
      <c r="H47" s="23"/>
      <c r="I47" s="23"/>
      <c r="J47" s="25"/>
    </row>
    <row r="48" spans="1:10" ht="15" customHeight="1" x14ac:dyDescent="0.25">
      <c r="A48" s="25"/>
      <c r="B48" s="41" t="s">
        <v>46</v>
      </c>
      <c r="C48" s="41"/>
      <c r="D48" s="22"/>
      <c r="E48" s="23"/>
      <c r="F48" s="23"/>
      <c r="G48" s="23">
        <f t="shared" ref="G48:G49" si="7">E48-F48</f>
        <v>0</v>
      </c>
      <c r="H48" s="31" t="str">
        <f t="shared" ref="H48:H49" si="8">IFERROR(G48/F48,"")</f>
        <v/>
      </c>
      <c r="I48" s="23"/>
      <c r="J48" s="25"/>
    </row>
    <row r="49" spans="1:14" ht="15" customHeight="1" x14ac:dyDescent="0.25">
      <c r="A49" s="25"/>
      <c r="B49" s="41" t="s">
        <v>47</v>
      </c>
      <c r="C49" s="41"/>
      <c r="D49" s="22"/>
      <c r="E49" s="23"/>
      <c r="F49" s="23"/>
      <c r="G49" s="23">
        <f t="shared" si="7"/>
        <v>0</v>
      </c>
      <c r="H49" s="31" t="str">
        <f t="shared" si="8"/>
        <v/>
      </c>
      <c r="I49" s="23"/>
      <c r="J49" s="25"/>
    </row>
    <row r="50" spans="1:14" x14ac:dyDescent="0.25">
      <c r="A50" s="25"/>
      <c r="B50" s="42"/>
      <c r="C50" s="42"/>
      <c r="D50" s="22"/>
      <c r="E50" s="23"/>
      <c r="F50" s="23"/>
      <c r="G50" s="23"/>
      <c r="H50" s="23"/>
      <c r="I50" s="23"/>
      <c r="J50" s="25"/>
    </row>
    <row r="51" spans="1:14" x14ac:dyDescent="0.25">
      <c r="A51" s="18"/>
      <c r="B51" s="42"/>
      <c r="C51" s="42"/>
      <c r="D51" s="22"/>
      <c r="E51" s="23"/>
      <c r="F51" s="23"/>
      <c r="G51" s="23"/>
      <c r="H51" s="23"/>
      <c r="I51" s="23"/>
      <c r="J51" s="18"/>
    </row>
    <row r="52" spans="1:14" x14ac:dyDescent="0.25">
      <c r="A52" s="18"/>
      <c r="B52" s="45" t="s">
        <v>4</v>
      </c>
      <c r="C52" s="45"/>
      <c r="D52" s="22"/>
      <c r="E52" s="23">
        <f>SUM(E31:E51)</f>
        <v>0</v>
      </c>
      <c r="F52" s="23">
        <f>SUM(F31:F51)</f>
        <v>0</v>
      </c>
      <c r="G52" s="23">
        <f>SUM(G31:G51)</f>
        <v>0</v>
      </c>
      <c r="H52" s="23"/>
      <c r="I52" s="23"/>
      <c r="J52" s="18"/>
    </row>
    <row r="53" spans="1:14" x14ac:dyDescent="0.25">
      <c r="A53" s="18"/>
      <c r="J53" s="18"/>
    </row>
    <row r="54" spans="1:14" x14ac:dyDescent="0.25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</row>
    <row r="62" spans="1:14" x14ac:dyDescent="0.25"/>
    <row r="63" spans="1:14" x14ac:dyDescent="0.25"/>
    <row r="64" spans="1:1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</sheetData>
  <mergeCells count="25">
    <mergeCell ref="I29:I30"/>
    <mergeCell ref="B29:C30"/>
    <mergeCell ref="D29:D30"/>
    <mergeCell ref="B52:C52"/>
    <mergeCell ref="B37:C37"/>
    <mergeCell ref="B31:C31"/>
    <mergeCell ref="B32:C32"/>
    <mergeCell ref="B33:C33"/>
    <mergeCell ref="B34:C34"/>
    <mergeCell ref="B36:C36"/>
    <mergeCell ref="B51:C51"/>
    <mergeCell ref="B49:C49"/>
    <mergeCell ref="B50:C50"/>
    <mergeCell ref="B44:C44"/>
    <mergeCell ref="B35:C35"/>
    <mergeCell ref="B45:C45"/>
    <mergeCell ref="B46:C46"/>
    <mergeCell ref="B47:C47"/>
    <mergeCell ref="B48:C48"/>
    <mergeCell ref="B40:C40"/>
    <mergeCell ref="B41:C41"/>
    <mergeCell ref="B42:C42"/>
    <mergeCell ref="B43:C43"/>
    <mergeCell ref="B38:C38"/>
    <mergeCell ref="B39:C39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6"/>
  <sheetViews>
    <sheetView showGridLines="0" zoomScaleNormal="100" zoomScaleSheetLayoutView="100" workbookViewId="0">
      <selection activeCell="H9" sqref="H9"/>
    </sheetView>
  </sheetViews>
  <sheetFormatPr defaultColWidth="0" defaultRowHeight="13.5" zeroHeight="1" x14ac:dyDescent="0.25"/>
  <cols>
    <col min="1" max="1" width="1" style="63" customWidth="1"/>
    <col min="2" max="2" width="12" style="98" customWidth="1"/>
    <col min="3" max="3" width="33" style="98" customWidth="1"/>
    <col min="4" max="4" width="11.7109375" style="98" bestFit="1" customWidth="1"/>
    <col min="5" max="8" width="14.42578125" style="98" customWidth="1"/>
    <col min="9" max="9" width="24.140625" style="98" customWidth="1"/>
    <col min="10" max="10" width="1" style="63" customWidth="1"/>
    <col min="11" max="16384" width="9.140625" style="98" hidden="1"/>
  </cols>
  <sheetData>
    <row r="1" spans="1:14" ht="15" x14ac:dyDescent="0.25">
      <c r="A1" s="62"/>
      <c r="B1" s="78" t="str">
        <f>Index!$B$1</f>
        <v>ABC &amp; Co.</v>
      </c>
      <c r="C1" s="62"/>
      <c r="E1" s="105"/>
      <c r="H1" s="62"/>
      <c r="I1" s="144" t="str">
        <f>Index!E16</f>
        <v>BS.15 - 3</v>
      </c>
      <c r="J1" s="98"/>
    </row>
    <row r="2" spans="1:14" x14ac:dyDescent="0.25">
      <c r="A2" s="62"/>
      <c r="B2" s="62" t="str">
        <f>Index!$B$2</f>
        <v>(Chartered Accountants)</v>
      </c>
      <c r="C2" s="62"/>
      <c r="D2" s="145"/>
      <c r="E2" s="63"/>
      <c r="H2" s="62"/>
      <c r="J2" s="98"/>
    </row>
    <row r="3" spans="1:14" x14ac:dyDescent="0.25">
      <c r="A3" s="62"/>
      <c r="B3" s="62"/>
      <c r="C3" s="62"/>
      <c r="J3" s="62"/>
    </row>
    <row r="4" spans="1:14" s="56" customFormat="1" ht="15" x14ac:dyDescent="0.25">
      <c r="A4" s="63"/>
      <c r="B4" s="57" t="str">
        <f>Index!$B$4</f>
        <v xml:space="preserve">Client: </v>
      </c>
      <c r="C4" s="81" t="str">
        <f>Index!$C$4</f>
        <v>ABC Limited</v>
      </c>
      <c r="H4" s="65" t="str">
        <f>Index!$G$4</f>
        <v>Prepared by:</v>
      </c>
      <c r="I4" s="67" t="str">
        <f>IF(Index!$H$4="","",Index!$H$4)</f>
        <v/>
      </c>
      <c r="J4" s="63"/>
    </row>
    <row r="5" spans="1:14" s="56" customFormat="1" ht="15" x14ac:dyDescent="0.25">
      <c r="A5" s="62"/>
      <c r="B5" s="57" t="str">
        <f>Index!$B$5</f>
        <v>Period:</v>
      </c>
      <c r="C5" s="81" t="str">
        <f>Index!$C$5</f>
        <v>Year ended June 30, 2023</v>
      </c>
      <c r="H5" s="65" t="str">
        <f>Index!$G$5</f>
        <v>Date prepared:</v>
      </c>
      <c r="I5" s="76" t="str">
        <f>IF(Index!$H$5="","",Index!$H$5)</f>
        <v/>
      </c>
      <c r="J5" s="62"/>
    </row>
    <row r="6" spans="1:14" s="56" customFormat="1" ht="15" x14ac:dyDescent="0.25">
      <c r="A6" s="62"/>
      <c r="B6" s="57" t="str">
        <f>Index!$B$6</f>
        <v>Head:</v>
      </c>
      <c r="C6" s="81" t="str">
        <f>Index!$C$6</f>
        <v>Cash and bank balance</v>
      </c>
      <c r="H6" s="65" t="str">
        <f>Index!$G$6</f>
        <v>Reviewed by:</v>
      </c>
      <c r="I6" s="77" t="str">
        <f>IF(Index!$H$6="","",Index!$H$6)</f>
        <v/>
      </c>
      <c r="J6" s="62"/>
    </row>
    <row r="7" spans="1:14" s="56" customFormat="1" ht="15" x14ac:dyDescent="0.25">
      <c r="A7" s="62"/>
      <c r="B7" s="57" t="s">
        <v>81</v>
      </c>
      <c r="C7" s="81" t="str">
        <f>Lead!B38</f>
        <v>Cash at Bank</v>
      </c>
      <c r="H7" s="65" t="str">
        <f>Index!$G$7</f>
        <v>Date reviewed:</v>
      </c>
      <c r="I7" s="76" t="str">
        <f>IF(Index!$H$7="","",Index!$H$7)</f>
        <v/>
      </c>
      <c r="J7" s="62"/>
    </row>
    <row r="8" spans="1:14" ht="15" x14ac:dyDescent="0.25">
      <c r="B8" s="105" t="s">
        <v>16</v>
      </c>
      <c r="C8" s="105"/>
      <c r="D8" s="105"/>
      <c r="E8" s="105"/>
      <c r="F8" s="105"/>
      <c r="G8" s="105"/>
      <c r="H8" s="105"/>
      <c r="I8" s="105"/>
    </row>
    <row r="9" spans="1:14" ht="15" x14ac:dyDescent="0.25">
      <c r="A9" s="98"/>
      <c r="B9" s="105" t="s">
        <v>18</v>
      </c>
      <c r="J9" s="98"/>
    </row>
    <row r="10" spans="1:14" x14ac:dyDescent="0.25">
      <c r="A10" s="98"/>
      <c r="B10" s="146" t="s">
        <v>67</v>
      </c>
      <c r="C10" s="146"/>
      <c r="D10" s="146"/>
      <c r="E10" s="146"/>
      <c r="F10" s="146"/>
      <c r="G10" s="146"/>
      <c r="H10" s="146"/>
      <c r="I10" s="146"/>
      <c r="J10" s="98"/>
    </row>
    <row r="11" spans="1:14" x14ac:dyDescent="0.25">
      <c r="A11" s="98"/>
      <c r="B11" s="146" t="s">
        <v>68</v>
      </c>
      <c r="C11" s="146"/>
      <c r="D11" s="146"/>
      <c r="E11" s="146"/>
      <c r="F11" s="146"/>
      <c r="G11" s="146"/>
      <c r="H11" s="146"/>
      <c r="I11" s="146"/>
      <c r="J11" s="98"/>
    </row>
    <row r="12" spans="1:14" ht="14.25" customHeight="1" x14ac:dyDescent="0.25">
      <c r="A12" s="98"/>
      <c r="B12" s="146" t="s">
        <v>69</v>
      </c>
      <c r="C12" s="146"/>
      <c r="D12" s="146"/>
      <c r="E12" s="146"/>
      <c r="F12" s="146"/>
      <c r="G12" s="146"/>
      <c r="H12" s="146"/>
      <c r="I12" s="146"/>
      <c r="J12" s="98"/>
    </row>
    <row r="13" spans="1:14" ht="14.25" customHeight="1" x14ac:dyDescent="0.25">
      <c r="B13" s="146" t="s">
        <v>82</v>
      </c>
      <c r="C13" s="146"/>
      <c r="D13" s="146"/>
      <c r="E13" s="146"/>
      <c r="F13" s="146"/>
      <c r="G13" s="146"/>
      <c r="H13" s="146"/>
      <c r="I13" s="146"/>
      <c r="J13" s="147"/>
      <c r="K13" s="147"/>
      <c r="L13" s="147"/>
      <c r="M13" s="147"/>
      <c r="N13" s="147"/>
    </row>
    <row r="14" spans="1:14" ht="14.25" customHeight="1" x14ac:dyDescent="0.25">
      <c r="A14" s="98"/>
      <c r="B14" s="146" t="s">
        <v>70</v>
      </c>
      <c r="C14" s="146"/>
      <c r="D14" s="146"/>
      <c r="E14" s="146"/>
      <c r="F14" s="146"/>
      <c r="G14" s="146"/>
      <c r="H14" s="146"/>
      <c r="I14" s="146"/>
      <c r="J14" s="148"/>
      <c r="K14" s="148"/>
      <c r="L14" s="148"/>
      <c r="M14" s="148"/>
      <c r="N14" s="148"/>
    </row>
    <row r="15" spans="1:14" ht="14.25" customHeight="1" x14ac:dyDescent="0.25">
      <c r="A15" s="98"/>
      <c r="B15" s="146" t="s">
        <v>71</v>
      </c>
      <c r="C15" s="146"/>
      <c r="D15" s="146"/>
      <c r="E15" s="146"/>
      <c r="F15" s="146"/>
      <c r="G15" s="146"/>
      <c r="H15" s="146"/>
      <c r="I15" s="146"/>
      <c r="J15" s="148"/>
      <c r="K15" s="148"/>
      <c r="L15" s="148"/>
      <c r="M15" s="148"/>
      <c r="N15" s="148"/>
    </row>
    <row r="16" spans="1:14" ht="14.25" customHeight="1" x14ac:dyDescent="0.25">
      <c r="A16" s="98"/>
      <c r="B16" s="98" t="s">
        <v>76</v>
      </c>
      <c r="J16" s="148"/>
      <c r="K16" s="148"/>
      <c r="L16" s="148"/>
      <c r="M16" s="148"/>
      <c r="N16" s="148"/>
    </row>
    <row r="17" spans="1:14" ht="14.25" customHeight="1" x14ac:dyDescent="0.25">
      <c r="A17" s="98"/>
      <c r="B17" s="98" t="s">
        <v>75</v>
      </c>
      <c r="J17" s="148"/>
      <c r="K17" s="148"/>
      <c r="L17" s="148"/>
      <c r="M17" s="148"/>
      <c r="N17" s="148"/>
    </row>
    <row r="18" spans="1:14" ht="14.25" customHeight="1" x14ac:dyDescent="0.25">
      <c r="A18" s="98"/>
      <c r="B18" s="98" t="s">
        <v>74</v>
      </c>
      <c r="J18" s="148"/>
      <c r="K18" s="148"/>
      <c r="L18" s="148"/>
      <c r="M18" s="148"/>
      <c r="N18" s="148"/>
    </row>
    <row r="19" spans="1:14" ht="14.25" customHeight="1" x14ac:dyDescent="0.25">
      <c r="A19" s="98"/>
      <c r="B19" s="98" t="s">
        <v>74</v>
      </c>
      <c r="J19" s="147"/>
      <c r="K19" s="147"/>
      <c r="L19" s="147"/>
      <c r="M19" s="147"/>
      <c r="N19" s="147"/>
    </row>
    <row r="20" spans="1:14" x14ac:dyDescent="0.25">
      <c r="B20" s="98" t="s">
        <v>73</v>
      </c>
    </row>
    <row r="21" spans="1:14" x14ac:dyDescent="0.25">
      <c r="B21" s="98" t="s">
        <v>97</v>
      </c>
    </row>
    <row r="22" spans="1:14" x14ac:dyDescent="0.25">
      <c r="A22" s="62"/>
      <c r="B22" s="98" t="s">
        <v>98</v>
      </c>
      <c r="J22" s="62"/>
    </row>
    <row r="23" spans="1:14" x14ac:dyDescent="0.25">
      <c r="A23" s="62"/>
      <c r="J23" s="62"/>
    </row>
    <row r="24" spans="1:14" ht="15" x14ac:dyDescent="0.3">
      <c r="A24" s="62"/>
      <c r="B24" s="139" t="s">
        <v>99</v>
      </c>
      <c r="J24" s="62"/>
    </row>
    <row r="25" spans="1:14" x14ac:dyDescent="0.25">
      <c r="A25" s="62"/>
      <c r="B25" s="140" t="s">
        <v>100</v>
      </c>
      <c r="J25" s="62"/>
    </row>
    <row r="26" spans="1:14" x14ac:dyDescent="0.25">
      <c r="A26" s="62"/>
      <c r="B26" s="140"/>
      <c r="J26" s="62"/>
    </row>
    <row r="27" spans="1:14" ht="15" x14ac:dyDescent="0.3">
      <c r="A27" s="62"/>
      <c r="B27" s="139" t="s">
        <v>25</v>
      </c>
      <c r="J27" s="62"/>
    </row>
    <row r="28" spans="1:14" x14ac:dyDescent="0.25">
      <c r="A28" s="62"/>
      <c r="B28" s="140" t="s">
        <v>24</v>
      </c>
      <c r="J28" s="62"/>
    </row>
    <row r="29" spans="1:14" x14ac:dyDescent="0.25">
      <c r="A29" s="62"/>
      <c r="J29" s="62"/>
    </row>
    <row r="30" spans="1:14" ht="15" customHeight="1" x14ac:dyDescent="0.25">
      <c r="B30" s="162" t="s">
        <v>20</v>
      </c>
      <c r="C30" s="163"/>
      <c r="D30" s="149" t="s">
        <v>19</v>
      </c>
      <c r="E30" s="150">
        <f>Lead!E29</f>
        <v>2021</v>
      </c>
      <c r="F30" s="150">
        <f>Lead!F29</f>
        <v>2020</v>
      </c>
      <c r="G30" s="150" t="s">
        <v>12</v>
      </c>
      <c r="H30" s="150" t="s">
        <v>12</v>
      </c>
      <c r="I30" s="149" t="s">
        <v>13</v>
      </c>
    </row>
    <row r="31" spans="1:14" ht="15" x14ac:dyDescent="0.25">
      <c r="A31" s="87"/>
      <c r="B31" s="162"/>
      <c r="C31" s="163"/>
      <c r="D31" s="149"/>
      <c r="E31" s="150" t="s">
        <v>29</v>
      </c>
      <c r="F31" s="150" t="s">
        <v>29</v>
      </c>
      <c r="G31" s="150" t="s">
        <v>29</v>
      </c>
      <c r="H31" s="150" t="s">
        <v>15</v>
      </c>
      <c r="I31" s="149"/>
      <c r="J31" s="87"/>
    </row>
    <row r="32" spans="1:14" s="154" customFormat="1" ht="15" x14ac:dyDescent="0.25">
      <c r="A32" s="151"/>
      <c r="B32" s="129"/>
      <c r="C32" s="129"/>
      <c r="D32" s="129"/>
      <c r="E32" s="152"/>
      <c r="F32" s="153"/>
      <c r="G32" s="153"/>
      <c r="H32" s="153"/>
      <c r="I32" s="153"/>
      <c r="J32" s="151"/>
    </row>
    <row r="33" spans="1:10" ht="15" customHeight="1" x14ac:dyDescent="0.25">
      <c r="A33" s="87"/>
      <c r="B33" s="167" t="str">
        <f>Lead!B38</f>
        <v>Cash at Bank</v>
      </c>
      <c r="C33" s="166"/>
      <c r="D33" s="156"/>
      <c r="E33" s="157"/>
      <c r="F33" s="157"/>
      <c r="G33" s="157"/>
      <c r="H33" s="157"/>
      <c r="I33" s="157"/>
      <c r="J33" s="87"/>
    </row>
    <row r="34" spans="1:10" ht="13.5" customHeight="1" x14ac:dyDescent="0.25">
      <c r="A34" s="87"/>
      <c r="B34" s="156" t="s">
        <v>58</v>
      </c>
      <c r="C34" s="156"/>
      <c r="D34" s="156"/>
      <c r="E34" s="157"/>
      <c r="F34" s="157"/>
      <c r="G34" s="157"/>
      <c r="H34" s="157"/>
      <c r="I34" s="157"/>
      <c r="J34" s="87"/>
    </row>
    <row r="35" spans="1:10" ht="13.5" customHeight="1" x14ac:dyDescent="0.25">
      <c r="A35" s="94"/>
      <c r="B35" s="158" t="s">
        <v>59</v>
      </c>
      <c r="C35" s="156"/>
      <c r="D35" s="156"/>
      <c r="E35" s="159"/>
      <c r="F35" s="157"/>
      <c r="G35" s="157">
        <f t="shared" ref="G35:G36" si="0">E35-F35</f>
        <v>0</v>
      </c>
      <c r="H35" s="160" t="str">
        <f>IFERROR(G35/F35,"")</f>
        <v/>
      </c>
      <c r="I35" s="157"/>
      <c r="J35" s="94"/>
    </row>
    <row r="36" spans="1:10" ht="13.5" customHeight="1" x14ac:dyDescent="0.25">
      <c r="A36" s="94"/>
      <c r="B36" s="158" t="s">
        <v>60</v>
      </c>
      <c r="C36" s="156"/>
      <c r="D36" s="156"/>
      <c r="E36" s="157"/>
      <c r="F36" s="157"/>
      <c r="G36" s="157">
        <f t="shared" si="0"/>
        <v>0</v>
      </c>
      <c r="H36" s="160" t="str">
        <f>IFERROR(G36/F36,"")</f>
        <v/>
      </c>
      <c r="I36" s="157"/>
      <c r="J36" s="94"/>
    </row>
    <row r="37" spans="1:10" ht="13.5" customHeight="1" x14ac:dyDescent="0.25">
      <c r="A37" s="94"/>
      <c r="B37" s="165"/>
      <c r="C37" s="164"/>
      <c r="D37" s="156"/>
      <c r="E37" s="157"/>
      <c r="F37" s="157"/>
      <c r="G37" s="157"/>
      <c r="H37" s="157"/>
      <c r="I37" s="157"/>
      <c r="J37" s="94"/>
    </row>
    <row r="38" spans="1:10" ht="13.5" customHeight="1" x14ac:dyDescent="0.25">
      <c r="A38" s="94"/>
      <c r="B38" s="156" t="s">
        <v>61</v>
      </c>
      <c r="C38" s="156"/>
      <c r="D38" s="156"/>
      <c r="E38" s="157"/>
      <c r="F38" s="157"/>
      <c r="G38" s="157"/>
      <c r="H38" s="157"/>
      <c r="I38" s="157"/>
      <c r="J38" s="94"/>
    </row>
    <row r="39" spans="1:10" ht="13.5" customHeight="1" x14ac:dyDescent="0.25">
      <c r="A39" s="87"/>
      <c r="B39" s="158" t="s">
        <v>59</v>
      </c>
      <c r="C39" s="156"/>
      <c r="D39" s="156"/>
      <c r="E39" s="157"/>
      <c r="F39" s="157"/>
      <c r="G39" s="157">
        <f t="shared" ref="G39:G40" si="1">E39-F39</f>
        <v>0</v>
      </c>
      <c r="H39" s="160" t="str">
        <f>IFERROR(G39/F39,"")</f>
        <v/>
      </c>
      <c r="I39" s="157"/>
      <c r="J39" s="87"/>
    </row>
    <row r="40" spans="1:10" ht="13.5" customHeight="1" x14ac:dyDescent="0.25">
      <c r="A40" s="87"/>
      <c r="B40" s="158" t="s">
        <v>60</v>
      </c>
      <c r="C40" s="156"/>
      <c r="D40" s="156"/>
      <c r="E40" s="157"/>
      <c r="F40" s="157"/>
      <c r="G40" s="157">
        <f t="shared" si="1"/>
        <v>0</v>
      </c>
      <c r="H40" s="160" t="str">
        <f>IFERROR(G40/F40,"")</f>
        <v/>
      </c>
      <c r="I40" s="157"/>
      <c r="J40" s="87"/>
    </row>
    <row r="41" spans="1:10" ht="13.5" customHeight="1" x14ac:dyDescent="0.25">
      <c r="A41" s="94"/>
      <c r="B41" s="165"/>
      <c r="C41" s="164"/>
      <c r="D41" s="156"/>
      <c r="E41" s="159"/>
      <c r="F41" s="157"/>
      <c r="G41" s="157"/>
      <c r="H41" s="157"/>
      <c r="I41" s="157"/>
      <c r="J41" s="94"/>
    </row>
    <row r="42" spans="1:10" ht="13.5" customHeight="1" x14ac:dyDescent="0.25">
      <c r="A42" s="94"/>
      <c r="B42" s="156" t="s">
        <v>49</v>
      </c>
      <c r="C42" s="156"/>
      <c r="D42" s="156"/>
      <c r="E42" s="157"/>
      <c r="F42" s="157"/>
      <c r="G42" s="157">
        <f t="shared" ref="G42" si="2">E42-F42</f>
        <v>0</v>
      </c>
      <c r="H42" s="160" t="str">
        <f>IFERROR(G42/F42,"")</f>
        <v/>
      </c>
      <c r="I42" s="157"/>
      <c r="J42" s="94"/>
    </row>
    <row r="43" spans="1:10" ht="13.5" customHeight="1" x14ac:dyDescent="0.25">
      <c r="A43" s="94"/>
      <c r="B43" s="165"/>
      <c r="C43" s="164"/>
      <c r="D43" s="156"/>
      <c r="E43" s="157"/>
      <c r="F43" s="157"/>
      <c r="G43" s="157"/>
      <c r="H43" s="157"/>
      <c r="I43" s="157"/>
      <c r="J43" s="94"/>
    </row>
    <row r="44" spans="1:10" ht="15" customHeight="1" x14ac:dyDescent="0.25">
      <c r="A44" s="98"/>
      <c r="B44" s="155" t="s">
        <v>33</v>
      </c>
      <c r="C44" s="155"/>
      <c r="D44" s="156"/>
      <c r="E44" s="157">
        <f>SUM(E32:E43)</f>
        <v>0</v>
      </c>
      <c r="F44" s="157">
        <f>SUM(F32:F43)</f>
        <v>0</v>
      </c>
      <c r="G44" s="157">
        <f>SUM(G32:G43)</f>
        <v>0</v>
      </c>
      <c r="H44" s="157"/>
      <c r="I44" s="157"/>
      <c r="J44" s="98"/>
    </row>
    <row r="45" spans="1:10" x14ac:dyDescent="0.25">
      <c r="A45" s="98"/>
      <c r="J45" s="98"/>
    </row>
    <row r="46" spans="1:10" x14ac:dyDescent="0.25">
      <c r="B46" s="161"/>
      <c r="C46" s="161"/>
      <c r="D46" s="161"/>
      <c r="E46" s="161"/>
      <c r="F46" s="161"/>
      <c r="G46" s="161"/>
      <c r="H46" s="161"/>
      <c r="I46" s="161"/>
    </row>
    <row r="47" spans="1:10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</sheetData>
  <mergeCells count="2">
    <mergeCell ref="B31:C31"/>
    <mergeCell ref="B30:C30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4"/>
  <sheetViews>
    <sheetView showGridLines="0" zoomScaleNormal="100" zoomScaleSheetLayoutView="100" workbookViewId="0">
      <selection activeCell="B2" sqref="B2"/>
    </sheetView>
  </sheetViews>
  <sheetFormatPr defaultColWidth="0" defaultRowHeight="16.5" zeroHeight="1" x14ac:dyDescent="0.25"/>
  <cols>
    <col min="1" max="1" width="1" style="2" customWidth="1"/>
    <col min="2" max="2" width="10.42578125" style="18" customWidth="1"/>
    <col min="3" max="3" width="34.140625" style="18" customWidth="1"/>
    <col min="4" max="4" width="34.7109375" style="18" customWidth="1"/>
    <col min="5" max="5" width="16.85546875" style="18" customWidth="1"/>
    <col min="6" max="7" width="14.42578125" style="18" customWidth="1"/>
    <col min="8" max="8" width="15.5703125" style="18" customWidth="1"/>
    <col min="9" max="9" width="17.28515625" style="18" customWidth="1"/>
    <col min="10" max="10" width="1" style="2" customWidth="1"/>
    <col min="11" max="16384" width="9.140625" style="18" hidden="1"/>
  </cols>
  <sheetData>
    <row r="1" spans="1:10" x14ac:dyDescent="0.25">
      <c r="A1" s="3"/>
      <c r="B1" s="78" t="str">
        <f>Index!$B$1</f>
        <v>ABC &amp; Co.</v>
      </c>
      <c r="C1" s="62"/>
      <c r="H1" s="3"/>
      <c r="I1" s="38" t="str">
        <f>Index!E18</f>
        <v>BS.15 - 4</v>
      </c>
      <c r="J1" s="18"/>
    </row>
    <row r="2" spans="1:10" x14ac:dyDescent="0.25">
      <c r="A2" s="3"/>
      <c r="B2" s="62" t="str">
        <f>Index!$B$2</f>
        <v>(Chartered Accountants)</v>
      </c>
      <c r="C2" s="62"/>
      <c r="E2" s="39"/>
      <c r="H2" s="3"/>
      <c r="J2" s="18"/>
    </row>
    <row r="3" spans="1:10" x14ac:dyDescent="0.25">
      <c r="A3" s="3"/>
      <c r="B3" s="62"/>
      <c r="C3" s="62"/>
      <c r="J3" s="3"/>
    </row>
    <row r="4" spans="1:10" s="1" customFormat="1" x14ac:dyDescent="0.3">
      <c r="A4" s="2"/>
      <c r="B4" s="57" t="str">
        <f>Index!$B$4</f>
        <v xml:space="preserve">Client: </v>
      </c>
      <c r="C4" s="81" t="str">
        <f>Index!$C$4</f>
        <v>ABC Limited</v>
      </c>
      <c r="D4" s="5"/>
      <c r="H4" s="65" t="str">
        <f>Index!$G$4</f>
        <v>Prepared by:</v>
      </c>
      <c r="I4" s="67" t="str">
        <f>IF(Index!$H$4="","",Index!$H$4)</f>
        <v/>
      </c>
      <c r="J4" s="2"/>
    </row>
    <row r="5" spans="1:10" s="1" customFormat="1" x14ac:dyDescent="0.3">
      <c r="A5" s="3"/>
      <c r="B5" s="57" t="str">
        <f>Index!$B$5</f>
        <v>Period:</v>
      </c>
      <c r="C5" s="81" t="str">
        <f>Index!$C$5</f>
        <v>Year ended June 30, 2023</v>
      </c>
      <c r="D5" s="5"/>
      <c r="H5" s="65" t="str">
        <f>Index!$G$5</f>
        <v>Date prepared:</v>
      </c>
      <c r="I5" s="76" t="str">
        <f>IF(Index!$H$5="","",Index!$H$5)</f>
        <v/>
      </c>
      <c r="J5" s="3"/>
    </row>
    <row r="6" spans="1:10" s="1" customFormat="1" x14ac:dyDescent="0.3">
      <c r="A6" s="3"/>
      <c r="B6" s="57" t="str">
        <f>Index!$B$6</f>
        <v>Head:</v>
      </c>
      <c r="C6" s="81" t="str">
        <f>Index!$C$6</f>
        <v>Cash and bank balance</v>
      </c>
      <c r="D6" s="5"/>
      <c r="H6" s="65" t="str">
        <f>Index!$G$6</f>
        <v>Reviewed by:</v>
      </c>
      <c r="I6" s="77" t="str">
        <f>IF(Index!$H$6="","",Index!$H$6)</f>
        <v/>
      </c>
      <c r="J6" s="3"/>
    </row>
    <row r="7" spans="1:10" s="1" customFormat="1" x14ac:dyDescent="0.3">
      <c r="A7" s="3"/>
      <c r="B7" s="4" t="s">
        <v>81</v>
      </c>
      <c r="C7" s="5" t="str">
        <f>SubLead!C7</f>
        <v>Cash at Bank</v>
      </c>
      <c r="D7" s="5"/>
      <c r="H7" s="65" t="str">
        <f>Index!$G$7</f>
        <v>Date reviewed:</v>
      </c>
      <c r="I7" s="76" t="str">
        <f>IF(Index!$H$7="","",Index!$H$7)</f>
        <v/>
      </c>
      <c r="J7" s="3"/>
    </row>
    <row r="8" spans="1:10" x14ac:dyDescent="0.25">
      <c r="B8" s="19" t="s">
        <v>72</v>
      </c>
      <c r="C8" s="19"/>
      <c r="D8" s="19"/>
      <c r="E8" s="19"/>
      <c r="F8" s="19"/>
      <c r="G8" s="19"/>
      <c r="H8" s="19"/>
      <c r="I8" s="19"/>
    </row>
    <row r="9" spans="1:10" x14ac:dyDescent="0.25">
      <c r="B9" s="19" t="s">
        <v>18</v>
      </c>
    </row>
    <row r="10" spans="1:10" x14ac:dyDescent="0.25">
      <c r="A10" s="3"/>
      <c r="B10" s="18" t="s">
        <v>3</v>
      </c>
      <c r="J10" s="3"/>
    </row>
    <row r="11" spans="1:10" ht="45" x14ac:dyDescent="0.25">
      <c r="B11" s="53" t="s">
        <v>6</v>
      </c>
      <c r="C11" s="53" t="s">
        <v>87</v>
      </c>
      <c r="D11" s="53" t="s">
        <v>88</v>
      </c>
      <c r="E11" s="53" t="s">
        <v>83</v>
      </c>
      <c r="F11" s="53" t="s">
        <v>84</v>
      </c>
      <c r="G11" s="53" t="s">
        <v>85</v>
      </c>
      <c r="H11" s="53" t="s">
        <v>86</v>
      </c>
      <c r="I11" s="53" t="s">
        <v>13</v>
      </c>
    </row>
    <row r="12" spans="1:10" s="136" customFormat="1" x14ac:dyDescent="0.25">
      <c r="A12" s="135"/>
      <c r="B12" s="132"/>
      <c r="C12" s="132"/>
      <c r="D12" s="132"/>
      <c r="E12" s="132"/>
      <c r="F12" s="134"/>
      <c r="G12" s="134"/>
      <c r="H12" s="134"/>
      <c r="I12" s="134"/>
      <c r="J12" s="135"/>
    </row>
    <row r="13" spans="1:10" x14ac:dyDescent="0.25">
      <c r="A13" s="8"/>
      <c r="B13" s="20"/>
      <c r="C13" s="21"/>
      <c r="D13" s="21"/>
      <c r="E13" s="22"/>
      <c r="F13" s="23"/>
      <c r="G13" s="23"/>
      <c r="H13" s="23"/>
      <c r="I13" s="23"/>
      <c r="J13" s="8"/>
    </row>
    <row r="14" spans="1:10" x14ac:dyDescent="0.25">
      <c r="A14" s="8"/>
      <c r="B14" s="24"/>
      <c r="C14" s="24"/>
      <c r="D14" s="24"/>
      <c r="E14" s="22"/>
      <c r="F14" s="23"/>
      <c r="G14" s="23"/>
      <c r="H14" s="23"/>
      <c r="I14" s="23"/>
      <c r="J14" s="8"/>
    </row>
    <row r="15" spans="1:10" x14ac:dyDescent="0.25">
      <c r="A15" s="25"/>
      <c r="B15" s="24"/>
      <c r="C15" s="24"/>
      <c r="D15" s="24"/>
      <c r="E15" s="22"/>
      <c r="F15" s="23"/>
      <c r="G15" s="23"/>
      <c r="H15" s="23"/>
      <c r="I15" s="23"/>
      <c r="J15" s="25"/>
    </row>
    <row r="16" spans="1:10" x14ac:dyDescent="0.25">
      <c r="A16" s="25"/>
      <c r="B16" s="24"/>
      <c r="C16" s="24"/>
      <c r="D16" s="24"/>
      <c r="E16" s="22"/>
      <c r="F16" s="23"/>
      <c r="G16" s="23"/>
      <c r="H16" s="23"/>
      <c r="I16" s="23"/>
      <c r="J16" s="25"/>
    </row>
    <row r="17" spans="1:14" x14ac:dyDescent="0.25">
      <c r="A17" s="25"/>
      <c r="B17" s="24"/>
      <c r="C17" s="24"/>
      <c r="D17" s="24"/>
      <c r="E17" s="22"/>
      <c r="F17" s="23"/>
      <c r="G17" s="23"/>
      <c r="H17" s="23"/>
      <c r="I17" s="23"/>
      <c r="J17" s="25"/>
    </row>
    <row r="18" spans="1:14" x14ac:dyDescent="0.25">
      <c r="A18" s="25"/>
      <c r="B18" s="21"/>
      <c r="C18" s="21"/>
      <c r="D18" s="21"/>
      <c r="E18" s="22"/>
      <c r="F18" s="23"/>
      <c r="G18" s="23"/>
      <c r="H18" s="23"/>
      <c r="I18" s="23"/>
      <c r="J18" s="25"/>
    </row>
    <row r="19" spans="1:14" x14ac:dyDescent="0.25">
      <c r="A19" s="8"/>
      <c r="B19" s="20"/>
      <c r="C19" s="21"/>
      <c r="D19" s="21"/>
      <c r="E19" s="22"/>
      <c r="F19" s="23"/>
      <c r="G19" s="23"/>
      <c r="H19" s="23"/>
      <c r="I19" s="23"/>
      <c r="J19" s="8"/>
    </row>
    <row r="20" spans="1:14" x14ac:dyDescent="0.25">
      <c r="A20" s="8"/>
      <c r="B20" s="24"/>
      <c r="C20" s="24"/>
      <c r="D20" s="24"/>
      <c r="E20" s="22"/>
      <c r="F20" s="23"/>
      <c r="G20" s="23"/>
      <c r="H20" s="23"/>
      <c r="I20" s="23"/>
      <c r="J20" s="8"/>
    </row>
    <row r="21" spans="1:14" x14ac:dyDescent="0.25">
      <c r="A21" s="25"/>
      <c r="B21" s="24"/>
      <c r="C21" s="24"/>
      <c r="D21" s="24"/>
      <c r="E21" s="22"/>
      <c r="F21" s="23"/>
      <c r="G21" s="23"/>
      <c r="H21" s="23"/>
      <c r="I21" s="23"/>
      <c r="J21" s="25"/>
    </row>
    <row r="22" spans="1:14" x14ac:dyDescent="0.25">
      <c r="A22" s="25"/>
      <c r="B22" s="24"/>
      <c r="C22" s="24"/>
      <c r="D22" s="24"/>
      <c r="E22" s="22"/>
      <c r="F22" s="23"/>
      <c r="G22" s="23"/>
      <c r="H22" s="23"/>
      <c r="I22" s="23"/>
      <c r="J22" s="25"/>
    </row>
    <row r="23" spans="1:14" x14ac:dyDescent="0.25">
      <c r="A23" s="25"/>
      <c r="B23" s="24"/>
      <c r="C23" s="24"/>
      <c r="D23" s="24"/>
      <c r="E23" s="22"/>
      <c r="F23" s="23"/>
      <c r="G23" s="23"/>
      <c r="H23" s="23"/>
      <c r="I23" s="23"/>
      <c r="J23" s="25"/>
    </row>
    <row r="24" spans="1:14" x14ac:dyDescent="0.25">
      <c r="A24" s="25"/>
      <c r="B24" s="21"/>
      <c r="C24" s="21"/>
      <c r="D24" s="21"/>
      <c r="E24" s="22"/>
      <c r="F24" s="23"/>
      <c r="G24" s="23"/>
      <c r="H24" s="23"/>
      <c r="I24" s="23"/>
      <c r="J24" s="25"/>
    </row>
    <row r="25" spans="1:14" x14ac:dyDescent="0.25">
      <c r="A25" s="18"/>
      <c r="B25" s="26"/>
      <c r="C25" s="26"/>
      <c r="D25" s="26"/>
      <c r="E25" s="22"/>
      <c r="F25" s="23"/>
      <c r="G25" s="23"/>
      <c r="H25" s="23"/>
      <c r="I25" s="23"/>
      <c r="J25" s="18"/>
    </row>
    <row r="26" spans="1:14" x14ac:dyDescent="0.25">
      <c r="A26" s="18"/>
      <c r="J26" s="18"/>
    </row>
    <row r="29" spans="1:14" s="2" customFormat="1" hidden="1" x14ac:dyDescent="0.25">
      <c r="B29" s="18"/>
      <c r="C29" s="18"/>
      <c r="D29" s="18"/>
      <c r="E29" s="18"/>
      <c r="F29" s="18"/>
      <c r="G29" s="18"/>
      <c r="H29" s="18"/>
      <c r="I29" s="18"/>
      <c r="K29" s="18"/>
      <c r="L29" s="18"/>
      <c r="M29" s="18"/>
      <c r="N29" s="18"/>
    </row>
    <row r="30" spans="1:14" s="2" customFormat="1" hidden="1" x14ac:dyDescent="0.25">
      <c r="B30" s="18"/>
      <c r="C30" s="18"/>
      <c r="D30" s="18"/>
      <c r="E30" s="18"/>
      <c r="F30" s="18"/>
      <c r="G30" s="18"/>
      <c r="H30" s="18"/>
      <c r="I30" s="18"/>
      <c r="K30" s="18"/>
      <c r="L30" s="18"/>
      <c r="M30" s="18"/>
      <c r="N30" s="18"/>
    </row>
    <row r="31" spans="1:14" s="2" customFormat="1" hidden="1" x14ac:dyDescent="0.25">
      <c r="B31" s="18"/>
      <c r="C31" s="18"/>
      <c r="D31" s="18"/>
      <c r="E31" s="18"/>
      <c r="F31" s="18"/>
      <c r="G31" s="18"/>
      <c r="H31" s="18"/>
      <c r="I31" s="18"/>
      <c r="K31" s="18"/>
      <c r="L31" s="18"/>
      <c r="M31" s="18"/>
      <c r="N31" s="18"/>
    </row>
    <row r="32" spans="1:14" s="2" customFormat="1" hidden="1" x14ac:dyDescent="0.25">
      <c r="B32" s="18"/>
      <c r="C32" s="18"/>
      <c r="D32" s="18"/>
      <c r="E32" s="18"/>
      <c r="F32" s="18"/>
      <c r="G32" s="18"/>
      <c r="H32" s="18"/>
      <c r="I32" s="18"/>
      <c r="K32" s="18"/>
      <c r="L32" s="18"/>
      <c r="M32" s="18"/>
      <c r="N32" s="18"/>
    </row>
    <row r="33" spans="2:14" s="2" customFormat="1" hidden="1" x14ac:dyDescent="0.25">
      <c r="B33" s="18"/>
      <c r="C33" s="18"/>
      <c r="D33" s="18"/>
      <c r="E33" s="18"/>
      <c r="F33" s="18"/>
      <c r="G33" s="18"/>
      <c r="H33" s="18"/>
      <c r="I33" s="18"/>
      <c r="K33" s="18"/>
      <c r="L33" s="18"/>
      <c r="M33" s="18"/>
      <c r="N33" s="18"/>
    </row>
    <row r="34" spans="2:14" s="2" customFormat="1" hidden="1" x14ac:dyDescent="0.25">
      <c r="B34" s="18"/>
      <c r="C34" s="18"/>
      <c r="D34" s="18"/>
      <c r="E34" s="18"/>
      <c r="F34" s="18"/>
      <c r="G34" s="18"/>
      <c r="H34" s="18"/>
      <c r="I34" s="18"/>
      <c r="K34" s="18"/>
      <c r="L34" s="18"/>
      <c r="M34" s="18"/>
      <c r="N34" s="18"/>
    </row>
    <row r="35" spans="2:14" ht="14.25" customHeight="1" x14ac:dyDescent="0.25">
      <c r="J35" s="27"/>
    </row>
    <row r="36" spans="2:14" x14ac:dyDescent="0.25">
      <c r="J36" s="27"/>
    </row>
    <row r="37" spans="2:14" x14ac:dyDescent="0.25">
      <c r="J37" s="27"/>
    </row>
    <row r="38" spans="2:14" x14ac:dyDescent="0.25">
      <c r="J38" s="27"/>
    </row>
    <row r="39" spans="2:14" x14ac:dyDescent="0.25">
      <c r="J39" s="27"/>
    </row>
    <row r="40" spans="2:14" x14ac:dyDescent="0.25"/>
    <row r="41" spans="2:14" x14ac:dyDescent="0.25"/>
    <row r="42" spans="2:14" ht="16.5" hidden="1" customHeight="1" x14ac:dyDescent="0.25"/>
    <row r="43" spans="2:14" ht="16.5" hidden="1" customHeight="1" x14ac:dyDescent="0.25"/>
    <row r="44" spans="2:14" ht="16.5" hidden="1" customHeight="1" x14ac:dyDescent="0.25"/>
    <row r="45" spans="2:14" ht="16.5" hidden="1" customHeight="1" x14ac:dyDescent="0.25"/>
    <row r="46" spans="2:14" ht="16.5" hidden="1" customHeight="1" x14ac:dyDescent="0.25"/>
    <row r="47" spans="2:14" ht="16.5" hidden="1" customHeight="1" x14ac:dyDescent="0.25"/>
    <row r="48" spans="2:14" ht="16.5" hidden="1" customHeight="1" x14ac:dyDescent="0.25"/>
    <row r="49" ht="16.5" hidden="1" customHeight="1" x14ac:dyDescent="0.25"/>
    <row r="50" ht="16.5" hidden="1" customHeight="1" x14ac:dyDescent="0.25"/>
    <row r="51" ht="16.5" hidden="1" customHeight="1" x14ac:dyDescent="0.25"/>
    <row r="52" ht="16.5" hidden="1" customHeight="1" x14ac:dyDescent="0.25"/>
    <row r="53" ht="16.5" hidden="1" customHeight="1" x14ac:dyDescent="0.25"/>
    <row r="54" ht="16.5" hidden="1" customHeight="1" x14ac:dyDescent="0.25"/>
    <row r="55" ht="16.5" hidden="1" customHeight="1" x14ac:dyDescent="0.25"/>
    <row r="56" ht="16.5" hidden="1" customHeight="1" x14ac:dyDescent="0.25"/>
    <row r="57" ht="16.5" hidden="1" customHeight="1" x14ac:dyDescent="0.25"/>
    <row r="58" ht="16.5" hidden="1" customHeight="1" x14ac:dyDescent="0.25"/>
    <row r="59" ht="16.5" hidden="1" customHeight="1" x14ac:dyDescent="0.25"/>
    <row r="60" ht="16.5" hidden="1" customHeight="1" x14ac:dyDescent="0.25"/>
    <row r="61" ht="16.5" hidden="1" customHeight="1" x14ac:dyDescent="0.25"/>
    <row r="62" ht="16.5" hidden="1" customHeight="1" x14ac:dyDescent="0.25"/>
    <row r="63" ht="16.5" hidden="1" customHeight="1" x14ac:dyDescent="0.25"/>
    <row r="64" x14ac:dyDescent="0.25"/>
  </sheetData>
  <printOptions horizontalCentered="1"/>
  <pageMargins left="0.25" right="0.25" top="0.75" bottom="0.75" header="0.3" footer="0.3"/>
  <pageSetup scale="83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"/>
  <sheetViews>
    <sheetView showGridLines="0" tabSelected="1" zoomScaleNormal="100" zoomScaleSheetLayoutView="100" workbookViewId="0">
      <selection activeCell="B9" sqref="B9"/>
    </sheetView>
  </sheetViews>
  <sheetFormatPr defaultColWidth="0" defaultRowHeight="16.5" zeroHeight="1" x14ac:dyDescent="0.25"/>
  <cols>
    <col min="1" max="1" width="1" style="2" customWidth="1"/>
    <col min="2" max="2" width="10" style="2" customWidth="1"/>
    <col min="3" max="3" width="61.42578125" style="2" customWidth="1"/>
    <col min="4" max="5" width="13.5703125" style="2" customWidth="1"/>
    <col min="6" max="6" width="1" style="2" customWidth="1"/>
    <col min="7" max="7" width="9.140625" style="2" hidden="1" customWidth="1"/>
    <col min="8" max="9" width="0" style="2" hidden="1" customWidth="1"/>
    <col min="10" max="16384" width="9.140625" style="2" hidden="1"/>
  </cols>
  <sheetData>
    <row r="1" spans="2:10" s="3" customFormat="1" x14ac:dyDescent="0.25">
      <c r="B1" s="78" t="str">
        <f>Index!$B$1</f>
        <v>ABC &amp; Co.</v>
      </c>
      <c r="C1" s="62"/>
      <c r="D1" s="36"/>
      <c r="E1" s="37" t="str">
        <f>Index!E22</f>
        <v>BS.15 - 6</v>
      </c>
    </row>
    <row r="2" spans="2:10" s="3" customFormat="1" x14ac:dyDescent="0.25">
      <c r="B2" s="62" t="str">
        <f>Index!$B$2</f>
        <v>(Chartered Accountants)</v>
      </c>
      <c r="C2" s="62"/>
      <c r="D2" s="36"/>
    </row>
    <row r="3" spans="2:10" s="3" customFormat="1" x14ac:dyDescent="0.25">
      <c r="B3" s="62"/>
      <c r="C3" s="62"/>
      <c r="E3" s="2"/>
      <c r="F3" s="2"/>
    </row>
    <row r="4" spans="2:10" s="3" customFormat="1" x14ac:dyDescent="0.25">
      <c r="B4" s="57" t="str">
        <f>Index!$B$4</f>
        <v xml:space="preserve">Client: </v>
      </c>
      <c r="C4" s="81" t="str">
        <f>Index!$C$4</f>
        <v>ABC Limited</v>
      </c>
      <c r="D4" s="65" t="str">
        <f>Index!$G$4</f>
        <v>Prepared by:</v>
      </c>
      <c r="E4" s="67" t="str">
        <f>IF(Index!$H$4="","",Index!$H$4)</f>
        <v/>
      </c>
    </row>
    <row r="5" spans="2:10" s="3" customFormat="1" x14ac:dyDescent="0.25">
      <c r="B5" s="57" t="str">
        <f>Index!$B$5</f>
        <v>Period:</v>
      </c>
      <c r="C5" s="81" t="str">
        <f>Index!$C$5</f>
        <v>Year ended June 30, 2023</v>
      </c>
      <c r="D5" s="65" t="str">
        <f>Index!$G$5</f>
        <v>Date prepared:</v>
      </c>
      <c r="E5" s="76" t="str">
        <f>IF(Index!$H$5="","",Index!$H$5)</f>
        <v/>
      </c>
    </row>
    <row r="6" spans="2:10" s="3" customFormat="1" x14ac:dyDescent="0.25">
      <c r="B6" s="57" t="str">
        <f>Index!$B$6</f>
        <v>Head:</v>
      </c>
      <c r="C6" s="81" t="str">
        <f>Index!$C$6</f>
        <v>Cash and bank balance</v>
      </c>
      <c r="D6" s="65" t="str">
        <f>Index!$G$6</f>
        <v>Reviewed by:</v>
      </c>
      <c r="E6" s="77" t="str">
        <f>IF(Index!$H$6="","",Index!$H$6)</f>
        <v/>
      </c>
    </row>
    <row r="7" spans="2:10" x14ac:dyDescent="0.25">
      <c r="B7" s="3"/>
      <c r="C7" s="3"/>
      <c r="D7" s="65" t="str">
        <f>Index!$G$7</f>
        <v>Date reviewed:</v>
      </c>
      <c r="E7" s="76" t="str">
        <f>IF(Index!$H$7="","",Index!$H$7)</f>
        <v/>
      </c>
      <c r="F7" s="3"/>
    </row>
    <row r="8" spans="2:10" s="3" customFormat="1" x14ac:dyDescent="0.25">
      <c r="B8" s="6" t="s">
        <v>36</v>
      </c>
      <c r="C8" s="6"/>
      <c r="D8" s="6"/>
      <c r="E8" s="6"/>
      <c r="F8" s="6"/>
    </row>
    <row r="9" spans="2:10" x14ac:dyDescent="0.25"/>
    <row r="10" spans="2:10" s="8" customFormat="1" ht="14.25" customHeight="1" x14ac:dyDescent="0.25">
      <c r="B10" s="48" t="s">
        <v>6</v>
      </c>
      <c r="C10" s="48" t="s">
        <v>37</v>
      </c>
      <c r="D10" s="54" t="s">
        <v>35</v>
      </c>
      <c r="E10" s="54"/>
      <c r="F10" s="7"/>
    </row>
    <row r="11" spans="2:10" x14ac:dyDescent="0.25">
      <c r="B11" s="48"/>
      <c r="C11" s="48"/>
      <c r="D11" s="49" t="s">
        <v>38</v>
      </c>
      <c r="E11" s="50" t="s">
        <v>39</v>
      </c>
      <c r="F11" s="9"/>
    </row>
    <row r="12" spans="2:10" s="135" customFormat="1" x14ac:dyDescent="0.25">
      <c r="B12" s="137"/>
      <c r="C12" s="138"/>
      <c r="D12" s="138"/>
      <c r="E12" s="138"/>
    </row>
    <row r="13" spans="2:10" s="12" customFormat="1" x14ac:dyDescent="0.25">
      <c r="B13" s="10"/>
      <c r="C13" s="11"/>
      <c r="D13" s="11"/>
      <c r="E13" s="11"/>
      <c r="F13" s="2"/>
      <c r="G13" s="2"/>
      <c r="H13" s="2"/>
      <c r="I13" s="2"/>
      <c r="J13" s="2"/>
    </row>
    <row r="14" spans="2:10" s="12" customFormat="1" x14ac:dyDescent="0.25">
      <c r="B14" s="10"/>
      <c r="C14" s="11"/>
      <c r="D14" s="11"/>
      <c r="E14" s="11"/>
      <c r="F14" s="2"/>
      <c r="G14" s="2"/>
      <c r="H14" s="2"/>
      <c r="I14" s="2"/>
      <c r="J14" s="2"/>
    </row>
    <row r="15" spans="2:10" s="12" customFormat="1" x14ac:dyDescent="0.25">
      <c r="B15" s="10"/>
      <c r="C15" s="11"/>
      <c r="D15" s="11"/>
      <c r="E15" s="11"/>
      <c r="F15" s="2"/>
      <c r="G15" s="2"/>
      <c r="H15" s="2"/>
      <c r="I15" s="2"/>
      <c r="J15" s="2"/>
    </row>
    <row r="16" spans="2:10" s="12" customFormat="1" x14ac:dyDescent="0.25">
      <c r="B16" s="10"/>
      <c r="C16" s="11"/>
      <c r="D16" s="11"/>
      <c r="E16" s="11"/>
      <c r="F16" s="2"/>
      <c r="G16" s="2"/>
      <c r="H16" s="2"/>
      <c r="I16" s="2"/>
      <c r="J16" s="2"/>
    </row>
    <row r="17" spans="2:10" s="12" customFormat="1" x14ac:dyDescent="0.25">
      <c r="B17" s="10"/>
      <c r="C17" s="11"/>
      <c r="D17" s="11"/>
      <c r="E17" s="11"/>
      <c r="F17" s="2"/>
      <c r="G17" s="2"/>
      <c r="H17" s="2"/>
      <c r="I17" s="2"/>
      <c r="J17" s="2"/>
    </row>
    <row r="18" spans="2:10" s="12" customFormat="1" x14ac:dyDescent="0.25">
      <c r="B18" s="10"/>
      <c r="C18" s="11"/>
      <c r="D18" s="11"/>
      <c r="E18" s="11"/>
      <c r="F18" s="2"/>
      <c r="G18" s="2"/>
      <c r="H18" s="2"/>
      <c r="I18" s="2"/>
      <c r="J18" s="2"/>
    </row>
    <row r="19" spans="2:10" s="12" customFormat="1" x14ac:dyDescent="0.25">
      <c r="B19" s="10"/>
      <c r="C19" s="11"/>
      <c r="D19" s="11"/>
      <c r="E19" s="11"/>
      <c r="F19" s="2"/>
      <c r="G19" s="2"/>
      <c r="H19" s="2"/>
      <c r="I19" s="2"/>
      <c r="J19" s="2"/>
    </row>
    <row r="20" spans="2:10" s="12" customFormat="1" x14ac:dyDescent="0.25">
      <c r="B20" s="10"/>
      <c r="C20" s="11"/>
      <c r="D20" s="11"/>
      <c r="E20" s="11"/>
      <c r="F20" s="2"/>
      <c r="G20" s="2"/>
      <c r="H20" s="2"/>
      <c r="I20" s="2"/>
      <c r="J20" s="2"/>
    </row>
    <row r="21" spans="2:10" s="12" customFormat="1" x14ac:dyDescent="0.25">
      <c r="B21" s="10"/>
      <c r="C21" s="11"/>
      <c r="D21" s="11"/>
      <c r="E21" s="11"/>
      <c r="F21" s="2"/>
      <c r="G21" s="2"/>
      <c r="H21" s="2"/>
      <c r="I21" s="2"/>
      <c r="J21" s="2"/>
    </row>
    <row r="22" spans="2:10" s="12" customFormat="1" x14ac:dyDescent="0.25">
      <c r="B22" s="10"/>
      <c r="C22" s="13"/>
      <c r="D22" s="14"/>
      <c r="E22" s="14"/>
      <c r="F22" s="2"/>
      <c r="G22" s="2"/>
      <c r="H22" s="2"/>
      <c r="I22" s="2"/>
      <c r="J22" s="2"/>
    </row>
    <row r="23" spans="2:10" s="12" customFormat="1" x14ac:dyDescent="0.25">
      <c r="B23" s="10"/>
      <c r="C23" s="13"/>
      <c r="D23" s="15"/>
      <c r="E23" s="15"/>
    </row>
    <row r="24" spans="2:10" s="12" customFormat="1" x14ac:dyDescent="0.25">
      <c r="B24" s="10"/>
      <c r="C24" s="13"/>
      <c r="D24" s="13"/>
      <c r="E24" s="13"/>
    </row>
    <row r="25" spans="2:10" s="18" customFormat="1" x14ac:dyDescent="0.25">
      <c r="B25" s="16"/>
      <c r="C25" s="17"/>
    </row>
    <row r="26" spans="2:10" s="18" customFormat="1" hidden="1" x14ac:dyDescent="0.25"/>
    <row r="27" spans="2:10" s="18" customFormat="1" hidden="1" x14ac:dyDescent="0.25">
      <c r="D27" s="19"/>
      <c r="E27" s="19"/>
      <c r="F27" s="19"/>
      <c r="G27" s="19"/>
      <c r="H27" s="19"/>
      <c r="I27" s="19"/>
    </row>
    <row r="28" spans="2:10" s="18" customFormat="1" hidden="1" x14ac:dyDescent="0.25"/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Index</vt:lpstr>
      <vt:lpstr>AOC</vt:lpstr>
      <vt:lpstr>Lead</vt:lpstr>
      <vt:lpstr>SubLead</vt:lpstr>
      <vt:lpstr>BankConfirmation-CS</vt:lpstr>
      <vt:lpstr>Adjusting Entries</vt:lpstr>
      <vt:lpstr>'Adjusting Entries'!Print_Area</vt:lpstr>
      <vt:lpstr>AOC!Print_Area</vt:lpstr>
      <vt:lpstr>'BankConfirmation-CS'!Print_Area</vt:lpstr>
      <vt:lpstr>Index!Print_Area</vt:lpstr>
      <vt:lpstr>Lead!Print_Area</vt:lpstr>
      <vt:lpstr>SubLead!Print_Area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Hamid Ali Khan</cp:lastModifiedBy>
  <cp:lastPrinted>2017-06-05T09:01:44Z</cp:lastPrinted>
  <dcterms:created xsi:type="dcterms:W3CDTF">2013-09-04T12:17:25Z</dcterms:created>
  <dcterms:modified xsi:type="dcterms:W3CDTF">2023-06-26T09:48:55Z</dcterms:modified>
</cp:coreProperties>
</file>